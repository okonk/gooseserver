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Inputs" sheetId="3" state="visible" r:id="rId3"/>
    <sheet xmlns:r="http://schemas.openxmlformats.org/officeDocument/2006/relationships" name="Class Table" sheetId="4" state="visible" r:id="rId4"/>
    <sheet xmlns:r="http://schemas.openxmlformats.org/officeDocument/2006/relationships" name="Gear" sheetId="5" state="visible" r:id="rId5"/>
    <sheet xmlns:r="http://schemas.openxmlformats.org/officeDocument/2006/relationships" name="Abilities" sheetId="6" state="visible" r:id="rId6"/>
    <sheet xmlns:r="http://schemas.openxmlformats.org/officeDocument/2006/relationships" name="Mobs" sheetId="7" state="visible" r:id="rId7"/>
    <sheet xmlns:r="http://schemas.openxmlformats.org/officeDocument/2006/relationships" name="Mob by Level" sheetId="8" state="visible" r:id="rId8"/>
    <sheet xmlns:r="http://schemas.openxmlformats.org/officeDocument/2006/relationships" name="Warrior" sheetId="9" state="visible" r:id="rId9"/>
    <sheet xmlns:r="http://schemas.openxmlformats.org/officeDocument/2006/relationships" name="Rogue" sheetId="10" state="visible" r:id="rId10"/>
    <sheet xmlns:r="http://schemas.openxmlformats.org/officeDocument/2006/relationships" name="Magus" sheetId="11" state="visible" r:id="rId11"/>
    <sheet xmlns:r="http://schemas.openxmlformats.org/officeDocument/2006/relationships" name="Priest" sheetId="12" state="visible" r:id="rId12"/>
    <sheet xmlns:r="http://schemas.openxmlformats.org/officeDocument/2006/relationships" name="Item Budget" sheetId="13" state="visible" r:id="rId13"/>
    <sheet xmlns:r="http://schemas.openxmlformats.org/officeDocument/2006/relationships" name="Accessory Proposals" sheetId="14" state="visible" r:id="rId14"/>
    <sheet xmlns:r="http://schemas.openxmlformats.org/officeDocument/2006/relationships" name="Gear Budget" sheetId="15" state="visible" r:id="rId15"/>
    <sheet xmlns:r="http://schemas.openxmlformats.org/officeDocument/2006/relationships" name="Gear Proposals" sheetId="16" state="visible" r:id="rId16"/>
    <sheet xmlns:r="http://schemas.openxmlformats.org/officeDocument/2006/relationships" name="NPC Changes" sheetId="17" state="visible" r:id="rId17"/>
    <sheet xmlns:r="http://schemas.openxmlformats.org/officeDocument/2006/relationships" name="Pass 2 Changes" sheetId="18" state="visible" r:id="rId18"/>
  </sheets>
  <definedNames/>
  <calcPr calcId="124519" fullCalcOnLoad="1"/>
</workbook>
</file>

<file path=xl/styles.xml><?xml version="1.0" encoding="utf-8"?>
<styleSheet xmlns="http://schemas.openxmlformats.org/spreadsheetml/2006/main">
  <numFmts count="7">
    <numFmt numFmtId="164" formatCode="#,##0.0"/>
    <numFmt numFmtId="165" formatCode="0.00&quot;x&quot;"/>
    <numFmt numFmtId="166" formatCode="0.0"/>
    <numFmt numFmtId="167" formatCode="0.0%"/>
    <numFmt numFmtId="168" formatCode="0.0;-0.0;;@"/>
    <numFmt numFmtId="169" formatCode="0%;-0%;0%;@"/>
    <numFmt numFmtId="170" formatCode="+0%;-0%"/>
  </numFmts>
  <fonts count="12">
    <font>
      <name val="Calibri"/>
      <family val="2"/>
      <color theme="1"/>
      <sz val="11"/>
      <scheme val="minor"/>
    </font>
    <font>
      <name val="Arial"/>
      <b val="1"/>
      <sz val="14"/>
    </font>
    <font>
      <name val="Arial"/>
      <i val="1"/>
      <color rgb="00555555"/>
    </font>
    <font>
      <name val="Arial"/>
      <b val="1"/>
      <color rgb="00FFFFFF"/>
    </font>
    <font>
      <name val="Arial"/>
      <color rgb="00000000"/>
    </font>
    <font>
      <name val="Arial"/>
      <color rgb="000000FF"/>
    </font>
    <font>
      <name val="Arial"/>
      <b val="1"/>
    </font>
    <font>
      <name val="Arial"/>
      <color rgb="00008000"/>
    </font>
    <font>
      <name val="Arial"/>
      <color theme="1"/>
      <sz val="11"/>
    </font>
    <font>
      <name val="Arial"/>
      <color rgb="00555555"/>
    </font>
    <font>
      <name val="Arial"/>
      <b val="1"/>
      <sz val="13"/>
    </font>
    <font>
      <name val="Arial"/>
    </font>
  </fonts>
  <fills count="8">
    <fill>
      <patternFill/>
    </fill>
    <fill>
      <patternFill patternType="gray125"/>
    </fill>
    <fill>
      <patternFill patternType="solid">
        <fgColor rgb="00305496"/>
      </patternFill>
    </fill>
    <fill>
      <patternFill patternType="solid">
        <fgColor rgb="00FFFF00"/>
      </patternFill>
    </fill>
    <fill>
      <patternFill patternType="solid">
        <fgColor rgb="00D9E1F2"/>
      </patternFill>
    </fill>
    <fill>
      <patternFill patternType="solid">
        <fgColor rgb="00E2EFDA"/>
      </patternFill>
    </fill>
    <fill>
      <patternFill patternType="solid">
        <fgColor rgb="00F2F2F2"/>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71">
    <xf numFmtId="0" fontId="0" fillId="0" borderId="0" pivotButton="0" quotePrefix="0" xfId="0"/>
    <xf numFmtId="0" fontId="1" fillId="0" borderId="0" pivotButton="0" quotePrefix="0" xfId="0"/>
    <xf numFmtId="0" fontId="8" fillId="0" borderId="0" pivotButton="0" quotePrefix="0" xfId="0"/>
    <xf numFmtId="0" fontId="6" fillId="0" borderId="0" pivotButton="0" quotePrefix="0" xfId="0"/>
    <xf numFmtId="0" fontId="4" fillId="0" borderId="0" applyAlignment="1" pivotButton="0" quotePrefix="0" xfId="0">
      <alignment vertical="top" wrapText="1"/>
    </xf>
    <xf numFmtId="0" fontId="2" fillId="0" borderId="0" pivotButton="0" quotePrefix="0" xfId="0"/>
    <xf numFmtId="0" fontId="6" fillId="4" borderId="0" applyAlignment="1" pivotButton="0" quotePrefix="0" xfId="0">
      <alignment horizontal="center"/>
    </xf>
    <xf numFmtId="0" fontId="3" fillId="2" borderId="0" applyAlignment="1" pivotButton="0" quotePrefix="0" xfId="0">
      <alignment horizontal="center" vertical="center" wrapText="1"/>
    </xf>
    <xf numFmtId="1" fontId="4" fillId="0" borderId="1" pivotButton="0" quotePrefix="0" xfId="0"/>
    <xf numFmtId="3" fontId="7" fillId="0" borderId="1" pivotButton="0" quotePrefix="0" xfId="0"/>
    <xf numFmtId="164" fontId="7" fillId="5" borderId="1" pivotButton="0" quotePrefix="0" xfId="0"/>
    <xf numFmtId="165" fontId="4" fillId="0" borderId="1" pivotButton="0" quotePrefix="0" xfId="0"/>
    <xf numFmtId="166" fontId="7" fillId="0" borderId="1" pivotButton="0" quotePrefix="0" xfId="0"/>
    <xf numFmtId="9" fontId="7" fillId="0" borderId="1" pivotButton="0" quotePrefix="0" xfId="0"/>
    <xf numFmtId="1" fontId="7" fillId="0" borderId="1" pivotButton="0" quotePrefix="0" xfId="0"/>
    <xf numFmtId="0" fontId="7" fillId="0" borderId="1" pivotButton="0" quotePrefix="0" xfId="0"/>
    <xf numFmtId="2" fontId="7" fillId="0" borderId="1" pivotButton="0" quotePrefix="0" xfId="0"/>
    <xf numFmtId="164" fontId="7" fillId="0" borderId="1" pivotButton="0" quotePrefix="0" xfId="0"/>
    <xf numFmtId="0" fontId="3" fillId="2" borderId="0" pivotButton="0" quotePrefix="0" xfId="0"/>
    <xf numFmtId="0" fontId="4" fillId="0" borderId="0" pivotButton="0" quotePrefix="0" xfId="0"/>
    <xf numFmtId="0" fontId="5" fillId="3" borderId="0" pivotButton="0" quotePrefix="0" xfId="0"/>
    <xf numFmtId="0" fontId="5" fillId="0" borderId="0" pivotButton="0" quotePrefix="0" xfId="0"/>
    <xf numFmtId="9" fontId="5" fillId="3" borderId="0" pivotButton="0" quotePrefix="0" xfId="0"/>
    <xf numFmtId="9" fontId="5" fillId="0" borderId="0" pivotButton="0" quotePrefix="0" xfId="0"/>
    <xf numFmtId="2" fontId="7" fillId="0" borderId="0" pivotButton="0" quotePrefix="0" xfId="0"/>
    <xf numFmtId="0" fontId="7" fillId="0" borderId="0" pivotButton="0" quotePrefix="0" xfId="0"/>
    <xf numFmtId="3" fontId="4" fillId="0" borderId="1" pivotButton="0" quotePrefix="0" xfId="0"/>
    <xf numFmtId="164" fontId="4" fillId="0" borderId="1" pivotButton="0" quotePrefix="0" xfId="0"/>
    <xf numFmtId="9" fontId="4" fillId="0" borderId="1" pivotButton="0" quotePrefix="0" xfId="0"/>
    <xf numFmtId="166" fontId="4" fillId="0" borderId="1" pivotButton="0" quotePrefix="0" xfId="0"/>
    <xf numFmtId="166" fontId="4" fillId="0" borderId="0" pivotButton="0" quotePrefix="0" xfId="0"/>
    <xf numFmtId="2" fontId="4" fillId="0" borderId="0" pivotButton="0" quotePrefix="0" xfId="0"/>
    <xf numFmtId="3" fontId="5" fillId="3" borderId="0" pivotButton="0" quotePrefix="0" xfId="0"/>
    <xf numFmtId="166" fontId="5" fillId="3" borderId="0" pivotButton="0" quotePrefix="0" xfId="0"/>
    <xf numFmtId="2" fontId="5" fillId="3" borderId="0" pivotButton="0" quotePrefix="0" xfId="0"/>
    <xf numFmtId="1" fontId="5" fillId="3" borderId="0" pivotButton="0" quotePrefix="0" xfId="0"/>
    <xf numFmtId="3" fontId="4" fillId="0" borderId="0" pivotButton="0" quotePrefix="0" xfId="0"/>
    <xf numFmtId="3" fontId="5" fillId="0" borderId="0" pivotButton="0" quotePrefix="0" xfId="0"/>
    <xf numFmtId="167" fontId="5" fillId="0" borderId="0" pivotButton="0" quotePrefix="0" xfId="0"/>
    <xf numFmtId="1" fontId="5" fillId="0" borderId="0" pivotButton="0" quotePrefix="0" xfId="0"/>
    <xf numFmtId="0" fontId="6" fillId="4" borderId="0" pivotButton="0" quotePrefix="0" xfId="0"/>
    <xf numFmtId="9" fontId="4" fillId="0" borderId="0" pivotButton="0" quotePrefix="0" xfId="0"/>
    <xf numFmtId="0" fontId="2" fillId="0" borderId="0" pivotButton="0" quotePrefix="0" xfId="0"/>
    <xf numFmtId="9" fontId="7" fillId="0" borderId="0" pivotButton="0" quotePrefix="0" xfId="0"/>
    <xf numFmtId="168" fontId="4" fillId="0" borderId="0" pivotButton="0" quotePrefix="0" xfId="0"/>
    <xf numFmtId="0" fontId="5" fillId="6" borderId="0" pivotButton="0" quotePrefix="0" xfId="0"/>
    <xf numFmtId="0" fontId="4" fillId="6" borderId="0" pivotButton="0" quotePrefix="0" xfId="0"/>
    <xf numFmtId="2" fontId="4" fillId="6" borderId="0" pivotButton="0" quotePrefix="0" xfId="0"/>
    <xf numFmtId="166" fontId="4" fillId="6" borderId="0" pivotButton="0" quotePrefix="0" xfId="0"/>
    <xf numFmtId="9" fontId="4" fillId="6" borderId="0" pivotButton="0" quotePrefix="0" xfId="0"/>
    <xf numFmtId="9" fontId="6" fillId="0" borderId="0" pivotButton="0" quotePrefix="0" xfId="0"/>
    <xf numFmtId="167" fontId="5" fillId="3" borderId="0" pivotButton="0" quotePrefix="0" xfId="0"/>
    <xf numFmtId="169" fontId="4" fillId="0" borderId="0" pivotButton="0" quotePrefix="0" xfId="0"/>
    <xf numFmtId="0" fontId="5" fillId="5" borderId="0" pivotButton="0" quotePrefix="0" xfId="0"/>
    <xf numFmtId="3" fontId="5" fillId="5" borderId="0" pivotButton="0" quotePrefix="0" xfId="0"/>
    <xf numFmtId="0" fontId="6" fillId="5" borderId="0" pivotButton="0" quotePrefix="0" xfId="0"/>
    <xf numFmtId="2" fontId="4" fillId="5" borderId="0" pivotButton="0" quotePrefix="0" xfId="0"/>
    <xf numFmtId="167" fontId="4" fillId="0" borderId="0" pivotButton="0" quotePrefix="0" xfId="0"/>
    <xf numFmtId="165" fontId="4" fillId="0" borderId="1" pivotButton="0" quotePrefix="0" xfId="0"/>
    <xf numFmtId="166" fontId="7" fillId="0" borderId="1" pivotButton="0" quotePrefix="0" xfId="0"/>
    <xf numFmtId="166" fontId="4" fillId="0" borderId="1" pivotButton="0" quotePrefix="0" xfId="0"/>
    <xf numFmtId="166" fontId="4" fillId="0" borderId="0" pivotButton="0" quotePrefix="0" xfId="0"/>
    <xf numFmtId="166" fontId="5" fillId="3" borderId="0" pivotButton="0" quotePrefix="0" xfId="0"/>
    <xf numFmtId="0" fontId="5" fillId="7" borderId="0" pivotButton="0" quotePrefix="0" xfId="0"/>
    <xf numFmtId="0" fontId="9" fillId="0" borderId="0" pivotButton="0" quotePrefix="0" xfId="0"/>
    <xf numFmtId="166" fontId="4" fillId="6" borderId="0" pivotButton="0" quotePrefix="0" xfId="0"/>
    <xf numFmtId="0" fontId="10" fillId="0" borderId="0" pivotButton="0" quotePrefix="0" xfId="0"/>
    <xf numFmtId="0" fontId="9" fillId="0" borderId="0" applyAlignment="1" pivotButton="0" quotePrefix="0" xfId="0">
      <alignment wrapText="1"/>
    </xf>
    <xf numFmtId="0" fontId="11" fillId="0" borderId="0" pivotButton="0" quotePrefix="0" xfId="0"/>
    <xf numFmtId="170" fontId="11" fillId="0" borderId="0" pivotButton="0" quotePrefix="0" xfId="0"/>
    <xf numFmtId="0" fontId="3" fillId="0" borderId="0" pivotButton="0" quotePrefix="0" xfId="0"/>
  </cellXfs>
  <cellStyles count="1">
    <cellStyle name="Normal" xfId="0" builtinId="0" hidden="0"/>
  </cellStyles>
  <dxfs count="3">
    <dxf>
      <fill>
        <patternFill patternType="solid">
          <fgColor rgb="00F8CBAD"/>
        </patternFill>
      </fill>
    </dxf>
    <dxf>
      <fill>
        <patternFill patternType="solid">
          <fgColor rgb="00C6EFCE"/>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Sustained DPS by level</a:t>
            </a:r>
          </a:p>
        </rich>
      </tx>
    </title>
    <plotArea>
      <lineChart>
        <grouping val="standard"/>
        <ser>
          <idx val="0"/>
          <order val="0"/>
          <tx>
            <strRef>
              <f>'Summary'!C3</f>
            </strRef>
          </tx>
          <spPr>
            <a:ln xmlns:a="http://schemas.openxmlformats.org/drawingml/2006/main">
              <a:prstDash val="solid"/>
            </a:ln>
          </spPr>
          <marker>
            <symbol val="none"/>
            <spPr>
              <a:ln xmlns:a="http://schemas.openxmlformats.org/drawingml/2006/main">
                <a:prstDash val="solid"/>
              </a:ln>
            </spPr>
          </marker>
          <cat>
            <numRef>
              <f>'Summary'!$A$4:$A$52</f>
            </numRef>
          </cat>
          <val>
            <numRef>
              <f>'Summary'!$C$4:$C$52</f>
            </numRef>
          </val>
        </ser>
        <ser>
          <idx val="1"/>
          <order val="1"/>
          <tx>
            <strRef>
              <f>'Summary'!D3</f>
            </strRef>
          </tx>
          <spPr>
            <a:ln xmlns:a="http://schemas.openxmlformats.org/drawingml/2006/main">
              <a:prstDash val="solid"/>
            </a:ln>
          </spPr>
          <marker>
            <symbol val="none"/>
            <spPr>
              <a:ln xmlns:a="http://schemas.openxmlformats.org/drawingml/2006/main">
                <a:prstDash val="solid"/>
              </a:ln>
            </spPr>
          </marker>
          <cat>
            <numRef>
              <f>'Summary'!$A$4:$A$52</f>
            </numRef>
          </cat>
          <val>
            <numRef>
              <f>'Summary'!$D$4:$D$52</f>
            </numRef>
          </val>
        </ser>
        <ser>
          <idx val="2"/>
          <order val="2"/>
          <tx>
            <strRef>
              <f>'Summary'!E3</f>
            </strRef>
          </tx>
          <spPr>
            <a:ln xmlns:a="http://schemas.openxmlformats.org/drawingml/2006/main">
              <a:prstDash val="solid"/>
            </a:ln>
          </spPr>
          <marker>
            <symbol val="none"/>
            <spPr>
              <a:ln xmlns:a="http://schemas.openxmlformats.org/drawingml/2006/main">
                <a:prstDash val="solid"/>
              </a:ln>
            </spPr>
          </marker>
          <cat>
            <numRef>
              <f>'Summary'!$A$4:$A$52</f>
            </numRef>
          </cat>
          <val>
            <numRef>
              <f>'Summary'!$E$4:$E$52</f>
            </numRef>
          </val>
        </ser>
        <ser>
          <idx val="3"/>
          <order val="3"/>
          <tx>
            <strRef>
              <f>'Summary'!F3</f>
            </strRef>
          </tx>
          <spPr>
            <a:ln xmlns:a="http://schemas.openxmlformats.org/drawingml/2006/main">
              <a:prstDash val="solid"/>
            </a:ln>
          </spPr>
          <marker>
            <symbol val="none"/>
            <spPr>
              <a:ln xmlns:a="http://schemas.openxmlformats.org/drawingml/2006/main">
                <a:prstDash val="solid"/>
              </a:ln>
            </spPr>
          </marker>
          <cat>
            <numRef>
              <f>'Summary'!$A$4:$A$52</f>
            </numRef>
          </cat>
          <val>
            <numRef>
              <f>'Summary'!$F$4:$F$52</f>
            </numRef>
          </val>
        </ser>
        <axId val="10"/>
        <axId val="100"/>
      </lineChart>
      <catAx>
        <axId val="10"/>
        <scaling>
          <orientation val="minMax"/>
        </scaling>
        <axPos val="l"/>
        <title>
          <tx>
            <rich>
              <a:bodyPr xmlns:a="http://schemas.openxmlformats.org/drawingml/2006/main"/>
              <a:p xmlns:a="http://schemas.openxmlformats.org/drawingml/2006/main">
                <a:pPr>
                  <a:defRPr/>
                </a:pPr>
                <a:r>
                  <a:t>Player level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DPS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Time to kill typical mob</a:t>
            </a:r>
          </a:p>
        </rich>
      </tx>
    </title>
    <plotArea>
      <lineChart>
        <grouping val="standard"/>
        <ser>
          <idx val="0"/>
          <order val="0"/>
          <tx>
            <strRef>
              <f>'Summary'!J3</f>
            </strRef>
          </tx>
          <spPr>
            <a:ln xmlns:a="http://schemas.openxmlformats.org/drawingml/2006/main">
              <a:prstDash val="solid"/>
            </a:ln>
          </spPr>
          <marker>
            <symbol val="none"/>
            <spPr>
              <a:ln xmlns:a="http://schemas.openxmlformats.org/drawingml/2006/main">
                <a:prstDash val="solid"/>
              </a:ln>
            </spPr>
          </marker>
          <cat>
            <numRef>
              <f>'Summary'!$A$4:$A$52</f>
            </numRef>
          </cat>
          <val>
            <numRef>
              <f>'Summary'!$J$4:$J$52</f>
            </numRef>
          </val>
        </ser>
        <ser>
          <idx val="1"/>
          <order val="1"/>
          <tx>
            <strRef>
              <f>'Summary'!K3</f>
            </strRef>
          </tx>
          <spPr>
            <a:ln xmlns:a="http://schemas.openxmlformats.org/drawingml/2006/main">
              <a:prstDash val="solid"/>
            </a:ln>
          </spPr>
          <marker>
            <symbol val="none"/>
            <spPr>
              <a:ln xmlns:a="http://schemas.openxmlformats.org/drawingml/2006/main">
                <a:prstDash val="solid"/>
              </a:ln>
            </spPr>
          </marker>
          <cat>
            <numRef>
              <f>'Summary'!$A$4:$A$52</f>
            </numRef>
          </cat>
          <val>
            <numRef>
              <f>'Summary'!$K$4:$K$52</f>
            </numRef>
          </val>
        </ser>
        <ser>
          <idx val="2"/>
          <order val="2"/>
          <tx>
            <strRef>
              <f>'Summary'!L3</f>
            </strRef>
          </tx>
          <spPr>
            <a:ln xmlns:a="http://schemas.openxmlformats.org/drawingml/2006/main">
              <a:prstDash val="solid"/>
            </a:ln>
          </spPr>
          <marker>
            <symbol val="none"/>
            <spPr>
              <a:ln xmlns:a="http://schemas.openxmlformats.org/drawingml/2006/main">
                <a:prstDash val="solid"/>
              </a:ln>
            </spPr>
          </marker>
          <cat>
            <numRef>
              <f>'Summary'!$A$4:$A$52</f>
            </numRef>
          </cat>
          <val>
            <numRef>
              <f>'Summary'!$L$4:$L$52</f>
            </numRef>
          </val>
        </ser>
        <ser>
          <idx val="3"/>
          <order val="3"/>
          <tx>
            <strRef>
              <f>'Summary'!M3</f>
            </strRef>
          </tx>
          <spPr>
            <a:ln xmlns:a="http://schemas.openxmlformats.org/drawingml/2006/main">
              <a:prstDash val="solid"/>
            </a:ln>
          </spPr>
          <marker>
            <symbol val="none"/>
            <spPr>
              <a:ln xmlns:a="http://schemas.openxmlformats.org/drawingml/2006/main">
                <a:prstDash val="solid"/>
              </a:ln>
            </spPr>
          </marker>
          <cat>
            <numRef>
              <f>'Summary'!$A$4:$A$52</f>
            </numRef>
          </cat>
          <val>
            <numRef>
              <f>'Summary'!$M$4:$M$52</f>
            </numRef>
          </val>
        </ser>
        <axId val="10"/>
        <axId val="100"/>
      </lineChart>
      <catAx>
        <axId val="10"/>
        <scaling>
          <orientation val="minMax"/>
        </scaling>
        <axPos val="l"/>
        <title>
          <tx>
            <rich>
              <a:bodyPr xmlns:a="http://schemas.openxmlformats.org/drawingml/2006/main"/>
              <a:p xmlns:a="http://schemas.openxmlformats.org/drawingml/2006/main">
                <a:pPr>
                  <a:defRPr/>
                </a:pPr>
                <a:r>
                  <a:t>Player level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seconds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 HP lost per kill</a:t>
            </a:r>
          </a:p>
        </rich>
      </tx>
    </title>
    <plotArea>
      <lineChart>
        <grouping val="standard"/>
        <ser>
          <idx val="0"/>
          <order val="0"/>
          <tx>
            <strRef>
              <f>'Summary'!N3</f>
            </strRef>
          </tx>
          <spPr>
            <a:ln xmlns:a="http://schemas.openxmlformats.org/drawingml/2006/main">
              <a:prstDash val="solid"/>
            </a:ln>
          </spPr>
          <marker>
            <symbol val="none"/>
            <spPr>
              <a:ln xmlns:a="http://schemas.openxmlformats.org/drawingml/2006/main">
                <a:prstDash val="solid"/>
              </a:ln>
            </spPr>
          </marker>
          <cat>
            <numRef>
              <f>'Summary'!$A$4:$A$52</f>
            </numRef>
          </cat>
          <val>
            <numRef>
              <f>'Summary'!$N$4:$N$52</f>
            </numRef>
          </val>
        </ser>
        <ser>
          <idx val="1"/>
          <order val="1"/>
          <tx>
            <strRef>
              <f>'Summary'!O3</f>
            </strRef>
          </tx>
          <spPr>
            <a:ln xmlns:a="http://schemas.openxmlformats.org/drawingml/2006/main">
              <a:prstDash val="solid"/>
            </a:ln>
          </spPr>
          <marker>
            <symbol val="none"/>
            <spPr>
              <a:ln xmlns:a="http://schemas.openxmlformats.org/drawingml/2006/main">
                <a:prstDash val="solid"/>
              </a:ln>
            </spPr>
          </marker>
          <cat>
            <numRef>
              <f>'Summary'!$A$4:$A$52</f>
            </numRef>
          </cat>
          <val>
            <numRef>
              <f>'Summary'!$O$4:$O$52</f>
            </numRef>
          </val>
        </ser>
        <ser>
          <idx val="2"/>
          <order val="2"/>
          <tx>
            <strRef>
              <f>'Summary'!P3</f>
            </strRef>
          </tx>
          <spPr>
            <a:ln xmlns:a="http://schemas.openxmlformats.org/drawingml/2006/main">
              <a:prstDash val="solid"/>
            </a:ln>
          </spPr>
          <marker>
            <symbol val="none"/>
            <spPr>
              <a:ln xmlns:a="http://schemas.openxmlformats.org/drawingml/2006/main">
                <a:prstDash val="solid"/>
              </a:ln>
            </spPr>
          </marker>
          <cat>
            <numRef>
              <f>'Summary'!$A$4:$A$52</f>
            </numRef>
          </cat>
          <val>
            <numRef>
              <f>'Summary'!$P$4:$P$52</f>
            </numRef>
          </val>
        </ser>
        <ser>
          <idx val="3"/>
          <order val="3"/>
          <tx>
            <strRef>
              <f>'Summary'!Q3</f>
            </strRef>
          </tx>
          <spPr>
            <a:ln xmlns:a="http://schemas.openxmlformats.org/drawingml/2006/main">
              <a:prstDash val="solid"/>
            </a:ln>
          </spPr>
          <marker>
            <symbol val="none"/>
            <spPr>
              <a:ln xmlns:a="http://schemas.openxmlformats.org/drawingml/2006/main">
                <a:prstDash val="solid"/>
              </a:ln>
            </spPr>
          </marker>
          <cat>
            <numRef>
              <f>'Summary'!$A$4:$A$52</f>
            </numRef>
          </cat>
          <val>
            <numRef>
              <f>'Summary'!$Q$4:$Q$52</f>
            </numRef>
          </val>
        </ser>
        <axId val="10"/>
        <axId val="100"/>
      </lineChart>
      <catAx>
        <axId val="10"/>
        <scaling>
          <orientation val="minMax"/>
        </scaling>
        <axPos val="l"/>
        <title>
          <tx>
            <rich>
              <a:bodyPr xmlns:a="http://schemas.openxmlformats.org/drawingml/2006/main"/>
              <a:p xmlns:a="http://schemas.openxmlformats.org/drawingml/2006/main">
                <a:pPr>
                  <a:defRPr/>
                </a:pPr>
                <a:r>
                  <a:t>Player level</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max HP</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model</author>
  </authors>
  <commentList>
    <comment ref="A2" authorId="0" shapeId="0">
      <text>
        <t>Profile 1: best vendor/quest armour, weapon and shield for the class at each level. Profile 2: profile 1 plus the new accessory lines (ids 661-696, best tier with min level &lt;= level; melee rings for Rogue/Warrior, bracelets for casters). Source: game data "Items" sheet.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31</col>
      <colOff>0</colOff>
      <row>2</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31</col>
      <colOff>0</colOff>
      <row>21</row>
      <rowOff>0</rowOff>
    </from>
    <ext cx="792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31</col>
      <colOff>0</colOff>
      <row>40</row>
      <rowOff>0</rowOff>
    </from>
    <ext cx="792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min="1" max="1"/>
    <col width="140" customWidth="1" min="2" max="2"/>
  </cols>
  <sheetData>
    <row r="1">
      <c r="A1" s="1" t="inlineStr">
        <is>
          <t>Goose balance model - how to use</t>
        </is>
      </c>
      <c r="B1" s="2" t="n"/>
    </row>
    <row r="2">
      <c r="A2" s="2" t="n"/>
      <c r="B2" s="2" t="n"/>
    </row>
    <row r="3">
      <c r="A3" s="3" t="inlineStr">
        <is>
          <t>Purpose</t>
        </is>
      </c>
      <c r="B3" s="4" t="inlineStr">
        <is>
          <t>Expected damage per level for each class against a typical same-level trash mob: hits to kill, melee vs spell damage, DPS, time to kill and HP lost.</t>
        </is>
      </c>
    </row>
    <row r="4">
      <c r="A4" s="3" t="inlineStr">
        <is>
          <t>Edit</t>
        </is>
      </c>
      <c r="B4" s="4" t="inlineStr">
        <is>
          <t>Inputs sheet: yellow cells are the scenario levers (gear profile, mob level offset, specific mob, backstab-from-behind share, cast interval).</t>
        </is>
      </c>
    </row>
    <row r="5">
      <c r="A5" s="3" t="inlineStr">
        <is>
          <t>Edit</t>
        </is>
      </c>
      <c r="B5" s="4" t="inlineStr">
        <is>
          <t>Gear sheet: profile 3 is a free what-if copy of profile 2 - change stats there to test item changes without touching the game data.</t>
        </is>
      </c>
    </row>
    <row r="6">
      <c r="A6" s="3" t="inlineStr">
        <is>
          <t>Edit</t>
        </is>
      </c>
      <c r="B6" s="4" t="inlineStr">
        <is>
          <t>Abilities sheet: tier tables for Backstab, Elemental Strike, Berserker, Rampant Rage/Savage Fury, Nimble, Poison, Strength.</t>
        </is>
      </c>
    </row>
    <row r="7">
      <c r="A7" s="3" t="inlineStr">
        <is>
          <t>Edit</t>
        </is>
      </c>
      <c r="B7" s="4" t="inlineStr">
        <is>
          <t>Accessory Proposals sheet: blue proposed stats/effects per accessory (effect is a dropdown). % of target updates live. Item Budget sheet holds the point weights and source multipliers (yellow).</t>
        </is>
      </c>
    </row>
    <row r="8">
      <c r="A8" s="3" t="inlineStr">
        <is>
          <t>Item budget</t>
        </is>
      </c>
      <c r="B8" s="4" t="inlineStr">
        <is>
          <t>Each accessory slot gets a budget line fitted to the new accessory set (items 661-696). Target = budget at the item level x source multiplier (+ class-restricted bonus). Points: 25 HP = 1 STA = 1 point, 1 STR = 2, effects per 1% (DR 8, melee dmg / haste 6, spell dmg 5, crit 4). Value = the better of a melee or a caster reading.</t>
        </is>
      </c>
    </row>
    <row r="9">
      <c r="A9" s="3" t="inlineStr">
        <is>
          <t>Endgame reading</t>
        </is>
      </c>
      <c r="B9" s="4" t="inlineStr">
        <is>
          <t>At 10M+ XP every class uses % current HP/MP spells (Spirit Strike, Sunder of Spirits, Critical Strike, Fearsome Lash, Arcane Blast, Arcane Assault), so melee stats are ignored. L40+ accessories are scored for one reference player (Item Budget, yellow): spell damage + spell crit + HP/MP as a % of the pool that XP buys + DR + AC. In each slot, the best item of each XP tier must beat the best item of any lower XP tier by the margin (XP tier check column).</t>
        </is>
      </c>
    </row>
    <row r="10">
      <c r="A10" s="3" t="inlineStr">
        <is>
          <t>Colours</t>
        </is>
      </c>
      <c r="B10" s="4" t="inlineStr">
        <is>
          <t>Blue = hardcoded input/data, black = formula, green = formula pulling from another sheet, yellow fill = main levers.</t>
        </is>
      </c>
    </row>
    <row r="11">
      <c r="A11" s="3" t="inlineStr">
        <is>
          <t>Player melee</t>
        </is>
      </c>
      <c r="B11" s="4" t="inlineStr">
        <is>
          <t>hit = (STR + weapon dmg + level + avg(rand 1..level) + (level - mob level)) * crit * (1 + melee dmg%) * DamageModifier * (1 - mobAC*mult/MaxAC) - mobAC*mult/25   (Player.Attack)</t>
        </is>
      </c>
    </row>
    <row r="12">
      <c r="A12" s="3" t="inlineStr">
        <is>
          <t>Swing time</t>
        </is>
      </c>
      <c r="B12" s="4" t="inlineStr">
        <is>
          <t>weapon delay/10 * (1 - min(0.95, haste)) * 0.85 s   (PlayerAttackEvent)</t>
        </is>
      </c>
    </row>
    <row r="13">
      <c r="A13" s="3" t="inlineStr">
        <is>
          <t>Spells</t>
        </is>
      </c>
      <c r="B13" s="4" t="inlineStr">
        <is>
          <t>Formula damage * (1 + spell dmg%) * crit(spell crit%) * DamageModifier. Spells ignore AC (SpellEffect.CalculateFormulaResults).</t>
        </is>
      </c>
    </row>
    <row r="14">
      <c r="A14" s="3" t="inlineStr">
        <is>
          <t>Backstab</t>
        </is>
      </c>
      <c r="B14" s="4" t="inlineStr">
        <is>
          <t>-mult * (STR + weapon dmg + level), x1.5 when caster faces the same way as the target (Scripts/Spell/Backstab.csx).</t>
        </is>
      </c>
    </row>
    <row r="15">
      <c r="A15" s="3" t="inlineStr">
        <is>
          <t>Rampant Rage / Savage Fury</t>
        </is>
      </c>
      <c r="B15" s="4" t="inlineStr">
        <is>
          <t>On-attack buffs, proc chance defaults to 100% (CsvToSql default), so every swing adds coef * (STR + weapon dmg + level) spell damage.</t>
        </is>
      </c>
    </row>
    <row r="16">
      <c r="A16" s="3" t="inlineStr">
        <is>
          <t>Mob hit</t>
        </is>
      </c>
      <c r="B16" s="4" t="inlineStr">
        <is>
          <t>(STR + weapon dmg + level + (mob level - player level)) * (1 - DR) * (1 - playerAC*classACmult/MaxAC) - playerAC*classACmult/25   (NPC.Attack)</t>
        </is>
      </c>
    </row>
    <row r="17">
      <c r="A17" s="3" t="inlineStr">
        <is>
          <t>Crit</t>
        </is>
      </c>
      <c r="B17" s="4" t="inlineStr">
        <is>
          <t>Crit doubles damage; modelled as expected value (1 + crit chance).</t>
        </is>
      </c>
    </row>
    <row r="18">
      <c r="A18" s="3" t="inlineStr">
        <is>
          <t>Assumptions</t>
        </is>
      </c>
      <c r="B18" s="4" t="inlineStr">
        <is>
          <t>Cooldown buffs are averaged by uptime = duration / cooldown (toggle in Inputs). Magus casts the best single-target Elemental Strike it has learned as fast as the cast interval or its cooldown allows, then is limited by MP regen (1% max MP/s by default).</t>
        </is>
      </c>
    </row>
    <row r="19">
      <c r="A19" s="3" t="inlineStr">
        <is>
          <t>Assumptions</t>
        </is>
      </c>
      <c r="B19" s="4" t="inlineStr">
        <is>
          <t>Dodge (DEX/10000), resistances, pets, group play, heals and potions are not modelled. Mob HP and AC = NPC template + Class Info row for its class and level.</t>
        </is>
      </c>
    </row>
    <row r="20">
      <c r="A20" s="3" t="inlineStr">
        <is>
          <t>Finding</t>
        </is>
      </c>
      <c r="B20" s="4" t="inlineStr">
        <is>
          <t>There is no global spell cooldown - aether is per spellbook slot. The Magus "two-tier rotation" column adds the two best learned ES tiers, each on its own cooldown, capped at one cast per cast interval each.</t>
        </is>
      </c>
    </row>
    <row r="21">
      <c r="A21" s="3" t="inlineStr">
        <is>
          <t>Area targets</t>
        </is>
      </c>
      <c r="B21" s="4" t="inlineStr">
        <is>
          <t>Area Elemental Strikes (ES 5 random flood fill, ES 6 plus, ES 7 cross, ES 8 line of 3 in front of the caster) can hit several mobs. Inputs picks single / expected / max targets; pack size and pack share drive expected. DPS then counts damage on every target, so time per kill = mob HP / DPS (a kill rate across a pack). Savage Fury (plus around the Warrior, 4 tiles) uses the same target mode; Warrior melee and Rampant Rage stay single target, so Warrior DPS also counts damage on every target.</t>
        </is>
      </c>
    </row>
    <row r="22">
      <c r="A22" s="3" t="inlineStr">
        <is>
          <t>Magus survival</t>
        </is>
      </c>
      <c r="B22" s="4" t="inlineStr">
        <is>
          <t>Magus time to kill / HP lost uses one fight starting at full MP and assumes the mob reaches melee range (worst case - no kiting). Sustained DPS is the MP-regen-limited rate across many fights.</t>
        </is>
      </c>
    </row>
    <row r="23">
      <c r="A23" s="3" t="inlineStr">
        <is>
          <t>Data</t>
        </is>
      </c>
      <c r="B23" s="4" t="inlineStr">
        <is>
          <t>Pulled 2026-09-26 from the Aspereta Goose Data spreadsheet (XLSX export). Re-generate the blue data if the sheet changes.</t>
        </is>
      </c>
    </row>
    <row r="24">
      <c r="A24" s="3" t="inlineStr">
        <is>
          <t>Pass 2</t>
        </is>
      </c>
      <c r="B24" s="4" t="inlineStr">
        <is>
          <t>2026-09-29: second balancing pass on per-class weights (see Pass 2 Changes and Item Budget Class weights). Gear and Accessory Proposals now show live data as Current and pass 2 as Proposed. Pass 1, the Gold/Devastators rebalance and the NPC changes are already in the game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1.5"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11.5" customWidth="1" min="20" max="20"/>
    <col width="11.5" customWidth="1" min="21" max="21"/>
    <col width="11.5" customWidth="1" min="22" max="22"/>
    <col width="11.5" customWidth="1" min="23" max="23"/>
    <col width="11.5" customWidth="1" min="24" max="24"/>
    <col width="11.5" customWidth="1" min="25" max="25"/>
    <col width="11.5" customWidth="1" min="26" max="26"/>
    <col width="11.5" customWidth="1" min="27" max="27"/>
    <col width="11.5" customWidth="1" min="28" max="28"/>
    <col width="11.5" customWidth="1" min="29" max="29"/>
    <col width="11.5" customWidth="1" min="30" max="30"/>
  </cols>
  <sheetData>
    <row r="1">
      <c r="A1" s="1" t="inlineStr">
        <is>
          <t>Class balance summary by level</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row>
    <row r="2">
      <c r="A2" s="42" t="inlineStr">
        <is>
          <t>All values are formulas over the class sheets. Change Inputs (gear profile, mob offset, specific mob) to re-run.</t>
        </is>
      </c>
      <c r="B2" s="6" t="inlineStr">
        <is>
          <t>Opponent</t>
        </is>
      </c>
      <c r="C2" s="6" t="inlineStr">
        <is>
          <t>Sustained DPS</t>
        </is>
      </c>
      <c r="G2" s="6" t="inlineStr">
        <is>
          <t>DPS vs Warrior</t>
        </is>
      </c>
      <c r="J2" s="6" t="inlineStr">
        <is>
          <t>Time to kill</t>
        </is>
      </c>
      <c r="N2" s="6" t="inlineStr">
        <is>
          <t>% HP lost per kill</t>
        </is>
      </c>
      <c r="R2" s="6" t="inlineStr">
        <is>
          <t>Detail</t>
        </is>
      </c>
      <c r="AA2" s="6" t="inlineStr">
        <is>
          <t>Exp per minute (kill time only)</t>
        </is>
      </c>
    </row>
    <row r="3" ht="45" customHeight="1">
      <c r="A3" s="7" t="inlineStr">
        <is>
          <t>Level</t>
        </is>
      </c>
      <c r="B3" s="7" t="inlineStr">
        <is>
          <t>Mob HP</t>
        </is>
      </c>
      <c r="C3" s="7" t="inlineStr">
        <is>
          <t>Warrior DPS</t>
        </is>
      </c>
      <c r="D3" s="7" t="inlineStr">
        <is>
          <t>Rogue DPS</t>
        </is>
      </c>
      <c r="E3" s="7" t="inlineStr">
        <is>
          <t>Magus DPS</t>
        </is>
      </c>
      <c r="F3" s="7" t="inlineStr">
        <is>
          <t>Priest DPS</t>
        </is>
      </c>
      <c r="G3" s="7" t="inlineStr">
        <is>
          <t>Rogue / Warrior</t>
        </is>
      </c>
      <c r="H3" s="7" t="inlineStr">
        <is>
          <t>Magus / Warrior</t>
        </is>
      </c>
      <c r="I3" s="7" t="inlineStr">
        <is>
          <t>Priest / Warrior</t>
        </is>
      </c>
      <c r="J3" s="7" t="inlineStr">
        <is>
          <t>Warrior TTK s</t>
        </is>
      </c>
      <c r="K3" s="7" t="inlineStr">
        <is>
          <t>Rogue TTK s</t>
        </is>
      </c>
      <c r="L3" s="7" t="inlineStr">
        <is>
          <t>Magus TTK s</t>
        </is>
      </c>
      <c r="M3" s="7" t="inlineStr">
        <is>
          <t>Priest TTK s</t>
        </is>
      </c>
      <c r="N3" s="7" t="inlineStr">
        <is>
          <t>Warrior % HP / kill</t>
        </is>
      </c>
      <c r="O3" s="7" t="inlineStr">
        <is>
          <t>Rogue % HP / kill</t>
        </is>
      </c>
      <c r="P3" s="7" t="inlineStr">
        <is>
          <t>Magus % HP / kill</t>
        </is>
      </c>
      <c r="Q3" s="7" t="inlineStr">
        <is>
          <t>Priest % HP / kill</t>
        </is>
      </c>
      <c r="R3" s="7" t="inlineStr">
        <is>
          <t>Warrior swings to kill</t>
        </is>
      </c>
      <c r="S3" s="7" t="inlineStr">
        <is>
          <t>Rogue swings to kill</t>
        </is>
      </c>
      <c r="T3" s="7" t="inlineStr">
        <is>
          <t>Magus casts to kill</t>
        </is>
      </c>
      <c r="U3" s="7" t="inlineStr">
        <is>
          <t>Rogue backstab share</t>
        </is>
      </c>
      <c r="V3" s="7" t="inlineStr">
        <is>
          <t>Warrior chomp share</t>
        </is>
      </c>
      <c r="W3" s="7" t="inlineStr">
        <is>
          <t>Magus best ES tier (MP-limited)</t>
        </is>
      </c>
      <c r="X3" s="7" t="inlineStr">
        <is>
          <t>Warrior Fury targets</t>
        </is>
      </c>
      <c r="Y3" s="7" t="inlineStr">
        <is>
          <t>Magus targets per cast</t>
        </is>
      </c>
      <c r="Z3" s="7" t="inlineStr">
        <is>
          <t>Magus two-tier rotation DPS</t>
        </is>
      </c>
      <c r="AA3" s="7" t="inlineStr">
        <is>
          <t>Warrior exp / min</t>
        </is>
      </c>
      <c r="AB3" s="7" t="inlineStr">
        <is>
          <t>Rogue exp / min</t>
        </is>
      </c>
      <c r="AC3" s="7" t="inlineStr">
        <is>
          <t>Magus exp / min</t>
        </is>
      </c>
      <c r="AD3" s="7" t="inlineStr">
        <is>
          <t>Priest exp / min</t>
        </is>
      </c>
    </row>
    <row r="4">
      <c r="A4" s="8" t="n">
        <v>1</v>
      </c>
      <c r="B4" s="9">
        <f>'Mob by Level'!C4</f>
        <v/>
      </c>
      <c r="C4" s="10">
        <f>Warrior!AK4</f>
        <v/>
      </c>
      <c r="D4" s="10">
        <f>Rogue!AI4</f>
        <v/>
      </c>
      <c r="E4" s="10">
        <f>Magus!BN4</f>
        <v/>
      </c>
      <c r="F4" s="10">
        <f>Priest!W4</f>
        <v/>
      </c>
      <c r="G4" s="58">
        <f>IFERROR(D4/C4,0)</f>
        <v/>
      </c>
      <c r="H4" s="58">
        <f>IFERROR(E4/C4,0)</f>
        <v/>
      </c>
      <c r="I4" s="58">
        <f>IFERROR(F4/C4,0)</f>
        <v/>
      </c>
      <c r="J4" s="59">
        <f>Warrior!AO4</f>
        <v/>
      </c>
      <c r="K4" s="59">
        <f>Rogue!AM4</f>
        <v/>
      </c>
      <c r="L4" s="59">
        <f>Magus!BR4</f>
        <v/>
      </c>
      <c r="M4" s="59">
        <f>Priest!Y4</f>
        <v/>
      </c>
      <c r="N4" s="13">
        <f>Warrior!AR4</f>
        <v/>
      </c>
      <c r="O4" s="13">
        <f>Rogue!AP4</f>
        <v/>
      </c>
      <c r="P4" s="13">
        <f>Magus!BU4</f>
        <v/>
      </c>
      <c r="Q4" s="13">
        <f>Priest!AB4</f>
        <v/>
      </c>
      <c r="R4" s="14">
        <f>Warrior!AN4</f>
        <v/>
      </c>
      <c r="S4" s="14">
        <f>Rogue!AL4</f>
        <v/>
      </c>
      <c r="T4" s="14">
        <f>Magus!BK4</f>
        <v/>
      </c>
      <c r="U4" s="13">
        <f>Rogue!AK4</f>
        <v/>
      </c>
      <c r="V4" s="13">
        <f>Warrior!AM4</f>
        <v/>
      </c>
      <c r="W4" s="15">
        <f>Magus!BJ4</f>
        <v/>
      </c>
      <c r="X4" s="16">
        <f>Warrior!AG4</f>
        <v/>
      </c>
      <c r="Y4" s="16">
        <f>Magus!BF4</f>
        <v/>
      </c>
      <c r="Z4" s="17">
        <f>Magus!BP4</f>
        <v/>
      </c>
      <c r="AA4" s="9">
        <f>IFERROR('Mob by Level'!G4/Warrior!AO4*60,0)</f>
        <v/>
      </c>
      <c r="AB4" s="9">
        <f>IFERROR('Mob by Level'!G4/Rogue!AM4*60,0)</f>
        <v/>
      </c>
      <c r="AC4" s="9">
        <f>IFERROR('Mob by Level'!G4/Magus!BR4*60,0)</f>
        <v/>
      </c>
      <c r="AD4" s="9">
        <f>IFERROR('Mob by Level'!G4/Priest!Y4*60,0)</f>
        <v/>
      </c>
    </row>
    <row r="5">
      <c r="A5" s="8" t="n">
        <v>2</v>
      </c>
      <c r="B5" s="9">
        <f>'Mob by Level'!C5</f>
        <v/>
      </c>
      <c r="C5" s="10">
        <f>Warrior!AK5</f>
        <v/>
      </c>
      <c r="D5" s="10">
        <f>Rogue!AI5</f>
        <v/>
      </c>
      <c r="E5" s="10">
        <f>Magus!BN5</f>
        <v/>
      </c>
      <c r="F5" s="10">
        <f>Priest!W5</f>
        <v/>
      </c>
      <c r="G5" s="58">
        <f>IFERROR(D5/C5,0)</f>
        <v/>
      </c>
      <c r="H5" s="58">
        <f>IFERROR(E5/C5,0)</f>
        <v/>
      </c>
      <c r="I5" s="58">
        <f>IFERROR(F5/C5,0)</f>
        <v/>
      </c>
      <c r="J5" s="59">
        <f>Warrior!AO5</f>
        <v/>
      </c>
      <c r="K5" s="59">
        <f>Rogue!AM5</f>
        <v/>
      </c>
      <c r="L5" s="59">
        <f>Magus!BR5</f>
        <v/>
      </c>
      <c r="M5" s="59">
        <f>Priest!Y5</f>
        <v/>
      </c>
      <c r="N5" s="13">
        <f>Warrior!AR5</f>
        <v/>
      </c>
      <c r="O5" s="13">
        <f>Rogue!AP5</f>
        <v/>
      </c>
      <c r="P5" s="13">
        <f>Magus!BU5</f>
        <v/>
      </c>
      <c r="Q5" s="13">
        <f>Priest!AB5</f>
        <v/>
      </c>
      <c r="R5" s="14">
        <f>Warrior!AN5</f>
        <v/>
      </c>
      <c r="S5" s="14">
        <f>Rogue!AL5</f>
        <v/>
      </c>
      <c r="T5" s="14">
        <f>Magus!BK5</f>
        <v/>
      </c>
      <c r="U5" s="13">
        <f>Rogue!AK5</f>
        <v/>
      </c>
      <c r="V5" s="13">
        <f>Warrior!AM5</f>
        <v/>
      </c>
      <c r="W5" s="15">
        <f>Magus!BJ5</f>
        <v/>
      </c>
      <c r="X5" s="16">
        <f>Warrior!AG5</f>
        <v/>
      </c>
      <c r="Y5" s="16">
        <f>Magus!BF5</f>
        <v/>
      </c>
      <c r="Z5" s="17">
        <f>Magus!BP5</f>
        <v/>
      </c>
      <c r="AA5" s="9">
        <f>IFERROR('Mob by Level'!G5/Warrior!AO5*60,0)</f>
        <v/>
      </c>
      <c r="AB5" s="9">
        <f>IFERROR('Mob by Level'!G5/Rogue!AM5*60,0)</f>
        <v/>
      </c>
      <c r="AC5" s="9">
        <f>IFERROR('Mob by Level'!G5/Magus!BR5*60,0)</f>
        <v/>
      </c>
      <c r="AD5" s="9">
        <f>IFERROR('Mob by Level'!G5/Priest!Y5*60,0)</f>
        <v/>
      </c>
    </row>
    <row r="6">
      <c r="A6" s="8" t="n">
        <v>3</v>
      </c>
      <c r="B6" s="9">
        <f>'Mob by Level'!C6</f>
        <v/>
      </c>
      <c r="C6" s="10">
        <f>Warrior!AK6</f>
        <v/>
      </c>
      <c r="D6" s="10">
        <f>Rogue!AI6</f>
        <v/>
      </c>
      <c r="E6" s="10">
        <f>Magus!BN6</f>
        <v/>
      </c>
      <c r="F6" s="10">
        <f>Priest!W6</f>
        <v/>
      </c>
      <c r="G6" s="58">
        <f>IFERROR(D6/C6,0)</f>
        <v/>
      </c>
      <c r="H6" s="58">
        <f>IFERROR(E6/C6,0)</f>
        <v/>
      </c>
      <c r="I6" s="58">
        <f>IFERROR(F6/C6,0)</f>
        <v/>
      </c>
      <c r="J6" s="59">
        <f>Warrior!AO6</f>
        <v/>
      </c>
      <c r="K6" s="59">
        <f>Rogue!AM6</f>
        <v/>
      </c>
      <c r="L6" s="59">
        <f>Magus!BR6</f>
        <v/>
      </c>
      <c r="M6" s="59">
        <f>Priest!Y6</f>
        <v/>
      </c>
      <c r="N6" s="13">
        <f>Warrior!AR6</f>
        <v/>
      </c>
      <c r="O6" s="13">
        <f>Rogue!AP6</f>
        <v/>
      </c>
      <c r="P6" s="13">
        <f>Magus!BU6</f>
        <v/>
      </c>
      <c r="Q6" s="13">
        <f>Priest!AB6</f>
        <v/>
      </c>
      <c r="R6" s="14">
        <f>Warrior!AN6</f>
        <v/>
      </c>
      <c r="S6" s="14">
        <f>Rogue!AL6</f>
        <v/>
      </c>
      <c r="T6" s="14">
        <f>Magus!BK6</f>
        <v/>
      </c>
      <c r="U6" s="13">
        <f>Rogue!AK6</f>
        <v/>
      </c>
      <c r="V6" s="13">
        <f>Warrior!AM6</f>
        <v/>
      </c>
      <c r="W6" s="15">
        <f>Magus!BJ6</f>
        <v/>
      </c>
      <c r="X6" s="16">
        <f>Warrior!AG6</f>
        <v/>
      </c>
      <c r="Y6" s="16">
        <f>Magus!BF6</f>
        <v/>
      </c>
      <c r="Z6" s="17">
        <f>Magus!BP6</f>
        <v/>
      </c>
      <c r="AA6" s="9">
        <f>IFERROR('Mob by Level'!G6/Warrior!AO6*60,0)</f>
        <v/>
      </c>
      <c r="AB6" s="9">
        <f>IFERROR('Mob by Level'!G6/Rogue!AM6*60,0)</f>
        <v/>
      </c>
      <c r="AC6" s="9">
        <f>IFERROR('Mob by Level'!G6/Magus!BR6*60,0)</f>
        <v/>
      </c>
      <c r="AD6" s="9">
        <f>IFERROR('Mob by Level'!G6/Priest!Y6*60,0)</f>
        <v/>
      </c>
    </row>
    <row r="7">
      <c r="A7" s="8" t="n">
        <v>4</v>
      </c>
      <c r="B7" s="9">
        <f>'Mob by Level'!C7</f>
        <v/>
      </c>
      <c r="C7" s="10">
        <f>Warrior!AK7</f>
        <v/>
      </c>
      <c r="D7" s="10">
        <f>Rogue!AI7</f>
        <v/>
      </c>
      <c r="E7" s="10">
        <f>Magus!BN7</f>
        <v/>
      </c>
      <c r="F7" s="10">
        <f>Priest!W7</f>
        <v/>
      </c>
      <c r="G7" s="58">
        <f>IFERROR(D7/C7,0)</f>
        <v/>
      </c>
      <c r="H7" s="58">
        <f>IFERROR(E7/C7,0)</f>
        <v/>
      </c>
      <c r="I7" s="58">
        <f>IFERROR(F7/C7,0)</f>
        <v/>
      </c>
      <c r="J7" s="59">
        <f>Warrior!AO7</f>
        <v/>
      </c>
      <c r="K7" s="59">
        <f>Rogue!AM7</f>
        <v/>
      </c>
      <c r="L7" s="59">
        <f>Magus!BR7</f>
        <v/>
      </c>
      <c r="M7" s="59">
        <f>Priest!Y7</f>
        <v/>
      </c>
      <c r="N7" s="13">
        <f>Warrior!AR7</f>
        <v/>
      </c>
      <c r="O7" s="13">
        <f>Rogue!AP7</f>
        <v/>
      </c>
      <c r="P7" s="13">
        <f>Magus!BU7</f>
        <v/>
      </c>
      <c r="Q7" s="13">
        <f>Priest!AB7</f>
        <v/>
      </c>
      <c r="R7" s="14">
        <f>Warrior!AN7</f>
        <v/>
      </c>
      <c r="S7" s="14">
        <f>Rogue!AL7</f>
        <v/>
      </c>
      <c r="T7" s="14">
        <f>Magus!BK7</f>
        <v/>
      </c>
      <c r="U7" s="13">
        <f>Rogue!AK7</f>
        <v/>
      </c>
      <c r="V7" s="13">
        <f>Warrior!AM7</f>
        <v/>
      </c>
      <c r="W7" s="15">
        <f>Magus!BJ7</f>
        <v/>
      </c>
      <c r="X7" s="16">
        <f>Warrior!AG7</f>
        <v/>
      </c>
      <c r="Y7" s="16">
        <f>Magus!BF7</f>
        <v/>
      </c>
      <c r="Z7" s="17">
        <f>Magus!BP7</f>
        <v/>
      </c>
      <c r="AA7" s="9">
        <f>IFERROR('Mob by Level'!G7/Warrior!AO7*60,0)</f>
        <v/>
      </c>
      <c r="AB7" s="9">
        <f>IFERROR('Mob by Level'!G7/Rogue!AM7*60,0)</f>
        <v/>
      </c>
      <c r="AC7" s="9">
        <f>IFERROR('Mob by Level'!G7/Magus!BR7*60,0)</f>
        <v/>
      </c>
      <c r="AD7" s="9">
        <f>IFERROR('Mob by Level'!G7/Priest!Y7*60,0)</f>
        <v/>
      </c>
    </row>
    <row r="8">
      <c r="A8" s="8" t="n">
        <v>5</v>
      </c>
      <c r="B8" s="9">
        <f>'Mob by Level'!C8</f>
        <v/>
      </c>
      <c r="C8" s="10">
        <f>Warrior!AK8</f>
        <v/>
      </c>
      <c r="D8" s="10">
        <f>Rogue!AI8</f>
        <v/>
      </c>
      <c r="E8" s="10">
        <f>Magus!BN8</f>
        <v/>
      </c>
      <c r="F8" s="10">
        <f>Priest!W8</f>
        <v/>
      </c>
      <c r="G8" s="58">
        <f>IFERROR(D8/C8,0)</f>
        <v/>
      </c>
      <c r="H8" s="58">
        <f>IFERROR(E8/C8,0)</f>
        <v/>
      </c>
      <c r="I8" s="58">
        <f>IFERROR(F8/C8,0)</f>
        <v/>
      </c>
      <c r="J8" s="59">
        <f>Warrior!AO8</f>
        <v/>
      </c>
      <c r="K8" s="59">
        <f>Rogue!AM8</f>
        <v/>
      </c>
      <c r="L8" s="59">
        <f>Magus!BR8</f>
        <v/>
      </c>
      <c r="M8" s="59">
        <f>Priest!Y8</f>
        <v/>
      </c>
      <c r="N8" s="13">
        <f>Warrior!AR8</f>
        <v/>
      </c>
      <c r="O8" s="13">
        <f>Rogue!AP8</f>
        <v/>
      </c>
      <c r="P8" s="13">
        <f>Magus!BU8</f>
        <v/>
      </c>
      <c r="Q8" s="13">
        <f>Priest!AB8</f>
        <v/>
      </c>
      <c r="R8" s="14">
        <f>Warrior!AN8</f>
        <v/>
      </c>
      <c r="S8" s="14">
        <f>Rogue!AL8</f>
        <v/>
      </c>
      <c r="T8" s="14">
        <f>Magus!BK8</f>
        <v/>
      </c>
      <c r="U8" s="13">
        <f>Rogue!AK8</f>
        <v/>
      </c>
      <c r="V8" s="13">
        <f>Warrior!AM8</f>
        <v/>
      </c>
      <c r="W8" s="15">
        <f>Magus!BJ8</f>
        <v/>
      </c>
      <c r="X8" s="16">
        <f>Warrior!AG8</f>
        <v/>
      </c>
      <c r="Y8" s="16">
        <f>Magus!BF8</f>
        <v/>
      </c>
      <c r="Z8" s="17">
        <f>Magus!BP8</f>
        <v/>
      </c>
      <c r="AA8" s="9">
        <f>IFERROR('Mob by Level'!G8/Warrior!AO8*60,0)</f>
        <v/>
      </c>
      <c r="AB8" s="9">
        <f>IFERROR('Mob by Level'!G8/Rogue!AM8*60,0)</f>
        <v/>
      </c>
      <c r="AC8" s="9">
        <f>IFERROR('Mob by Level'!G8/Magus!BR8*60,0)</f>
        <v/>
      </c>
      <c r="AD8" s="9">
        <f>IFERROR('Mob by Level'!G8/Priest!Y8*60,0)</f>
        <v/>
      </c>
    </row>
    <row r="9">
      <c r="A9" s="8" t="n">
        <v>6</v>
      </c>
      <c r="B9" s="9">
        <f>'Mob by Level'!C9</f>
        <v/>
      </c>
      <c r="C9" s="10">
        <f>Warrior!AK9</f>
        <v/>
      </c>
      <c r="D9" s="10">
        <f>Rogue!AI9</f>
        <v/>
      </c>
      <c r="E9" s="10">
        <f>Magus!BN9</f>
        <v/>
      </c>
      <c r="F9" s="10">
        <f>Priest!W9</f>
        <v/>
      </c>
      <c r="G9" s="58">
        <f>IFERROR(D9/C9,0)</f>
        <v/>
      </c>
      <c r="H9" s="58">
        <f>IFERROR(E9/C9,0)</f>
        <v/>
      </c>
      <c r="I9" s="58">
        <f>IFERROR(F9/C9,0)</f>
        <v/>
      </c>
      <c r="J9" s="59">
        <f>Warrior!AO9</f>
        <v/>
      </c>
      <c r="K9" s="59">
        <f>Rogue!AM9</f>
        <v/>
      </c>
      <c r="L9" s="59">
        <f>Magus!BR9</f>
        <v/>
      </c>
      <c r="M9" s="59">
        <f>Priest!Y9</f>
        <v/>
      </c>
      <c r="N9" s="13">
        <f>Warrior!AR9</f>
        <v/>
      </c>
      <c r="O9" s="13">
        <f>Rogue!AP9</f>
        <v/>
      </c>
      <c r="P9" s="13">
        <f>Magus!BU9</f>
        <v/>
      </c>
      <c r="Q9" s="13">
        <f>Priest!AB9</f>
        <v/>
      </c>
      <c r="R9" s="14">
        <f>Warrior!AN9</f>
        <v/>
      </c>
      <c r="S9" s="14">
        <f>Rogue!AL9</f>
        <v/>
      </c>
      <c r="T9" s="14">
        <f>Magus!BK9</f>
        <v/>
      </c>
      <c r="U9" s="13">
        <f>Rogue!AK9</f>
        <v/>
      </c>
      <c r="V9" s="13">
        <f>Warrior!AM9</f>
        <v/>
      </c>
      <c r="W9" s="15">
        <f>Magus!BJ9</f>
        <v/>
      </c>
      <c r="X9" s="16">
        <f>Warrior!AG9</f>
        <v/>
      </c>
      <c r="Y9" s="16">
        <f>Magus!BF9</f>
        <v/>
      </c>
      <c r="Z9" s="17">
        <f>Magus!BP9</f>
        <v/>
      </c>
      <c r="AA9" s="9">
        <f>IFERROR('Mob by Level'!G9/Warrior!AO9*60,0)</f>
        <v/>
      </c>
      <c r="AB9" s="9">
        <f>IFERROR('Mob by Level'!G9/Rogue!AM9*60,0)</f>
        <v/>
      </c>
      <c r="AC9" s="9">
        <f>IFERROR('Mob by Level'!G9/Magus!BR9*60,0)</f>
        <v/>
      </c>
      <c r="AD9" s="9">
        <f>IFERROR('Mob by Level'!G9/Priest!Y9*60,0)</f>
        <v/>
      </c>
    </row>
    <row r="10">
      <c r="A10" s="8" t="n">
        <v>7</v>
      </c>
      <c r="B10" s="9">
        <f>'Mob by Level'!C10</f>
        <v/>
      </c>
      <c r="C10" s="10">
        <f>Warrior!AK10</f>
        <v/>
      </c>
      <c r="D10" s="10">
        <f>Rogue!AI10</f>
        <v/>
      </c>
      <c r="E10" s="10">
        <f>Magus!BN10</f>
        <v/>
      </c>
      <c r="F10" s="10">
        <f>Priest!W10</f>
        <v/>
      </c>
      <c r="G10" s="58">
        <f>IFERROR(D10/C10,0)</f>
        <v/>
      </c>
      <c r="H10" s="58">
        <f>IFERROR(E10/C10,0)</f>
        <v/>
      </c>
      <c r="I10" s="58">
        <f>IFERROR(F10/C10,0)</f>
        <v/>
      </c>
      <c r="J10" s="59">
        <f>Warrior!AO10</f>
        <v/>
      </c>
      <c r="K10" s="59">
        <f>Rogue!AM10</f>
        <v/>
      </c>
      <c r="L10" s="59">
        <f>Magus!BR10</f>
        <v/>
      </c>
      <c r="M10" s="59">
        <f>Priest!Y10</f>
        <v/>
      </c>
      <c r="N10" s="13">
        <f>Warrior!AR10</f>
        <v/>
      </c>
      <c r="O10" s="13">
        <f>Rogue!AP10</f>
        <v/>
      </c>
      <c r="P10" s="13">
        <f>Magus!BU10</f>
        <v/>
      </c>
      <c r="Q10" s="13">
        <f>Priest!AB10</f>
        <v/>
      </c>
      <c r="R10" s="14">
        <f>Warrior!AN10</f>
        <v/>
      </c>
      <c r="S10" s="14">
        <f>Rogue!AL10</f>
        <v/>
      </c>
      <c r="T10" s="14">
        <f>Magus!BK10</f>
        <v/>
      </c>
      <c r="U10" s="13">
        <f>Rogue!AK10</f>
        <v/>
      </c>
      <c r="V10" s="13">
        <f>Warrior!AM10</f>
        <v/>
      </c>
      <c r="W10" s="15">
        <f>Magus!BJ10</f>
        <v/>
      </c>
      <c r="X10" s="16">
        <f>Warrior!AG10</f>
        <v/>
      </c>
      <c r="Y10" s="16">
        <f>Magus!BF10</f>
        <v/>
      </c>
      <c r="Z10" s="17">
        <f>Magus!BP10</f>
        <v/>
      </c>
      <c r="AA10" s="9">
        <f>IFERROR('Mob by Level'!G10/Warrior!AO10*60,0)</f>
        <v/>
      </c>
      <c r="AB10" s="9">
        <f>IFERROR('Mob by Level'!G10/Rogue!AM10*60,0)</f>
        <v/>
      </c>
      <c r="AC10" s="9">
        <f>IFERROR('Mob by Level'!G10/Magus!BR10*60,0)</f>
        <v/>
      </c>
      <c r="AD10" s="9">
        <f>IFERROR('Mob by Level'!G10/Priest!Y10*60,0)</f>
        <v/>
      </c>
    </row>
    <row r="11">
      <c r="A11" s="8" t="n">
        <v>8</v>
      </c>
      <c r="B11" s="9">
        <f>'Mob by Level'!C11</f>
        <v/>
      </c>
      <c r="C11" s="10">
        <f>Warrior!AK11</f>
        <v/>
      </c>
      <c r="D11" s="10">
        <f>Rogue!AI11</f>
        <v/>
      </c>
      <c r="E11" s="10">
        <f>Magus!BN11</f>
        <v/>
      </c>
      <c r="F11" s="10">
        <f>Priest!W11</f>
        <v/>
      </c>
      <c r="G11" s="58">
        <f>IFERROR(D11/C11,0)</f>
        <v/>
      </c>
      <c r="H11" s="58">
        <f>IFERROR(E11/C11,0)</f>
        <v/>
      </c>
      <c r="I11" s="58">
        <f>IFERROR(F11/C11,0)</f>
        <v/>
      </c>
      <c r="J11" s="59">
        <f>Warrior!AO11</f>
        <v/>
      </c>
      <c r="K11" s="59">
        <f>Rogue!AM11</f>
        <v/>
      </c>
      <c r="L11" s="59">
        <f>Magus!BR11</f>
        <v/>
      </c>
      <c r="M11" s="59">
        <f>Priest!Y11</f>
        <v/>
      </c>
      <c r="N11" s="13">
        <f>Warrior!AR11</f>
        <v/>
      </c>
      <c r="O11" s="13">
        <f>Rogue!AP11</f>
        <v/>
      </c>
      <c r="P11" s="13">
        <f>Magus!BU11</f>
        <v/>
      </c>
      <c r="Q11" s="13">
        <f>Priest!AB11</f>
        <v/>
      </c>
      <c r="R11" s="14">
        <f>Warrior!AN11</f>
        <v/>
      </c>
      <c r="S11" s="14">
        <f>Rogue!AL11</f>
        <v/>
      </c>
      <c r="T11" s="14">
        <f>Magus!BK11</f>
        <v/>
      </c>
      <c r="U11" s="13">
        <f>Rogue!AK11</f>
        <v/>
      </c>
      <c r="V11" s="13">
        <f>Warrior!AM11</f>
        <v/>
      </c>
      <c r="W11" s="15">
        <f>Magus!BJ11</f>
        <v/>
      </c>
      <c r="X11" s="16">
        <f>Warrior!AG11</f>
        <v/>
      </c>
      <c r="Y11" s="16">
        <f>Magus!BF11</f>
        <v/>
      </c>
      <c r="Z11" s="17">
        <f>Magus!BP11</f>
        <v/>
      </c>
      <c r="AA11" s="9">
        <f>IFERROR('Mob by Level'!G11/Warrior!AO11*60,0)</f>
        <v/>
      </c>
      <c r="AB11" s="9">
        <f>IFERROR('Mob by Level'!G11/Rogue!AM11*60,0)</f>
        <v/>
      </c>
      <c r="AC11" s="9">
        <f>IFERROR('Mob by Level'!G11/Magus!BR11*60,0)</f>
        <v/>
      </c>
      <c r="AD11" s="9">
        <f>IFERROR('Mob by Level'!G11/Priest!Y11*60,0)</f>
        <v/>
      </c>
    </row>
    <row r="12">
      <c r="A12" s="8" t="n">
        <v>9</v>
      </c>
      <c r="B12" s="9">
        <f>'Mob by Level'!C12</f>
        <v/>
      </c>
      <c r="C12" s="10">
        <f>Warrior!AK12</f>
        <v/>
      </c>
      <c r="D12" s="10">
        <f>Rogue!AI12</f>
        <v/>
      </c>
      <c r="E12" s="10">
        <f>Magus!BN12</f>
        <v/>
      </c>
      <c r="F12" s="10">
        <f>Priest!W12</f>
        <v/>
      </c>
      <c r="G12" s="58">
        <f>IFERROR(D12/C12,0)</f>
        <v/>
      </c>
      <c r="H12" s="58">
        <f>IFERROR(E12/C12,0)</f>
        <v/>
      </c>
      <c r="I12" s="58">
        <f>IFERROR(F12/C12,0)</f>
        <v/>
      </c>
      <c r="J12" s="59">
        <f>Warrior!AO12</f>
        <v/>
      </c>
      <c r="K12" s="59">
        <f>Rogue!AM12</f>
        <v/>
      </c>
      <c r="L12" s="59">
        <f>Magus!BR12</f>
        <v/>
      </c>
      <c r="M12" s="59">
        <f>Priest!Y12</f>
        <v/>
      </c>
      <c r="N12" s="13">
        <f>Warrior!AR12</f>
        <v/>
      </c>
      <c r="O12" s="13">
        <f>Rogue!AP12</f>
        <v/>
      </c>
      <c r="P12" s="13">
        <f>Magus!BU12</f>
        <v/>
      </c>
      <c r="Q12" s="13">
        <f>Priest!AB12</f>
        <v/>
      </c>
      <c r="R12" s="14">
        <f>Warrior!AN12</f>
        <v/>
      </c>
      <c r="S12" s="14">
        <f>Rogue!AL12</f>
        <v/>
      </c>
      <c r="T12" s="14">
        <f>Magus!BK12</f>
        <v/>
      </c>
      <c r="U12" s="13">
        <f>Rogue!AK12</f>
        <v/>
      </c>
      <c r="V12" s="13">
        <f>Warrior!AM12</f>
        <v/>
      </c>
      <c r="W12" s="15">
        <f>Magus!BJ12</f>
        <v/>
      </c>
      <c r="X12" s="16">
        <f>Warrior!AG12</f>
        <v/>
      </c>
      <c r="Y12" s="16">
        <f>Magus!BF12</f>
        <v/>
      </c>
      <c r="Z12" s="17">
        <f>Magus!BP12</f>
        <v/>
      </c>
      <c r="AA12" s="9">
        <f>IFERROR('Mob by Level'!G12/Warrior!AO12*60,0)</f>
        <v/>
      </c>
      <c r="AB12" s="9">
        <f>IFERROR('Mob by Level'!G12/Rogue!AM12*60,0)</f>
        <v/>
      </c>
      <c r="AC12" s="9">
        <f>IFERROR('Mob by Level'!G12/Magus!BR12*60,0)</f>
        <v/>
      </c>
      <c r="AD12" s="9">
        <f>IFERROR('Mob by Level'!G12/Priest!Y12*60,0)</f>
        <v/>
      </c>
    </row>
    <row r="13">
      <c r="A13" s="8" t="n">
        <v>10</v>
      </c>
      <c r="B13" s="9">
        <f>'Mob by Level'!C13</f>
        <v/>
      </c>
      <c r="C13" s="10">
        <f>Warrior!AK13</f>
        <v/>
      </c>
      <c r="D13" s="10">
        <f>Rogue!AI13</f>
        <v/>
      </c>
      <c r="E13" s="10">
        <f>Magus!BN13</f>
        <v/>
      </c>
      <c r="F13" s="10">
        <f>Priest!W13</f>
        <v/>
      </c>
      <c r="G13" s="58">
        <f>IFERROR(D13/C13,0)</f>
        <v/>
      </c>
      <c r="H13" s="58">
        <f>IFERROR(E13/C13,0)</f>
        <v/>
      </c>
      <c r="I13" s="58">
        <f>IFERROR(F13/C13,0)</f>
        <v/>
      </c>
      <c r="J13" s="59">
        <f>Warrior!AO13</f>
        <v/>
      </c>
      <c r="K13" s="59">
        <f>Rogue!AM13</f>
        <v/>
      </c>
      <c r="L13" s="59">
        <f>Magus!BR13</f>
        <v/>
      </c>
      <c r="M13" s="59">
        <f>Priest!Y13</f>
        <v/>
      </c>
      <c r="N13" s="13">
        <f>Warrior!AR13</f>
        <v/>
      </c>
      <c r="O13" s="13">
        <f>Rogue!AP13</f>
        <v/>
      </c>
      <c r="P13" s="13">
        <f>Magus!BU13</f>
        <v/>
      </c>
      <c r="Q13" s="13">
        <f>Priest!AB13</f>
        <v/>
      </c>
      <c r="R13" s="14">
        <f>Warrior!AN13</f>
        <v/>
      </c>
      <c r="S13" s="14">
        <f>Rogue!AL13</f>
        <v/>
      </c>
      <c r="T13" s="14">
        <f>Magus!BK13</f>
        <v/>
      </c>
      <c r="U13" s="13">
        <f>Rogue!AK13</f>
        <v/>
      </c>
      <c r="V13" s="13">
        <f>Warrior!AM13</f>
        <v/>
      </c>
      <c r="W13" s="15">
        <f>Magus!BJ13</f>
        <v/>
      </c>
      <c r="X13" s="16">
        <f>Warrior!AG13</f>
        <v/>
      </c>
      <c r="Y13" s="16">
        <f>Magus!BF13</f>
        <v/>
      </c>
      <c r="Z13" s="17">
        <f>Magus!BP13</f>
        <v/>
      </c>
      <c r="AA13" s="9">
        <f>IFERROR('Mob by Level'!G13/Warrior!AO13*60,0)</f>
        <v/>
      </c>
      <c r="AB13" s="9">
        <f>IFERROR('Mob by Level'!G13/Rogue!AM13*60,0)</f>
        <v/>
      </c>
      <c r="AC13" s="9">
        <f>IFERROR('Mob by Level'!G13/Magus!BR13*60,0)</f>
        <v/>
      </c>
      <c r="AD13" s="9">
        <f>IFERROR('Mob by Level'!G13/Priest!Y13*60,0)</f>
        <v/>
      </c>
    </row>
    <row r="14">
      <c r="A14" s="8" t="n">
        <v>11</v>
      </c>
      <c r="B14" s="9">
        <f>'Mob by Level'!C14</f>
        <v/>
      </c>
      <c r="C14" s="10">
        <f>Warrior!AK14</f>
        <v/>
      </c>
      <c r="D14" s="10">
        <f>Rogue!AI14</f>
        <v/>
      </c>
      <c r="E14" s="10">
        <f>Magus!BN14</f>
        <v/>
      </c>
      <c r="F14" s="10">
        <f>Priest!W14</f>
        <v/>
      </c>
      <c r="G14" s="58">
        <f>IFERROR(D14/C14,0)</f>
        <v/>
      </c>
      <c r="H14" s="58">
        <f>IFERROR(E14/C14,0)</f>
        <v/>
      </c>
      <c r="I14" s="58">
        <f>IFERROR(F14/C14,0)</f>
        <v/>
      </c>
      <c r="J14" s="59">
        <f>Warrior!AO14</f>
        <v/>
      </c>
      <c r="K14" s="59">
        <f>Rogue!AM14</f>
        <v/>
      </c>
      <c r="L14" s="59">
        <f>Magus!BR14</f>
        <v/>
      </c>
      <c r="M14" s="59">
        <f>Priest!Y14</f>
        <v/>
      </c>
      <c r="N14" s="13">
        <f>Warrior!AR14</f>
        <v/>
      </c>
      <c r="O14" s="13">
        <f>Rogue!AP14</f>
        <v/>
      </c>
      <c r="P14" s="13">
        <f>Magus!BU14</f>
        <v/>
      </c>
      <c r="Q14" s="13">
        <f>Priest!AB14</f>
        <v/>
      </c>
      <c r="R14" s="14">
        <f>Warrior!AN14</f>
        <v/>
      </c>
      <c r="S14" s="14">
        <f>Rogue!AL14</f>
        <v/>
      </c>
      <c r="T14" s="14">
        <f>Magus!BK14</f>
        <v/>
      </c>
      <c r="U14" s="13">
        <f>Rogue!AK14</f>
        <v/>
      </c>
      <c r="V14" s="13">
        <f>Warrior!AM14</f>
        <v/>
      </c>
      <c r="W14" s="15">
        <f>Magus!BJ14</f>
        <v/>
      </c>
      <c r="X14" s="16">
        <f>Warrior!AG14</f>
        <v/>
      </c>
      <c r="Y14" s="16">
        <f>Magus!BF14</f>
        <v/>
      </c>
      <c r="Z14" s="17">
        <f>Magus!BP14</f>
        <v/>
      </c>
      <c r="AA14" s="9">
        <f>IFERROR('Mob by Level'!G14/Warrior!AO14*60,0)</f>
        <v/>
      </c>
      <c r="AB14" s="9">
        <f>IFERROR('Mob by Level'!G14/Rogue!AM14*60,0)</f>
        <v/>
      </c>
      <c r="AC14" s="9">
        <f>IFERROR('Mob by Level'!G14/Magus!BR14*60,0)</f>
        <v/>
      </c>
      <c r="AD14" s="9">
        <f>IFERROR('Mob by Level'!G14/Priest!Y14*60,0)</f>
        <v/>
      </c>
    </row>
    <row r="15">
      <c r="A15" s="8" t="n">
        <v>12</v>
      </c>
      <c r="B15" s="9">
        <f>'Mob by Level'!C15</f>
        <v/>
      </c>
      <c r="C15" s="10">
        <f>Warrior!AK15</f>
        <v/>
      </c>
      <c r="D15" s="10">
        <f>Rogue!AI15</f>
        <v/>
      </c>
      <c r="E15" s="10">
        <f>Magus!BN15</f>
        <v/>
      </c>
      <c r="F15" s="10">
        <f>Priest!W15</f>
        <v/>
      </c>
      <c r="G15" s="58">
        <f>IFERROR(D15/C15,0)</f>
        <v/>
      </c>
      <c r="H15" s="58">
        <f>IFERROR(E15/C15,0)</f>
        <v/>
      </c>
      <c r="I15" s="58">
        <f>IFERROR(F15/C15,0)</f>
        <v/>
      </c>
      <c r="J15" s="59">
        <f>Warrior!AO15</f>
        <v/>
      </c>
      <c r="K15" s="59">
        <f>Rogue!AM15</f>
        <v/>
      </c>
      <c r="L15" s="59">
        <f>Magus!BR15</f>
        <v/>
      </c>
      <c r="M15" s="59">
        <f>Priest!Y15</f>
        <v/>
      </c>
      <c r="N15" s="13">
        <f>Warrior!AR15</f>
        <v/>
      </c>
      <c r="O15" s="13">
        <f>Rogue!AP15</f>
        <v/>
      </c>
      <c r="P15" s="13">
        <f>Magus!BU15</f>
        <v/>
      </c>
      <c r="Q15" s="13">
        <f>Priest!AB15</f>
        <v/>
      </c>
      <c r="R15" s="14">
        <f>Warrior!AN15</f>
        <v/>
      </c>
      <c r="S15" s="14">
        <f>Rogue!AL15</f>
        <v/>
      </c>
      <c r="T15" s="14">
        <f>Magus!BK15</f>
        <v/>
      </c>
      <c r="U15" s="13">
        <f>Rogue!AK15</f>
        <v/>
      </c>
      <c r="V15" s="13">
        <f>Warrior!AM15</f>
        <v/>
      </c>
      <c r="W15" s="15">
        <f>Magus!BJ15</f>
        <v/>
      </c>
      <c r="X15" s="16">
        <f>Warrior!AG15</f>
        <v/>
      </c>
      <c r="Y15" s="16">
        <f>Magus!BF15</f>
        <v/>
      </c>
      <c r="Z15" s="17">
        <f>Magus!BP15</f>
        <v/>
      </c>
      <c r="AA15" s="9">
        <f>IFERROR('Mob by Level'!G15/Warrior!AO15*60,0)</f>
        <v/>
      </c>
      <c r="AB15" s="9">
        <f>IFERROR('Mob by Level'!G15/Rogue!AM15*60,0)</f>
        <v/>
      </c>
      <c r="AC15" s="9">
        <f>IFERROR('Mob by Level'!G15/Magus!BR15*60,0)</f>
        <v/>
      </c>
      <c r="AD15" s="9">
        <f>IFERROR('Mob by Level'!G15/Priest!Y15*60,0)</f>
        <v/>
      </c>
    </row>
    <row r="16">
      <c r="A16" s="8" t="n">
        <v>13</v>
      </c>
      <c r="B16" s="9">
        <f>'Mob by Level'!C16</f>
        <v/>
      </c>
      <c r="C16" s="10">
        <f>Warrior!AK16</f>
        <v/>
      </c>
      <c r="D16" s="10">
        <f>Rogue!AI16</f>
        <v/>
      </c>
      <c r="E16" s="10">
        <f>Magus!BN16</f>
        <v/>
      </c>
      <c r="F16" s="10">
        <f>Priest!W16</f>
        <v/>
      </c>
      <c r="G16" s="58">
        <f>IFERROR(D16/C16,0)</f>
        <v/>
      </c>
      <c r="H16" s="58">
        <f>IFERROR(E16/C16,0)</f>
        <v/>
      </c>
      <c r="I16" s="58">
        <f>IFERROR(F16/C16,0)</f>
        <v/>
      </c>
      <c r="J16" s="59">
        <f>Warrior!AO16</f>
        <v/>
      </c>
      <c r="K16" s="59">
        <f>Rogue!AM16</f>
        <v/>
      </c>
      <c r="L16" s="59">
        <f>Magus!BR16</f>
        <v/>
      </c>
      <c r="M16" s="59">
        <f>Priest!Y16</f>
        <v/>
      </c>
      <c r="N16" s="13">
        <f>Warrior!AR16</f>
        <v/>
      </c>
      <c r="O16" s="13">
        <f>Rogue!AP16</f>
        <v/>
      </c>
      <c r="P16" s="13">
        <f>Magus!BU16</f>
        <v/>
      </c>
      <c r="Q16" s="13">
        <f>Priest!AB16</f>
        <v/>
      </c>
      <c r="R16" s="14">
        <f>Warrior!AN16</f>
        <v/>
      </c>
      <c r="S16" s="14">
        <f>Rogue!AL16</f>
        <v/>
      </c>
      <c r="T16" s="14">
        <f>Magus!BK16</f>
        <v/>
      </c>
      <c r="U16" s="13">
        <f>Rogue!AK16</f>
        <v/>
      </c>
      <c r="V16" s="13">
        <f>Warrior!AM16</f>
        <v/>
      </c>
      <c r="W16" s="15">
        <f>Magus!BJ16</f>
        <v/>
      </c>
      <c r="X16" s="16">
        <f>Warrior!AG16</f>
        <v/>
      </c>
      <c r="Y16" s="16">
        <f>Magus!BF16</f>
        <v/>
      </c>
      <c r="Z16" s="17">
        <f>Magus!BP16</f>
        <v/>
      </c>
      <c r="AA16" s="9">
        <f>IFERROR('Mob by Level'!G16/Warrior!AO16*60,0)</f>
        <v/>
      </c>
      <c r="AB16" s="9">
        <f>IFERROR('Mob by Level'!G16/Rogue!AM16*60,0)</f>
        <v/>
      </c>
      <c r="AC16" s="9">
        <f>IFERROR('Mob by Level'!G16/Magus!BR16*60,0)</f>
        <v/>
      </c>
      <c r="AD16" s="9">
        <f>IFERROR('Mob by Level'!G16/Priest!Y16*60,0)</f>
        <v/>
      </c>
    </row>
    <row r="17">
      <c r="A17" s="8" t="n">
        <v>14</v>
      </c>
      <c r="B17" s="9">
        <f>'Mob by Level'!C17</f>
        <v/>
      </c>
      <c r="C17" s="10">
        <f>Warrior!AK17</f>
        <v/>
      </c>
      <c r="D17" s="10">
        <f>Rogue!AI17</f>
        <v/>
      </c>
      <c r="E17" s="10">
        <f>Magus!BN17</f>
        <v/>
      </c>
      <c r="F17" s="10">
        <f>Priest!W17</f>
        <v/>
      </c>
      <c r="G17" s="58">
        <f>IFERROR(D17/C17,0)</f>
        <v/>
      </c>
      <c r="H17" s="58">
        <f>IFERROR(E17/C17,0)</f>
        <v/>
      </c>
      <c r="I17" s="58">
        <f>IFERROR(F17/C17,0)</f>
        <v/>
      </c>
      <c r="J17" s="59">
        <f>Warrior!AO17</f>
        <v/>
      </c>
      <c r="K17" s="59">
        <f>Rogue!AM17</f>
        <v/>
      </c>
      <c r="L17" s="59">
        <f>Magus!BR17</f>
        <v/>
      </c>
      <c r="M17" s="59">
        <f>Priest!Y17</f>
        <v/>
      </c>
      <c r="N17" s="13">
        <f>Warrior!AR17</f>
        <v/>
      </c>
      <c r="O17" s="13">
        <f>Rogue!AP17</f>
        <v/>
      </c>
      <c r="P17" s="13">
        <f>Magus!BU17</f>
        <v/>
      </c>
      <c r="Q17" s="13">
        <f>Priest!AB17</f>
        <v/>
      </c>
      <c r="R17" s="14">
        <f>Warrior!AN17</f>
        <v/>
      </c>
      <c r="S17" s="14">
        <f>Rogue!AL17</f>
        <v/>
      </c>
      <c r="T17" s="14">
        <f>Magus!BK17</f>
        <v/>
      </c>
      <c r="U17" s="13">
        <f>Rogue!AK17</f>
        <v/>
      </c>
      <c r="V17" s="13">
        <f>Warrior!AM17</f>
        <v/>
      </c>
      <c r="W17" s="15">
        <f>Magus!BJ17</f>
        <v/>
      </c>
      <c r="X17" s="16">
        <f>Warrior!AG17</f>
        <v/>
      </c>
      <c r="Y17" s="16">
        <f>Magus!BF17</f>
        <v/>
      </c>
      <c r="Z17" s="17">
        <f>Magus!BP17</f>
        <v/>
      </c>
      <c r="AA17" s="9">
        <f>IFERROR('Mob by Level'!G17/Warrior!AO17*60,0)</f>
        <v/>
      </c>
      <c r="AB17" s="9">
        <f>IFERROR('Mob by Level'!G17/Rogue!AM17*60,0)</f>
        <v/>
      </c>
      <c r="AC17" s="9">
        <f>IFERROR('Mob by Level'!G17/Magus!BR17*60,0)</f>
        <v/>
      </c>
      <c r="AD17" s="9">
        <f>IFERROR('Mob by Level'!G17/Priest!Y17*60,0)</f>
        <v/>
      </c>
    </row>
    <row r="18">
      <c r="A18" s="8" t="n">
        <v>15</v>
      </c>
      <c r="B18" s="9">
        <f>'Mob by Level'!C18</f>
        <v/>
      </c>
      <c r="C18" s="10">
        <f>Warrior!AK18</f>
        <v/>
      </c>
      <c r="D18" s="10">
        <f>Rogue!AI18</f>
        <v/>
      </c>
      <c r="E18" s="10">
        <f>Magus!BN18</f>
        <v/>
      </c>
      <c r="F18" s="10">
        <f>Priest!W18</f>
        <v/>
      </c>
      <c r="G18" s="58">
        <f>IFERROR(D18/C18,0)</f>
        <v/>
      </c>
      <c r="H18" s="58">
        <f>IFERROR(E18/C18,0)</f>
        <v/>
      </c>
      <c r="I18" s="58">
        <f>IFERROR(F18/C18,0)</f>
        <v/>
      </c>
      <c r="J18" s="59">
        <f>Warrior!AO18</f>
        <v/>
      </c>
      <c r="K18" s="59">
        <f>Rogue!AM18</f>
        <v/>
      </c>
      <c r="L18" s="59">
        <f>Magus!BR18</f>
        <v/>
      </c>
      <c r="M18" s="59">
        <f>Priest!Y18</f>
        <v/>
      </c>
      <c r="N18" s="13">
        <f>Warrior!AR18</f>
        <v/>
      </c>
      <c r="O18" s="13">
        <f>Rogue!AP18</f>
        <v/>
      </c>
      <c r="P18" s="13">
        <f>Magus!BU18</f>
        <v/>
      </c>
      <c r="Q18" s="13">
        <f>Priest!AB18</f>
        <v/>
      </c>
      <c r="R18" s="14">
        <f>Warrior!AN18</f>
        <v/>
      </c>
      <c r="S18" s="14">
        <f>Rogue!AL18</f>
        <v/>
      </c>
      <c r="T18" s="14">
        <f>Magus!BK18</f>
        <v/>
      </c>
      <c r="U18" s="13">
        <f>Rogue!AK18</f>
        <v/>
      </c>
      <c r="V18" s="13">
        <f>Warrior!AM18</f>
        <v/>
      </c>
      <c r="W18" s="15">
        <f>Magus!BJ18</f>
        <v/>
      </c>
      <c r="X18" s="16">
        <f>Warrior!AG18</f>
        <v/>
      </c>
      <c r="Y18" s="16">
        <f>Magus!BF18</f>
        <v/>
      </c>
      <c r="Z18" s="17">
        <f>Magus!BP18</f>
        <v/>
      </c>
      <c r="AA18" s="9">
        <f>IFERROR('Mob by Level'!G18/Warrior!AO18*60,0)</f>
        <v/>
      </c>
      <c r="AB18" s="9">
        <f>IFERROR('Mob by Level'!G18/Rogue!AM18*60,0)</f>
        <v/>
      </c>
      <c r="AC18" s="9">
        <f>IFERROR('Mob by Level'!G18/Magus!BR18*60,0)</f>
        <v/>
      </c>
      <c r="AD18" s="9">
        <f>IFERROR('Mob by Level'!G18/Priest!Y18*60,0)</f>
        <v/>
      </c>
    </row>
    <row r="19">
      <c r="A19" s="8" t="n">
        <v>16</v>
      </c>
      <c r="B19" s="9">
        <f>'Mob by Level'!C19</f>
        <v/>
      </c>
      <c r="C19" s="10">
        <f>Warrior!AK19</f>
        <v/>
      </c>
      <c r="D19" s="10">
        <f>Rogue!AI19</f>
        <v/>
      </c>
      <c r="E19" s="10">
        <f>Magus!BN19</f>
        <v/>
      </c>
      <c r="F19" s="10">
        <f>Priest!W19</f>
        <v/>
      </c>
      <c r="G19" s="58">
        <f>IFERROR(D19/C19,0)</f>
        <v/>
      </c>
      <c r="H19" s="58">
        <f>IFERROR(E19/C19,0)</f>
        <v/>
      </c>
      <c r="I19" s="58">
        <f>IFERROR(F19/C19,0)</f>
        <v/>
      </c>
      <c r="J19" s="59">
        <f>Warrior!AO19</f>
        <v/>
      </c>
      <c r="K19" s="59">
        <f>Rogue!AM19</f>
        <v/>
      </c>
      <c r="L19" s="59">
        <f>Magus!BR19</f>
        <v/>
      </c>
      <c r="M19" s="59">
        <f>Priest!Y19</f>
        <v/>
      </c>
      <c r="N19" s="13">
        <f>Warrior!AR19</f>
        <v/>
      </c>
      <c r="O19" s="13">
        <f>Rogue!AP19</f>
        <v/>
      </c>
      <c r="P19" s="13">
        <f>Magus!BU19</f>
        <v/>
      </c>
      <c r="Q19" s="13">
        <f>Priest!AB19</f>
        <v/>
      </c>
      <c r="R19" s="14">
        <f>Warrior!AN19</f>
        <v/>
      </c>
      <c r="S19" s="14">
        <f>Rogue!AL19</f>
        <v/>
      </c>
      <c r="T19" s="14">
        <f>Magus!BK19</f>
        <v/>
      </c>
      <c r="U19" s="13">
        <f>Rogue!AK19</f>
        <v/>
      </c>
      <c r="V19" s="13">
        <f>Warrior!AM19</f>
        <v/>
      </c>
      <c r="W19" s="15">
        <f>Magus!BJ19</f>
        <v/>
      </c>
      <c r="X19" s="16">
        <f>Warrior!AG19</f>
        <v/>
      </c>
      <c r="Y19" s="16">
        <f>Magus!BF19</f>
        <v/>
      </c>
      <c r="Z19" s="17">
        <f>Magus!BP19</f>
        <v/>
      </c>
      <c r="AA19" s="9">
        <f>IFERROR('Mob by Level'!G19/Warrior!AO19*60,0)</f>
        <v/>
      </c>
      <c r="AB19" s="9">
        <f>IFERROR('Mob by Level'!G19/Rogue!AM19*60,0)</f>
        <v/>
      </c>
      <c r="AC19" s="9">
        <f>IFERROR('Mob by Level'!G19/Magus!BR19*60,0)</f>
        <v/>
      </c>
      <c r="AD19" s="9">
        <f>IFERROR('Mob by Level'!G19/Priest!Y19*60,0)</f>
        <v/>
      </c>
    </row>
    <row r="20">
      <c r="A20" s="8" t="n">
        <v>17</v>
      </c>
      <c r="B20" s="9">
        <f>'Mob by Level'!C20</f>
        <v/>
      </c>
      <c r="C20" s="10">
        <f>Warrior!AK20</f>
        <v/>
      </c>
      <c r="D20" s="10">
        <f>Rogue!AI20</f>
        <v/>
      </c>
      <c r="E20" s="10">
        <f>Magus!BN20</f>
        <v/>
      </c>
      <c r="F20" s="10">
        <f>Priest!W20</f>
        <v/>
      </c>
      <c r="G20" s="58">
        <f>IFERROR(D20/C20,0)</f>
        <v/>
      </c>
      <c r="H20" s="58">
        <f>IFERROR(E20/C20,0)</f>
        <v/>
      </c>
      <c r="I20" s="58">
        <f>IFERROR(F20/C20,0)</f>
        <v/>
      </c>
      <c r="J20" s="59">
        <f>Warrior!AO20</f>
        <v/>
      </c>
      <c r="K20" s="59">
        <f>Rogue!AM20</f>
        <v/>
      </c>
      <c r="L20" s="59">
        <f>Magus!BR20</f>
        <v/>
      </c>
      <c r="M20" s="59">
        <f>Priest!Y20</f>
        <v/>
      </c>
      <c r="N20" s="13">
        <f>Warrior!AR20</f>
        <v/>
      </c>
      <c r="O20" s="13">
        <f>Rogue!AP20</f>
        <v/>
      </c>
      <c r="P20" s="13">
        <f>Magus!BU20</f>
        <v/>
      </c>
      <c r="Q20" s="13">
        <f>Priest!AB20</f>
        <v/>
      </c>
      <c r="R20" s="14">
        <f>Warrior!AN20</f>
        <v/>
      </c>
      <c r="S20" s="14">
        <f>Rogue!AL20</f>
        <v/>
      </c>
      <c r="T20" s="14">
        <f>Magus!BK20</f>
        <v/>
      </c>
      <c r="U20" s="13">
        <f>Rogue!AK20</f>
        <v/>
      </c>
      <c r="V20" s="13">
        <f>Warrior!AM20</f>
        <v/>
      </c>
      <c r="W20" s="15">
        <f>Magus!BJ20</f>
        <v/>
      </c>
      <c r="X20" s="16">
        <f>Warrior!AG20</f>
        <v/>
      </c>
      <c r="Y20" s="16">
        <f>Magus!BF20</f>
        <v/>
      </c>
      <c r="Z20" s="17">
        <f>Magus!BP20</f>
        <v/>
      </c>
      <c r="AA20" s="9">
        <f>IFERROR('Mob by Level'!G20/Warrior!AO20*60,0)</f>
        <v/>
      </c>
      <c r="AB20" s="9">
        <f>IFERROR('Mob by Level'!G20/Rogue!AM20*60,0)</f>
        <v/>
      </c>
      <c r="AC20" s="9">
        <f>IFERROR('Mob by Level'!G20/Magus!BR20*60,0)</f>
        <v/>
      </c>
      <c r="AD20" s="9">
        <f>IFERROR('Mob by Level'!G20/Priest!Y20*60,0)</f>
        <v/>
      </c>
    </row>
    <row r="21">
      <c r="A21" s="8" t="n">
        <v>18</v>
      </c>
      <c r="B21" s="9">
        <f>'Mob by Level'!C21</f>
        <v/>
      </c>
      <c r="C21" s="10">
        <f>Warrior!AK21</f>
        <v/>
      </c>
      <c r="D21" s="10">
        <f>Rogue!AI21</f>
        <v/>
      </c>
      <c r="E21" s="10">
        <f>Magus!BN21</f>
        <v/>
      </c>
      <c r="F21" s="10">
        <f>Priest!W21</f>
        <v/>
      </c>
      <c r="G21" s="58">
        <f>IFERROR(D21/C21,0)</f>
        <v/>
      </c>
      <c r="H21" s="58">
        <f>IFERROR(E21/C21,0)</f>
        <v/>
      </c>
      <c r="I21" s="58">
        <f>IFERROR(F21/C21,0)</f>
        <v/>
      </c>
      <c r="J21" s="59">
        <f>Warrior!AO21</f>
        <v/>
      </c>
      <c r="K21" s="59">
        <f>Rogue!AM21</f>
        <v/>
      </c>
      <c r="L21" s="59">
        <f>Magus!BR21</f>
        <v/>
      </c>
      <c r="M21" s="59">
        <f>Priest!Y21</f>
        <v/>
      </c>
      <c r="N21" s="13">
        <f>Warrior!AR21</f>
        <v/>
      </c>
      <c r="O21" s="13">
        <f>Rogue!AP21</f>
        <v/>
      </c>
      <c r="P21" s="13">
        <f>Magus!BU21</f>
        <v/>
      </c>
      <c r="Q21" s="13">
        <f>Priest!AB21</f>
        <v/>
      </c>
      <c r="R21" s="14">
        <f>Warrior!AN21</f>
        <v/>
      </c>
      <c r="S21" s="14">
        <f>Rogue!AL21</f>
        <v/>
      </c>
      <c r="T21" s="14">
        <f>Magus!BK21</f>
        <v/>
      </c>
      <c r="U21" s="13">
        <f>Rogue!AK21</f>
        <v/>
      </c>
      <c r="V21" s="13">
        <f>Warrior!AM21</f>
        <v/>
      </c>
      <c r="W21" s="15">
        <f>Magus!BJ21</f>
        <v/>
      </c>
      <c r="X21" s="16">
        <f>Warrior!AG21</f>
        <v/>
      </c>
      <c r="Y21" s="16">
        <f>Magus!BF21</f>
        <v/>
      </c>
      <c r="Z21" s="17">
        <f>Magus!BP21</f>
        <v/>
      </c>
      <c r="AA21" s="9">
        <f>IFERROR('Mob by Level'!G21/Warrior!AO21*60,0)</f>
        <v/>
      </c>
      <c r="AB21" s="9">
        <f>IFERROR('Mob by Level'!G21/Rogue!AM21*60,0)</f>
        <v/>
      </c>
      <c r="AC21" s="9">
        <f>IFERROR('Mob by Level'!G21/Magus!BR21*60,0)</f>
        <v/>
      </c>
      <c r="AD21" s="9">
        <f>IFERROR('Mob by Level'!G21/Priest!Y21*60,0)</f>
        <v/>
      </c>
    </row>
    <row r="22">
      <c r="A22" s="8" t="n">
        <v>19</v>
      </c>
      <c r="B22" s="9">
        <f>'Mob by Level'!C22</f>
        <v/>
      </c>
      <c r="C22" s="10">
        <f>Warrior!AK22</f>
        <v/>
      </c>
      <c r="D22" s="10">
        <f>Rogue!AI22</f>
        <v/>
      </c>
      <c r="E22" s="10">
        <f>Magus!BN22</f>
        <v/>
      </c>
      <c r="F22" s="10">
        <f>Priest!W22</f>
        <v/>
      </c>
      <c r="G22" s="58">
        <f>IFERROR(D22/C22,0)</f>
        <v/>
      </c>
      <c r="H22" s="58">
        <f>IFERROR(E22/C22,0)</f>
        <v/>
      </c>
      <c r="I22" s="58">
        <f>IFERROR(F22/C22,0)</f>
        <v/>
      </c>
      <c r="J22" s="59">
        <f>Warrior!AO22</f>
        <v/>
      </c>
      <c r="K22" s="59">
        <f>Rogue!AM22</f>
        <v/>
      </c>
      <c r="L22" s="59">
        <f>Magus!BR22</f>
        <v/>
      </c>
      <c r="M22" s="59">
        <f>Priest!Y22</f>
        <v/>
      </c>
      <c r="N22" s="13">
        <f>Warrior!AR22</f>
        <v/>
      </c>
      <c r="O22" s="13">
        <f>Rogue!AP22</f>
        <v/>
      </c>
      <c r="P22" s="13">
        <f>Magus!BU22</f>
        <v/>
      </c>
      <c r="Q22" s="13">
        <f>Priest!AB22</f>
        <v/>
      </c>
      <c r="R22" s="14">
        <f>Warrior!AN22</f>
        <v/>
      </c>
      <c r="S22" s="14">
        <f>Rogue!AL22</f>
        <v/>
      </c>
      <c r="T22" s="14">
        <f>Magus!BK22</f>
        <v/>
      </c>
      <c r="U22" s="13">
        <f>Rogue!AK22</f>
        <v/>
      </c>
      <c r="V22" s="13">
        <f>Warrior!AM22</f>
        <v/>
      </c>
      <c r="W22" s="15">
        <f>Magus!BJ22</f>
        <v/>
      </c>
      <c r="X22" s="16">
        <f>Warrior!AG22</f>
        <v/>
      </c>
      <c r="Y22" s="16">
        <f>Magus!BF22</f>
        <v/>
      </c>
      <c r="Z22" s="17">
        <f>Magus!BP22</f>
        <v/>
      </c>
      <c r="AA22" s="9">
        <f>IFERROR('Mob by Level'!G22/Warrior!AO22*60,0)</f>
        <v/>
      </c>
      <c r="AB22" s="9">
        <f>IFERROR('Mob by Level'!G22/Rogue!AM22*60,0)</f>
        <v/>
      </c>
      <c r="AC22" s="9">
        <f>IFERROR('Mob by Level'!G22/Magus!BR22*60,0)</f>
        <v/>
      </c>
      <c r="AD22" s="9">
        <f>IFERROR('Mob by Level'!G22/Priest!Y22*60,0)</f>
        <v/>
      </c>
    </row>
    <row r="23">
      <c r="A23" s="8" t="n">
        <v>20</v>
      </c>
      <c r="B23" s="9">
        <f>'Mob by Level'!C23</f>
        <v/>
      </c>
      <c r="C23" s="10">
        <f>Warrior!AK23</f>
        <v/>
      </c>
      <c r="D23" s="10">
        <f>Rogue!AI23</f>
        <v/>
      </c>
      <c r="E23" s="10">
        <f>Magus!BN23</f>
        <v/>
      </c>
      <c r="F23" s="10">
        <f>Priest!W23</f>
        <v/>
      </c>
      <c r="G23" s="58">
        <f>IFERROR(D23/C23,0)</f>
        <v/>
      </c>
      <c r="H23" s="58">
        <f>IFERROR(E23/C23,0)</f>
        <v/>
      </c>
      <c r="I23" s="58">
        <f>IFERROR(F23/C23,0)</f>
        <v/>
      </c>
      <c r="J23" s="59">
        <f>Warrior!AO23</f>
        <v/>
      </c>
      <c r="K23" s="59">
        <f>Rogue!AM23</f>
        <v/>
      </c>
      <c r="L23" s="59">
        <f>Magus!BR23</f>
        <v/>
      </c>
      <c r="M23" s="59">
        <f>Priest!Y23</f>
        <v/>
      </c>
      <c r="N23" s="13">
        <f>Warrior!AR23</f>
        <v/>
      </c>
      <c r="O23" s="13">
        <f>Rogue!AP23</f>
        <v/>
      </c>
      <c r="P23" s="13">
        <f>Magus!BU23</f>
        <v/>
      </c>
      <c r="Q23" s="13">
        <f>Priest!AB23</f>
        <v/>
      </c>
      <c r="R23" s="14">
        <f>Warrior!AN23</f>
        <v/>
      </c>
      <c r="S23" s="14">
        <f>Rogue!AL23</f>
        <v/>
      </c>
      <c r="T23" s="14">
        <f>Magus!BK23</f>
        <v/>
      </c>
      <c r="U23" s="13">
        <f>Rogue!AK23</f>
        <v/>
      </c>
      <c r="V23" s="13">
        <f>Warrior!AM23</f>
        <v/>
      </c>
      <c r="W23" s="15">
        <f>Magus!BJ23</f>
        <v/>
      </c>
      <c r="X23" s="16">
        <f>Warrior!AG23</f>
        <v/>
      </c>
      <c r="Y23" s="16">
        <f>Magus!BF23</f>
        <v/>
      </c>
      <c r="Z23" s="17">
        <f>Magus!BP23</f>
        <v/>
      </c>
      <c r="AA23" s="9">
        <f>IFERROR('Mob by Level'!G23/Warrior!AO23*60,0)</f>
        <v/>
      </c>
      <c r="AB23" s="9">
        <f>IFERROR('Mob by Level'!G23/Rogue!AM23*60,0)</f>
        <v/>
      </c>
      <c r="AC23" s="9">
        <f>IFERROR('Mob by Level'!G23/Magus!BR23*60,0)</f>
        <v/>
      </c>
      <c r="AD23" s="9">
        <f>IFERROR('Mob by Level'!G23/Priest!Y23*60,0)</f>
        <v/>
      </c>
    </row>
    <row r="24">
      <c r="A24" s="8" t="n">
        <v>21</v>
      </c>
      <c r="B24" s="9">
        <f>'Mob by Level'!C24</f>
        <v/>
      </c>
      <c r="C24" s="10">
        <f>Warrior!AK24</f>
        <v/>
      </c>
      <c r="D24" s="10">
        <f>Rogue!AI24</f>
        <v/>
      </c>
      <c r="E24" s="10">
        <f>Magus!BN24</f>
        <v/>
      </c>
      <c r="F24" s="10">
        <f>Priest!W24</f>
        <v/>
      </c>
      <c r="G24" s="58">
        <f>IFERROR(D24/C24,0)</f>
        <v/>
      </c>
      <c r="H24" s="58">
        <f>IFERROR(E24/C24,0)</f>
        <v/>
      </c>
      <c r="I24" s="58">
        <f>IFERROR(F24/C24,0)</f>
        <v/>
      </c>
      <c r="J24" s="59">
        <f>Warrior!AO24</f>
        <v/>
      </c>
      <c r="K24" s="59">
        <f>Rogue!AM24</f>
        <v/>
      </c>
      <c r="L24" s="59">
        <f>Magus!BR24</f>
        <v/>
      </c>
      <c r="M24" s="59">
        <f>Priest!Y24</f>
        <v/>
      </c>
      <c r="N24" s="13">
        <f>Warrior!AR24</f>
        <v/>
      </c>
      <c r="O24" s="13">
        <f>Rogue!AP24</f>
        <v/>
      </c>
      <c r="P24" s="13">
        <f>Magus!BU24</f>
        <v/>
      </c>
      <c r="Q24" s="13">
        <f>Priest!AB24</f>
        <v/>
      </c>
      <c r="R24" s="14">
        <f>Warrior!AN24</f>
        <v/>
      </c>
      <c r="S24" s="14">
        <f>Rogue!AL24</f>
        <v/>
      </c>
      <c r="T24" s="14">
        <f>Magus!BK24</f>
        <v/>
      </c>
      <c r="U24" s="13">
        <f>Rogue!AK24</f>
        <v/>
      </c>
      <c r="V24" s="13">
        <f>Warrior!AM24</f>
        <v/>
      </c>
      <c r="W24" s="15">
        <f>Magus!BJ24</f>
        <v/>
      </c>
      <c r="X24" s="16">
        <f>Warrior!AG24</f>
        <v/>
      </c>
      <c r="Y24" s="16">
        <f>Magus!BF24</f>
        <v/>
      </c>
      <c r="Z24" s="17">
        <f>Magus!BP24</f>
        <v/>
      </c>
      <c r="AA24" s="9">
        <f>IFERROR('Mob by Level'!G24/Warrior!AO24*60,0)</f>
        <v/>
      </c>
      <c r="AB24" s="9">
        <f>IFERROR('Mob by Level'!G24/Rogue!AM24*60,0)</f>
        <v/>
      </c>
      <c r="AC24" s="9">
        <f>IFERROR('Mob by Level'!G24/Magus!BR24*60,0)</f>
        <v/>
      </c>
      <c r="AD24" s="9">
        <f>IFERROR('Mob by Level'!G24/Priest!Y24*60,0)</f>
        <v/>
      </c>
    </row>
    <row r="25">
      <c r="A25" s="8" t="n">
        <v>22</v>
      </c>
      <c r="B25" s="9">
        <f>'Mob by Level'!C25</f>
        <v/>
      </c>
      <c r="C25" s="10">
        <f>Warrior!AK25</f>
        <v/>
      </c>
      <c r="D25" s="10">
        <f>Rogue!AI25</f>
        <v/>
      </c>
      <c r="E25" s="10">
        <f>Magus!BN25</f>
        <v/>
      </c>
      <c r="F25" s="10">
        <f>Priest!W25</f>
        <v/>
      </c>
      <c r="G25" s="58">
        <f>IFERROR(D25/C25,0)</f>
        <v/>
      </c>
      <c r="H25" s="58">
        <f>IFERROR(E25/C25,0)</f>
        <v/>
      </c>
      <c r="I25" s="58">
        <f>IFERROR(F25/C25,0)</f>
        <v/>
      </c>
      <c r="J25" s="59">
        <f>Warrior!AO25</f>
        <v/>
      </c>
      <c r="K25" s="59">
        <f>Rogue!AM25</f>
        <v/>
      </c>
      <c r="L25" s="59">
        <f>Magus!BR25</f>
        <v/>
      </c>
      <c r="M25" s="59">
        <f>Priest!Y25</f>
        <v/>
      </c>
      <c r="N25" s="13">
        <f>Warrior!AR25</f>
        <v/>
      </c>
      <c r="O25" s="13">
        <f>Rogue!AP25</f>
        <v/>
      </c>
      <c r="P25" s="13">
        <f>Magus!BU25</f>
        <v/>
      </c>
      <c r="Q25" s="13">
        <f>Priest!AB25</f>
        <v/>
      </c>
      <c r="R25" s="14">
        <f>Warrior!AN25</f>
        <v/>
      </c>
      <c r="S25" s="14">
        <f>Rogue!AL25</f>
        <v/>
      </c>
      <c r="T25" s="14">
        <f>Magus!BK25</f>
        <v/>
      </c>
      <c r="U25" s="13">
        <f>Rogue!AK25</f>
        <v/>
      </c>
      <c r="V25" s="13">
        <f>Warrior!AM25</f>
        <v/>
      </c>
      <c r="W25" s="15">
        <f>Magus!BJ25</f>
        <v/>
      </c>
      <c r="X25" s="16">
        <f>Warrior!AG25</f>
        <v/>
      </c>
      <c r="Y25" s="16">
        <f>Magus!BF25</f>
        <v/>
      </c>
      <c r="Z25" s="17">
        <f>Magus!BP25</f>
        <v/>
      </c>
      <c r="AA25" s="9">
        <f>IFERROR('Mob by Level'!G25/Warrior!AO25*60,0)</f>
        <v/>
      </c>
      <c r="AB25" s="9">
        <f>IFERROR('Mob by Level'!G25/Rogue!AM25*60,0)</f>
        <v/>
      </c>
      <c r="AC25" s="9">
        <f>IFERROR('Mob by Level'!G25/Magus!BR25*60,0)</f>
        <v/>
      </c>
      <c r="AD25" s="9">
        <f>IFERROR('Mob by Level'!G25/Priest!Y25*60,0)</f>
        <v/>
      </c>
    </row>
    <row r="26">
      <c r="A26" s="8" t="n">
        <v>23</v>
      </c>
      <c r="B26" s="9">
        <f>'Mob by Level'!C26</f>
        <v/>
      </c>
      <c r="C26" s="10">
        <f>Warrior!AK26</f>
        <v/>
      </c>
      <c r="D26" s="10">
        <f>Rogue!AI26</f>
        <v/>
      </c>
      <c r="E26" s="10">
        <f>Magus!BN26</f>
        <v/>
      </c>
      <c r="F26" s="10">
        <f>Priest!W26</f>
        <v/>
      </c>
      <c r="G26" s="58">
        <f>IFERROR(D26/C26,0)</f>
        <v/>
      </c>
      <c r="H26" s="58">
        <f>IFERROR(E26/C26,0)</f>
        <v/>
      </c>
      <c r="I26" s="58">
        <f>IFERROR(F26/C26,0)</f>
        <v/>
      </c>
      <c r="J26" s="59">
        <f>Warrior!AO26</f>
        <v/>
      </c>
      <c r="K26" s="59">
        <f>Rogue!AM26</f>
        <v/>
      </c>
      <c r="L26" s="59">
        <f>Magus!BR26</f>
        <v/>
      </c>
      <c r="M26" s="59">
        <f>Priest!Y26</f>
        <v/>
      </c>
      <c r="N26" s="13">
        <f>Warrior!AR26</f>
        <v/>
      </c>
      <c r="O26" s="13">
        <f>Rogue!AP26</f>
        <v/>
      </c>
      <c r="P26" s="13">
        <f>Magus!BU26</f>
        <v/>
      </c>
      <c r="Q26" s="13">
        <f>Priest!AB26</f>
        <v/>
      </c>
      <c r="R26" s="14">
        <f>Warrior!AN26</f>
        <v/>
      </c>
      <c r="S26" s="14">
        <f>Rogue!AL26</f>
        <v/>
      </c>
      <c r="T26" s="14">
        <f>Magus!BK26</f>
        <v/>
      </c>
      <c r="U26" s="13">
        <f>Rogue!AK26</f>
        <v/>
      </c>
      <c r="V26" s="13">
        <f>Warrior!AM26</f>
        <v/>
      </c>
      <c r="W26" s="15">
        <f>Magus!BJ26</f>
        <v/>
      </c>
      <c r="X26" s="16">
        <f>Warrior!AG26</f>
        <v/>
      </c>
      <c r="Y26" s="16">
        <f>Magus!BF26</f>
        <v/>
      </c>
      <c r="Z26" s="17">
        <f>Magus!BP26</f>
        <v/>
      </c>
      <c r="AA26" s="9">
        <f>IFERROR('Mob by Level'!G26/Warrior!AO26*60,0)</f>
        <v/>
      </c>
      <c r="AB26" s="9">
        <f>IFERROR('Mob by Level'!G26/Rogue!AM26*60,0)</f>
        <v/>
      </c>
      <c r="AC26" s="9">
        <f>IFERROR('Mob by Level'!G26/Magus!BR26*60,0)</f>
        <v/>
      </c>
      <c r="AD26" s="9">
        <f>IFERROR('Mob by Level'!G26/Priest!Y26*60,0)</f>
        <v/>
      </c>
    </row>
    <row r="27">
      <c r="A27" s="8" t="n">
        <v>24</v>
      </c>
      <c r="B27" s="9">
        <f>'Mob by Level'!C27</f>
        <v/>
      </c>
      <c r="C27" s="10">
        <f>Warrior!AK27</f>
        <v/>
      </c>
      <c r="D27" s="10">
        <f>Rogue!AI27</f>
        <v/>
      </c>
      <c r="E27" s="10">
        <f>Magus!BN27</f>
        <v/>
      </c>
      <c r="F27" s="10">
        <f>Priest!W27</f>
        <v/>
      </c>
      <c r="G27" s="58">
        <f>IFERROR(D27/C27,0)</f>
        <v/>
      </c>
      <c r="H27" s="58">
        <f>IFERROR(E27/C27,0)</f>
        <v/>
      </c>
      <c r="I27" s="58">
        <f>IFERROR(F27/C27,0)</f>
        <v/>
      </c>
      <c r="J27" s="59">
        <f>Warrior!AO27</f>
        <v/>
      </c>
      <c r="K27" s="59">
        <f>Rogue!AM27</f>
        <v/>
      </c>
      <c r="L27" s="59">
        <f>Magus!BR27</f>
        <v/>
      </c>
      <c r="M27" s="59">
        <f>Priest!Y27</f>
        <v/>
      </c>
      <c r="N27" s="13">
        <f>Warrior!AR27</f>
        <v/>
      </c>
      <c r="O27" s="13">
        <f>Rogue!AP27</f>
        <v/>
      </c>
      <c r="P27" s="13">
        <f>Magus!BU27</f>
        <v/>
      </c>
      <c r="Q27" s="13">
        <f>Priest!AB27</f>
        <v/>
      </c>
      <c r="R27" s="14">
        <f>Warrior!AN27</f>
        <v/>
      </c>
      <c r="S27" s="14">
        <f>Rogue!AL27</f>
        <v/>
      </c>
      <c r="T27" s="14">
        <f>Magus!BK27</f>
        <v/>
      </c>
      <c r="U27" s="13">
        <f>Rogue!AK27</f>
        <v/>
      </c>
      <c r="V27" s="13">
        <f>Warrior!AM27</f>
        <v/>
      </c>
      <c r="W27" s="15">
        <f>Magus!BJ27</f>
        <v/>
      </c>
      <c r="X27" s="16">
        <f>Warrior!AG27</f>
        <v/>
      </c>
      <c r="Y27" s="16">
        <f>Magus!BF27</f>
        <v/>
      </c>
      <c r="Z27" s="17">
        <f>Magus!BP27</f>
        <v/>
      </c>
      <c r="AA27" s="9">
        <f>IFERROR('Mob by Level'!G27/Warrior!AO27*60,0)</f>
        <v/>
      </c>
      <c r="AB27" s="9">
        <f>IFERROR('Mob by Level'!G27/Rogue!AM27*60,0)</f>
        <v/>
      </c>
      <c r="AC27" s="9">
        <f>IFERROR('Mob by Level'!G27/Magus!BR27*60,0)</f>
        <v/>
      </c>
      <c r="AD27" s="9">
        <f>IFERROR('Mob by Level'!G27/Priest!Y27*60,0)</f>
        <v/>
      </c>
    </row>
    <row r="28">
      <c r="A28" s="8" t="n">
        <v>25</v>
      </c>
      <c r="B28" s="9">
        <f>'Mob by Level'!C28</f>
        <v/>
      </c>
      <c r="C28" s="10">
        <f>Warrior!AK28</f>
        <v/>
      </c>
      <c r="D28" s="10">
        <f>Rogue!AI28</f>
        <v/>
      </c>
      <c r="E28" s="10">
        <f>Magus!BN28</f>
        <v/>
      </c>
      <c r="F28" s="10">
        <f>Priest!W28</f>
        <v/>
      </c>
      <c r="G28" s="58">
        <f>IFERROR(D28/C28,0)</f>
        <v/>
      </c>
      <c r="H28" s="58">
        <f>IFERROR(E28/C28,0)</f>
        <v/>
      </c>
      <c r="I28" s="58">
        <f>IFERROR(F28/C28,0)</f>
        <v/>
      </c>
      <c r="J28" s="59">
        <f>Warrior!AO28</f>
        <v/>
      </c>
      <c r="K28" s="59">
        <f>Rogue!AM28</f>
        <v/>
      </c>
      <c r="L28" s="59">
        <f>Magus!BR28</f>
        <v/>
      </c>
      <c r="M28" s="59">
        <f>Priest!Y28</f>
        <v/>
      </c>
      <c r="N28" s="13">
        <f>Warrior!AR28</f>
        <v/>
      </c>
      <c r="O28" s="13">
        <f>Rogue!AP28</f>
        <v/>
      </c>
      <c r="P28" s="13">
        <f>Magus!BU28</f>
        <v/>
      </c>
      <c r="Q28" s="13">
        <f>Priest!AB28</f>
        <v/>
      </c>
      <c r="R28" s="14">
        <f>Warrior!AN28</f>
        <v/>
      </c>
      <c r="S28" s="14">
        <f>Rogue!AL28</f>
        <v/>
      </c>
      <c r="T28" s="14">
        <f>Magus!BK28</f>
        <v/>
      </c>
      <c r="U28" s="13">
        <f>Rogue!AK28</f>
        <v/>
      </c>
      <c r="V28" s="13">
        <f>Warrior!AM28</f>
        <v/>
      </c>
      <c r="W28" s="15">
        <f>Magus!BJ28</f>
        <v/>
      </c>
      <c r="X28" s="16">
        <f>Warrior!AG28</f>
        <v/>
      </c>
      <c r="Y28" s="16">
        <f>Magus!BF28</f>
        <v/>
      </c>
      <c r="Z28" s="17">
        <f>Magus!BP28</f>
        <v/>
      </c>
      <c r="AA28" s="9">
        <f>IFERROR('Mob by Level'!G28/Warrior!AO28*60,0)</f>
        <v/>
      </c>
      <c r="AB28" s="9">
        <f>IFERROR('Mob by Level'!G28/Rogue!AM28*60,0)</f>
        <v/>
      </c>
      <c r="AC28" s="9">
        <f>IFERROR('Mob by Level'!G28/Magus!BR28*60,0)</f>
        <v/>
      </c>
      <c r="AD28" s="9">
        <f>IFERROR('Mob by Level'!G28/Priest!Y28*60,0)</f>
        <v/>
      </c>
    </row>
    <row r="29">
      <c r="A29" s="8" t="n">
        <v>26</v>
      </c>
      <c r="B29" s="9">
        <f>'Mob by Level'!C29</f>
        <v/>
      </c>
      <c r="C29" s="10">
        <f>Warrior!AK29</f>
        <v/>
      </c>
      <c r="D29" s="10">
        <f>Rogue!AI29</f>
        <v/>
      </c>
      <c r="E29" s="10">
        <f>Magus!BN29</f>
        <v/>
      </c>
      <c r="F29" s="10">
        <f>Priest!W29</f>
        <v/>
      </c>
      <c r="G29" s="58">
        <f>IFERROR(D29/C29,0)</f>
        <v/>
      </c>
      <c r="H29" s="58">
        <f>IFERROR(E29/C29,0)</f>
        <v/>
      </c>
      <c r="I29" s="58">
        <f>IFERROR(F29/C29,0)</f>
        <v/>
      </c>
      <c r="J29" s="59">
        <f>Warrior!AO29</f>
        <v/>
      </c>
      <c r="K29" s="59">
        <f>Rogue!AM29</f>
        <v/>
      </c>
      <c r="L29" s="59">
        <f>Magus!BR29</f>
        <v/>
      </c>
      <c r="M29" s="59">
        <f>Priest!Y29</f>
        <v/>
      </c>
      <c r="N29" s="13">
        <f>Warrior!AR29</f>
        <v/>
      </c>
      <c r="O29" s="13">
        <f>Rogue!AP29</f>
        <v/>
      </c>
      <c r="P29" s="13">
        <f>Magus!BU29</f>
        <v/>
      </c>
      <c r="Q29" s="13">
        <f>Priest!AB29</f>
        <v/>
      </c>
      <c r="R29" s="14">
        <f>Warrior!AN29</f>
        <v/>
      </c>
      <c r="S29" s="14">
        <f>Rogue!AL29</f>
        <v/>
      </c>
      <c r="T29" s="14">
        <f>Magus!BK29</f>
        <v/>
      </c>
      <c r="U29" s="13">
        <f>Rogue!AK29</f>
        <v/>
      </c>
      <c r="V29" s="13">
        <f>Warrior!AM29</f>
        <v/>
      </c>
      <c r="W29" s="15">
        <f>Magus!BJ29</f>
        <v/>
      </c>
      <c r="X29" s="16">
        <f>Warrior!AG29</f>
        <v/>
      </c>
      <c r="Y29" s="16">
        <f>Magus!BF29</f>
        <v/>
      </c>
      <c r="Z29" s="17">
        <f>Magus!BP29</f>
        <v/>
      </c>
      <c r="AA29" s="9">
        <f>IFERROR('Mob by Level'!G29/Warrior!AO29*60,0)</f>
        <v/>
      </c>
      <c r="AB29" s="9">
        <f>IFERROR('Mob by Level'!G29/Rogue!AM29*60,0)</f>
        <v/>
      </c>
      <c r="AC29" s="9">
        <f>IFERROR('Mob by Level'!G29/Magus!BR29*60,0)</f>
        <v/>
      </c>
      <c r="AD29" s="9">
        <f>IFERROR('Mob by Level'!G29/Priest!Y29*60,0)</f>
        <v/>
      </c>
    </row>
    <row r="30">
      <c r="A30" s="8" t="n">
        <v>27</v>
      </c>
      <c r="B30" s="9">
        <f>'Mob by Level'!C30</f>
        <v/>
      </c>
      <c r="C30" s="10">
        <f>Warrior!AK30</f>
        <v/>
      </c>
      <c r="D30" s="10">
        <f>Rogue!AI30</f>
        <v/>
      </c>
      <c r="E30" s="10">
        <f>Magus!BN30</f>
        <v/>
      </c>
      <c r="F30" s="10">
        <f>Priest!W30</f>
        <v/>
      </c>
      <c r="G30" s="58">
        <f>IFERROR(D30/C30,0)</f>
        <v/>
      </c>
      <c r="H30" s="58">
        <f>IFERROR(E30/C30,0)</f>
        <v/>
      </c>
      <c r="I30" s="58">
        <f>IFERROR(F30/C30,0)</f>
        <v/>
      </c>
      <c r="J30" s="59">
        <f>Warrior!AO30</f>
        <v/>
      </c>
      <c r="K30" s="59">
        <f>Rogue!AM30</f>
        <v/>
      </c>
      <c r="L30" s="59">
        <f>Magus!BR30</f>
        <v/>
      </c>
      <c r="M30" s="59">
        <f>Priest!Y30</f>
        <v/>
      </c>
      <c r="N30" s="13">
        <f>Warrior!AR30</f>
        <v/>
      </c>
      <c r="O30" s="13">
        <f>Rogue!AP30</f>
        <v/>
      </c>
      <c r="P30" s="13">
        <f>Magus!BU30</f>
        <v/>
      </c>
      <c r="Q30" s="13">
        <f>Priest!AB30</f>
        <v/>
      </c>
      <c r="R30" s="14">
        <f>Warrior!AN30</f>
        <v/>
      </c>
      <c r="S30" s="14">
        <f>Rogue!AL30</f>
        <v/>
      </c>
      <c r="T30" s="14">
        <f>Magus!BK30</f>
        <v/>
      </c>
      <c r="U30" s="13">
        <f>Rogue!AK30</f>
        <v/>
      </c>
      <c r="V30" s="13">
        <f>Warrior!AM30</f>
        <v/>
      </c>
      <c r="W30" s="15">
        <f>Magus!BJ30</f>
        <v/>
      </c>
      <c r="X30" s="16">
        <f>Warrior!AG30</f>
        <v/>
      </c>
      <c r="Y30" s="16">
        <f>Magus!BF30</f>
        <v/>
      </c>
      <c r="Z30" s="17">
        <f>Magus!BP30</f>
        <v/>
      </c>
      <c r="AA30" s="9">
        <f>IFERROR('Mob by Level'!G30/Warrior!AO30*60,0)</f>
        <v/>
      </c>
      <c r="AB30" s="9">
        <f>IFERROR('Mob by Level'!G30/Rogue!AM30*60,0)</f>
        <v/>
      </c>
      <c r="AC30" s="9">
        <f>IFERROR('Mob by Level'!G30/Magus!BR30*60,0)</f>
        <v/>
      </c>
      <c r="AD30" s="9">
        <f>IFERROR('Mob by Level'!G30/Priest!Y30*60,0)</f>
        <v/>
      </c>
    </row>
    <row r="31">
      <c r="A31" s="8" t="n">
        <v>28</v>
      </c>
      <c r="B31" s="9">
        <f>'Mob by Level'!C31</f>
        <v/>
      </c>
      <c r="C31" s="10">
        <f>Warrior!AK31</f>
        <v/>
      </c>
      <c r="D31" s="10">
        <f>Rogue!AI31</f>
        <v/>
      </c>
      <c r="E31" s="10">
        <f>Magus!BN31</f>
        <v/>
      </c>
      <c r="F31" s="10">
        <f>Priest!W31</f>
        <v/>
      </c>
      <c r="G31" s="58">
        <f>IFERROR(D31/C31,0)</f>
        <v/>
      </c>
      <c r="H31" s="58">
        <f>IFERROR(E31/C31,0)</f>
        <v/>
      </c>
      <c r="I31" s="58">
        <f>IFERROR(F31/C31,0)</f>
        <v/>
      </c>
      <c r="J31" s="59">
        <f>Warrior!AO31</f>
        <v/>
      </c>
      <c r="K31" s="59">
        <f>Rogue!AM31</f>
        <v/>
      </c>
      <c r="L31" s="59">
        <f>Magus!BR31</f>
        <v/>
      </c>
      <c r="M31" s="59">
        <f>Priest!Y31</f>
        <v/>
      </c>
      <c r="N31" s="13">
        <f>Warrior!AR31</f>
        <v/>
      </c>
      <c r="O31" s="13">
        <f>Rogue!AP31</f>
        <v/>
      </c>
      <c r="P31" s="13">
        <f>Magus!BU31</f>
        <v/>
      </c>
      <c r="Q31" s="13">
        <f>Priest!AB31</f>
        <v/>
      </c>
      <c r="R31" s="14">
        <f>Warrior!AN31</f>
        <v/>
      </c>
      <c r="S31" s="14">
        <f>Rogue!AL31</f>
        <v/>
      </c>
      <c r="T31" s="14">
        <f>Magus!BK31</f>
        <v/>
      </c>
      <c r="U31" s="13">
        <f>Rogue!AK31</f>
        <v/>
      </c>
      <c r="V31" s="13">
        <f>Warrior!AM31</f>
        <v/>
      </c>
      <c r="W31" s="15">
        <f>Magus!BJ31</f>
        <v/>
      </c>
      <c r="X31" s="16">
        <f>Warrior!AG31</f>
        <v/>
      </c>
      <c r="Y31" s="16">
        <f>Magus!BF31</f>
        <v/>
      </c>
      <c r="Z31" s="17">
        <f>Magus!BP31</f>
        <v/>
      </c>
      <c r="AA31" s="9">
        <f>IFERROR('Mob by Level'!G31/Warrior!AO31*60,0)</f>
        <v/>
      </c>
      <c r="AB31" s="9">
        <f>IFERROR('Mob by Level'!G31/Rogue!AM31*60,0)</f>
        <v/>
      </c>
      <c r="AC31" s="9">
        <f>IFERROR('Mob by Level'!G31/Magus!BR31*60,0)</f>
        <v/>
      </c>
      <c r="AD31" s="9">
        <f>IFERROR('Mob by Level'!G31/Priest!Y31*60,0)</f>
        <v/>
      </c>
    </row>
    <row r="32">
      <c r="A32" s="8" t="n">
        <v>29</v>
      </c>
      <c r="B32" s="9">
        <f>'Mob by Level'!C32</f>
        <v/>
      </c>
      <c r="C32" s="10">
        <f>Warrior!AK32</f>
        <v/>
      </c>
      <c r="D32" s="10">
        <f>Rogue!AI32</f>
        <v/>
      </c>
      <c r="E32" s="10">
        <f>Magus!BN32</f>
        <v/>
      </c>
      <c r="F32" s="10">
        <f>Priest!W32</f>
        <v/>
      </c>
      <c r="G32" s="58">
        <f>IFERROR(D32/C32,0)</f>
        <v/>
      </c>
      <c r="H32" s="58">
        <f>IFERROR(E32/C32,0)</f>
        <v/>
      </c>
      <c r="I32" s="58">
        <f>IFERROR(F32/C32,0)</f>
        <v/>
      </c>
      <c r="J32" s="59">
        <f>Warrior!AO32</f>
        <v/>
      </c>
      <c r="K32" s="59">
        <f>Rogue!AM32</f>
        <v/>
      </c>
      <c r="L32" s="59">
        <f>Magus!BR32</f>
        <v/>
      </c>
      <c r="M32" s="59">
        <f>Priest!Y32</f>
        <v/>
      </c>
      <c r="N32" s="13">
        <f>Warrior!AR32</f>
        <v/>
      </c>
      <c r="O32" s="13">
        <f>Rogue!AP32</f>
        <v/>
      </c>
      <c r="P32" s="13">
        <f>Magus!BU32</f>
        <v/>
      </c>
      <c r="Q32" s="13">
        <f>Priest!AB32</f>
        <v/>
      </c>
      <c r="R32" s="14">
        <f>Warrior!AN32</f>
        <v/>
      </c>
      <c r="S32" s="14">
        <f>Rogue!AL32</f>
        <v/>
      </c>
      <c r="T32" s="14">
        <f>Magus!BK32</f>
        <v/>
      </c>
      <c r="U32" s="13">
        <f>Rogue!AK32</f>
        <v/>
      </c>
      <c r="V32" s="13">
        <f>Warrior!AM32</f>
        <v/>
      </c>
      <c r="W32" s="15">
        <f>Magus!BJ32</f>
        <v/>
      </c>
      <c r="X32" s="16">
        <f>Warrior!AG32</f>
        <v/>
      </c>
      <c r="Y32" s="16">
        <f>Magus!BF32</f>
        <v/>
      </c>
      <c r="Z32" s="17">
        <f>Magus!BP32</f>
        <v/>
      </c>
      <c r="AA32" s="9">
        <f>IFERROR('Mob by Level'!G32/Warrior!AO32*60,0)</f>
        <v/>
      </c>
      <c r="AB32" s="9">
        <f>IFERROR('Mob by Level'!G32/Rogue!AM32*60,0)</f>
        <v/>
      </c>
      <c r="AC32" s="9">
        <f>IFERROR('Mob by Level'!G32/Magus!BR32*60,0)</f>
        <v/>
      </c>
      <c r="AD32" s="9">
        <f>IFERROR('Mob by Level'!G32/Priest!Y32*60,0)</f>
        <v/>
      </c>
    </row>
    <row r="33">
      <c r="A33" s="8" t="n">
        <v>30</v>
      </c>
      <c r="B33" s="9">
        <f>'Mob by Level'!C33</f>
        <v/>
      </c>
      <c r="C33" s="10">
        <f>Warrior!AK33</f>
        <v/>
      </c>
      <c r="D33" s="10">
        <f>Rogue!AI33</f>
        <v/>
      </c>
      <c r="E33" s="10">
        <f>Magus!BN33</f>
        <v/>
      </c>
      <c r="F33" s="10">
        <f>Priest!W33</f>
        <v/>
      </c>
      <c r="G33" s="58">
        <f>IFERROR(D33/C33,0)</f>
        <v/>
      </c>
      <c r="H33" s="58">
        <f>IFERROR(E33/C33,0)</f>
        <v/>
      </c>
      <c r="I33" s="58">
        <f>IFERROR(F33/C33,0)</f>
        <v/>
      </c>
      <c r="J33" s="59">
        <f>Warrior!AO33</f>
        <v/>
      </c>
      <c r="K33" s="59">
        <f>Rogue!AM33</f>
        <v/>
      </c>
      <c r="L33" s="59">
        <f>Magus!BR33</f>
        <v/>
      </c>
      <c r="M33" s="59">
        <f>Priest!Y33</f>
        <v/>
      </c>
      <c r="N33" s="13">
        <f>Warrior!AR33</f>
        <v/>
      </c>
      <c r="O33" s="13">
        <f>Rogue!AP33</f>
        <v/>
      </c>
      <c r="P33" s="13">
        <f>Magus!BU33</f>
        <v/>
      </c>
      <c r="Q33" s="13">
        <f>Priest!AB33</f>
        <v/>
      </c>
      <c r="R33" s="14">
        <f>Warrior!AN33</f>
        <v/>
      </c>
      <c r="S33" s="14">
        <f>Rogue!AL33</f>
        <v/>
      </c>
      <c r="T33" s="14">
        <f>Magus!BK33</f>
        <v/>
      </c>
      <c r="U33" s="13">
        <f>Rogue!AK33</f>
        <v/>
      </c>
      <c r="V33" s="13">
        <f>Warrior!AM33</f>
        <v/>
      </c>
      <c r="W33" s="15">
        <f>Magus!BJ33</f>
        <v/>
      </c>
      <c r="X33" s="16">
        <f>Warrior!AG33</f>
        <v/>
      </c>
      <c r="Y33" s="16">
        <f>Magus!BF33</f>
        <v/>
      </c>
      <c r="Z33" s="17">
        <f>Magus!BP33</f>
        <v/>
      </c>
      <c r="AA33" s="9">
        <f>IFERROR('Mob by Level'!G33/Warrior!AO33*60,0)</f>
        <v/>
      </c>
      <c r="AB33" s="9">
        <f>IFERROR('Mob by Level'!G33/Rogue!AM33*60,0)</f>
        <v/>
      </c>
      <c r="AC33" s="9">
        <f>IFERROR('Mob by Level'!G33/Magus!BR33*60,0)</f>
        <v/>
      </c>
      <c r="AD33" s="9">
        <f>IFERROR('Mob by Level'!G33/Priest!Y33*60,0)</f>
        <v/>
      </c>
    </row>
    <row r="34">
      <c r="A34" s="8" t="n">
        <v>31</v>
      </c>
      <c r="B34" s="9">
        <f>'Mob by Level'!C34</f>
        <v/>
      </c>
      <c r="C34" s="10">
        <f>Warrior!AK34</f>
        <v/>
      </c>
      <c r="D34" s="10">
        <f>Rogue!AI34</f>
        <v/>
      </c>
      <c r="E34" s="10">
        <f>Magus!BN34</f>
        <v/>
      </c>
      <c r="F34" s="10">
        <f>Priest!W34</f>
        <v/>
      </c>
      <c r="G34" s="58">
        <f>IFERROR(D34/C34,0)</f>
        <v/>
      </c>
      <c r="H34" s="58">
        <f>IFERROR(E34/C34,0)</f>
        <v/>
      </c>
      <c r="I34" s="58">
        <f>IFERROR(F34/C34,0)</f>
        <v/>
      </c>
      <c r="J34" s="59">
        <f>Warrior!AO34</f>
        <v/>
      </c>
      <c r="K34" s="59">
        <f>Rogue!AM34</f>
        <v/>
      </c>
      <c r="L34" s="59">
        <f>Magus!BR34</f>
        <v/>
      </c>
      <c r="M34" s="59">
        <f>Priest!Y34</f>
        <v/>
      </c>
      <c r="N34" s="13">
        <f>Warrior!AR34</f>
        <v/>
      </c>
      <c r="O34" s="13">
        <f>Rogue!AP34</f>
        <v/>
      </c>
      <c r="P34" s="13">
        <f>Magus!BU34</f>
        <v/>
      </c>
      <c r="Q34" s="13">
        <f>Priest!AB34</f>
        <v/>
      </c>
      <c r="R34" s="14">
        <f>Warrior!AN34</f>
        <v/>
      </c>
      <c r="S34" s="14">
        <f>Rogue!AL34</f>
        <v/>
      </c>
      <c r="T34" s="14">
        <f>Magus!BK34</f>
        <v/>
      </c>
      <c r="U34" s="13">
        <f>Rogue!AK34</f>
        <v/>
      </c>
      <c r="V34" s="13">
        <f>Warrior!AM34</f>
        <v/>
      </c>
      <c r="W34" s="15">
        <f>Magus!BJ34</f>
        <v/>
      </c>
      <c r="X34" s="16">
        <f>Warrior!AG34</f>
        <v/>
      </c>
      <c r="Y34" s="16">
        <f>Magus!BF34</f>
        <v/>
      </c>
      <c r="Z34" s="17">
        <f>Magus!BP34</f>
        <v/>
      </c>
      <c r="AA34" s="9">
        <f>IFERROR('Mob by Level'!G34/Warrior!AO34*60,0)</f>
        <v/>
      </c>
      <c r="AB34" s="9">
        <f>IFERROR('Mob by Level'!G34/Rogue!AM34*60,0)</f>
        <v/>
      </c>
      <c r="AC34" s="9">
        <f>IFERROR('Mob by Level'!G34/Magus!BR34*60,0)</f>
        <v/>
      </c>
      <c r="AD34" s="9">
        <f>IFERROR('Mob by Level'!G34/Priest!Y34*60,0)</f>
        <v/>
      </c>
    </row>
    <row r="35">
      <c r="A35" s="8" t="n">
        <v>32</v>
      </c>
      <c r="B35" s="9">
        <f>'Mob by Level'!C35</f>
        <v/>
      </c>
      <c r="C35" s="10">
        <f>Warrior!AK35</f>
        <v/>
      </c>
      <c r="D35" s="10">
        <f>Rogue!AI35</f>
        <v/>
      </c>
      <c r="E35" s="10">
        <f>Magus!BN35</f>
        <v/>
      </c>
      <c r="F35" s="10">
        <f>Priest!W35</f>
        <v/>
      </c>
      <c r="G35" s="58">
        <f>IFERROR(D35/C35,0)</f>
        <v/>
      </c>
      <c r="H35" s="58">
        <f>IFERROR(E35/C35,0)</f>
        <v/>
      </c>
      <c r="I35" s="58">
        <f>IFERROR(F35/C35,0)</f>
        <v/>
      </c>
      <c r="J35" s="59">
        <f>Warrior!AO35</f>
        <v/>
      </c>
      <c r="K35" s="59">
        <f>Rogue!AM35</f>
        <v/>
      </c>
      <c r="L35" s="59">
        <f>Magus!BR35</f>
        <v/>
      </c>
      <c r="M35" s="59">
        <f>Priest!Y35</f>
        <v/>
      </c>
      <c r="N35" s="13">
        <f>Warrior!AR35</f>
        <v/>
      </c>
      <c r="O35" s="13">
        <f>Rogue!AP35</f>
        <v/>
      </c>
      <c r="P35" s="13">
        <f>Magus!BU35</f>
        <v/>
      </c>
      <c r="Q35" s="13">
        <f>Priest!AB35</f>
        <v/>
      </c>
      <c r="R35" s="14">
        <f>Warrior!AN35</f>
        <v/>
      </c>
      <c r="S35" s="14">
        <f>Rogue!AL35</f>
        <v/>
      </c>
      <c r="T35" s="14">
        <f>Magus!BK35</f>
        <v/>
      </c>
      <c r="U35" s="13">
        <f>Rogue!AK35</f>
        <v/>
      </c>
      <c r="V35" s="13">
        <f>Warrior!AM35</f>
        <v/>
      </c>
      <c r="W35" s="15">
        <f>Magus!BJ35</f>
        <v/>
      </c>
      <c r="X35" s="16">
        <f>Warrior!AG35</f>
        <v/>
      </c>
      <c r="Y35" s="16">
        <f>Magus!BF35</f>
        <v/>
      </c>
      <c r="Z35" s="17">
        <f>Magus!BP35</f>
        <v/>
      </c>
      <c r="AA35" s="9">
        <f>IFERROR('Mob by Level'!G35/Warrior!AO35*60,0)</f>
        <v/>
      </c>
      <c r="AB35" s="9">
        <f>IFERROR('Mob by Level'!G35/Rogue!AM35*60,0)</f>
        <v/>
      </c>
      <c r="AC35" s="9">
        <f>IFERROR('Mob by Level'!G35/Magus!BR35*60,0)</f>
        <v/>
      </c>
      <c r="AD35" s="9">
        <f>IFERROR('Mob by Level'!G35/Priest!Y35*60,0)</f>
        <v/>
      </c>
    </row>
    <row r="36">
      <c r="A36" s="8" t="n">
        <v>33</v>
      </c>
      <c r="B36" s="9">
        <f>'Mob by Level'!C36</f>
        <v/>
      </c>
      <c r="C36" s="10">
        <f>Warrior!AK36</f>
        <v/>
      </c>
      <c r="D36" s="10">
        <f>Rogue!AI36</f>
        <v/>
      </c>
      <c r="E36" s="10">
        <f>Magus!BN36</f>
        <v/>
      </c>
      <c r="F36" s="10">
        <f>Priest!W36</f>
        <v/>
      </c>
      <c r="G36" s="58">
        <f>IFERROR(D36/C36,0)</f>
        <v/>
      </c>
      <c r="H36" s="58">
        <f>IFERROR(E36/C36,0)</f>
        <v/>
      </c>
      <c r="I36" s="58">
        <f>IFERROR(F36/C36,0)</f>
        <v/>
      </c>
      <c r="J36" s="59">
        <f>Warrior!AO36</f>
        <v/>
      </c>
      <c r="K36" s="59">
        <f>Rogue!AM36</f>
        <v/>
      </c>
      <c r="L36" s="59">
        <f>Magus!BR36</f>
        <v/>
      </c>
      <c r="M36" s="59">
        <f>Priest!Y36</f>
        <v/>
      </c>
      <c r="N36" s="13">
        <f>Warrior!AR36</f>
        <v/>
      </c>
      <c r="O36" s="13">
        <f>Rogue!AP36</f>
        <v/>
      </c>
      <c r="P36" s="13">
        <f>Magus!BU36</f>
        <v/>
      </c>
      <c r="Q36" s="13">
        <f>Priest!AB36</f>
        <v/>
      </c>
      <c r="R36" s="14">
        <f>Warrior!AN36</f>
        <v/>
      </c>
      <c r="S36" s="14">
        <f>Rogue!AL36</f>
        <v/>
      </c>
      <c r="T36" s="14">
        <f>Magus!BK36</f>
        <v/>
      </c>
      <c r="U36" s="13">
        <f>Rogue!AK36</f>
        <v/>
      </c>
      <c r="V36" s="13">
        <f>Warrior!AM36</f>
        <v/>
      </c>
      <c r="W36" s="15">
        <f>Magus!BJ36</f>
        <v/>
      </c>
      <c r="X36" s="16">
        <f>Warrior!AG36</f>
        <v/>
      </c>
      <c r="Y36" s="16">
        <f>Magus!BF36</f>
        <v/>
      </c>
      <c r="Z36" s="17">
        <f>Magus!BP36</f>
        <v/>
      </c>
      <c r="AA36" s="9">
        <f>IFERROR('Mob by Level'!G36/Warrior!AO36*60,0)</f>
        <v/>
      </c>
      <c r="AB36" s="9">
        <f>IFERROR('Mob by Level'!G36/Rogue!AM36*60,0)</f>
        <v/>
      </c>
      <c r="AC36" s="9">
        <f>IFERROR('Mob by Level'!G36/Magus!BR36*60,0)</f>
        <v/>
      </c>
      <c r="AD36" s="9">
        <f>IFERROR('Mob by Level'!G36/Priest!Y36*60,0)</f>
        <v/>
      </c>
    </row>
    <row r="37">
      <c r="A37" s="8" t="n">
        <v>34</v>
      </c>
      <c r="B37" s="9">
        <f>'Mob by Level'!C37</f>
        <v/>
      </c>
      <c r="C37" s="10">
        <f>Warrior!AK37</f>
        <v/>
      </c>
      <c r="D37" s="10">
        <f>Rogue!AI37</f>
        <v/>
      </c>
      <c r="E37" s="10">
        <f>Magus!BN37</f>
        <v/>
      </c>
      <c r="F37" s="10">
        <f>Priest!W37</f>
        <v/>
      </c>
      <c r="G37" s="58">
        <f>IFERROR(D37/C37,0)</f>
        <v/>
      </c>
      <c r="H37" s="58">
        <f>IFERROR(E37/C37,0)</f>
        <v/>
      </c>
      <c r="I37" s="58">
        <f>IFERROR(F37/C37,0)</f>
        <v/>
      </c>
      <c r="J37" s="59">
        <f>Warrior!AO37</f>
        <v/>
      </c>
      <c r="K37" s="59">
        <f>Rogue!AM37</f>
        <v/>
      </c>
      <c r="L37" s="59">
        <f>Magus!BR37</f>
        <v/>
      </c>
      <c r="M37" s="59">
        <f>Priest!Y37</f>
        <v/>
      </c>
      <c r="N37" s="13">
        <f>Warrior!AR37</f>
        <v/>
      </c>
      <c r="O37" s="13">
        <f>Rogue!AP37</f>
        <v/>
      </c>
      <c r="P37" s="13">
        <f>Magus!BU37</f>
        <v/>
      </c>
      <c r="Q37" s="13">
        <f>Priest!AB37</f>
        <v/>
      </c>
      <c r="R37" s="14">
        <f>Warrior!AN37</f>
        <v/>
      </c>
      <c r="S37" s="14">
        <f>Rogue!AL37</f>
        <v/>
      </c>
      <c r="T37" s="14">
        <f>Magus!BK37</f>
        <v/>
      </c>
      <c r="U37" s="13">
        <f>Rogue!AK37</f>
        <v/>
      </c>
      <c r="V37" s="13">
        <f>Warrior!AM37</f>
        <v/>
      </c>
      <c r="W37" s="15">
        <f>Magus!BJ37</f>
        <v/>
      </c>
      <c r="X37" s="16">
        <f>Warrior!AG37</f>
        <v/>
      </c>
      <c r="Y37" s="16">
        <f>Magus!BF37</f>
        <v/>
      </c>
      <c r="Z37" s="17">
        <f>Magus!BP37</f>
        <v/>
      </c>
      <c r="AA37" s="9">
        <f>IFERROR('Mob by Level'!G37/Warrior!AO37*60,0)</f>
        <v/>
      </c>
      <c r="AB37" s="9">
        <f>IFERROR('Mob by Level'!G37/Rogue!AM37*60,0)</f>
        <v/>
      </c>
      <c r="AC37" s="9">
        <f>IFERROR('Mob by Level'!G37/Magus!BR37*60,0)</f>
        <v/>
      </c>
      <c r="AD37" s="9">
        <f>IFERROR('Mob by Level'!G37/Priest!Y37*60,0)</f>
        <v/>
      </c>
    </row>
    <row r="38">
      <c r="A38" s="8" t="n">
        <v>35</v>
      </c>
      <c r="B38" s="9">
        <f>'Mob by Level'!C38</f>
        <v/>
      </c>
      <c r="C38" s="10">
        <f>Warrior!AK38</f>
        <v/>
      </c>
      <c r="D38" s="10">
        <f>Rogue!AI38</f>
        <v/>
      </c>
      <c r="E38" s="10">
        <f>Magus!BN38</f>
        <v/>
      </c>
      <c r="F38" s="10">
        <f>Priest!W38</f>
        <v/>
      </c>
      <c r="G38" s="58">
        <f>IFERROR(D38/C38,0)</f>
        <v/>
      </c>
      <c r="H38" s="58">
        <f>IFERROR(E38/C38,0)</f>
        <v/>
      </c>
      <c r="I38" s="58">
        <f>IFERROR(F38/C38,0)</f>
        <v/>
      </c>
      <c r="J38" s="59">
        <f>Warrior!AO38</f>
        <v/>
      </c>
      <c r="K38" s="59">
        <f>Rogue!AM38</f>
        <v/>
      </c>
      <c r="L38" s="59">
        <f>Magus!BR38</f>
        <v/>
      </c>
      <c r="M38" s="59">
        <f>Priest!Y38</f>
        <v/>
      </c>
      <c r="N38" s="13">
        <f>Warrior!AR38</f>
        <v/>
      </c>
      <c r="O38" s="13">
        <f>Rogue!AP38</f>
        <v/>
      </c>
      <c r="P38" s="13">
        <f>Magus!BU38</f>
        <v/>
      </c>
      <c r="Q38" s="13">
        <f>Priest!AB38</f>
        <v/>
      </c>
      <c r="R38" s="14">
        <f>Warrior!AN38</f>
        <v/>
      </c>
      <c r="S38" s="14">
        <f>Rogue!AL38</f>
        <v/>
      </c>
      <c r="T38" s="14">
        <f>Magus!BK38</f>
        <v/>
      </c>
      <c r="U38" s="13">
        <f>Rogue!AK38</f>
        <v/>
      </c>
      <c r="V38" s="13">
        <f>Warrior!AM38</f>
        <v/>
      </c>
      <c r="W38" s="15">
        <f>Magus!BJ38</f>
        <v/>
      </c>
      <c r="X38" s="16">
        <f>Warrior!AG38</f>
        <v/>
      </c>
      <c r="Y38" s="16">
        <f>Magus!BF38</f>
        <v/>
      </c>
      <c r="Z38" s="17">
        <f>Magus!BP38</f>
        <v/>
      </c>
      <c r="AA38" s="9">
        <f>IFERROR('Mob by Level'!G38/Warrior!AO38*60,0)</f>
        <v/>
      </c>
      <c r="AB38" s="9">
        <f>IFERROR('Mob by Level'!G38/Rogue!AM38*60,0)</f>
        <v/>
      </c>
      <c r="AC38" s="9">
        <f>IFERROR('Mob by Level'!G38/Magus!BR38*60,0)</f>
        <v/>
      </c>
      <c r="AD38" s="9">
        <f>IFERROR('Mob by Level'!G38/Priest!Y38*60,0)</f>
        <v/>
      </c>
    </row>
    <row r="39">
      <c r="A39" s="8" t="n">
        <v>36</v>
      </c>
      <c r="B39" s="9">
        <f>'Mob by Level'!C39</f>
        <v/>
      </c>
      <c r="C39" s="10">
        <f>Warrior!AK39</f>
        <v/>
      </c>
      <c r="D39" s="10">
        <f>Rogue!AI39</f>
        <v/>
      </c>
      <c r="E39" s="10">
        <f>Magus!BN39</f>
        <v/>
      </c>
      <c r="F39" s="10">
        <f>Priest!W39</f>
        <v/>
      </c>
      <c r="G39" s="58">
        <f>IFERROR(D39/C39,0)</f>
        <v/>
      </c>
      <c r="H39" s="58">
        <f>IFERROR(E39/C39,0)</f>
        <v/>
      </c>
      <c r="I39" s="58">
        <f>IFERROR(F39/C39,0)</f>
        <v/>
      </c>
      <c r="J39" s="59">
        <f>Warrior!AO39</f>
        <v/>
      </c>
      <c r="K39" s="59">
        <f>Rogue!AM39</f>
        <v/>
      </c>
      <c r="L39" s="59">
        <f>Magus!BR39</f>
        <v/>
      </c>
      <c r="M39" s="59">
        <f>Priest!Y39</f>
        <v/>
      </c>
      <c r="N39" s="13">
        <f>Warrior!AR39</f>
        <v/>
      </c>
      <c r="O39" s="13">
        <f>Rogue!AP39</f>
        <v/>
      </c>
      <c r="P39" s="13">
        <f>Magus!BU39</f>
        <v/>
      </c>
      <c r="Q39" s="13">
        <f>Priest!AB39</f>
        <v/>
      </c>
      <c r="R39" s="14">
        <f>Warrior!AN39</f>
        <v/>
      </c>
      <c r="S39" s="14">
        <f>Rogue!AL39</f>
        <v/>
      </c>
      <c r="T39" s="14">
        <f>Magus!BK39</f>
        <v/>
      </c>
      <c r="U39" s="13">
        <f>Rogue!AK39</f>
        <v/>
      </c>
      <c r="V39" s="13">
        <f>Warrior!AM39</f>
        <v/>
      </c>
      <c r="W39" s="15">
        <f>Magus!BJ39</f>
        <v/>
      </c>
      <c r="X39" s="16">
        <f>Warrior!AG39</f>
        <v/>
      </c>
      <c r="Y39" s="16">
        <f>Magus!BF39</f>
        <v/>
      </c>
      <c r="Z39" s="17">
        <f>Magus!BP39</f>
        <v/>
      </c>
      <c r="AA39" s="9">
        <f>IFERROR('Mob by Level'!G39/Warrior!AO39*60,0)</f>
        <v/>
      </c>
      <c r="AB39" s="9">
        <f>IFERROR('Mob by Level'!G39/Rogue!AM39*60,0)</f>
        <v/>
      </c>
      <c r="AC39" s="9">
        <f>IFERROR('Mob by Level'!G39/Magus!BR39*60,0)</f>
        <v/>
      </c>
      <c r="AD39" s="9">
        <f>IFERROR('Mob by Level'!G39/Priest!Y39*60,0)</f>
        <v/>
      </c>
    </row>
    <row r="40">
      <c r="A40" s="8" t="n">
        <v>37</v>
      </c>
      <c r="B40" s="9">
        <f>'Mob by Level'!C40</f>
        <v/>
      </c>
      <c r="C40" s="10">
        <f>Warrior!AK40</f>
        <v/>
      </c>
      <c r="D40" s="10">
        <f>Rogue!AI40</f>
        <v/>
      </c>
      <c r="E40" s="10">
        <f>Magus!BN40</f>
        <v/>
      </c>
      <c r="F40" s="10">
        <f>Priest!W40</f>
        <v/>
      </c>
      <c r="G40" s="58">
        <f>IFERROR(D40/C40,0)</f>
        <v/>
      </c>
      <c r="H40" s="58">
        <f>IFERROR(E40/C40,0)</f>
        <v/>
      </c>
      <c r="I40" s="58">
        <f>IFERROR(F40/C40,0)</f>
        <v/>
      </c>
      <c r="J40" s="59">
        <f>Warrior!AO40</f>
        <v/>
      </c>
      <c r="K40" s="59">
        <f>Rogue!AM40</f>
        <v/>
      </c>
      <c r="L40" s="59">
        <f>Magus!BR40</f>
        <v/>
      </c>
      <c r="M40" s="59">
        <f>Priest!Y40</f>
        <v/>
      </c>
      <c r="N40" s="13">
        <f>Warrior!AR40</f>
        <v/>
      </c>
      <c r="O40" s="13">
        <f>Rogue!AP40</f>
        <v/>
      </c>
      <c r="P40" s="13">
        <f>Magus!BU40</f>
        <v/>
      </c>
      <c r="Q40" s="13">
        <f>Priest!AB40</f>
        <v/>
      </c>
      <c r="R40" s="14">
        <f>Warrior!AN40</f>
        <v/>
      </c>
      <c r="S40" s="14">
        <f>Rogue!AL40</f>
        <v/>
      </c>
      <c r="T40" s="14">
        <f>Magus!BK40</f>
        <v/>
      </c>
      <c r="U40" s="13">
        <f>Rogue!AK40</f>
        <v/>
      </c>
      <c r="V40" s="13">
        <f>Warrior!AM40</f>
        <v/>
      </c>
      <c r="W40" s="15">
        <f>Magus!BJ40</f>
        <v/>
      </c>
      <c r="X40" s="16">
        <f>Warrior!AG40</f>
        <v/>
      </c>
      <c r="Y40" s="16">
        <f>Magus!BF40</f>
        <v/>
      </c>
      <c r="Z40" s="17">
        <f>Magus!BP40</f>
        <v/>
      </c>
      <c r="AA40" s="9">
        <f>IFERROR('Mob by Level'!G40/Warrior!AO40*60,0)</f>
        <v/>
      </c>
      <c r="AB40" s="9">
        <f>IFERROR('Mob by Level'!G40/Rogue!AM40*60,0)</f>
        <v/>
      </c>
      <c r="AC40" s="9">
        <f>IFERROR('Mob by Level'!G40/Magus!BR40*60,0)</f>
        <v/>
      </c>
      <c r="AD40" s="9">
        <f>IFERROR('Mob by Level'!G40/Priest!Y40*60,0)</f>
        <v/>
      </c>
    </row>
    <row r="41">
      <c r="A41" s="8" t="n">
        <v>38</v>
      </c>
      <c r="B41" s="9">
        <f>'Mob by Level'!C41</f>
        <v/>
      </c>
      <c r="C41" s="10">
        <f>Warrior!AK41</f>
        <v/>
      </c>
      <c r="D41" s="10">
        <f>Rogue!AI41</f>
        <v/>
      </c>
      <c r="E41" s="10">
        <f>Magus!BN41</f>
        <v/>
      </c>
      <c r="F41" s="10">
        <f>Priest!W41</f>
        <v/>
      </c>
      <c r="G41" s="58">
        <f>IFERROR(D41/C41,0)</f>
        <v/>
      </c>
      <c r="H41" s="58">
        <f>IFERROR(E41/C41,0)</f>
        <v/>
      </c>
      <c r="I41" s="58">
        <f>IFERROR(F41/C41,0)</f>
        <v/>
      </c>
      <c r="J41" s="59">
        <f>Warrior!AO41</f>
        <v/>
      </c>
      <c r="K41" s="59">
        <f>Rogue!AM41</f>
        <v/>
      </c>
      <c r="L41" s="59">
        <f>Magus!BR41</f>
        <v/>
      </c>
      <c r="M41" s="59">
        <f>Priest!Y41</f>
        <v/>
      </c>
      <c r="N41" s="13">
        <f>Warrior!AR41</f>
        <v/>
      </c>
      <c r="O41" s="13">
        <f>Rogue!AP41</f>
        <v/>
      </c>
      <c r="P41" s="13">
        <f>Magus!BU41</f>
        <v/>
      </c>
      <c r="Q41" s="13">
        <f>Priest!AB41</f>
        <v/>
      </c>
      <c r="R41" s="14">
        <f>Warrior!AN41</f>
        <v/>
      </c>
      <c r="S41" s="14">
        <f>Rogue!AL41</f>
        <v/>
      </c>
      <c r="T41" s="14">
        <f>Magus!BK41</f>
        <v/>
      </c>
      <c r="U41" s="13">
        <f>Rogue!AK41</f>
        <v/>
      </c>
      <c r="V41" s="13">
        <f>Warrior!AM41</f>
        <v/>
      </c>
      <c r="W41" s="15">
        <f>Magus!BJ41</f>
        <v/>
      </c>
      <c r="X41" s="16">
        <f>Warrior!AG41</f>
        <v/>
      </c>
      <c r="Y41" s="16">
        <f>Magus!BF41</f>
        <v/>
      </c>
      <c r="Z41" s="17">
        <f>Magus!BP41</f>
        <v/>
      </c>
      <c r="AA41" s="9">
        <f>IFERROR('Mob by Level'!G41/Warrior!AO41*60,0)</f>
        <v/>
      </c>
      <c r="AB41" s="9">
        <f>IFERROR('Mob by Level'!G41/Rogue!AM41*60,0)</f>
        <v/>
      </c>
      <c r="AC41" s="9">
        <f>IFERROR('Mob by Level'!G41/Magus!BR41*60,0)</f>
        <v/>
      </c>
      <c r="AD41" s="9">
        <f>IFERROR('Mob by Level'!G41/Priest!Y41*60,0)</f>
        <v/>
      </c>
    </row>
    <row r="42">
      <c r="A42" s="8" t="n">
        <v>39</v>
      </c>
      <c r="B42" s="9">
        <f>'Mob by Level'!C42</f>
        <v/>
      </c>
      <c r="C42" s="10">
        <f>Warrior!AK42</f>
        <v/>
      </c>
      <c r="D42" s="10">
        <f>Rogue!AI42</f>
        <v/>
      </c>
      <c r="E42" s="10">
        <f>Magus!BN42</f>
        <v/>
      </c>
      <c r="F42" s="10">
        <f>Priest!W42</f>
        <v/>
      </c>
      <c r="G42" s="58">
        <f>IFERROR(D42/C42,0)</f>
        <v/>
      </c>
      <c r="H42" s="58">
        <f>IFERROR(E42/C42,0)</f>
        <v/>
      </c>
      <c r="I42" s="58">
        <f>IFERROR(F42/C42,0)</f>
        <v/>
      </c>
      <c r="J42" s="59">
        <f>Warrior!AO42</f>
        <v/>
      </c>
      <c r="K42" s="59">
        <f>Rogue!AM42</f>
        <v/>
      </c>
      <c r="L42" s="59">
        <f>Magus!BR42</f>
        <v/>
      </c>
      <c r="M42" s="59">
        <f>Priest!Y42</f>
        <v/>
      </c>
      <c r="N42" s="13">
        <f>Warrior!AR42</f>
        <v/>
      </c>
      <c r="O42" s="13">
        <f>Rogue!AP42</f>
        <v/>
      </c>
      <c r="P42" s="13">
        <f>Magus!BU42</f>
        <v/>
      </c>
      <c r="Q42" s="13">
        <f>Priest!AB42</f>
        <v/>
      </c>
      <c r="R42" s="14">
        <f>Warrior!AN42</f>
        <v/>
      </c>
      <c r="S42" s="14">
        <f>Rogue!AL42</f>
        <v/>
      </c>
      <c r="T42" s="14">
        <f>Magus!BK42</f>
        <v/>
      </c>
      <c r="U42" s="13">
        <f>Rogue!AK42</f>
        <v/>
      </c>
      <c r="V42" s="13">
        <f>Warrior!AM42</f>
        <v/>
      </c>
      <c r="W42" s="15">
        <f>Magus!BJ42</f>
        <v/>
      </c>
      <c r="X42" s="16">
        <f>Warrior!AG42</f>
        <v/>
      </c>
      <c r="Y42" s="16">
        <f>Magus!BF42</f>
        <v/>
      </c>
      <c r="Z42" s="17">
        <f>Magus!BP42</f>
        <v/>
      </c>
      <c r="AA42" s="9">
        <f>IFERROR('Mob by Level'!G42/Warrior!AO42*60,0)</f>
        <v/>
      </c>
      <c r="AB42" s="9">
        <f>IFERROR('Mob by Level'!G42/Rogue!AM42*60,0)</f>
        <v/>
      </c>
      <c r="AC42" s="9">
        <f>IFERROR('Mob by Level'!G42/Magus!BR42*60,0)</f>
        <v/>
      </c>
      <c r="AD42" s="9">
        <f>IFERROR('Mob by Level'!G42/Priest!Y42*60,0)</f>
        <v/>
      </c>
    </row>
    <row r="43">
      <c r="A43" s="8" t="n">
        <v>40</v>
      </c>
      <c r="B43" s="9">
        <f>'Mob by Level'!C43</f>
        <v/>
      </c>
      <c r="C43" s="10">
        <f>Warrior!AK43</f>
        <v/>
      </c>
      <c r="D43" s="10">
        <f>Rogue!AI43</f>
        <v/>
      </c>
      <c r="E43" s="10">
        <f>Magus!BN43</f>
        <v/>
      </c>
      <c r="F43" s="10">
        <f>Priest!W43</f>
        <v/>
      </c>
      <c r="G43" s="58">
        <f>IFERROR(D43/C43,0)</f>
        <v/>
      </c>
      <c r="H43" s="58">
        <f>IFERROR(E43/C43,0)</f>
        <v/>
      </c>
      <c r="I43" s="58">
        <f>IFERROR(F43/C43,0)</f>
        <v/>
      </c>
      <c r="J43" s="59">
        <f>Warrior!AO43</f>
        <v/>
      </c>
      <c r="K43" s="59">
        <f>Rogue!AM43</f>
        <v/>
      </c>
      <c r="L43" s="59">
        <f>Magus!BR43</f>
        <v/>
      </c>
      <c r="M43" s="59">
        <f>Priest!Y43</f>
        <v/>
      </c>
      <c r="N43" s="13">
        <f>Warrior!AR43</f>
        <v/>
      </c>
      <c r="O43" s="13">
        <f>Rogue!AP43</f>
        <v/>
      </c>
      <c r="P43" s="13">
        <f>Magus!BU43</f>
        <v/>
      </c>
      <c r="Q43" s="13">
        <f>Priest!AB43</f>
        <v/>
      </c>
      <c r="R43" s="14">
        <f>Warrior!AN43</f>
        <v/>
      </c>
      <c r="S43" s="14">
        <f>Rogue!AL43</f>
        <v/>
      </c>
      <c r="T43" s="14">
        <f>Magus!BK43</f>
        <v/>
      </c>
      <c r="U43" s="13">
        <f>Rogue!AK43</f>
        <v/>
      </c>
      <c r="V43" s="13">
        <f>Warrior!AM43</f>
        <v/>
      </c>
      <c r="W43" s="15">
        <f>Magus!BJ43</f>
        <v/>
      </c>
      <c r="X43" s="16">
        <f>Warrior!AG43</f>
        <v/>
      </c>
      <c r="Y43" s="16">
        <f>Magus!BF43</f>
        <v/>
      </c>
      <c r="Z43" s="17">
        <f>Magus!BP43</f>
        <v/>
      </c>
      <c r="AA43" s="9">
        <f>IFERROR('Mob by Level'!G43/Warrior!AO43*60,0)</f>
        <v/>
      </c>
      <c r="AB43" s="9">
        <f>IFERROR('Mob by Level'!G43/Rogue!AM43*60,0)</f>
        <v/>
      </c>
      <c r="AC43" s="9">
        <f>IFERROR('Mob by Level'!G43/Magus!BR43*60,0)</f>
        <v/>
      </c>
      <c r="AD43" s="9">
        <f>IFERROR('Mob by Level'!G43/Priest!Y43*60,0)</f>
        <v/>
      </c>
    </row>
    <row r="44">
      <c r="A44" s="8" t="n">
        <v>41</v>
      </c>
      <c r="B44" s="9">
        <f>'Mob by Level'!C44</f>
        <v/>
      </c>
      <c r="C44" s="10">
        <f>Warrior!AK44</f>
        <v/>
      </c>
      <c r="D44" s="10">
        <f>Rogue!AI44</f>
        <v/>
      </c>
      <c r="E44" s="10">
        <f>Magus!BN44</f>
        <v/>
      </c>
      <c r="F44" s="10">
        <f>Priest!W44</f>
        <v/>
      </c>
      <c r="G44" s="58">
        <f>IFERROR(D44/C44,0)</f>
        <v/>
      </c>
      <c r="H44" s="58">
        <f>IFERROR(E44/C44,0)</f>
        <v/>
      </c>
      <c r="I44" s="58">
        <f>IFERROR(F44/C44,0)</f>
        <v/>
      </c>
      <c r="J44" s="59">
        <f>Warrior!AO44</f>
        <v/>
      </c>
      <c r="K44" s="59">
        <f>Rogue!AM44</f>
        <v/>
      </c>
      <c r="L44" s="59">
        <f>Magus!BR44</f>
        <v/>
      </c>
      <c r="M44" s="59">
        <f>Priest!Y44</f>
        <v/>
      </c>
      <c r="N44" s="13">
        <f>Warrior!AR44</f>
        <v/>
      </c>
      <c r="O44" s="13">
        <f>Rogue!AP44</f>
        <v/>
      </c>
      <c r="P44" s="13">
        <f>Magus!BU44</f>
        <v/>
      </c>
      <c r="Q44" s="13">
        <f>Priest!AB44</f>
        <v/>
      </c>
      <c r="R44" s="14">
        <f>Warrior!AN44</f>
        <v/>
      </c>
      <c r="S44" s="14">
        <f>Rogue!AL44</f>
        <v/>
      </c>
      <c r="T44" s="14">
        <f>Magus!BK44</f>
        <v/>
      </c>
      <c r="U44" s="13">
        <f>Rogue!AK44</f>
        <v/>
      </c>
      <c r="V44" s="13">
        <f>Warrior!AM44</f>
        <v/>
      </c>
      <c r="W44" s="15">
        <f>Magus!BJ44</f>
        <v/>
      </c>
      <c r="X44" s="16">
        <f>Warrior!AG44</f>
        <v/>
      </c>
      <c r="Y44" s="16">
        <f>Magus!BF44</f>
        <v/>
      </c>
      <c r="Z44" s="17">
        <f>Magus!BP44</f>
        <v/>
      </c>
      <c r="AA44" s="9">
        <f>IFERROR('Mob by Level'!G44/Warrior!AO44*60,0)</f>
        <v/>
      </c>
      <c r="AB44" s="9">
        <f>IFERROR('Mob by Level'!G44/Rogue!AM44*60,0)</f>
        <v/>
      </c>
      <c r="AC44" s="9">
        <f>IFERROR('Mob by Level'!G44/Magus!BR44*60,0)</f>
        <v/>
      </c>
      <c r="AD44" s="9">
        <f>IFERROR('Mob by Level'!G44/Priest!Y44*60,0)</f>
        <v/>
      </c>
    </row>
    <row r="45">
      <c r="A45" s="8" t="n">
        <v>42</v>
      </c>
      <c r="B45" s="9">
        <f>'Mob by Level'!C45</f>
        <v/>
      </c>
      <c r="C45" s="10">
        <f>Warrior!AK45</f>
        <v/>
      </c>
      <c r="D45" s="10">
        <f>Rogue!AI45</f>
        <v/>
      </c>
      <c r="E45" s="10">
        <f>Magus!BN45</f>
        <v/>
      </c>
      <c r="F45" s="10">
        <f>Priest!W45</f>
        <v/>
      </c>
      <c r="G45" s="58">
        <f>IFERROR(D45/C45,0)</f>
        <v/>
      </c>
      <c r="H45" s="58">
        <f>IFERROR(E45/C45,0)</f>
        <v/>
      </c>
      <c r="I45" s="58">
        <f>IFERROR(F45/C45,0)</f>
        <v/>
      </c>
      <c r="J45" s="59">
        <f>Warrior!AO45</f>
        <v/>
      </c>
      <c r="K45" s="59">
        <f>Rogue!AM45</f>
        <v/>
      </c>
      <c r="L45" s="59">
        <f>Magus!BR45</f>
        <v/>
      </c>
      <c r="M45" s="59">
        <f>Priest!Y45</f>
        <v/>
      </c>
      <c r="N45" s="13">
        <f>Warrior!AR45</f>
        <v/>
      </c>
      <c r="O45" s="13">
        <f>Rogue!AP45</f>
        <v/>
      </c>
      <c r="P45" s="13">
        <f>Magus!BU45</f>
        <v/>
      </c>
      <c r="Q45" s="13">
        <f>Priest!AB45</f>
        <v/>
      </c>
      <c r="R45" s="14">
        <f>Warrior!AN45</f>
        <v/>
      </c>
      <c r="S45" s="14">
        <f>Rogue!AL45</f>
        <v/>
      </c>
      <c r="T45" s="14">
        <f>Magus!BK45</f>
        <v/>
      </c>
      <c r="U45" s="13">
        <f>Rogue!AK45</f>
        <v/>
      </c>
      <c r="V45" s="13">
        <f>Warrior!AM45</f>
        <v/>
      </c>
      <c r="W45" s="15">
        <f>Magus!BJ45</f>
        <v/>
      </c>
      <c r="X45" s="16">
        <f>Warrior!AG45</f>
        <v/>
      </c>
      <c r="Y45" s="16">
        <f>Magus!BF45</f>
        <v/>
      </c>
      <c r="Z45" s="17">
        <f>Magus!BP45</f>
        <v/>
      </c>
      <c r="AA45" s="9">
        <f>IFERROR('Mob by Level'!G45/Warrior!AO45*60,0)</f>
        <v/>
      </c>
      <c r="AB45" s="9">
        <f>IFERROR('Mob by Level'!G45/Rogue!AM45*60,0)</f>
        <v/>
      </c>
      <c r="AC45" s="9">
        <f>IFERROR('Mob by Level'!G45/Magus!BR45*60,0)</f>
        <v/>
      </c>
      <c r="AD45" s="9">
        <f>IFERROR('Mob by Level'!G45/Priest!Y45*60,0)</f>
        <v/>
      </c>
    </row>
    <row r="46">
      <c r="A46" s="8" t="n">
        <v>43</v>
      </c>
      <c r="B46" s="9">
        <f>'Mob by Level'!C46</f>
        <v/>
      </c>
      <c r="C46" s="10">
        <f>Warrior!AK46</f>
        <v/>
      </c>
      <c r="D46" s="10">
        <f>Rogue!AI46</f>
        <v/>
      </c>
      <c r="E46" s="10">
        <f>Magus!BN46</f>
        <v/>
      </c>
      <c r="F46" s="10">
        <f>Priest!W46</f>
        <v/>
      </c>
      <c r="G46" s="58">
        <f>IFERROR(D46/C46,0)</f>
        <v/>
      </c>
      <c r="H46" s="58">
        <f>IFERROR(E46/C46,0)</f>
        <v/>
      </c>
      <c r="I46" s="58">
        <f>IFERROR(F46/C46,0)</f>
        <v/>
      </c>
      <c r="J46" s="59">
        <f>Warrior!AO46</f>
        <v/>
      </c>
      <c r="K46" s="59">
        <f>Rogue!AM46</f>
        <v/>
      </c>
      <c r="L46" s="59">
        <f>Magus!BR46</f>
        <v/>
      </c>
      <c r="M46" s="59">
        <f>Priest!Y46</f>
        <v/>
      </c>
      <c r="N46" s="13">
        <f>Warrior!AR46</f>
        <v/>
      </c>
      <c r="O46" s="13">
        <f>Rogue!AP46</f>
        <v/>
      </c>
      <c r="P46" s="13">
        <f>Magus!BU46</f>
        <v/>
      </c>
      <c r="Q46" s="13">
        <f>Priest!AB46</f>
        <v/>
      </c>
      <c r="R46" s="14">
        <f>Warrior!AN46</f>
        <v/>
      </c>
      <c r="S46" s="14">
        <f>Rogue!AL46</f>
        <v/>
      </c>
      <c r="T46" s="14">
        <f>Magus!BK46</f>
        <v/>
      </c>
      <c r="U46" s="13">
        <f>Rogue!AK46</f>
        <v/>
      </c>
      <c r="V46" s="13">
        <f>Warrior!AM46</f>
        <v/>
      </c>
      <c r="W46" s="15">
        <f>Magus!BJ46</f>
        <v/>
      </c>
      <c r="X46" s="16">
        <f>Warrior!AG46</f>
        <v/>
      </c>
      <c r="Y46" s="16">
        <f>Magus!BF46</f>
        <v/>
      </c>
      <c r="Z46" s="17">
        <f>Magus!BP46</f>
        <v/>
      </c>
      <c r="AA46" s="9">
        <f>IFERROR('Mob by Level'!G46/Warrior!AO46*60,0)</f>
        <v/>
      </c>
      <c r="AB46" s="9">
        <f>IFERROR('Mob by Level'!G46/Rogue!AM46*60,0)</f>
        <v/>
      </c>
      <c r="AC46" s="9">
        <f>IFERROR('Mob by Level'!G46/Magus!BR46*60,0)</f>
        <v/>
      </c>
      <c r="AD46" s="9">
        <f>IFERROR('Mob by Level'!G46/Priest!Y46*60,0)</f>
        <v/>
      </c>
    </row>
    <row r="47">
      <c r="A47" s="8" t="n">
        <v>44</v>
      </c>
      <c r="B47" s="9">
        <f>'Mob by Level'!C47</f>
        <v/>
      </c>
      <c r="C47" s="10">
        <f>Warrior!AK47</f>
        <v/>
      </c>
      <c r="D47" s="10">
        <f>Rogue!AI47</f>
        <v/>
      </c>
      <c r="E47" s="10">
        <f>Magus!BN47</f>
        <v/>
      </c>
      <c r="F47" s="10">
        <f>Priest!W47</f>
        <v/>
      </c>
      <c r="G47" s="58">
        <f>IFERROR(D47/C47,0)</f>
        <v/>
      </c>
      <c r="H47" s="58">
        <f>IFERROR(E47/C47,0)</f>
        <v/>
      </c>
      <c r="I47" s="58">
        <f>IFERROR(F47/C47,0)</f>
        <v/>
      </c>
      <c r="J47" s="59">
        <f>Warrior!AO47</f>
        <v/>
      </c>
      <c r="K47" s="59">
        <f>Rogue!AM47</f>
        <v/>
      </c>
      <c r="L47" s="59">
        <f>Magus!BR47</f>
        <v/>
      </c>
      <c r="M47" s="59">
        <f>Priest!Y47</f>
        <v/>
      </c>
      <c r="N47" s="13">
        <f>Warrior!AR47</f>
        <v/>
      </c>
      <c r="O47" s="13">
        <f>Rogue!AP47</f>
        <v/>
      </c>
      <c r="P47" s="13">
        <f>Magus!BU47</f>
        <v/>
      </c>
      <c r="Q47" s="13">
        <f>Priest!AB47</f>
        <v/>
      </c>
      <c r="R47" s="14">
        <f>Warrior!AN47</f>
        <v/>
      </c>
      <c r="S47" s="14">
        <f>Rogue!AL47</f>
        <v/>
      </c>
      <c r="T47" s="14">
        <f>Magus!BK47</f>
        <v/>
      </c>
      <c r="U47" s="13">
        <f>Rogue!AK47</f>
        <v/>
      </c>
      <c r="V47" s="13">
        <f>Warrior!AM47</f>
        <v/>
      </c>
      <c r="W47" s="15">
        <f>Magus!BJ47</f>
        <v/>
      </c>
      <c r="X47" s="16">
        <f>Warrior!AG47</f>
        <v/>
      </c>
      <c r="Y47" s="16">
        <f>Magus!BF47</f>
        <v/>
      </c>
      <c r="Z47" s="17">
        <f>Magus!BP47</f>
        <v/>
      </c>
      <c r="AA47" s="9">
        <f>IFERROR('Mob by Level'!G47/Warrior!AO47*60,0)</f>
        <v/>
      </c>
      <c r="AB47" s="9">
        <f>IFERROR('Mob by Level'!G47/Rogue!AM47*60,0)</f>
        <v/>
      </c>
      <c r="AC47" s="9">
        <f>IFERROR('Mob by Level'!G47/Magus!BR47*60,0)</f>
        <v/>
      </c>
      <c r="AD47" s="9">
        <f>IFERROR('Mob by Level'!G47/Priest!Y47*60,0)</f>
        <v/>
      </c>
    </row>
    <row r="48">
      <c r="A48" s="8" t="n">
        <v>45</v>
      </c>
      <c r="B48" s="9">
        <f>'Mob by Level'!C48</f>
        <v/>
      </c>
      <c r="C48" s="10">
        <f>Warrior!AK48</f>
        <v/>
      </c>
      <c r="D48" s="10">
        <f>Rogue!AI48</f>
        <v/>
      </c>
      <c r="E48" s="10">
        <f>Magus!BN48</f>
        <v/>
      </c>
      <c r="F48" s="10">
        <f>Priest!W48</f>
        <v/>
      </c>
      <c r="G48" s="58">
        <f>IFERROR(D48/C48,0)</f>
        <v/>
      </c>
      <c r="H48" s="58">
        <f>IFERROR(E48/C48,0)</f>
        <v/>
      </c>
      <c r="I48" s="58">
        <f>IFERROR(F48/C48,0)</f>
        <v/>
      </c>
      <c r="J48" s="59">
        <f>Warrior!AO48</f>
        <v/>
      </c>
      <c r="K48" s="59">
        <f>Rogue!AM48</f>
        <v/>
      </c>
      <c r="L48" s="59">
        <f>Magus!BR48</f>
        <v/>
      </c>
      <c r="M48" s="59">
        <f>Priest!Y48</f>
        <v/>
      </c>
      <c r="N48" s="13">
        <f>Warrior!AR48</f>
        <v/>
      </c>
      <c r="O48" s="13">
        <f>Rogue!AP48</f>
        <v/>
      </c>
      <c r="P48" s="13">
        <f>Magus!BU48</f>
        <v/>
      </c>
      <c r="Q48" s="13">
        <f>Priest!AB48</f>
        <v/>
      </c>
      <c r="R48" s="14">
        <f>Warrior!AN48</f>
        <v/>
      </c>
      <c r="S48" s="14">
        <f>Rogue!AL48</f>
        <v/>
      </c>
      <c r="T48" s="14">
        <f>Magus!BK48</f>
        <v/>
      </c>
      <c r="U48" s="13">
        <f>Rogue!AK48</f>
        <v/>
      </c>
      <c r="V48" s="13">
        <f>Warrior!AM48</f>
        <v/>
      </c>
      <c r="W48" s="15">
        <f>Magus!BJ48</f>
        <v/>
      </c>
      <c r="X48" s="16">
        <f>Warrior!AG48</f>
        <v/>
      </c>
      <c r="Y48" s="16">
        <f>Magus!BF48</f>
        <v/>
      </c>
      <c r="Z48" s="17">
        <f>Magus!BP48</f>
        <v/>
      </c>
      <c r="AA48" s="9">
        <f>IFERROR('Mob by Level'!G48/Warrior!AO48*60,0)</f>
        <v/>
      </c>
      <c r="AB48" s="9">
        <f>IFERROR('Mob by Level'!G48/Rogue!AM48*60,0)</f>
        <v/>
      </c>
      <c r="AC48" s="9">
        <f>IFERROR('Mob by Level'!G48/Magus!BR48*60,0)</f>
        <v/>
      </c>
      <c r="AD48" s="9">
        <f>IFERROR('Mob by Level'!G48/Priest!Y48*60,0)</f>
        <v/>
      </c>
    </row>
    <row r="49">
      <c r="A49" s="8" t="n">
        <v>46</v>
      </c>
      <c r="B49" s="9">
        <f>'Mob by Level'!C49</f>
        <v/>
      </c>
      <c r="C49" s="10">
        <f>Warrior!AK49</f>
        <v/>
      </c>
      <c r="D49" s="10">
        <f>Rogue!AI49</f>
        <v/>
      </c>
      <c r="E49" s="10">
        <f>Magus!BN49</f>
        <v/>
      </c>
      <c r="F49" s="10">
        <f>Priest!W49</f>
        <v/>
      </c>
      <c r="G49" s="58">
        <f>IFERROR(D49/C49,0)</f>
        <v/>
      </c>
      <c r="H49" s="58">
        <f>IFERROR(E49/C49,0)</f>
        <v/>
      </c>
      <c r="I49" s="58">
        <f>IFERROR(F49/C49,0)</f>
        <v/>
      </c>
      <c r="J49" s="59">
        <f>Warrior!AO49</f>
        <v/>
      </c>
      <c r="K49" s="59">
        <f>Rogue!AM49</f>
        <v/>
      </c>
      <c r="L49" s="59">
        <f>Magus!BR49</f>
        <v/>
      </c>
      <c r="M49" s="59">
        <f>Priest!Y49</f>
        <v/>
      </c>
      <c r="N49" s="13">
        <f>Warrior!AR49</f>
        <v/>
      </c>
      <c r="O49" s="13">
        <f>Rogue!AP49</f>
        <v/>
      </c>
      <c r="P49" s="13">
        <f>Magus!BU49</f>
        <v/>
      </c>
      <c r="Q49" s="13">
        <f>Priest!AB49</f>
        <v/>
      </c>
      <c r="R49" s="14">
        <f>Warrior!AN49</f>
        <v/>
      </c>
      <c r="S49" s="14">
        <f>Rogue!AL49</f>
        <v/>
      </c>
      <c r="T49" s="14">
        <f>Magus!BK49</f>
        <v/>
      </c>
      <c r="U49" s="13">
        <f>Rogue!AK49</f>
        <v/>
      </c>
      <c r="V49" s="13">
        <f>Warrior!AM49</f>
        <v/>
      </c>
      <c r="W49" s="15">
        <f>Magus!BJ49</f>
        <v/>
      </c>
      <c r="X49" s="16">
        <f>Warrior!AG49</f>
        <v/>
      </c>
      <c r="Y49" s="16">
        <f>Magus!BF49</f>
        <v/>
      </c>
      <c r="Z49" s="17">
        <f>Magus!BP49</f>
        <v/>
      </c>
      <c r="AA49" s="9">
        <f>IFERROR('Mob by Level'!G49/Warrior!AO49*60,0)</f>
        <v/>
      </c>
      <c r="AB49" s="9">
        <f>IFERROR('Mob by Level'!G49/Rogue!AM49*60,0)</f>
        <v/>
      </c>
      <c r="AC49" s="9">
        <f>IFERROR('Mob by Level'!G49/Magus!BR49*60,0)</f>
        <v/>
      </c>
      <c r="AD49" s="9">
        <f>IFERROR('Mob by Level'!G49/Priest!Y49*60,0)</f>
        <v/>
      </c>
    </row>
    <row r="50">
      <c r="A50" s="8" t="n">
        <v>47</v>
      </c>
      <c r="B50" s="9">
        <f>'Mob by Level'!C50</f>
        <v/>
      </c>
      <c r="C50" s="10">
        <f>Warrior!AK50</f>
        <v/>
      </c>
      <c r="D50" s="10">
        <f>Rogue!AI50</f>
        <v/>
      </c>
      <c r="E50" s="10">
        <f>Magus!BN50</f>
        <v/>
      </c>
      <c r="F50" s="10">
        <f>Priest!W50</f>
        <v/>
      </c>
      <c r="G50" s="58">
        <f>IFERROR(D50/C50,0)</f>
        <v/>
      </c>
      <c r="H50" s="58">
        <f>IFERROR(E50/C50,0)</f>
        <v/>
      </c>
      <c r="I50" s="58">
        <f>IFERROR(F50/C50,0)</f>
        <v/>
      </c>
      <c r="J50" s="59">
        <f>Warrior!AO50</f>
        <v/>
      </c>
      <c r="K50" s="59">
        <f>Rogue!AM50</f>
        <v/>
      </c>
      <c r="L50" s="59">
        <f>Magus!BR50</f>
        <v/>
      </c>
      <c r="M50" s="59">
        <f>Priest!Y50</f>
        <v/>
      </c>
      <c r="N50" s="13">
        <f>Warrior!AR50</f>
        <v/>
      </c>
      <c r="O50" s="13">
        <f>Rogue!AP50</f>
        <v/>
      </c>
      <c r="P50" s="13">
        <f>Magus!BU50</f>
        <v/>
      </c>
      <c r="Q50" s="13">
        <f>Priest!AB50</f>
        <v/>
      </c>
      <c r="R50" s="14">
        <f>Warrior!AN50</f>
        <v/>
      </c>
      <c r="S50" s="14">
        <f>Rogue!AL50</f>
        <v/>
      </c>
      <c r="T50" s="14">
        <f>Magus!BK50</f>
        <v/>
      </c>
      <c r="U50" s="13">
        <f>Rogue!AK50</f>
        <v/>
      </c>
      <c r="V50" s="13">
        <f>Warrior!AM50</f>
        <v/>
      </c>
      <c r="W50" s="15">
        <f>Magus!BJ50</f>
        <v/>
      </c>
      <c r="X50" s="16">
        <f>Warrior!AG50</f>
        <v/>
      </c>
      <c r="Y50" s="16">
        <f>Magus!BF50</f>
        <v/>
      </c>
      <c r="Z50" s="17">
        <f>Magus!BP50</f>
        <v/>
      </c>
      <c r="AA50" s="9">
        <f>IFERROR('Mob by Level'!G50/Warrior!AO50*60,0)</f>
        <v/>
      </c>
      <c r="AB50" s="9">
        <f>IFERROR('Mob by Level'!G50/Rogue!AM50*60,0)</f>
        <v/>
      </c>
      <c r="AC50" s="9">
        <f>IFERROR('Mob by Level'!G50/Magus!BR50*60,0)</f>
        <v/>
      </c>
      <c r="AD50" s="9">
        <f>IFERROR('Mob by Level'!G50/Priest!Y50*60,0)</f>
        <v/>
      </c>
    </row>
    <row r="51">
      <c r="A51" s="8" t="n">
        <v>48</v>
      </c>
      <c r="B51" s="9">
        <f>'Mob by Level'!C51</f>
        <v/>
      </c>
      <c r="C51" s="10">
        <f>Warrior!AK51</f>
        <v/>
      </c>
      <c r="D51" s="10">
        <f>Rogue!AI51</f>
        <v/>
      </c>
      <c r="E51" s="10">
        <f>Magus!BN51</f>
        <v/>
      </c>
      <c r="F51" s="10">
        <f>Priest!W51</f>
        <v/>
      </c>
      <c r="G51" s="58">
        <f>IFERROR(D51/C51,0)</f>
        <v/>
      </c>
      <c r="H51" s="58">
        <f>IFERROR(E51/C51,0)</f>
        <v/>
      </c>
      <c r="I51" s="58">
        <f>IFERROR(F51/C51,0)</f>
        <v/>
      </c>
      <c r="J51" s="59">
        <f>Warrior!AO51</f>
        <v/>
      </c>
      <c r="K51" s="59">
        <f>Rogue!AM51</f>
        <v/>
      </c>
      <c r="L51" s="59">
        <f>Magus!BR51</f>
        <v/>
      </c>
      <c r="M51" s="59">
        <f>Priest!Y51</f>
        <v/>
      </c>
      <c r="N51" s="13">
        <f>Warrior!AR51</f>
        <v/>
      </c>
      <c r="O51" s="13">
        <f>Rogue!AP51</f>
        <v/>
      </c>
      <c r="P51" s="13">
        <f>Magus!BU51</f>
        <v/>
      </c>
      <c r="Q51" s="13">
        <f>Priest!AB51</f>
        <v/>
      </c>
      <c r="R51" s="14">
        <f>Warrior!AN51</f>
        <v/>
      </c>
      <c r="S51" s="14">
        <f>Rogue!AL51</f>
        <v/>
      </c>
      <c r="T51" s="14">
        <f>Magus!BK51</f>
        <v/>
      </c>
      <c r="U51" s="13">
        <f>Rogue!AK51</f>
        <v/>
      </c>
      <c r="V51" s="13">
        <f>Warrior!AM51</f>
        <v/>
      </c>
      <c r="W51" s="15">
        <f>Magus!BJ51</f>
        <v/>
      </c>
      <c r="X51" s="16">
        <f>Warrior!AG51</f>
        <v/>
      </c>
      <c r="Y51" s="16">
        <f>Magus!BF51</f>
        <v/>
      </c>
      <c r="Z51" s="17">
        <f>Magus!BP51</f>
        <v/>
      </c>
      <c r="AA51" s="9">
        <f>IFERROR('Mob by Level'!G51/Warrior!AO51*60,0)</f>
        <v/>
      </c>
      <c r="AB51" s="9">
        <f>IFERROR('Mob by Level'!G51/Rogue!AM51*60,0)</f>
        <v/>
      </c>
      <c r="AC51" s="9">
        <f>IFERROR('Mob by Level'!G51/Magus!BR51*60,0)</f>
        <v/>
      </c>
      <c r="AD51" s="9">
        <f>IFERROR('Mob by Level'!G51/Priest!Y51*60,0)</f>
        <v/>
      </c>
    </row>
    <row r="52">
      <c r="A52" s="8" t="n">
        <v>49</v>
      </c>
      <c r="B52" s="9">
        <f>'Mob by Level'!C52</f>
        <v/>
      </c>
      <c r="C52" s="10">
        <f>Warrior!AK52</f>
        <v/>
      </c>
      <c r="D52" s="10">
        <f>Rogue!AI52</f>
        <v/>
      </c>
      <c r="E52" s="10">
        <f>Magus!BN52</f>
        <v/>
      </c>
      <c r="F52" s="10">
        <f>Priest!W52</f>
        <v/>
      </c>
      <c r="G52" s="58">
        <f>IFERROR(D52/C52,0)</f>
        <v/>
      </c>
      <c r="H52" s="58">
        <f>IFERROR(E52/C52,0)</f>
        <v/>
      </c>
      <c r="I52" s="58">
        <f>IFERROR(F52/C52,0)</f>
        <v/>
      </c>
      <c r="J52" s="59">
        <f>Warrior!AO52</f>
        <v/>
      </c>
      <c r="K52" s="59">
        <f>Rogue!AM52</f>
        <v/>
      </c>
      <c r="L52" s="59">
        <f>Magus!BR52</f>
        <v/>
      </c>
      <c r="M52" s="59">
        <f>Priest!Y52</f>
        <v/>
      </c>
      <c r="N52" s="13">
        <f>Warrior!AR52</f>
        <v/>
      </c>
      <c r="O52" s="13">
        <f>Rogue!AP52</f>
        <v/>
      </c>
      <c r="P52" s="13">
        <f>Magus!BU52</f>
        <v/>
      </c>
      <c r="Q52" s="13">
        <f>Priest!AB52</f>
        <v/>
      </c>
      <c r="R52" s="14">
        <f>Warrior!AN52</f>
        <v/>
      </c>
      <c r="S52" s="14">
        <f>Rogue!AL52</f>
        <v/>
      </c>
      <c r="T52" s="14">
        <f>Magus!BK52</f>
        <v/>
      </c>
      <c r="U52" s="13">
        <f>Rogue!AK52</f>
        <v/>
      </c>
      <c r="V52" s="13">
        <f>Warrior!AM52</f>
        <v/>
      </c>
      <c r="W52" s="15">
        <f>Magus!BJ52</f>
        <v/>
      </c>
      <c r="X52" s="16">
        <f>Warrior!AG52</f>
        <v/>
      </c>
      <c r="Y52" s="16">
        <f>Magus!BF52</f>
        <v/>
      </c>
      <c r="Z52" s="17">
        <f>Magus!BP52</f>
        <v/>
      </c>
      <c r="AA52" s="9">
        <f>IFERROR('Mob by Level'!G52/Warrior!AO52*60,0)</f>
        <v/>
      </c>
      <c r="AB52" s="9">
        <f>IFERROR('Mob by Level'!G52/Rogue!AM52*60,0)</f>
        <v/>
      </c>
      <c r="AC52" s="9">
        <f>IFERROR('Mob by Level'!G52/Magus!BR52*60,0)</f>
        <v/>
      </c>
      <c r="AD52" s="9">
        <f>IFERROR('Mob by Level'!G52/Priest!Y52*60,0)</f>
        <v/>
      </c>
    </row>
  </sheetData>
  <mergeCells count="6">
    <mergeCell ref="G2:I2"/>
    <mergeCell ref="R2:Z2"/>
    <mergeCell ref="J2:M2"/>
    <mergeCell ref="AA2:AD2"/>
    <mergeCell ref="N2:Q2"/>
    <mergeCell ref="C2:F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8" customWidth="1" min="1" max="1"/>
    <col width="2" customWidth="1" min="2" max="2"/>
    <col width="16" customWidth="1" min="3" max="3"/>
    <col width="100" customWidth="1" min="4" max="4"/>
  </cols>
  <sheetData>
    <row r="1">
      <c r="A1" s="1" t="inlineStr">
        <is>
          <t>Balance model inputs</t>
        </is>
      </c>
      <c r="B1" s="2" t="n"/>
      <c r="C1" s="2" t="n"/>
      <c r="D1" s="2" t="n"/>
    </row>
    <row r="2">
      <c r="A2" s="42" t="inlineStr">
        <is>
          <t>Blue cells are inputs; yellow cells are the main scenario levers. Every other sheet recalculates from these.</t>
        </is>
      </c>
      <c r="B2" s="2" t="n"/>
      <c r="C2" s="2" t="n"/>
      <c r="D2" s="2" t="n"/>
    </row>
    <row r="3">
      <c r="A3" s="2" t="n"/>
      <c r="B3" s="2" t="n"/>
      <c r="C3" s="2" t="n"/>
      <c r="D3" s="2" t="n"/>
    </row>
    <row r="4">
      <c r="A4" s="18" t="inlineStr">
        <is>
          <t>Setting</t>
        </is>
      </c>
      <c r="B4" s="2" t="n"/>
      <c r="C4" s="18" t="inlineStr">
        <is>
          <t>Value</t>
        </is>
      </c>
      <c r="D4" s="18" t="inlineStr">
        <is>
          <t>Source / meaning</t>
        </is>
      </c>
    </row>
    <row r="5">
      <c r="A5" s="19" t="inlineStr">
        <is>
          <t>Gear profile (1 = vendor only, 2 = vendor + new accessories, 3 = what-if)</t>
        </is>
      </c>
      <c r="B5" s="2" t="n"/>
      <c r="C5" s="20" t="n">
        <v>2</v>
      </c>
      <c r="D5" s="42" t="inlineStr">
        <is>
          <t>Selects which block of the Gear sheet every class uses.</t>
        </is>
      </c>
    </row>
    <row r="6">
      <c r="A6" s="19" t="inlineStr">
        <is>
          <t>Mob level offset (mob level = player level + offset)</t>
        </is>
      </c>
      <c r="B6" s="2" t="n"/>
      <c r="C6" s="20" t="n">
        <v>0</v>
      </c>
      <c r="D6" s="42" t="inlineStr">
        <is>
          <t>Negative = fighting lower-level mobs. Affects the (level - target level) term in both hit formulas.</t>
        </is>
      </c>
    </row>
    <row r="7">
      <c r="A7" s="19" t="inlineStr">
        <is>
          <t>Specific mob name (blank = typical trash mob for the level)</t>
        </is>
      </c>
      <c r="B7" s="2" t="n"/>
      <c r="C7" s="20" t="inlineStr"/>
      <c r="D7" s="42" t="inlineStr">
        <is>
          <t>Exact name from the Mobs sheet. When set, every level fights this one mob.</t>
        </is>
      </c>
    </row>
    <row r="8">
      <c r="A8" s="19" t="inlineStr">
        <is>
          <t>Typical-mob level window (+/- levels)</t>
        </is>
      </c>
      <c r="B8" s="2" t="n"/>
      <c r="C8" s="21" t="n">
        <v>3</v>
      </c>
      <c r="D8" s="42" t="inlineStr">
        <is>
          <t>Typical mob = average of trash mobs within this many levels.</t>
        </is>
      </c>
    </row>
    <row r="9">
      <c r="A9" s="19" t="inlineStr">
        <is>
          <t>Trash mob: max respawn time (s)</t>
        </is>
      </c>
      <c r="B9" s="2" t="n"/>
      <c r="C9" s="21" t="n">
        <v>120</v>
      </c>
      <c r="D9" s="42" t="inlineStr">
        <is>
          <t>Mobs with a longer respawn are treated as bosses/named and excluded from the typical mob.</t>
        </is>
      </c>
    </row>
    <row r="10">
      <c r="A10" s="19" t="inlineStr">
        <is>
          <t>Trash mob: min spawn count</t>
        </is>
      </c>
      <c r="B10" s="2" t="n"/>
      <c r="C10" s="21" t="n">
        <v>5</v>
      </c>
      <c r="D10" s="42" t="inlineStr">
        <is>
          <t>Mobs placed fewer times than this are excluded from the typical mob.</t>
        </is>
      </c>
    </row>
    <row r="11">
      <c r="A11" s="19" t="inlineStr">
        <is>
          <t>Share of backstabs landed from behind (0-1)</t>
        </is>
      </c>
      <c r="B11" s="2" t="n"/>
      <c r="C11" s="22" t="n">
        <v>0.5</v>
      </c>
      <c r="D11" s="42" t="inlineStr">
        <is>
          <t>Backstab.csx: x1.5 damage when caster.Facing == target.Facing.</t>
        </is>
      </c>
    </row>
    <row r="12">
      <c r="A12" s="19" t="inlineStr">
        <is>
          <t>Minimum seconds between spell casts (human/client limit)</t>
        </is>
      </c>
      <c r="B12" s="2" t="n"/>
      <c r="C12" s="20" t="n">
        <v>0.5</v>
      </c>
      <c r="D12" s="42" t="inlineStr">
        <is>
          <t>Server only enforces per-slot aether; no global cooldown exists (Player.cs CastSpell).</t>
        </is>
      </c>
    </row>
    <row r="13">
      <c r="A13" s="19" t="inlineStr">
        <is>
          <t>Area targets (Magus ES, Warrior Savage Fury): 1 = single target, 2 = expected, 3 = max</t>
        </is>
      </c>
      <c r="B13" s="2" t="n"/>
      <c r="C13" s="20" t="n">
        <v>2</v>
      </c>
      <c r="D13" s="42" t="inlineStr">
        <is>
          <t>Area ES tiers (5, 6, 7, 8) and Savage Fury can hit several mobs. Expected/max come from the Elemental Strike and Chomp tables on the Abilities sheet.</t>
        </is>
      </c>
    </row>
    <row r="14">
      <c r="A14" s="19" t="inlineStr">
        <is>
          <t>Mobs in a pack (including the target)</t>
        </is>
      </c>
      <c r="B14" s="2" t="n"/>
      <c r="C14" s="20" t="n">
        <v>5</v>
      </c>
      <c r="D14" s="42" t="inlineStr">
        <is>
          <t>Caps max targets and drives expected targets.</t>
        </is>
      </c>
    </row>
    <row r="15">
      <c r="A15" s="19" t="inlineStr">
        <is>
          <t>Share of area casts that land on a pack (0-1)</t>
        </is>
      </c>
      <c r="B15" s="2" t="n"/>
      <c r="C15" s="22" t="n">
        <v>0.5</v>
      </c>
      <c r="D15" s="42" t="inlineStr">
        <is>
          <t>The rest of the time only the main target is in the area.</t>
        </is>
      </c>
    </row>
    <row r="16">
      <c r="A16" s="19" t="inlineStr">
        <is>
          <t>Include class cooldown buffs in sustained DPS (1/0)</t>
        </is>
      </c>
      <c r="B16" s="2" t="n"/>
      <c r="C16" s="21" t="n">
        <v>1</v>
      </c>
      <c r="D16" s="42" t="inlineStr">
        <is>
          <t>Rampant Rage, Savage Fury, Berserker, Nimble, Poison Weapon are averaged by uptime = duration / cooldown.</t>
        </is>
      </c>
    </row>
    <row r="17">
      <c r="A17" s="19" t="inlineStr">
        <is>
          <t>Priest Strength buff on every class (1/0)</t>
        </is>
      </c>
      <c r="B17" s="2" t="n"/>
      <c r="C17" s="21" t="n">
        <v>0</v>
      </c>
      <c r="D17" s="42" t="inlineStr">
        <is>
          <t>Adds the Strength tier for the player level (Abilities sheet). Priests always get it on themselves.</t>
        </is>
      </c>
    </row>
    <row r="18">
      <c r="A18" s="19" t="inlineStr">
        <is>
          <t>Magus melees alongside casting (1/0)</t>
        </is>
      </c>
      <c r="B18" s="2" t="n"/>
      <c r="C18" s="21" t="n">
        <v>0</v>
      </c>
      <c r="D18" s="42" t="inlineStr">
        <is>
          <t>Adds staff melee DPS to Magus sustained DPS.</t>
        </is>
      </c>
    </row>
    <row r="19">
      <c r="A19" s="19" t="inlineStr">
        <is>
          <t>MaxAC setting</t>
        </is>
      </c>
      <c r="B19" s="2" t="n"/>
      <c r="C19" s="21" t="n">
        <v>3500</v>
      </c>
      <c r="D19" s="42" t="inlineStr">
        <is>
          <t>GooseSettings.json MaxAC. absorb = 1 - AC*ACMultiplier/MaxAC.</t>
        </is>
      </c>
    </row>
    <row r="20">
      <c r="A20" s="19" t="inlineStr">
        <is>
          <t>DamageModifier setting</t>
        </is>
      </c>
      <c r="B20" s="2" t="n"/>
      <c r="C20" s="21" t="n">
        <v>1</v>
      </c>
      <c r="D20" s="42" t="inlineStr">
        <is>
          <t>GooseSettings.json DamageModifier (player melee and spells).</t>
        </is>
      </c>
    </row>
    <row r="21">
      <c r="A21" s="19" t="inlineStr">
        <is>
          <t>Swing constant</t>
        </is>
      </c>
      <c r="B21" s="2" t="n"/>
      <c r="C21" s="21" t="n">
        <v>0.85</v>
      </c>
      <c r="D21" s="42" t="inlineStr">
        <is>
          <t>PlayerAttackEvent: delay = WeaponDelay/10 * (1 - min(0.95, haste)) * 0.85 seconds.</t>
        </is>
      </c>
    </row>
    <row r="22">
      <c r="A22" s="19" t="inlineStr">
        <is>
          <t>Regen period (s)</t>
        </is>
      </c>
      <c r="B22" s="2" t="n"/>
      <c r="C22" s="21" t="n">
        <v>2</v>
      </c>
      <c r="D22" s="42" t="inlineStr">
        <is>
          <t>GooseSettings.json RegenSpeed.</t>
        </is>
      </c>
    </row>
    <row r="23">
      <c r="A23" s="19" t="inlineStr">
        <is>
          <t>Base MP % regen per period</t>
        </is>
      </c>
      <c r="B23" s="2" t="n"/>
      <c r="C23" s="23" t="n">
        <v>0.02</v>
      </c>
      <c r="D23" s="42" t="inlineStr">
        <is>
          <t>GooseSettings.json BaseMPPercentRegen.</t>
        </is>
      </c>
    </row>
    <row r="24">
      <c r="A24" s="19" t="inlineStr">
        <is>
          <t>Base HP % regen per period</t>
        </is>
      </c>
      <c r="B24" s="2" t="n"/>
      <c r="C24" s="23" t="n">
        <v>0.02</v>
      </c>
      <c r="D24" s="42" t="inlineStr">
        <is>
          <t>GooseSettings.json BaseHPPercentRegen.</t>
        </is>
      </c>
    </row>
    <row r="25">
      <c r="A25" s="19" t="inlineStr">
        <is>
          <t>Tick spell period (s)</t>
        </is>
      </c>
      <c r="B25" s="2" t="n"/>
      <c r="C25" s="21" t="n">
        <v>2</v>
      </c>
      <c r="D25" s="42" t="inlineStr">
        <is>
          <t>GooseSettings.json SpellEffectPeriod (poison ticks).</t>
        </is>
      </c>
    </row>
  </sheetData>
  <dataValidations count="3">
    <dataValidation sqref="C5" showDropDown="0" showInputMessage="0" showErrorMessage="0" allowBlank="0" type="list">
      <formula1>"1,2,3"</formula1>
    </dataValidation>
    <dataValidation sqref="C16 C17 C18" showDropDown="0" showInputMessage="0" showErrorMessage="0" allowBlank="0" type="list">
      <formula1>"0,1"</formula1>
    </dataValidation>
    <dataValidation sqref="C13" showDropDown="0" showInputMessage="0" showErrorMessage="0" allowBlank="0" type="list">
      <formula1>"1,2,3"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Class base stats by level</t>
        </is>
      </c>
      <c r="B1" s="2" t="n"/>
      <c r="C1" s="2" t="n"/>
      <c r="D1" s="2" t="n"/>
      <c r="E1" s="2" t="n"/>
      <c r="F1" s="2" t="n"/>
      <c r="G1" s="2" t="n"/>
      <c r="H1" s="2" t="n"/>
      <c r="I1" s="2" t="n"/>
      <c r="J1" s="2" t="n"/>
      <c r="K1" s="2" t="n"/>
      <c r="L1" s="2" t="n"/>
      <c r="M1" s="2" t="n"/>
      <c r="N1" s="2" t="n"/>
      <c r="O1" s="2" t="n"/>
    </row>
    <row r="2">
      <c r="A2" s="42" t="inlineStr">
        <is>
          <t>Source: game data sheet "Class Info" (Aspereta Goose Data, Illutia). Blue = copied data.</t>
        </is>
      </c>
      <c r="B2" s="2" t="n"/>
      <c r="C2" s="2" t="n"/>
      <c r="D2" s="2" t="n"/>
      <c r="E2" s="2" t="n"/>
      <c r="F2" s="2" t="n"/>
      <c r="G2" s="2" t="n"/>
      <c r="H2" s="2" t="n"/>
      <c r="I2" s="2" t="n"/>
      <c r="J2" s="2" t="n"/>
      <c r="K2" s="2" t="n"/>
      <c r="L2" s="2" t="n"/>
      <c r="M2" s="2" t="n"/>
      <c r="N2" s="2" t="n"/>
      <c r="O2" s="2" t="n"/>
    </row>
    <row r="3" ht="45" customHeight="1">
      <c r="A3" s="7" t="inlineStr">
        <is>
          <t>Level</t>
        </is>
      </c>
      <c r="B3" s="7" t="inlineStr">
        <is>
          <t>Rogue HP</t>
        </is>
      </c>
      <c r="C3" s="7" t="inlineStr">
        <is>
          <t>Rogue MP</t>
        </is>
      </c>
      <c r="D3" s="7" t="inlineStr">
        <is>
          <t>Rogue AC</t>
        </is>
      </c>
      <c r="E3" s="7" t="inlineStr">
        <is>
          <t>Warrior HP</t>
        </is>
      </c>
      <c r="F3" s="7" t="inlineStr">
        <is>
          <t>Warrior MP</t>
        </is>
      </c>
      <c r="G3" s="7" t="inlineStr">
        <is>
          <t>Warrior AC</t>
        </is>
      </c>
      <c r="H3" s="7" t="inlineStr">
        <is>
          <t>Magus HP</t>
        </is>
      </c>
      <c r="I3" s="7" t="inlineStr">
        <is>
          <t>Magus MP</t>
        </is>
      </c>
      <c r="J3" s="7" t="inlineStr">
        <is>
          <t>Magus AC</t>
        </is>
      </c>
      <c r="K3" s="7" t="inlineStr">
        <is>
          <t>Priest HP</t>
        </is>
      </c>
      <c r="L3" s="7" t="inlineStr">
        <is>
          <t>Priest MP</t>
        </is>
      </c>
      <c r="M3" s="7" t="inlineStr">
        <is>
          <t>Priest AC</t>
        </is>
      </c>
      <c r="N3" s="18" t="inlineStr">
        <is>
          <t>Class</t>
        </is>
      </c>
      <c r="O3" s="18" t="inlineStr">
        <is>
          <t>AC multiplier</t>
        </is>
      </c>
    </row>
    <row r="4">
      <c r="A4" s="19" t="n">
        <v>1</v>
      </c>
      <c r="B4" s="21" t="n">
        <v>30</v>
      </c>
      <c r="C4" s="21" t="n">
        <v>30</v>
      </c>
      <c r="D4" s="21" t="n">
        <v>0</v>
      </c>
      <c r="E4" s="21" t="n">
        <v>30</v>
      </c>
      <c r="F4" s="21" t="n">
        <v>30</v>
      </c>
      <c r="G4" s="21" t="n">
        <v>10</v>
      </c>
      <c r="H4" s="21" t="n">
        <v>30</v>
      </c>
      <c r="I4" s="21" t="n">
        <v>30</v>
      </c>
      <c r="J4" s="21" t="n">
        <v>0</v>
      </c>
      <c r="K4" s="21" t="n">
        <v>30</v>
      </c>
      <c r="L4" s="21" t="n">
        <v>30</v>
      </c>
      <c r="M4" s="21" t="n">
        <v>0</v>
      </c>
      <c r="N4" s="21" t="n">
        <v>1</v>
      </c>
      <c r="O4" s="21" t="n">
        <v>1</v>
      </c>
    </row>
    <row r="5">
      <c r="A5" s="19" t="n">
        <v>2</v>
      </c>
      <c r="B5" s="21" t="n">
        <v>38</v>
      </c>
      <c r="C5" s="21" t="n">
        <v>38</v>
      </c>
      <c r="D5" s="21" t="n">
        <v>0</v>
      </c>
      <c r="E5" s="21" t="n">
        <v>42</v>
      </c>
      <c r="F5" s="21" t="n">
        <v>36</v>
      </c>
      <c r="G5" s="21" t="n">
        <v>20</v>
      </c>
      <c r="H5" s="21" t="n">
        <v>36</v>
      </c>
      <c r="I5" s="21" t="n">
        <v>42</v>
      </c>
      <c r="J5" s="21" t="n">
        <v>0</v>
      </c>
      <c r="K5" s="21" t="n">
        <v>37</v>
      </c>
      <c r="L5" s="21" t="n">
        <v>40</v>
      </c>
      <c r="M5" s="21" t="n">
        <v>0</v>
      </c>
      <c r="N5" s="21" t="n">
        <v>2</v>
      </c>
      <c r="O5" s="21" t="n">
        <v>0.65</v>
      </c>
    </row>
    <row r="6">
      <c r="A6" s="19" t="n">
        <v>3</v>
      </c>
      <c r="B6" s="21" t="n">
        <v>50</v>
      </c>
      <c r="C6" s="21" t="n">
        <v>50</v>
      </c>
      <c r="D6" s="21" t="n">
        <v>0</v>
      </c>
      <c r="E6" s="21" t="n">
        <v>60</v>
      </c>
      <c r="F6" s="21" t="n">
        <v>45</v>
      </c>
      <c r="G6" s="21" t="n">
        <v>30</v>
      </c>
      <c r="H6" s="21" t="n">
        <v>45</v>
      </c>
      <c r="I6" s="21" t="n">
        <v>60</v>
      </c>
      <c r="J6" s="21" t="n">
        <v>0</v>
      </c>
      <c r="K6" s="21" t="n">
        <v>47</v>
      </c>
      <c r="L6" s="21" t="n">
        <v>55</v>
      </c>
      <c r="M6" s="21" t="n">
        <v>0</v>
      </c>
      <c r="N6" s="21" t="n">
        <v>3</v>
      </c>
      <c r="O6" s="21" t="n">
        <v>1</v>
      </c>
    </row>
    <row r="7">
      <c r="A7" s="19" t="n">
        <v>4</v>
      </c>
      <c r="B7" s="21" t="n">
        <v>66</v>
      </c>
      <c r="C7" s="21" t="n">
        <v>66</v>
      </c>
      <c r="D7" s="21" t="n">
        <v>0</v>
      </c>
      <c r="E7" s="21" t="n">
        <v>84</v>
      </c>
      <c r="F7" s="21" t="n">
        <v>57</v>
      </c>
      <c r="G7" s="21" t="n">
        <v>40</v>
      </c>
      <c r="H7" s="21" t="n">
        <v>57</v>
      </c>
      <c r="I7" s="21" t="n">
        <v>84</v>
      </c>
      <c r="J7" s="21" t="n">
        <v>0</v>
      </c>
      <c r="K7" s="21" t="n">
        <v>61</v>
      </c>
      <c r="L7" s="21" t="n">
        <v>75</v>
      </c>
      <c r="M7" s="21" t="n">
        <v>0</v>
      </c>
      <c r="N7" s="21" t="n">
        <v>4</v>
      </c>
      <c r="O7" s="21" t="n">
        <v>0.5</v>
      </c>
    </row>
    <row r="8">
      <c r="A8" s="19" t="n">
        <v>5</v>
      </c>
      <c r="B8" s="21" t="n">
        <v>86</v>
      </c>
      <c r="C8" s="21" t="n">
        <v>86</v>
      </c>
      <c r="D8" s="21" t="n">
        <v>0</v>
      </c>
      <c r="E8" s="21" t="n">
        <v>114</v>
      </c>
      <c r="F8" s="21" t="n">
        <v>72</v>
      </c>
      <c r="G8" s="21" t="n">
        <v>50</v>
      </c>
      <c r="H8" s="21" t="n">
        <v>72</v>
      </c>
      <c r="I8" s="21" t="n">
        <v>114</v>
      </c>
      <c r="J8" s="21" t="n">
        <v>0</v>
      </c>
      <c r="K8" s="21" t="n">
        <v>78</v>
      </c>
      <c r="L8" s="21" t="n">
        <v>100</v>
      </c>
      <c r="M8" s="21" t="n">
        <v>0</v>
      </c>
      <c r="N8" s="21" t="n">
        <v>5</v>
      </c>
      <c r="O8" s="21" t="n">
        <v>0.7</v>
      </c>
    </row>
    <row r="9">
      <c r="A9" s="19" t="n">
        <v>6</v>
      </c>
      <c r="B9" s="21" t="n">
        <v>110</v>
      </c>
      <c r="C9" s="21" t="n">
        <v>110</v>
      </c>
      <c r="D9" s="21" t="n">
        <v>0</v>
      </c>
      <c r="E9" s="21" t="n">
        <v>150</v>
      </c>
      <c r="F9" s="21" t="n">
        <v>90</v>
      </c>
      <c r="G9" s="21" t="n">
        <v>60</v>
      </c>
      <c r="H9" s="21" t="n">
        <v>90</v>
      </c>
      <c r="I9" s="21" t="n">
        <v>150</v>
      </c>
      <c r="J9" s="21" t="n">
        <v>0</v>
      </c>
      <c r="K9" s="21" t="n">
        <v>98</v>
      </c>
      <c r="L9" s="21" t="n">
        <v>130</v>
      </c>
      <c r="M9" s="21" t="n">
        <v>0</v>
      </c>
      <c r="N9" s="21" t="n">
        <v>6</v>
      </c>
      <c r="O9" s="21" t="n">
        <v>1</v>
      </c>
    </row>
    <row r="10">
      <c r="A10" s="19" t="n">
        <v>7</v>
      </c>
      <c r="B10" s="21" t="n">
        <v>138</v>
      </c>
      <c r="C10" s="21" t="n">
        <v>138</v>
      </c>
      <c r="D10" s="21" t="n">
        <v>0</v>
      </c>
      <c r="E10" s="21" t="n">
        <v>192</v>
      </c>
      <c r="F10" s="21" t="n">
        <v>111</v>
      </c>
      <c r="G10" s="21" t="n">
        <v>70</v>
      </c>
      <c r="H10" s="21" t="n">
        <v>111</v>
      </c>
      <c r="I10" s="21" t="n">
        <v>192</v>
      </c>
      <c r="J10" s="21" t="n">
        <v>0</v>
      </c>
      <c r="K10" s="21" t="n">
        <v>122</v>
      </c>
      <c r="L10" s="21" t="n">
        <v>165</v>
      </c>
      <c r="M10" s="21" t="n">
        <v>0</v>
      </c>
      <c r="N10" s="2" t="n"/>
      <c r="O10" s="2" t="n"/>
    </row>
    <row r="11">
      <c r="A11" s="19" t="n">
        <v>8</v>
      </c>
      <c r="B11" s="21" t="n">
        <v>170</v>
      </c>
      <c r="C11" s="21" t="n">
        <v>170</v>
      </c>
      <c r="D11" s="21" t="n">
        <v>0</v>
      </c>
      <c r="E11" s="21" t="n">
        <v>240</v>
      </c>
      <c r="F11" s="21" t="n">
        <v>135</v>
      </c>
      <c r="G11" s="21" t="n">
        <v>80</v>
      </c>
      <c r="H11" s="21" t="n">
        <v>135</v>
      </c>
      <c r="I11" s="21" t="n">
        <v>240</v>
      </c>
      <c r="J11" s="21" t="n">
        <v>0</v>
      </c>
      <c r="K11" s="21" t="n">
        <v>149</v>
      </c>
      <c r="L11" s="21" t="n">
        <v>205</v>
      </c>
      <c r="M11" s="21" t="n">
        <v>0</v>
      </c>
      <c r="N11" s="2" t="n"/>
      <c r="O11" s="2" t="n"/>
    </row>
    <row r="12">
      <c r="A12" s="19" t="n">
        <v>9</v>
      </c>
      <c r="B12" s="21" t="n">
        <v>206</v>
      </c>
      <c r="C12" s="21" t="n">
        <v>206</v>
      </c>
      <c r="D12" s="21" t="n">
        <v>0</v>
      </c>
      <c r="E12" s="21" t="n">
        <v>294</v>
      </c>
      <c r="F12" s="21" t="n">
        <v>162</v>
      </c>
      <c r="G12" s="21" t="n">
        <v>90</v>
      </c>
      <c r="H12" s="21" t="n">
        <v>162</v>
      </c>
      <c r="I12" s="21" t="n">
        <v>294</v>
      </c>
      <c r="J12" s="21" t="n">
        <v>0</v>
      </c>
      <c r="K12" s="21" t="n">
        <v>179</v>
      </c>
      <c r="L12" s="21" t="n">
        <v>250</v>
      </c>
      <c r="M12" s="21" t="n">
        <v>0</v>
      </c>
      <c r="N12" s="42" t="inlineStr">
        <is>
          <t>Class ids: 2 Rogue, 3 Warrior, 4 Magus, 5 Priest. Source: "Classes" sheet.</t>
        </is>
      </c>
      <c r="O12" s="2" t="n"/>
    </row>
    <row r="13">
      <c r="A13" s="19" t="n">
        <v>10</v>
      </c>
      <c r="B13" s="21" t="n">
        <v>246</v>
      </c>
      <c r="C13" s="21" t="n">
        <v>246</v>
      </c>
      <c r="D13" s="21" t="n">
        <v>0</v>
      </c>
      <c r="E13" s="21" t="n">
        <v>354</v>
      </c>
      <c r="F13" s="21" t="n">
        <v>192</v>
      </c>
      <c r="G13" s="21" t="n">
        <v>100</v>
      </c>
      <c r="H13" s="21" t="n">
        <v>192</v>
      </c>
      <c r="I13" s="21" t="n">
        <v>354</v>
      </c>
      <c r="J13" s="21" t="n">
        <v>0</v>
      </c>
      <c r="K13" s="21" t="n">
        <v>213</v>
      </c>
      <c r="L13" s="21" t="n">
        <v>300</v>
      </c>
      <c r="M13" s="21" t="n">
        <v>0</v>
      </c>
      <c r="N13" s="2" t="n"/>
      <c r="O13" s="2" t="n"/>
    </row>
    <row r="14">
      <c r="A14" s="19" t="n">
        <v>11</v>
      </c>
      <c r="B14" s="21" t="n">
        <v>290</v>
      </c>
      <c r="C14" s="21" t="n">
        <v>290</v>
      </c>
      <c r="D14" s="21" t="n">
        <v>0</v>
      </c>
      <c r="E14" s="21" t="n">
        <v>420</v>
      </c>
      <c r="F14" s="21" t="n">
        <v>225</v>
      </c>
      <c r="G14" s="21" t="n">
        <v>110</v>
      </c>
      <c r="H14" s="21" t="n">
        <v>225</v>
      </c>
      <c r="I14" s="21" t="n">
        <v>420</v>
      </c>
      <c r="J14" s="21" t="n">
        <v>0</v>
      </c>
      <c r="K14" s="21" t="n">
        <v>250</v>
      </c>
      <c r="L14" s="21" t="n">
        <v>355</v>
      </c>
      <c r="M14" s="21" t="n">
        <v>0</v>
      </c>
      <c r="N14" s="2" t="n"/>
      <c r="O14" s="2" t="n"/>
    </row>
    <row r="15">
      <c r="A15" s="19" t="n">
        <v>12</v>
      </c>
      <c r="B15" s="21" t="n">
        <v>338</v>
      </c>
      <c r="C15" s="21" t="n">
        <v>338</v>
      </c>
      <c r="D15" s="21" t="n">
        <v>0</v>
      </c>
      <c r="E15" s="21" t="n">
        <v>492</v>
      </c>
      <c r="F15" s="21" t="n">
        <v>261</v>
      </c>
      <c r="G15" s="21" t="n">
        <v>120</v>
      </c>
      <c r="H15" s="21" t="n">
        <v>261</v>
      </c>
      <c r="I15" s="21" t="n">
        <v>492</v>
      </c>
      <c r="J15" s="21" t="n">
        <v>0</v>
      </c>
      <c r="K15" s="21" t="n">
        <v>290</v>
      </c>
      <c r="L15" s="21" t="n">
        <v>415</v>
      </c>
      <c r="M15" s="21" t="n">
        <v>0</v>
      </c>
      <c r="N15" s="2" t="n"/>
      <c r="O15" s="2" t="n"/>
    </row>
    <row r="16">
      <c r="A16" s="19" t="n">
        <v>13</v>
      </c>
      <c r="B16" s="21" t="n">
        <v>390</v>
      </c>
      <c r="C16" s="21" t="n">
        <v>390</v>
      </c>
      <c r="D16" s="21" t="n">
        <v>0</v>
      </c>
      <c r="E16" s="21" t="n">
        <v>570</v>
      </c>
      <c r="F16" s="21" t="n">
        <v>300</v>
      </c>
      <c r="G16" s="21" t="n">
        <v>130</v>
      </c>
      <c r="H16" s="21" t="n">
        <v>300</v>
      </c>
      <c r="I16" s="21" t="n">
        <v>570</v>
      </c>
      <c r="J16" s="21" t="n">
        <v>0</v>
      </c>
      <c r="K16" s="21" t="n">
        <v>334</v>
      </c>
      <c r="L16" s="21" t="n">
        <v>480</v>
      </c>
      <c r="M16" s="21" t="n">
        <v>0</v>
      </c>
      <c r="N16" s="2" t="n"/>
      <c r="O16" s="2" t="n"/>
    </row>
    <row r="17">
      <c r="A17" s="19" t="n">
        <v>14</v>
      </c>
      <c r="B17" s="21" t="n">
        <v>446</v>
      </c>
      <c r="C17" s="21" t="n">
        <v>446</v>
      </c>
      <c r="D17" s="21" t="n">
        <v>0</v>
      </c>
      <c r="E17" s="21" t="n">
        <v>654</v>
      </c>
      <c r="F17" s="21" t="n">
        <v>342</v>
      </c>
      <c r="G17" s="21" t="n">
        <v>140</v>
      </c>
      <c r="H17" s="21" t="n">
        <v>342</v>
      </c>
      <c r="I17" s="21" t="n">
        <v>654</v>
      </c>
      <c r="J17" s="21" t="n">
        <v>0</v>
      </c>
      <c r="K17" s="21" t="n">
        <v>381</v>
      </c>
      <c r="L17" s="21" t="n">
        <v>550</v>
      </c>
      <c r="M17" s="21" t="n">
        <v>0</v>
      </c>
      <c r="N17" s="2" t="n"/>
      <c r="O17" s="2" t="n"/>
    </row>
    <row r="18">
      <c r="A18" s="19" t="n">
        <v>15</v>
      </c>
      <c r="B18" s="21" t="n">
        <v>506</v>
      </c>
      <c r="C18" s="21" t="n">
        <v>506</v>
      </c>
      <c r="D18" s="21" t="n">
        <v>0</v>
      </c>
      <c r="E18" s="21" t="n">
        <v>744</v>
      </c>
      <c r="F18" s="21" t="n">
        <v>387</v>
      </c>
      <c r="G18" s="21" t="n">
        <v>150</v>
      </c>
      <c r="H18" s="21" t="n">
        <v>387</v>
      </c>
      <c r="I18" s="21" t="n">
        <v>744</v>
      </c>
      <c r="J18" s="21" t="n">
        <v>0</v>
      </c>
      <c r="K18" s="21" t="n">
        <v>431</v>
      </c>
      <c r="L18" s="21" t="n">
        <v>625</v>
      </c>
      <c r="M18" s="21" t="n">
        <v>0</v>
      </c>
      <c r="N18" s="2" t="n"/>
      <c r="O18" s="2" t="n"/>
    </row>
    <row r="19">
      <c r="A19" s="19" t="n">
        <v>16</v>
      </c>
      <c r="B19" s="21" t="n">
        <v>570</v>
      </c>
      <c r="C19" s="21" t="n">
        <v>570</v>
      </c>
      <c r="D19" s="21" t="n">
        <v>0</v>
      </c>
      <c r="E19" s="21" t="n">
        <v>840</v>
      </c>
      <c r="F19" s="21" t="n">
        <v>435</v>
      </c>
      <c r="G19" s="21" t="n">
        <v>160</v>
      </c>
      <c r="H19" s="21" t="n">
        <v>435</v>
      </c>
      <c r="I19" s="21" t="n">
        <v>840</v>
      </c>
      <c r="J19" s="21" t="n">
        <v>0</v>
      </c>
      <c r="K19" s="21" t="n">
        <v>485</v>
      </c>
      <c r="L19" s="21" t="n">
        <v>705</v>
      </c>
      <c r="M19" s="21" t="n">
        <v>0</v>
      </c>
      <c r="N19" s="2" t="n"/>
      <c r="O19" s="2" t="n"/>
    </row>
    <row r="20">
      <c r="A20" s="19" t="n">
        <v>17</v>
      </c>
      <c r="B20" s="21" t="n">
        <v>638</v>
      </c>
      <c r="C20" s="21" t="n">
        <v>638</v>
      </c>
      <c r="D20" s="21" t="n">
        <v>0</v>
      </c>
      <c r="E20" s="21" t="n">
        <v>942</v>
      </c>
      <c r="F20" s="21" t="n">
        <v>486</v>
      </c>
      <c r="G20" s="21" t="n">
        <v>170</v>
      </c>
      <c r="H20" s="21" t="n">
        <v>486</v>
      </c>
      <c r="I20" s="21" t="n">
        <v>942</v>
      </c>
      <c r="J20" s="21" t="n">
        <v>0</v>
      </c>
      <c r="K20" s="21" t="n">
        <v>542</v>
      </c>
      <c r="L20" s="21" t="n">
        <v>790</v>
      </c>
      <c r="M20" s="21" t="n">
        <v>0</v>
      </c>
      <c r="N20" s="2" t="n"/>
      <c r="O20" s="2" t="n"/>
    </row>
    <row r="21">
      <c r="A21" s="19" t="n">
        <v>18</v>
      </c>
      <c r="B21" s="21" t="n">
        <v>710</v>
      </c>
      <c r="C21" s="21" t="n">
        <v>710</v>
      </c>
      <c r="D21" s="21" t="n">
        <v>0</v>
      </c>
      <c r="E21" s="21" t="n">
        <v>1050</v>
      </c>
      <c r="F21" s="21" t="n">
        <v>540</v>
      </c>
      <c r="G21" s="21" t="n">
        <v>180</v>
      </c>
      <c r="H21" s="21" t="n">
        <v>540</v>
      </c>
      <c r="I21" s="21" t="n">
        <v>1050</v>
      </c>
      <c r="J21" s="21" t="n">
        <v>0</v>
      </c>
      <c r="K21" s="21" t="n">
        <v>602</v>
      </c>
      <c r="L21" s="21" t="n">
        <v>880</v>
      </c>
      <c r="M21" s="21" t="n">
        <v>0</v>
      </c>
      <c r="N21" s="2" t="n"/>
      <c r="O21" s="2" t="n"/>
    </row>
    <row r="22">
      <c r="A22" s="19" t="n">
        <v>19</v>
      </c>
      <c r="B22" s="21" t="n">
        <v>786</v>
      </c>
      <c r="C22" s="21" t="n">
        <v>786</v>
      </c>
      <c r="D22" s="21" t="n">
        <v>0</v>
      </c>
      <c r="E22" s="21" t="n">
        <v>1164</v>
      </c>
      <c r="F22" s="21" t="n">
        <v>597</v>
      </c>
      <c r="G22" s="21" t="n">
        <v>190</v>
      </c>
      <c r="H22" s="21" t="n">
        <v>597</v>
      </c>
      <c r="I22" s="21" t="n">
        <v>1164</v>
      </c>
      <c r="J22" s="21" t="n">
        <v>0</v>
      </c>
      <c r="K22" s="21" t="n">
        <v>666</v>
      </c>
      <c r="L22" s="21" t="n">
        <v>975</v>
      </c>
      <c r="M22" s="21" t="n">
        <v>0</v>
      </c>
      <c r="N22" s="2" t="n"/>
      <c r="O22" s="2" t="n"/>
    </row>
    <row r="23">
      <c r="A23" s="19" t="n">
        <v>20</v>
      </c>
      <c r="B23" s="21" t="n">
        <v>866</v>
      </c>
      <c r="C23" s="21" t="n">
        <v>866</v>
      </c>
      <c r="D23" s="21" t="n">
        <v>0</v>
      </c>
      <c r="E23" s="21" t="n">
        <v>1284</v>
      </c>
      <c r="F23" s="21" t="n">
        <v>657</v>
      </c>
      <c r="G23" s="21" t="n">
        <v>200</v>
      </c>
      <c r="H23" s="21" t="n">
        <v>657</v>
      </c>
      <c r="I23" s="21" t="n">
        <v>1284</v>
      </c>
      <c r="J23" s="21" t="n">
        <v>0</v>
      </c>
      <c r="K23" s="21" t="n">
        <v>733</v>
      </c>
      <c r="L23" s="21" t="n">
        <v>1075</v>
      </c>
      <c r="M23" s="21" t="n">
        <v>0</v>
      </c>
      <c r="N23" s="2" t="n"/>
      <c r="O23" s="2" t="n"/>
    </row>
    <row r="24">
      <c r="A24" s="19" t="n">
        <v>21</v>
      </c>
      <c r="B24" s="21" t="n">
        <v>950</v>
      </c>
      <c r="C24" s="21" t="n">
        <v>950</v>
      </c>
      <c r="D24" s="21" t="n">
        <v>0</v>
      </c>
      <c r="E24" s="21" t="n">
        <v>1410</v>
      </c>
      <c r="F24" s="21" t="n">
        <v>720</v>
      </c>
      <c r="G24" s="21" t="n">
        <v>210</v>
      </c>
      <c r="H24" s="21" t="n">
        <v>720</v>
      </c>
      <c r="I24" s="21" t="n">
        <v>1410</v>
      </c>
      <c r="J24" s="21" t="n">
        <v>0</v>
      </c>
      <c r="K24" s="21" t="n">
        <v>803</v>
      </c>
      <c r="L24" s="21" t="n">
        <v>1180</v>
      </c>
      <c r="M24" s="21" t="n">
        <v>0</v>
      </c>
      <c r="N24" s="2" t="n"/>
      <c r="O24" s="2" t="n"/>
    </row>
    <row r="25">
      <c r="A25" s="19" t="n">
        <v>22</v>
      </c>
      <c r="B25" s="21" t="n">
        <v>1038</v>
      </c>
      <c r="C25" s="21" t="n">
        <v>1038</v>
      </c>
      <c r="D25" s="21" t="n">
        <v>0</v>
      </c>
      <c r="E25" s="21" t="n">
        <v>1542</v>
      </c>
      <c r="F25" s="21" t="n">
        <v>786</v>
      </c>
      <c r="G25" s="21" t="n">
        <v>220</v>
      </c>
      <c r="H25" s="21" t="n">
        <v>786</v>
      </c>
      <c r="I25" s="21" t="n">
        <v>1542</v>
      </c>
      <c r="J25" s="21" t="n">
        <v>0</v>
      </c>
      <c r="K25" s="21" t="n">
        <v>877</v>
      </c>
      <c r="L25" s="21" t="n">
        <v>1290</v>
      </c>
      <c r="M25" s="21" t="n">
        <v>0</v>
      </c>
      <c r="N25" s="2" t="n"/>
      <c r="O25" s="2" t="n"/>
    </row>
    <row r="26">
      <c r="A26" s="19" t="n">
        <v>23</v>
      </c>
      <c r="B26" s="21" t="n">
        <v>1130</v>
      </c>
      <c r="C26" s="21" t="n">
        <v>1130</v>
      </c>
      <c r="D26" s="21" t="n">
        <v>0</v>
      </c>
      <c r="E26" s="21" t="n">
        <v>1680</v>
      </c>
      <c r="F26" s="21" t="n">
        <v>855</v>
      </c>
      <c r="G26" s="21" t="n">
        <v>230</v>
      </c>
      <c r="H26" s="21" t="n">
        <v>855</v>
      </c>
      <c r="I26" s="21" t="n">
        <v>1680</v>
      </c>
      <c r="J26" s="21" t="n">
        <v>0</v>
      </c>
      <c r="K26" s="21" t="n">
        <v>954</v>
      </c>
      <c r="L26" s="21" t="n">
        <v>1405</v>
      </c>
      <c r="M26" s="21" t="n">
        <v>0</v>
      </c>
      <c r="N26" s="2" t="n"/>
      <c r="O26" s="2" t="n"/>
    </row>
    <row r="27">
      <c r="A27" s="19" t="n">
        <v>24</v>
      </c>
      <c r="B27" s="21" t="n">
        <v>1226</v>
      </c>
      <c r="C27" s="21" t="n">
        <v>1226</v>
      </c>
      <c r="D27" s="21" t="n">
        <v>0</v>
      </c>
      <c r="E27" s="21" t="n">
        <v>1824</v>
      </c>
      <c r="F27" s="21" t="n">
        <v>927</v>
      </c>
      <c r="G27" s="21" t="n">
        <v>240</v>
      </c>
      <c r="H27" s="21" t="n">
        <v>927</v>
      </c>
      <c r="I27" s="21" t="n">
        <v>1824</v>
      </c>
      <c r="J27" s="21" t="n">
        <v>0</v>
      </c>
      <c r="K27" s="21" t="n">
        <v>1034</v>
      </c>
      <c r="L27" s="21" t="n">
        <v>1525</v>
      </c>
      <c r="M27" s="21" t="n">
        <v>0</v>
      </c>
      <c r="N27" s="2" t="n"/>
      <c r="O27" s="2" t="n"/>
    </row>
    <row r="28">
      <c r="A28" s="19" t="n">
        <v>25</v>
      </c>
      <c r="B28" s="21" t="n">
        <v>1326</v>
      </c>
      <c r="C28" s="21" t="n">
        <v>1326</v>
      </c>
      <c r="D28" s="21" t="n">
        <v>0</v>
      </c>
      <c r="E28" s="21" t="n">
        <v>1974</v>
      </c>
      <c r="F28" s="21" t="n">
        <v>1002</v>
      </c>
      <c r="G28" s="21" t="n">
        <v>250</v>
      </c>
      <c r="H28" s="21" t="n">
        <v>1002</v>
      </c>
      <c r="I28" s="21" t="n">
        <v>1974</v>
      </c>
      <c r="J28" s="21" t="n">
        <v>0</v>
      </c>
      <c r="K28" s="21" t="n">
        <v>1118</v>
      </c>
      <c r="L28" s="21" t="n">
        <v>1650</v>
      </c>
      <c r="M28" s="21" t="n">
        <v>0</v>
      </c>
      <c r="N28" s="2" t="n"/>
      <c r="O28" s="2" t="n"/>
    </row>
    <row r="29">
      <c r="A29" s="19" t="n">
        <v>26</v>
      </c>
      <c r="B29" s="21" t="n">
        <v>1430</v>
      </c>
      <c r="C29" s="21" t="n">
        <v>1430</v>
      </c>
      <c r="D29" s="21" t="n">
        <v>0</v>
      </c>
      <c r="E29" s="21" t="n">
        <v>2130</v>
      </c>
      <c r="F29" s="21" t="n">
        <v>1080</v>
      </c>
      <c r="G29" s="21" t="n">
        <v>260</v>
      </c>
      <c r="H29" s="21" t="n">
        <v>1080</v>
      </c>
      <c r="I29" s="21" t="n">
        <v>2130</v>
      </c>
      <c r="J29" s="21" t="n">
        <v>0</v>
      </c>
      <c r="K29" s="21" t="n">
        <v>1205</v>
      </c>
      <c r="L29" s="21" t="n">
        <v>1780</v>
      </c>
      <c r="M29" s="21" t="n">
        <v>0</v>
      </c>
      <c r="N29" s="2" t="n"/>
      <c r="O29" s="2" t="n"/>
    </row>
    <row r="30">
      <c r="A30" s="19" t="n">
        <v>27</v>
      </c>
      <c r="B30" s="21" t="n">
        <v>1538</v>
      </c>
      <c r="C30" s="21" t="n">
        <v>1538</v>
      </c>
      <c r="D30" s="21" t="n">
        <v>0</v>
      </c>
      <c r="E30" s="21" t="n">
        <v>2292</v>
      </c>
      <c r="F30" s="21" t="n">
        <v>1161</v>
      </c>
      <c r="G30" s="21" t="n">
        <v>270</v>
      </c>
      <c r="H30" s="21" t="n">
        <v>1161</v>
      </c>
      <c r="I30" s="21" t="n">
        <v>2292</v>
      </c>
      <c r="J30" s="21" t="n">
        <v>0</v>
      </c>
      <c r="K30" s="21" t="n">
        <v>1295</v>
      </c>
      <c r="L30" s="21" t="n">
        <v>1915</v>
      </c>
      <c r="M30" s="21" t="n">
        <v>0</v>
      </c>
      <c r="N30" s="2" t="n"/>
      <c r="O30" s="2" t="n"/>
    </row>
    <row r="31">
      <c r="A31" s="19" t="n">
        <v>28</v>
      </c>
      <c r="B31" s="21" t="n">
        <v>1650</v>
      </c>
      <c r="C31" s="21" t="n">
        <v>1650</v>
      </c>
      <c r="D31" s="21" t="n">
        <v>0</v>
      </c>
      <c r="E31" s="21" t="n">
        <v>2460</v>
      </c>
      <c r="F31" s="21" t="n">
        <v>1245</v>
      </c>
      <c r="G31" s="21" t="n">
        <v>280</v>
      </c>
      <c r="H31" s="21" t="n">
        <v>1245</v>
      </c>
      <c r="I31" s="21" t="n">
        <v>2460</v>
      </c>
      <c r="J31" s="21" t="n">
        <v>0</v>
      </c>
      <c r="K31" s="21" t="n">
        <v>1389</v>
      </c>
      <c r="L31" s="21" t="n">
        <v>2055</v>
      </c>
      <c r="M31" s="21" t="n">
        <v>0</v>
      </c>
      <c r="N31" s="2" t="n"/>
      <c r="O31" s="2" t="n"/>
    </row>
    <row r="32">
      <c r="A32" s="19" t="n">
        <v>29</v>
      </c>
      <c r="B32" s="21" t="n">
        <v>1766</v>
      </c>
      <c r="C32" s="21" t="n">
        <v>1766</v>
      </c>
      <c r="D32" s="21" t="n">
        <v>0</v>
      </c>
      <c r="E32" s="21" t="n">
        <v>2634</v>
      </c>
      <c r="F32" s="21" t="n">
        <v>1332</v>
      </c>
      <c r="G32" s="21" t="n">
        <v>290</v>
      </c>
      <c r="H32" s="21" t="n">
        <v>1332</v>
      </c>
      <c r="I32" s="21" t="n">
        <v>2634</v>
      </c>
      <c r="J32" s="21" t="n">
        <v>0</v>
      </c>
      <c r="K32" s="21" t="n">
        <v>1486</v>
      </c>
      <c r="L32" s="21" t="n">
        <v>2200</v>
      </c>
      <c r="M32" s="21" t="n">
        <v>0</v>
      </c>
      <c r="N32" s="2" t="n"/>
      <c r="O32" s="2" t="n"/>
    </row>
    <row r="33">
      <c r="A33" s="19" t="n">
        <v>30</v>
      </c>
      <c r="B33" s="21" t="n">
        <v>1886</v>
      </c>
      <c r="C33" s="21" t="n">
        <v>1886</v>
      </c>
      <c r="D33" s="21" t="n">
        <v>0</v>
      </c>
      <c r="E33" s="21" t="n">
        <v>2814</v>
      </c>
      <c r="F33" s="21" t="n">
        <v>1422</v>
      </c>
      <c r="G33" s="21" t="n">
        <v>300</v>
      </c>
      <c r="H33" s="21" t="n">
        <v>1422</v>
      </c>
      <c r="I33" s="21" t="n">
        <v>2814</v>
      </c>
      <c r="J33" s="21" t="n">
        <v>0</v>
      </c>
      <c r="K33" s="21" t="n">
        <v>1586</v>
      </c>
      <c r="L33" s="21" t="n">
        <v>2350</v>
      </c>
      <c r="M33" s="21" t="n">
        <v>0</v>
      </c>
      <c r="N33" s="2" t="n"/>
      <c r="O33" s="2" t="n"/>
    </row>
    <row r="34">
      <c r="A34" s="19" t="n">
        <v>31</v>
      </c>
      <c r="B34" s="21" t="n">
        <v>2010</v>
      </c>
      <c r="C34" s="21" t="n">
        <v>2010</v>
      </c>
      <c r="D34" s="21" t="n">
        <v>0</v>
      </c>
      <c r="E34" s="21" t="n">
        <v>3000</v>
      </c>
      <c r="F34" s="21" t="n">
        <v>1515</v>
      </c>
      <c r="G34" s="21" t="n">
        <v>310</v>
      </c>
      <c r="H34" s="21" t="n">
        <v>1515</v>
      </c>
      <c r="I34" s="21" t="n">
        <v>3000</v>
      </c>
      <c r="J34" s="21" t="n">
        <v>0</v>
      </c>
      <c r="K34" s="21" t="n">
        <v>1690</v>
      </c>
      <c r="L34" s="21" t="n">
        <v>2505</v>
      </c>
      <c r="M34" s="21" t="n">
        <v>0</v>
      </c>
      <c r="N34" s="2" t="n"/>
      <c r="O34" s="2" t="n"/>
    </row>
    <row r="35">
      <c r="A35" s="19" t="n">
        <v>32</v>
      </c>
      <c r="B35" s="21" t="n">
        <v>2138</v>
      </c>
      <c r="C35" s="21" t="n">
        <v>2138</v>
      </c>
      <c r="D35" s="21" t="n">
        <v>0</v>
      </c>
      <c r="E35" s="21" t="n">
        <v>3192</v>
      </c>
      <c r="F35" s="21" t="n">
        <v>1611</v>
      </c>
      <c r="G35" s="21" t="n">
        <v>320</v>
      </c>
      <c r="H35" s="21" t="n">
        <v>1611</v>
      </c>
      <c r="I35" s="21" t="n">
        <v>3192</v>
      </c>
      <c r="J35" s="21" t="n">
        <v>0</v>
      </c>
      <c r="K35" s="21" t="n">
        <v>1797</v>
      </c>
      <c r="L35" s="21" t="n">
        <v>2665</v>
      </c>
      <c r="M35" s="21" t="n">
        <v>0</v>
      </c>
      <c r="N35" s="2" t="n"/>
      <c r="O35" s="2" t="n"/>
    </row>
    <row r="36">
      <c r="A36" s="19" t="n">
        <v>33</v>
      </c>
      <c r="B36" s="21" t="n">
        <v>2270</v>
      </c>
      <c r="C36" s="21" t="n">
        <v>2270</v>
      </c>
      <c r="D36" s="21" t="n">
        <v>0</v>
      </c>
      <c r="E36" s="21" t="n">
        <v>3390</v>
      </c>
      <c r="F36" s="21" t="n">
        <v>1710</v>
      </c>
      <c r="G36" s="21" t="n">
        <v>330</v>
      </c>
      <c r="H36" s="21" t="n">
        <v>1710</v>
      </c>
      <c r="I36" s="21" t="n">
        <v>3390</v>
      </c>
      <c r="J36" s="21" t="n">
        <v>0</v>
      </c>
      <c r="K36" s="21" t="n">
        <v>1907</v>
      </c>
      <c r="L36" s="21" t="n">
        <v>2830</v>
      </c>
      <c r="M36" s="21" t="n">
        <v>0</v>
      </c>
      <c r="N36" s="2" t="n"/>
      <c r="O36" s="2" t="n"/>
    </row>
    <row r="37">
      <c r="A37" s="19" t="n">
        <v>34</v>
      </c>
      <c r="B37" s="21" t="n">
        <v>2406</v>
      </c>
      <c r="C37" s="21" t="n">
        <v>2406</v>
      </c>
      <c r="D37" s="21" t="n">
        <v>0</v>
      </c>
      <c r="E37" s="21" t="n">
        <v>3594</v>
      </c>
      <c r="F37" s="21" t="n">
        <v>1812</v>
      </c>
      <c r="G37" s="21" t="n">
        <v>340</v>
      </c>
      <c r="H37" s="21" t="n">
        <v>1812</v>
      </c>
      <c r="I37" s="21" t="n">
        <v>3594</v>
      </c>
      <c r="J37" s="21" t="n">
        <v>0</v>
      </c>
      <c r="K37" s="21" t="n">
        <v>2021</v>
      </c>
      <c r="L37" s="21" t="n">
        <v>3000</v>
      </c>
      <c r="M37" s="21" t="n">
        <v>0</v>
      </c>
      <c r="N37" s="2" t="n"/>
      <c r="O37" s="2" t="n"/>
    </row>
    <row r="38">
      <c r="A38" s="19" t="n">
        <v>35</v>
      </c>
      <c r="B38" s="21" t="n">
        <v>2546</v>
      </c>
      <c r="C38" s="21" t="n">
        <v>2546</v>
      </c>
      <c r="D38" s="21" t="n">
        <v>0</v>
      </c>
      <c r="E38" s="21" t="n">
        <v>3804</v>
      </c>
      <c r="F38" s="21" t="n">
        <v>1917</v>
      </c>
      <c r="G38" s="21" t="n">
        <v>350</v>
      </c>
      <c r="H38" s="21" t="n">
        <v>1917</v>
      </c>
      <c r="I38" s="21" t="n">
        <v>3804</v>
      </c>
      <c r="J38" s="21" t="n">
        <v>0</v>
      </c>
      <c r="K38" s="21" t="n">
        <v>2138</v>
      </c>
      <c r="L38" s="21" t="n">
        <v>3175</v>
      </c>
      <c r="M38" s="21" t="n">
        <v>0</v>
      </c>
      <c r="N38" s="2" t="n"/>
      <c r="O38" s="2" t="n"/>
    </row>
    <row r="39">
      <c r="A39" s="19" t="n">
        <v>36</v>
      </c>
      <c r="B39" s="21" t="n">
        <v>2690</v>
      </c>
      <c r="C39" s="21" t="n">
        <v>2690</v>
      </c>
      <c r="D39" s="21" t="n">
        <v>0</v>
      </c>
      <c r="E39" s="21" t="n">
        <v>4020</v>
      </c>
      <c r="F39" s="21" t="n">
        <v>2025</v>
      </c>
      <c r="G39" s="21" t="n">
        <v>360</v>
      </c>
      <c r="H39" s="21" t="n">
        <v>2025</v>
      </c>
      <c r="I39" s="21" t="n">
        <v>4020</v>
      </c>
      <c r="J39" s="21" t="n">
        <v>0</v>
      </c>
      <c r="K39" s="21" t="n">
        <v>2258</v>
      </c>
      <c r="L39" s="21" t="n">
        <v>3355</v>
      </c>
      <c r="M39" s="21" t="n">
        <v>0</v>
      </c>
      <c r="N39" s="2" t="n"/>
      <c r="O39" s="2" t="n"/>
    </row>
    <row r="40">
      <c r="A40" s="19" t="n">
        <v>37</v>
      </c>
      <c r="B40" s="21" t="n">
        <v>2838</v>
      </c>
      <c r="C40" s="21" t="n">
        <v>2838</v>
      </c>
      <c r="D40" s="21" t="n">
        <v>0</v>
      </c>
      <c r="E40" s="21" t="n">
        <v>4242</v>
      </c>
      <c r="F40" s="21" t="n">
        <v>2136</v>
      </c>
      <c r="G40" s="21" t="n">
        <v>370</v>
      </c>
      <c r="H40" s="21" t="n">
        <v>2136</v>
      </c>
      <c r="I40" s="21" t="n">
        <v>4242</v>
      </c>
      <c r="J40" s="21" t="n">
        <v>0</v>
      </c>
      <c r="K40" s="21" t="n">
        <v>2382</v>
      </c>
      <c r="L40" s="21" t="n">
        <v>3540</v>
      </c>
      <c r="M40" s="21" t="n">
        <v>0</v>
      </c>
      <c r="N40" s="2" t="n"/>
      <c r="O40" s="2" t="n"/>
    </row>
    <row r="41">
      <c r="A41" s="19" t="n">
        <v>38</v>
      </c>
      <c r="B41" s="21" t="n">
        <v>2990</v>
      </c>
      <c r="C41" s="21" t="n">
        <v>2990</v>
      </c>
      <c r="D41" s="21" t="n">
        <v>0</v>
      </c>
      <c r="E41" s="21" t="n">
        <v>4470</v>
      </c>
      <c r="F41" s="21" t="n">
        <v>2250</v>
      </c>
      <c r="G41" s="21" t="n">
        <v>380</v>
      </c>
      <c r="H41" s="21" t="n">
        <v>2250</v>
      </c>
      <c r="I41" s="21" t="n">
        <v>4470</v>
      </c>
      <c r="J41" s="21" t="n">
        <v>0</v>
      </c>
      <c r="K41" s="21" t="n">
        <v>2509</v>
      </c>
      <c r="L41" s="21" t="n">
        <v>3730</v>
      </c>
      <c r="M41" s="21" t="n">
        <v>0</v>
      </c>
      <c r="N41" s="2" t="n"/>
      <c r="O41" s="2" t="n"/>
    </row>
    <row r="42">
      <c r="A42" s="19" t="n">
        <v>39</v>
      </c>
      <c r="B42" s="21" t="n">
        <v>3146</v>
      </c>
      <c r="C42" s="21" t="n">
        <v>3146</v>
      </c>
      <c r="D42" s="21" t="n">
        <v>0</v>
      </c>
      <c r="E42" s="21" t="n">
        <v>4704</v>
      </c>
      <c r="F42" s="21" t="n">
        <v>2367</v>
      </c>
      <c r="G42" s="21" t="n">
        <v>390</v>
      </c>
      <c r="H42" s="21" t="n">
        <v>2367</v>
      </c>
      <c r="I42" s="21" t="n">
        <v>4704</v>
      </c>
      <c r="J42" s="21" t="n">
        <v>0</v>
      </c>
      <c r="K42" s="21" t="n">
        <v>2639</v>
      </c>
      <c r="L42" s="21" t="n">
        <v>3925</v>
      </c>
      <c r="M42" s="21" t="n">
        <v>0</v>
      </c>
      <c r="N42" s="2" t="n"/>
      <c r="O42" s="2" t="n"/>
    </row>
    <row r="43">
      <c r="A43" s="19" t="n">
        <v>40</v>
      </c>
      <c r="B43" s="21" t="n">
        <v>3306</v>
      </c>
      <c r="C43" s="21" t="n">
        <v>3306</v>
      </c>
      <c r="D43" s="21" t="n">
        <v>0</v>
      </c>
      <c r="E43" s="21" t="n">
        <v>4944</v>
      </c>
      <c r="F43" s="21" t="n">
        <v>2487</v>
      </c>
      <c r="G43" s="21" t="n">
        <v>400</v>
      </c>
      <c r="H43" s="21" t="n">
        <v>2487</v>
      </c>
      <c r="I43" s="21" t="n">
        <v>4944</v>
      </c>
      <c r="J43" s="21" t="n">
        <v>0</v>
      </c>
      <c r="K43" s="21" t="n">
        <v>2773</v>
      </c>
      <c r="L43" s="21" t="n">
        <v>4125</v>
      </c>
      <c r="M43" s="21" t="n">
        <v>0</v>
      </c>
      <c r="N43" s="2" t="n"/>
      <c r="O43" s="2" t="n"/>
    </row>
    <row r="44">
      <c r="A44" s="19" t="n">
        <v>41</v>
      </c>
      <c r="B44" s="21" t="n">
        <v>3470</v>
      </c>
      <c r="C44" s="21" t="n">
        <v>3470</v>
      </c>
      <c r="D44" s="21" t="n">
        <v>0</v>
      </c>
      <c r="E44" s="21" t="n">
        <v>5190</v>
      </c>
      <c r="F44" s="21" t="n">
        <v>2610</v>
      </c>
      <c r="G44" s="21" t="n">
        <v>410</v>
      </c>
      <c r="H44" s="21" t="n">
        <v>2610</v>
      </c>
      <c r="I44" s="21" t="n">
        <v>5190</v>
      </c>
      <c r="J44" s="21" t="n">
        <v>0</v>
      </c>
      <c r="K44" s="21" t="n">
        <v>2910</v>
      </c>
      <c r="L44" s="21" t="n">
        <v>4330</v>
      </c>
      <c r="M44" s="21" t="n">
        <v>0</v>
      </c>
      <c r="N44" s="2" t="n"/>
      <c r="O44" s="2" t="n"/>
    </row>
    <row r="45">
      <c r="A45" s="19" t="n">
        <v>42</v>
      </c>
      <c r="B45" s="21" t="n">
        <v>3638</v>
      </c>
      <c r="C45" s="21" t="n">
        <v>3638</v>
      </c>
      <c r="D45" s="21" t="n">
        <v>0</v>
      </c>
      <c r="E45" s="21" t="n">
        <v>5442</v>
      </c>
      <c r="F45" s="21" t="n">
        <v>2736</v>
      </c>
      <c r="G45" s="21" t="n">
        <v>420</v>
      </c>
      <c r="H45" s="21" t="n">
        <v>2736</v>
      </c>
      <c r="I45" s="21" t="n">
        <v>5442</v>
      </c>
      <c r="J45" s="21" t="n">
        <v>0</v>
      </c>
      <c r="K45" s="21" t="n">
        <v>3050</v>
      </c>
      <c r="L45" s="21" t="n">
        <v>4540</v>
      </c>
      <c r="M45" s="21" t="n">
        <v>0</v>
      </c>
      <c r="N45" s="2" t="n"/>
      <c r="O45" s="2" t="n"/>
    </row>
    <row r="46">
      <c r="A46" s="19" t="n">
        <v>43</v>
      </c>
      <c r="B46" s="21" t="n">
        <v>3810</v>
      </c>
      <c r="C46" s="21" t="n">
        <v>3810</v>
      </c>
      <c r="D46" s="21" t="n">
        <v>0</v>
      </c>
      <c r="E46" s="21" t="n">
        <v>5700</v>
      </c>
      <c r="F46" s="21" t="n">
        <v>2865</v>
      </c>
      <c r="G46" s="21" t="n">
        <v>430</v>
      </c>
      <c r="H46" s="21" t="n">
        <v>2865</v>
      </c>
      <c r="I46" s="21" t="n">
        <v>5700</v>
      </c>
      <c r="J46" s="21" t="n">
        <v>0</v>
      </c>
      <c r="K46" s="21" t="n">
        <v>3194</v>
      </c>
      <c r="L46" s="21" t="n">
        <v>4755</v>
      </c>
      <c r="M46" s="21" t="n">
        <v>0</v>
      </c>
      <c r="N46" s="2" t="n"/>
      <c r="O46" s="2" t="n"/>
    </row>
    <row r="47">
      <c r="A47" s="19" t="n">
        <v>44</v>
      </c>
      <c r="B47" s="21" t="n">
        <v>3986</v>
      </c>
      <c r="C47" s="21" t="n">
        <v>3986</v>
      </c>
      <c r="D47" s="21" t="n">
        <v>0</v>
      </c>
      <c r="E47" s="21" t="n">
        <v>5964</v>
      </c>
      <c r="F47" s="21" t="n">
        <v>2997</v>
      </c>
      <c r="G47" s="21" t="n">
        <v>440</v>
      </c>
      <c r="H47" s="21" t="n">
        <v>2997</v>
      </c>
      <c r="I47" s="21" t="n">
        <v>5964</v>
      </c>
      <c r="J47" s="21" t="n">
        <v>0</v>
      </c>
      <c r="K47" s="21" t="n">
        <v>3341</v>
      </c>
      <c r="L47" s="21" t="n">
        <v>4975</v>
      </c>
      <c r="M47" s="21" t="n">
        <v>0</v>
      </c>
      <c r="N47" s="2" t="n"/>
      <c r="O47" s="2" t="n"/>
    </row>
    <row r="48">
      <c r="A48" s="19" t="n">
        <v>45</v>
      </c>
      <c r="B48" s="21" t="n">
        <v>4166</v>
      </c>
      <c r="C48" s="21" t="n">
        <v>4166</v>
      </c>
      <c r="D48" s="21" t="n">
        <v>0</v>
      </c>
      <c r="E48" s="21" t="n">
        <v>6234</v>
      </c>
      <c r="F48" s="21" t="n">
        <v>3132</v>
      </c>
      <c r="G48" s="21" t="n">
        <v>450</v>
      </c>
      <c r="H48" s="21" t="n">
        <v>3132</v>
      </c>
      <c r="I48" s="21" t="n">
        <v>6234</v>
      </c>
      <c r="J48" s="21" t="n">
        <v>0</v>
      </c>
      <c r="K48" s="21" t="n">
        <v>3491</v>
      </c>
      <c r="L48" s="21" t="n">
        <v>5200</v>
      </c>
      <c r="M48" s="21" t="n">
        <v>0</v>
      </c>
      <c r="N48" s="2" t="n"/>
      <c r="O48" s="2" t="n"/>
    </row>
    <row r="49">
      <c r="A49" s="19" t="n">
        <v>46</v>
      </c>
      <c r="B49" s="21" t="n">
        <v>4350</v>
      </c>
      <c r="C49" s="21" t="n">
        <v>4350</v>
      </c>
      <c r="D49" s="21" t="n">
        <v>0</v>
      </c>
      <c r="E49" s="21" t="n">
        <v>6510</v>
      </c>
      <c r="F49" s="21" t="n">
        <v>3270</v>
      </c>
      <c r="G49" s="21" t="n">
        <v>460</v>
      </c>
      <c r="H49" s="21" t="n">
        <v>3270</v>
      </c>
      <c r="I49" s="21" t="n">
        <v>6510</v>
      </c>
      <c r="J49" s="21" t="n">
        <v>0</v>
      </c>
      <c r="K49" s="21" t="n">
        <v>3645</v>
      </c>
      <c r="L49" s="21" t="n">
        <v>5430</v>
      </c>
      <c r="M49" s="21" t="n">
        <v>0</v>
      </c>
      <c r="N49" s="2" t="n"/>
      <c r="O49" s="2" t="n"/>
    </row>
    <row r="50">
      <c r="A50" s="19" t="n">
        <v>47</v>
      </c>
      <c r="B50" s="21" t="n">
        <v>4538</v>
      </c>
      <c r="C50" s="21" t="n">
        <v>4538</v>
      </c>
      <c r="D50" s="21" t="n">
        <v>0</v>
      </c>
      <c r="E50" s="21" t="n">
        <v>6792</v>
      </c>
      <c r="F50" s="21" t="n">
        <v>3411</v>
      </c>
      <c r="G50" s="21" t="n">
        <v>470</v>
      </c>
      <c r="H50" s="21" t="n">
        <v>3411</v>
      </c>
      <c r="I50" s="21" t="n">
        <v>6792</v>
      </c>
      <c r="J50" s="21" t="n">
        <v>0</v>
      </c>
      <c r="K50" s="21" t="n">
        <v>3802</v>
      </c>
      <c r="L50" s="21" t="n">
        <v>5665</v>
      </c>
      <c r="M50" s="21" t="n">
        <v>0</v>
      </c>
      <c r="N50" s="2" t="n"/>
      <c r="O50" s="2" t="n"/>
    </row>
    <row r="51">
      <c r="A51" s="19" t="n">
        <v>48</v>
      </c>
      <c r="B51" s="21" t="n">
        <v>4730</v>
      </c>
      <c r="C51" s="21" t="n">
        <v>4730</v>
      </c>
      <c r="D51" s="21" t="n">
        <v>0</v>
      </c>
      <c r="E51" s="21" t="n">
        <v>7080</v>
      </c>
      <c r="F51" s="21" t="n">
        <v>3555</v>
      </c>
      <c r="G51" s="21" t="n">
        <v>480</v>
      </c>
      <c r="H51" s="21" t="n">
        <v>3555</v>
      </c>
      <c r="I51" s="21" t="n">
        <v>7080</v>
      </c>
      <c r="J51" s="21" t="n">
        <v>0</v>
      </c>
      <c r="K51" s="21" t="n">
        <v>3962</v>
      </c>
      <c r="L51" s="21" t="n">
        <v>5905</v>
      </c>
      <c r="M51" s="21" t="n">
        <v>0</v>
      </c>
      <c r="N51" s="2" t="n"/>
      <c r="O51" s="2" t="n"/>
    </row>
    <row r="52">
      <c r="A52" s="19" t="n">
        <v>49</v>
      </c>
      <c r="B52" s="21" t="n">
        <v>4926</v>
      </c>
      <c r="C52" s="21" t="n">
        <v>4926</v>
      </c>
      <c r="D52" s="21" t="n">
        <v>0</v>
      </c>
      <c r="E52" s="21" t="n">
        <v>7374</v>
      </c>
      <c r="F52" s="21" t="n">
        <v>3702</v>
      </c>
      <c r="G52" s="21" t="n">
        <v>490</v>
      </c>
      <c r="H52" s="21" t="n">
        <v>3700</v>
      </c>
      <c r="I52" s="21" t="n">
        <v>7400</v>
      </c>
      <c r="J52" s="21" t="n">
        <v>0</v>
      </c>
      <c r="K52" s="21" t="n">
        <v>4126</v>
      </c>
      <c r="L52" s="21" t="n">
        <v>6150</v>
      </c>
      <c r="M52" s="21" t="n">
        <v>0</v>
      </c>
      <c r="N52" s="2" t="n"/>
      <c r="O52" s="2" t="n"/>
    </row>
    <row r="53">
      <c r="A53" s="19" t="n">
        <v>50</v>
      </c>
      <c r="B53" s="21" t="n">
        <v>5200</v>
      </c>
      <c r="C53" s="21" t="n">
        <v>5200</v>
      </c>
      <c r="D53" s="21" t="n">
        <v>0</v>
      </c>
      <c r="E53" s="21" t="n">
        <v>7700</v>
      </c>
      <c r="F53" s="21" t="n">
        <v>3900</v>
      </c>
      <c r="G53" s="21" t="n">
        <v>500</v>
      </c>
      <c r="H53" s="21" t="n">
        <v>3852</v>
      </c>
      <c r="I53" s="21" t="n">
        <v>7674</v>
      </c>
      <c r="J53" s="21" t="n">
        <v>0</v>
      </c>
      <c r="K53" s="21" t="n">
        <v>4300</v>
      </c>
      <c r="L53" s="21" t="n">
        <v>6400</v>
      </c>
      <c r="M53" s="21" t="n">
        <v>0</v>
      </c>
      <c r="N53" s="2" t="n"/>
      <c r="O53"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03"/>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20" customWidth="1" min="16" max="16"/>
  </cols>
  <sheetData>
    <row r="1">
      <c r="A1" s="1" t="inlineStr">
        <is>
          <t>Gear profiles by class and level</t>
        </is>
      </c>
      <c r="B1" s="2" t="n"/>
      <c r="C1" s="2" t="n"/>
      <c r="D1" s="2" t="n"/>
      <c r="E1" s="2" t="n"/>
      <c r="F1" s="2" t="n"/>
      <c r="G1" s="2" t="n"/>
      <c r="H1" s="2" t="n"/>
      <c r="I1" s="2" t="n"/>
      <c r="J1" s="2" t="n"/>
      <c r="K1" s="2" t="n"/>
      <c r="L1" s="2" t="n"/>
      <c r="M1" s="2" t="n"/>
      <c r="N1" s="2" t="n"/>
      <c r="O1" s="2" t="n"/>
      <c r="P1" s="2" t="n"/>
    </row>
    <row r="2">
      <c r="A2" s="42" t="inlineStr">
        <is>
          <t>Totals of equipped item stats (STA x25 already folded into HP, INT x25 into MP; % stats come from the item equip effect). Profile 3 starts as a copy of 2 - edit it for what-ifs.</t>
        </is>
      </c>
      <c r="B2" s="2" t="n"/>
      <c r="C2" s="2" t="n"/>
      <c r="D2" s="2" t="n"/>
      <c r="E2" s="2" t="n"/>
      <c r="F2" s="2" t="n"/>
      <c r="G2" s="2" t="n"/>
      <c r="H2" s="2" t="n"/>
      <c r="I2" s="2" t="n"/>
      <c r="J2" s="2" t="n"/>
      <c r="K2" s="2" t="n"/>
      <c r="L2" s="2" t="n"/>
      <c r="M2" s="2" t="n"/>
      <c r="N2" s="2" t="n"/>
      <c r="O2" s="2" t="n"/>
      <c r="P2" s="2" t="n"/>
    </row>
    <row r="3" ht="45" customHeight="1">
      <c r="A3" s="7" t="inlineStr">
        <is>
          <t>Level</t>
        </is>
      </c>
      <c r="B3" s="7" t="inlineStr">
        <is>
          <t>Class</t>
        </is>
      </c>
      <c r="C3" s="7" t="inlineStr">
        <is>
          <t>Profile</t>
        </is>
      </c>
      <c r="D3" s="7" t="inlineStr">
        <is>
          <t>Weapon dmg</t>
        </is>
      </c>
      <c r="E3" s="7" t="inlineStr">
        <is>
          <t>Weapon delay</t>
        </is>
      </c>
      <c r="F3" s="7" t="inlineStr">
        <is>
          <t>STR</t>
        </is>
      </c>
      <c r="G3" s="7" t="inlineStr">
        <is>
          <t>HP</t>
        </is>
      </c>
      <c r="H3" s="7" t="inlineStr">
        <is>
          <t>MP</t>
        </is>
      </c>
      <c r="I3" s="7" t="inlineStr">
        <is>
          <t>AC</t>
        </is>
      </c>
      <c r="J3" s="7" t="inlineStr">
        <is>
          <t>Spell dmg %</t>
        </is>
      </c>
      <c r="K3" s="7" t="inlineStr">
        <is>
          <t>Spell crit %</t>
        </is>
      </c>
      <c r="L3" s="7" t="inlineStr">
        <is>
          <t>Melee dmg %</t>
        </is>
      </c>
      <c r="M3" s="7" t="inlineStr">
        <is>
          <t>Melee crit %</t>
        </is>
      </c>
      <c r="N3" s="7" t="inlineStr">
        <is>
          <t>Haste %</t>
        </is>
      </c>
      <c r="O3" s="7" t="inlineStr">
        <is>
          <t>Dmg reduce %</t>
        </is>
      </c>
      <c r="P3" s="7" t="inlineStr">
        <is>
          <t>Items</t>
        </is>
      </c>
    </row>
    <row r="4">
      <c r="A4" s="21" t="n">
        <v>1</v>
      </c>
      <c r="B4" s="21" t="inlineStr">
        <is>
          <t>Rogue</t>
        </is>
      </c>
      <c r="C4" s="21" t="n">
        <v>1</v>
      </c>
      <c r="D4" s="21" t="n">
        <v>3</v>
      </c>
      <c r="E4" s="21" t="n">
        <v>10</v>
      </c>
      <c r="F4" s="21" t="n">
        <v>0</v>
      </c>
      <c r="G4" s="21" t="n">
        <v>0</v>
      </c>
      <c r="H4" s="21" t="n">
        <v>0</v>
      </c>
      <c r="I4" s="21" t="n">
        <v>25</v>
      </c>
      <c r="J4" s="23" t="n">
        <v>0</v>
      </c>
      <c r="K4" s="23" t="n">
        <v>0</v>
      </c>
      <c r="L4" s="23" t="n">
        <v>0</v>
      </c>
      <c r="M4" s="23" t="n">
        <v>0</v>
      </c>
      <c r="N4" s="23" t="n">
        <v>0</v>
      </c>
      <c r="O4" s="23" t="n">
        <v>0</v>
      </c>
      <c r="P4" s="42" t="inlineStr">
        <is>
          <t>Cloth Tunic, Cloth Cap, Cloth Leggings, Cloth Shoes, Stick</t>
        </is>
      </c>
    </row>
    <row r="5">
      <c r="A5" s="21" t="n">
        <v>2</v>
      </c>
      <c r="B5" s="21" t="inlineStr">
        <is>
          <t>Rogue</t>
        </is>
      </c>
      <c r="C5" s="21" t="n">
        <v>1</v>
      </c>
      <c r="D5" s="21" t="n">
        <v>3</v>
      </c>
      <c r="E5" s="21" t="n">
        <v>10</v>
      </c>
      <c r="F5" s="21" t="n">
        <v>0</v>
      </c>
      <c r="G5" s="21" t="n">
        <v>0</v>
      </c>
      <c r="H5" s="21" t="n">
        <v>0</v>
      </c>
      <c r="I5" s="21" t="n">
        <v>25</v>
      </c>
      <c r="J5" s="23" t="n">
        <v>0</v>
      </c>
      <c r="K5" s="23" t="n">
        <v>0</v>
      </c>
      <c r="L5" s="23" t="n">
        <v>0</v>
      </c>
      <c r="M5" s="23" t="n">
        <v>0</v>
      </c>
      <c r="N5" s="23" t="n">
        <v>0</v>
      </c>
      <c r="O5" s="23" t="n">
        <v>0</v>
      </c>
      <c r="P5" s="42" t="inlineStr">
        <is>
          <t>Cloth Tunic, Cloth Cap, Cloth Leggings, Cloth Shoes, Stick</t>
        </is>
      </c>
    </row>
    <row r="6">
      <c r="A6" s="21" t="n">
        <v>3</v>
      </c>
      <c r="B6" s="21" t="inlineStr">
        <is>
          <t>Rogue</t>
        </is>
      </c>
      <c r="C6" s="21" t="n">
        <v>1</v>
      </c>
      <c r="D6" s="21" t="n">
        <v>3</v>
      </c>
      <c r="E6" s="21" t="n">
        <v>10</v>
      </c>
      <c r="F6" s="21" t="n">
        <v>0</v>
      </c>
      <c r="G6" s="21" t="n">
        <v>0</v>
      </c>
      <c r="H6" s="21" t="n">
        <v>0</v>
      </c>
      <c r="I6" s="21" t="n">
        <v>25</v>
      </c>
      <c r="J6" s="23" t="n">
        <v>0</v>
      </c>
      <c r="K6" s="23" t="n">
        <v>0</v>
      </c>
      <c r="L6" s="23" t="n">
        <v>0</v>
      </c>
      <c r="M6" s="23" t="n">
        <v>0</v>
      </c>
      <c r="N6" s="23" t="n">
        <v>0</v>
      </c>
      <c r="O6" s="23" t="n">
        <v>0</v>
      </c>
      <c r="P6" s="42" t="inlineStr">
        <is>
          <t>Cloth Tunic, Cloth Cap, Cloth Leggings, Cloth Shoes, Stick</t>
        </is>
      </c>
    </row>
    <row r="7">
      <c r="A7" s="21" t="n">
        <v>4</v>
      </c>
      <c r="B7" s="21" t="inlineStr">
        <is>
          <t>Rogue</t>
        </is>
      </c>
      <c r="C7" s="21" t="n">
        <v>1</v>
      </c>
      <c r="D7" s="21" t="n">
        <v>3</v>
      </c>
      <c r="E7" s="21" t="n">
        <v>10</v>
      </c>
      <c r="F7" s="21" t="n">
        <v>0</v>
      </c>
      <c r="G7" s="21" t="n">
        <v>0</v>
      </c>
      <c r="H7" s="21" t="n">
        <v>0</v>
      </c>
      <c r="I7" s="21" t="n">
        <v>25</v>
      </c>
      <c r="J7" s="23" t="n">
        <v>0</v>
      </c>
      <c r="K7" s="23" t="n">
        <v>0</v>
      </c>
      <c r="L7" s="23" t="n">
        <v>0</v>
      </c>
      <c r="M7" s="23" t="n">
        <v>0</v>
      </c>
      <c r="N7" s="23" t="n">
        <v>0</v>
      </c>
      <c r="O7" s="23" t="n">
        <v>0</v>
      </c>
      <c r="P7" s="42" t="inlineStr">
        <is>
          <t>Cloth Tunic, Cloth Cap, Cloth Leggings, Cloth Shoes, Stick</t>
        </is>
      </c>
    </row>
    <row r="8">
      <c r="A8" s="21" t="n">
        <v>5</v>
      </c>
      <c r="B8" s="21" t="inlineStr">
        <is>
          <t>Rogue</t>
        </is>
      </c>
      <c r="C8" s="21" t="n">
        <v>1</v>
      </c>
      <c r="D8" s="21" t="n">
        <v>12</v>
      </c>
      <c r="E8" s="21" t="n">
        <v>10</v>
      </c>
      <c r="F8" s="21" t="n">
        <v>0</v>
      </c>
      <c r="G8" s="21" t="n">
        <v>0</v>
      </c>
      <c r="H8" s="21" t="n">
        <v>0</v>
      </c>
      <c r="I8" s="21" t="n">
        <v>35</v>
      </c>
      <c r="J8" s="23" t="n">
        <v>0</v>
      </c>
      <c r="K8" s="23" t="n">
        <v>0</v>
      </c>
      <c r="L8" s="23" t="n">
        <v>0</v>
      </c>
      <c r="M8" s="23" t="n">
        <v>0</v>
      </c>
      <c r="N8" s="23" t="n">
        <v>0</v>
      </c>
      <c r="O8" s="23" t="n">
        <v>0</v>
      </c>
      <c r="P8" s="42" t="inlineStr">
        <is>
          <t>Cloth Tunic, Cloth Cap, Cloth Leggings, Cloth Shoes, Small Dagger, Wooden Buckler</t>
        </is>
      </c>
    </row>
    <row r="9">
      <c r="A9" s="21" t="n">
        <v>6</v>
      </c>
      <c r="B9" s="21" t="inlineStr">
        <is>
          <t>Rogue</t>
        </is>
      </c>
      <c r="C9" s="21" t="n">
        <v>1</v>
      </c>
      <c r="D9" s="21" t="n">
        <v>12</v>
      </c>
      <c r="E9" s="21" t="n">
        <v>10</v>
      </c>
      <c r="F9" s="21" t="n">
        <v>0</v>
      </c>
      <c r="G9" s="21" t="n">
        <v>0</v>
      </c>
      <c r="H9" s="21" t="n">
        <v>0</v>
      </c>
      <c r="I9" s="21" t="n">
        <v>35</v>
      </c>
      <c r="J9" s="23" t="n">
        <v>0</v>
      </c>
      <c r="K9" s="23" t="n">
        <v>0</v>
      </c>
      <c r="L9" s="23" t="n">
        <v>0</v>
      </c>
      <c r="M9" s="23" t="n">
        <v>0</v>
      </c>
      <c r="N9" s="23" t="n">
        <v>0</v>
      </c>
      <c r="O9" s="23" t="n">
        <v>0</v>
      </c>
      <c r="P9" s="42" t="inlineStr">
        <is>
          <t>Cloth Tunic, Cloth Cap, Cloth Leggings, Cloth Shoes, Small Dagger, Wooden Buckler</t>
        </is>
      </c>
    </row>
    <row r="10">
      <c r="A10" s="21" t="n">
        <v>7</v>
      </c>
      <c r="B10" s="21" t="inlineStr">
        <is>
          <t>Rogue</t>
        </is>
      </c>
      <c r="C10" s="21" t="n">
        <v>1</v>
      </c>
      <c r="D10" s="21" t="n">
        <v>12</v>
      </c>
      <c r="E10" s="21" t="n">
        <v>10</v>
      </c>
      <c r="F10" s="21" t="n">
        <v>0</v>
      </c>
      <c r="G10" s="21" t="n">
        <v>0</v>
      </c>
      <c r="H10" s="21" t="n">
        <v>0</v>
      </c>
      <c r="I10" s="21" t="n">
        <v>35</v>
      </c>
      <c r="J10" s="23" t="n">
        <v>0</v>
      </c>
      <c r="K10" s="23" t="n">
        <v>0</v>
      </c>
      <c r="L10" s="23" t="n">
        <v>0</v>
      </c>
      <c r="M10" s="23" t="n">
        <v>0</v>
      </c>
      <c r="N10" s="23" t="n">
        <v>0</v>
      </c>
      <c r="O10" s="23" t="n">
        <v>0</v>
      </c>
      <c r="P10" s="42" t="inlineStr">
        <is>
          <t>Cloth Tunic, Cloth Cap, Cloth Leggings, Cloth Shoes, Small Dagger, Wooden Buckler</t>
        </is>
      </c>
    </row>
    <row r="11">
      <c r="A11" s="21" t="n">
        <v>8</v>
      </c>
      <c r="B11" s="21" t="inlineStr">
        <is>
          <t>Rogue</t>
        </is>
      </c>
      <c r="C11" s="21" t="n">
        <v>1</v>
      </c>
      <c r="D11" s="21" t="n">
        <v>12</v>
      </c>
      <c r="E11" s="21" t="n">
        <v>10</v>
      </c>
      <c r="F11" s="21" t="n">
        <v>0</v>
      </c>
      <c r="G11" s="21" t="n">
        <v>0</v>
      </c>
      <c r="H11" s="21" t="n">
        <v>0</v>
      </c>
      <c r="I11" s="21" t="n">
        <v>35</v>
      </c>
      <c r="J11" s="23" t="n">
        <v>0</v>
      </c>
      <c r="K11" s="23" t="n">
        <v>0</v>
      </c>
      <c r="L11" s="23" t="n">
        <v>0</v>
      </c>
      <c r="M11" s="23" t="n">
        <v>0</v>
      </c>
      <c r="N11" s="23" t="n">
        <v>0</v>
      </c>
      <c r="O11" s="23" t="n">
        <v>0</v>
      </c>
      <c r="P11" s="42" t="inlineStr">
        <is>
          <t>Cloth Tunic, Cloth Cap, Cloth Leggings, Cloth Shoes, Small Dagger, Wooden Buckler</t>
        </is>
      </c>
    </row>
    <row r="12">
      <c r="A12" s="21" t="n">
        <v>9</v>
      </c>
      <c r="B12" s="21" t="inlineStr">
        <is>
          <t>Rogue</t>
        </is>
      </c>
      <c r="C12" s="21" t="n">
        <v>1</v>
      </c>
      <c r="D12" s="21" t="n">
        <v>12</v>
      </c>
      <c r="E12" s="21" t="n">
        <v>10</v>
      </c>
      <c r="F12" s="21" t="n">
        <v>0</v>
      </c>
      <c r="G12" s="21" t="n">
        <v>0</v>
      </c>
      <c r="H12" s="21" t="n">
        <v>0</v>
      </c>
      <c r="I12" s="21" t="n">
        <v>35</v>
      </c>
      <c r="J12" s="23" t="n">
        <v>0</v>
      </c>
      <c r="K12" s="23" t="n">
        <v>0</v>
      </c>
      <c r="L12" s="23" t="n">
        <v>0</v>
      </c>
      <c r="M12" s="23" t="n">
        <v>0</v>
      </c>
      <c r="N12" s="23" t="n">
        <v>0</v>
      </c>
      <c r="O12" s="23" t="n">
        <v>0</v>
      </c>
      <c r="P12" s="42" t="inlineStr">
        <is>
          <t>Cloth Tunic, Cloth Cap, Cloth Leggings, Cloth Shoes, Small Dagger, Wooden Buckler</t>
        </is>
      </c>
    </row>
    <row r="13">
      <c r="A13" s="21" t="n">
        <v>10</v>
      </c>
      <c r="B13" s="21" t="inlineStr">
        <is>
          <t>Rogue</t>
        </is>
      </c>
      <c r="C13" s="21" t="n">
        <v>1</v>
      </c>
      <c r="D13" s="21" t="n">
        <v>12</v>
      </c>
      <c r="E13" s="21" t="n">
        <v>10</v>
      </c>
      <c r="F13" s="21" t="n">
        <v>0</v>
      </c>
      <c r="G13" s="21" t="n">
        <v>0</v>
      </c>
      <c r="H13" s="21" t="n">
        <v>0</v>
      </c>
      <c r="I13" s="21" t="n">
        <v>51</v>
      </c>
      <c r="J13" s="23" t="n">
        <v>0</v>
      </c>
      <c r="K13" s="23" t="n">
        <v>0</v>
      </c>
      <c r="L13" s="23" t="n">
        <v>0</v>
      </c>
      <c r="M13" s="23" t="n">
        <v>0</v>
      </c>
      <c r="N13" s="23" t="n">
        <v>0</v>
      </c>
      <c r="O13" s="23" t="n">
        <v>0</v>
      </c>
      <c r="P13" s="42" t="inlineStr">
        <is>
          <t>Leather Tunic, Leather Cap, Leather Leggings, Leather Boots, Small Dagger, Wooden Buckler</t>
        </is>
      </c>
    </row>
    <row r="14">
      <c r="A14" s="21" t="n">
        <v>11</v>
      </c>
      <c r="B14" s="21" t="inlineStr">
        <is>
          <t>Rogue</t>
        </is>
      </c>
      <c r="C14" s="21" t="n">
        <v>1</v>
      </c>
      <c r="D14" s="21" t="n">
        <v>12</v>
      </c>
      <c r="E14" s="21" t="n">
        <v>10</v>
      </c>
      <c r="F14" s="21" t="n">
        <v>0</v>
      </c>
      <c r="G14" s="21" t="n">
        <v>0</v>
      </c>
      <c r="H14" s="21" t="n">
        <v>0</v>
      </c>
      <c r="I14" s="21" t="n">
        <v>51</v>
      </c>
      <c r="J14" s="23" t="n">
        <v>0</v>
      </c>
      <c r="K14" s="23" t="n">
        <v>0</v>
      </c>
      <c r="L14" s="23" t="n">
        <v>0</v>
      </c>
      <c r="M14" s="23" t="n">
        <v>0</v>
      </c>
      <c r="N14" s="23" t="n">
        <v>0</v>
      </c>
      <c r="O14" s="23" t="n">
        <v>0</v>
      </c>
      <c r="P14" s="42" t="inlineStr">
        <is>
          <t>Leather Tunic, Leather Cap, Leather Leggings, Leather Boots, Small Dagger, Wooden Buckler</t>
        </is>
      </c>
    </row>
    <row r="15">
      <c r="A15" s="21" t="n">
        <v>12</v>
      </c>
      <c r="B15" s="21" t="inlineStr">
        <is>
          <t>Rogue</t>
        </is>
      </c>
      <c r="C15" s="21" t="n">
        <v>1</v>
      </c>
      <c r="D15" s="21" t="n">
        <v>12</v>
      </c>
      <c r="E15" s="21" t="n">
        <v>10</v>
      </c>
      <c r="F15" s="21" t="n">
        <v>0</v>
      </c>
      <c r="G15" s="21" t="n">
        <v>0</v>
      </c>
      <c r="H15" s="21" t="n">
        <v>0</v>
      </c>
      <c r="I15" s="21" t="n">
        <v>51</v>
      </c>
      <c r="J15" s="23" t="n">
        <v>0</v>
      </c>
      <c r="K15" s="23" t="n">
        <v>0</v>
      </c>
      <c r="L15" s="23" t="n">
        <v>0</v>
      </c>
      <c r="M15" s="23" t="n">
        <v>0</v>
      </c>
      <c r="N15" s="23" t="n">
        <v>0</v>
      </c>
      <c r="O15" s="23" t="n">
        <v>0</v>
      </c>
      <c r="P15" s="42" t="inlineStr">
        <is>
          <t>Leather Tunic, Leather Cap, Leather Leggings, Leather Boots, Small Dagger, Wooden Buckler</t>
        </is>
      </c>
    </row>
    <row r="16">
      <c r="A16" s="21" t="n">
        <v>13</v>
      </c>
      <c r="B16" s="21" t="inlineStr">
        <is>
          <t>Rogue</t>
        </is>
      </c>
      <c r="C16" s="21" t="n">
        <v>1</v>
      </c>
      <c r="D16" s="21" t="n">
        <v>12</v>
      </c>
      <c r="E16" s="21" t="n">
        <v>10</v>
      </c>
      <c r="F16" s="21" t="n">
        <v>0</v>
      </c>
      <c r="G16" s="21" t="n">
        <v>0</v>
      </c>
      <c r="H16" s="21" t="n">
        <v>0</v>
      </c>
      <c r="I16" s="21" t="n">
        <v>51</v>
      </c>
      <c r="J16" s="23" t="n">
        <v>0</v>
      </c>
      <c r="K16" s="23" t="n">
        <v>0</v>
      </c>
      <c r="L16" s="23" t="n">
        <v>0</v>
      </c>
      <c r="M16" s="23" t="n">
        <v>0</v>
      </c>
      <c r="N16" s="23" t="n">
        <v>0</v>
      </c>
      <c r="O16" s="23" t="n">
        <v>0</v>
      </c>
      <c r="P16" s="42" t="inlineStr">
        <is>
          <t>Leather Tunic, Leather Cap, Leather Leggings, Leather Boots, Small Dagger, Wooden Buckler</t>
        </is>
      </c>
    </row>
    <row r="17">
      <c r="A17" s="21" t="n">
        <v>14</v>
      </c>
      <c r="B17" s="21" t="inlineStr">
        <is>
          <t>Rogue</t>
        </is>
      </c>
      <c r="C17" s="21" t="n">
        <v>1</v>
      </c>
      <c r="D17" s="21" t="n">
        <v>12</v>
      </c>
      <c r="E17" s="21" t="n">
        <v>10</v>
      </c>
      <c r="F17" s="21" t="n">
        <v>0</v>
      </c>
      <c r="G17" s="21" t="n">
        <v>0</v>
      </c>
      <c r="H17" s="21" t="n">
        <v>0</v>
      </c>
      <c r="I17" s="21" t="n">
        <v>51</v>
      </c>
      <c r="J17" s="23" t="n">
        <v>0</v>
      </c>
      <c r="K17" s="23" t="n">
        <v>0</v>
      </c>
      <c r="L17" s="23" t="n">
        <v>0</v>
      </c>
      <c r="M17" s="23" t="n">
        <v>0</v>
      </c>
      <c r="N17" s="23" t="n">
        <v>0</v>
      </c>
      <c r="O17" s="23" t="n">
        <v>0</v>
      </c>
      <c r="P17" s="42" t="inlineStr">
        <is>
          <t>Leather Tunic, Leather Cap, Leather Leggings, Leather Boots, Small Dagger, Wooden Buckler</t>
        </is>
      </c>
    </row>
    <row r="18">
      <c r="A18" s="21" t="n">
        <v>15</v>
      </c>
      <c r="B18" s="21" t="inlineStr">
        <is>
          <t>Rogue</t>
        </is>
      </c>
      <c r="C18" s="21" t="n">
        <v>1</v>
      </c>
      <c r="D18" s="21" t="n">
        <v>19</v>
      </c>
      <c r="E18" s="21" t="n">
        <v>10</v>
      </c>
      <c r="F18" s="21" t="n">
        <v>0</v>
      </c>
      <c r="G18" s="21" t="n">
        <v>0</v>
      </c>
      <c r="H18" s="21" t="n">
        <v>0</v>
      </c>
      <c r="I18" s="21" t="n">
        <v>51</v>
      </c>
      <c r="J18" s="23" t="n">
        <v>0</v>
      </c>
      <c r="K18" s="23" t="n">
        <v>0</v>
      </c>
      <c r="L18" s="23" t="n">
        <v>0</v>
      </c>
      <c r="M18" s="23" t="n">
        <v>0</v>
      </c>
      <c r="N18" s="23" t="n">
        <v>0</v>
      </c>
      <c r="O18" s="23" t="n">
        <v>0</v>
      </c>
      <c r="P18" s="42" t="inlineStr">
        <is>
          <t>Leather Tunic, Leather Cap, Leather Leggings, Leather Boots, Grim Dagger, Wooden Buckler</t>
        </is>
      </c>
    </row>
    <row r="19">
      <c r="A19" s="21" t="n">
        <v>16</v>
      </c>
      <c r="B19" s="21" t="inlineStr">
        <is>
          <t>Rogue</t>
        </is>
      </c>
      <c r="C19" s="21" t="n">
        <v>1</v>
      </c>
      <c r="D19" s="21" t="n">
        <v>19</v>
      </c>
      <c r="E19" s="21" t="n">
        <v>10</v>
      </c>
      <c r="F19" s="21" t="n">
        <v>0</v>
      </c>
      <c r="G19" s="21" t="n">
        <v>0</v>
      </c>
      <c r="H19" s="21" t="n">
        <v>0</v>
      </c>
      <c r="I19" s="21" t="n">
        <v>51</v>
      </c>
      <c r="J19" s="23" t="n">
        <v>0</v>
      </c>
      <c r="K19" s="23" t="n">
        <v>0</v>
      </c>
      <c r="L19" s="23" t="n">
        <v>0</v>
      </c>
      <c r="M19" s="23" t="n">
        <v>0</v>
      </c>
      <c r="N19" s="23" t="n">
        <v>0</v>
      </c>
      <c r="O19" s="23" t="n">
        <v>0</v>
      </c>
      <c r="P19" s="42" t="inlineStr">
        <is>
          <t>Leather Tunic, Leather Cap, Leather Leggings, Leather Boots, Grim Dagger, Wooden Buckler</t>
        </is>
      </c>
    </row>
    <row r="20">
      <c r="A20" s="21" t="n">
        <v>17</v>
      </c>
      <c r="B20" s="21" t="inlineStr">
        <is>
          <t>Rogue</t>
        </is>
      </c>
      <c r="C20" s="21" t="n">
        <v>1</v>
      </c>
      <c r="D20" s="21" t="n">
        <v>19</v>
      </c>
      <c r="E20" s="21" t="n">
        <v>10</v>
      </c>
      <c r="F20" s="21" t="n">
        <v>0</v>
      </c>
      <c r="G20" s="21" t="n">
        <v>0</v>
      </c>
      <c r="H20" s="21" t="n">
        <v>0</v>
      </c>
      <c r="I20" s="21" t="n">
        <v>51</v>
      </c>
      <c r="J20" s="23" t="n">
        <v>0</v>
      </c>
      <c r="K20" s="23" t="n">
        <v>0</v>
      </c>
      <c r="L20" s="23" t="n">
        <v>0</v>
      </c>
      <c r="M20" s="23" t="n">
        <v>0</v>
      </c>
      <c r="N20" s="23" t="n">
        <v>0</v>
      </c>
      <c r="O20" s="23" t="n">
        <v>0</v>
      </c>
      <c r="P20" s="42" t="inlineStr">
        <is>
          <t>Leather Tunic, Leather Cap, Leather Leggings, Leather Boots, Grim Dagger, Wooden Buckler</t>
        </is>
      </c>
    </row>
    <row r="21">
      <c r="A21" s="21" t="n">
        <v>18</v>
      </c>
      <c r="B21" s="21" t="inlineStr">
        <is>
          <t>Rogue</t>
        </is>
      </c>
      <c r="C21" s="21" t="n">
        <v>1</v>
      </c>
      <c r="D21" s="21" t="n">
        <v>19</v>
      </c>
      <c r="E21" s="21" t="n">
        <v>10</v>
      </c>
      <c r="F21" s="21" t="n">
        <v>0</v>
      </c>
      <c r="G21" s="21" t="n">
        <v>0</v>
      </c>
      <c r="H21" s="21" t="n">
        <v>0</v>
      </c>
      <c r="I21" s="21" t="n">
        <v>90</v>
      </c>
      <c r="J21" s="23" t="n">
        <v>0</v>
      </c>
      <c r="K21" s="23" t="n">
        <v>0</v>
      </c>
      <c r="L21" s="23" t="n">
        <v>0</v>
      </c>
      <c r="M21" s="23" t="n">
        <v>0</v>
      </c>
      <c r="N21" s="23" t="n">
        <v>0</v>
      </c>
      <c r="O21" s="23" t="n">
        <v>0</v>
      </c>
      <c r="P21" s="42" t="inlineStr">
        <is>
          <t>Bronze Chestplate, Bronze Helmet, Bronze Legplates, Bronze Boots, Grim Dagger, Wooden Buckler</t>
        </is>
      </c>
    </row>
    <row r="22">
      <c r="A22" s="21" t="n">
        <v>19</v>
      </c>
      <c r="B22" s="21" t="inlineStr">
        <is>
          <t>Rogue</t>
        </is>
      </c>
      <c r="C22" s="21" t="n">
        <v>1</v>
      </c>
      <c r="D22" s="21" t="n">
        <v>19</v>
      </c>
      <c r="E22" s="21" t="n">
        <v>10</v>
      </c>
      <c r="F22" s="21" t="n">
        <v>0</v>
      </c>
      <c r="G22" s="21" t="n">
        <v>0</v>
      </c>
      <c r="H22" s="21" t="n">
        <v>0</v>
      </c>
      <c r="I22" s="21" t="n">
        <v>90</v>
      </c>
      <c r="J22" s="23" t="n">
        <v>0</v>
      </c>
      <c r="K22" s="23" t="n">
        <v>0</v>
      </c>
      <c r="L22" s="23" t="n">
        <v>0</v>
      </c>
      <c r="M22" s="23" t="n">
        <v>0</v>
      </c>
      <c r="N22" s="23" t="n">
        <v>0</v>
      </c>
      <c r="O22" s="23" t="n">
        <v>0</v>
      </c>
      <c r="P22" s="42" t="inlineStr">
        <is>
          <t>Bronze Chestplate, Bronze Helmet, Bronze Legplates, Bronze Boots, Grim Dagger, Wooden Buckler</t>
        </is>
      </c>
    </row>
    <row r="23">
      <c r="A23" s="21" t="n">
        <v>20</v>
      </c>
      <c r="B23" s="21" t="inlineStr">
        <is>
          <t>Rogue</t>
        </is>
      </c>
      <c r="C23" s="21" t="n">
        <v>1</v>
      </c>
      <c r="D23" s="21" t="n">
        <v>19</v>
      </c>
      <c r="E23" s="21" t="n">
        <v>10</v>
      </c>
      <c r="F23" s="21" t="n">
        <v>0</v>
      </c>
      <c r="G23" s="21" t="n">
        <v>0</v>
      </c>
      <c r="H23" s="21" t="n">
        <v>0</v>
      </c>
      <c r="I23" s="21" t="n">
        <v>110</v>
      </c>
      <c r="J23" s="23" t="n">
        <v>0</v>
      </c>
      <c r="K23" s="23" t="n">
        <v>0</v>
      </c>
      <c r="L23" s="23" t="n">
        <v>0</v>
      </c>
      <c r="M23" s="23" t="n">
        <v>0</v>
      </c>
      <c r="N23" s="23" t="n">
        <v>0</v>
      </c>
      <c r="O23" s="23" t="n">
        <v>0</v>
      </c>
      <c r="P23" s="42" t="inlineStr">
        <is>
          <t>Bronze Chestplate, Bronze Helmet, Bronze Legplates, Bronze Boots, Grim Dagger, Fiber Buckler</t>
        </is>
      </c>
    </row>
    <row r="24">
      <c r="A24" s="21" t="n">
        <v>21</v>
      </c>
      <c r="B24" s="21" t="inlineStr">
        <is>
          <t>Rogue</t>
        </is>
      </c>
      <c r="C24" s="21" t="n">
        <v>1</v>
      </c>
      <c r="D24" s="21" t="n">
        <v>19</v>
      </c>
      <c r="E24" s="21" t="n">
        <v>10</v>
      </c>
      <c r="F24" s="21" t="n">
        <v>0</v>
      </c>
      <c r="G24" s="21" t="n">
        <v>0</v>
      </c>
      <c r="H24" s="21" t="n">
        <v>0</v>
      </c>
      <c r="I24" s="21" t="n">
        <v>110</v>
      </c>
      <c r="J24" s="23" t="n">
        <v>0</v>
      </c>
      <c r="K24" s="23" t="n">
        <v>0</v>
      </c>
      <c r="L24" s="23" t="n">
        <v>0</v>
      </c>
      <c r="M24" s="23" t="n">
        <v>0</v>
      </c>
      <c r="N24" s="23" t="n">
        <v>0</v>
      </c>
      <c r="O24" s="23" t="n">
        <v>0</v>
      </c>
      <c r="P24" s="42" t="inlineStr">
        <is>
          <t>Bronze Chestplate, Bronze Helmet, Bronze Legplates, Bronze Boots, Grim Dagger, Fiber Buckler</t>
        </is>
      </c>
    </row>
    <row r="25">
      <c r="A25" s="21" t="n">
        <v>22</v>
      </c>
      <c r="B25" s="21" t="inlineStr">
        <is>
          <t>Rogue</t>
        </is>
      </c>
      <c r="C25" s="21" t="n">
        <v>1</v>
      </c>
      <c r="D25" s="21" t="n">
        <v>19</v>
      </c>
      <c r="E25" s="21" t="n">
        <v>10</v>
      </c>
      <c r="F25" s="21" t="n">
        <v>0</v>
      </c>
      <c r="G25" s="21" t="n">
        <v>0</v>
      </c>
      <c r="H25" s="21" t="n">
        <v>0</v>
      </c>
      <c r="I25" s="21" t="n">
        <v>110</v>
      </c>
      <c r="J25" s="23" t="n">
        <v>0</v>
      </c>
      <c r="K25" s="23" t="n">
        <v>0</v>
      </c>
      <c r="L25" s="23" t="n">
        <v>0</v>
      </c>
      <c r="M25" s="23" t="n">
        <v>0</v>
      </c>
      <c r="N25" s="23" t="n">
        <v>0</v>
      </c>
      <c r="O25" s="23" t="n">
        <v>0</v>
      </c>
      <c r="P25" s="42" t="inlineStr">
        <is>
          <t>Bronze Chestplate, Bronze Helmet, Bronze Legplates, Bronze Boots, Grim Dagger, Fiber Buckler</t>
        </is>
      </c>
    </row>
    <row r="26">
      <c r="A26" s="21" t="n">
        <v>23</v>
      </c>
      <c r="B26" s="21" t="inlineStr">
        <is>
          <t>Rogue</t>
        </is>
      </c>
      <c r="C26" s="21" t="n">
        <v>1</v>
      </c>
      <c r="D26" s="21" t="n">
        <v>19</v>
      </c>
      <c r="E26" s="21" t="n">
        <v>10</v>
      </c>
      <c r="F26" s="21" t="n">
        <v>0</v>
      </c>
      <c r="G26" s="21" t="n">
        <v>0</v>
      </c>
      <c r="H26" s="21" t="n">
        <v>0</v>
      </c>
      <c r="I26" s="21" t="n">
        <v>110</v>
      </c>
      <c r="J26" s="23" t="n">
        <v>0</v>
      </c>
      <c r="K26" s="23" t="n">
        <v>0</v>
      </c>
      <c r="L26" s="23" t="n">
        <v>0</v>
      </c>
      <c r="M26" s="23" t="n">
        <v>0</v>
      </c>
      <c r="N26" s="23" t="n">
        <v>0</v>
      </c>
      <c r="O26" s="23" t="n">
        <v>0</v>
      </c>
      <c r="P26" s="42" t="inlineStr">
        <is>
          <t>Bronze Chestplate, Bronze Helmet, Bronze Legplates, Bronze Boots, Grim Dagger, Fiber Buckler</t>
        </is>
      </c>
    </row>
    <row r="27">
      <c r="A27" s="21" t="n">
        <v>24</v>
      </c>
      <c r="B27" s="21" t="inlineStr">
        <is>
          <t>Rogue</t>
        </is>
      </c>
      <c r="C27" s="21" t="n">
        <v>1</v>
      </c>
      <c r="D27" s="21" t="n">
        <v>19</v>
      </c>
      <c r="E27" s="21" t="n">
        <v>10</v>
      </c>
      <c r="F27" s="21" t="n">
        <v>0</v>
      </c>
      <c r="G27" s="21" t="n">
        <v>0</v>
      </c>
      <c r="H27" s="21" t="n">
        <v>0</v>
      </c>
      <c r="I27" s="21" t="n">
        <v>110</v>
      </c>
      <c r="J27" s="23" t="n">
        <v>0</v>
      </c>
      <c r="K27" s="23" t="n">
        <v>0</v>
      </c>
      <c r="L27" s="23" t="n">
        <v>0</v>
      </c>
      <c r="M27" s="23" t="n">
        <v>0</v>
      </c>
      <c r="N27" s="23" t="n">
        <v>0</v>
      </c>
      <c r="O27" s="23" t="n">
        <v>0</v>
      </c>
      <c r="P27" s="42" t="inlineStr">
        <is>
          <t>Bronze Chestplate, Bronze Helmet, Bronze Legplates, Bronze Boots, Grim Dagger, Fiber Buckler</t>
        </is>
      </c>
    </row>
    <row r="28">
      <c r="A28" s="21" t="n">
        <v>25</v>
      </c>
      <c r="B28" s="21" t="inlineStr">
        <is>
          <t>Rogue</t>
        </is>
      </c>
      <c r="C28" s="21" t="n">
        <v>1</v>
      </c>
      <c r="D28" s="21" t="n">
        <v>19</v>
      </c>
      <c r="E28" s="21" t="n">
        <v>10</v>
      </c>
      <c r="F28" s="21" t="n">
        <v>0</v>
      </c>
      <c r="G28" s="21" t="n">
        <v>0</v>
      </c>
      <c r="H28" s="21" t="n">
        <v>0</v>
      </c>
      <c r="I28" s="21" t="n">
        <v>110</v>
      </c>
      <c r="J28" s="23" t="n">
        <v>0</v>
      </c>
      <c r="K28" s="23" t="n">
        <v>0</v>
      </c>
      <c r="L28" s="23" t="n">
        <v>0</v>
      </c>
      <c r="M28" s="23" t="n">
        <v>0</v>
      </c>
      <c r="N28" s="23" t="n">
        <v>0</v>
      </c>
      <c r="O28" s="23" t="n">
        <v>0</v>
      </c>
      <c r="P28" s="42" t="inlineStr">
        <is>
          <t>Bronze Chestplate, Bronze Helmet, Bronze Legplates, Bronze Boots, Grim Dagger, Fiber Buckler</t>
        </is>
      </c>
    </row>
    <row r="29">
      <c r="A29" s="21" t="n">
        <v>26</v>
      </c>
      <c r="B29" s="21" t="inlineStr">
        <is>
          <t>Rogue</t>
        </is>
      </c>
      <c r="C29" s="21" t="n">
        <v>1</v>
      </c>
      <c r="D29" s="21" t="n">
        <v>19</v>
      </c>
      <c r="E29" s="21" t="n">
        <v>10</v>
      </c>
      <c r="F29" s="21" t="n">
        <v>0</v>
      </c>
      <c r="G29" s="21" t="n">
        <v>0</v>
      </c>
      <c r="H29" s="21" t="n">
        <v>0</v>
      </c>
      <c r="I29" s="21" t="n">
        <v>137</v>
      </c>
      <c r="J29" s="23" t="n">
        <v>0</v>
      </c>
      <c r="K29" s="23" t="n">
        <v>0</v>
      </c>
      <c r="L29" s="23" t="n">
        <v>0</v>
      </c>
      <c r="M29" s="23" t="n">
        <v>0</v>
      </c>
      <c r="N29" s="23" t="n">
        <v>0</v>
      </c>
      <c r="O29" s="23" t="n">
        <v>0</v>
      </c>
      <c r="P29" s="42" t="inlineStr">
        <is>
          <t>Iron Chestplate, Iron Helmet, Iron Legplates, Iron Boots, Grim Dagger, Fiber Buckler</t>
        </is>
      </c>
    </row>
    <row r="30">
      <c r="A30" s="21" t="n">
        <v>27</v>
      </c>
      <c r="B30" s="21" t="inlineStr">
        <is>
          <t>Rogue</t>
        </is>
      </c>
      <c r="C30" s="21" t="n">
        <v>1</v>
      </c>
      <c r="D30" s="21" t="n">
        <v>34</v>
      </c>
      <c r="E30" s="21" t="n">
        <v>10</v>
      </c>
      <c r="F30" s="21" t="n">
        <v>2</v>
      </c>
      <c r="G30" s="21" t="n">
        <v>0</v>
      </c>
      <c r="H30" s="21" t="n">
        <v>0</v>
      </c>
      <c r="I30" s="21" t="n">
        <v>137</v>
      </c>
      <c r="J30" s="23" t="n">
        <v>0</v>
      </c>
      <c r="K30" s="23" t="n">
        <v>0</v>
      </c>
      <c r="L30" s="23" t="n">
        <v>0</v>
      </c>
      <c r="M30" s="23" t="n">
        <v>0</v>
      </c>
      <c r="N30" s="23" t="n">
        <v>0</v>
      </c>
      <c r="O30" s="23" t="n">
        <v>0</v>
      </c>
      <c r="P30" s="42" t="inlineStr">
        <is>
          <t>Iron Chestplate, Iron Helmet, Iron Legplates, Iron Boots, Malignant Dagger, Fiber Buckler</t>
        </is>
      </c>
    </row>
    <row r="31">
      <c r="A31" s="21" t="n">
        <v>28</v>
      </c>
      <c r="B31" s="21" t="inlineStr">
        <is>
          <t>Rogue</t>
        </is>
      </c>
      <c r="C31" s="21" t="n">
        <v>1</v>
      </c>
      <c r="D31" s="21" t="n">
        <v>34</v>
      </c>
      <c r="E31" s="21" t="n">
        <v>10</v>
      </c>
      <c r="F31" s="21" t="n">
        <v>2</v>
      </c>
      <c r="G31" s="21" t="n">
        <v>0</v>
      </c>
      <c r="H31" s="21" t="n">
        <v>0</v>
      </c>
      <c r="I31" s="21" t="n">
        <v>137</v>
      </c>
      <c r="J31" s="23" t="n">
        <v>0</v>
      </c>
      <c r="K31" s="23" t="n">
        <v>0</v>
      </c>
      <c r="L31" s="23" t="n">
        <v>0</v>
      </c>
      <c r="M31" s="23" t="n">
        <v>0</v>
      </c>
      <c r="N31" s="23" t="n">
        <v>0</v>
      </c>
      <c r="O31" s="23" t="n">
        <v>0</v>
      </c>
      <c r="P31" s="42" t="inlineStr">
        <is>
          <t>Iron Chestplate, Iron Helmet, Iron Legplates, Iron Boots, Malignant Dagger, Fiber Buckler</t>
        </is>
      </c>
    </row>
    <row r="32">
      <c r="A32" s="21" t="n">
        <v>29</v>
      </c>
      <c r="B32" s="21" t="inlineStr">
        <is>
          <t>Rogue</t>
        </is>
      </c>
      <c r="C32" s="21" t="n">
        <v>1</v>
      </c>
      <c r="D32" s="21" t="n">
        <v>34</v>
      </c>
      <c r="E32" s="21" t="n">
        <v>10</v>
      </c>
      <c r="F32" s="21" t="n">
        <v>2</v>
      </c>
      <c r="G32" s="21" t="n">
        <v>0</v>
      </c>
      <c r="H32" s="21" t="n">
        <v>0</v>
      </c>
      <c r="I32" s="21" t="n">
        <v>137</v>
      </c>
      <c r="J32" s="23" t="n">
        <v>0</v>
      </c>
      <c r="K32" s="23" t="n">
        <v>0</v>
      </c>
      <c r="L32" s="23" t="n">
        <v>0</v>
      </c>
      <c r="M32" s="23" t="n">
        <v>0</v>
      </c>
      <c r="N32" s="23" t="n">
        <v>0</v>
      </c>
      <c r="O32" s="23" t="n">
        <v>0</v>
      </c>
      <c r="P32" s="42" t="inlineStr">
        <is>
          <t>Iron Chestplate, Iron Helmet, Iron Legplates, Iron Boots, Malignant Dagger, Fiber Buckler</t>
        </is>
      </c>
    </row>
    <row r="33">
      <c r="A33" s="21" t="n">
        <v>30</v>
      </c>
      <c r="B33" s="21" t="inlineStr">
        <is>
          <t>Rogue</t>
        </is>
      </c>
      <c r="C33" s="21" t="n">
        <v>1</v>
      </c>
      <c r="D33" s="21" t="n">
        <v>34</v>
      </c>
      <c r="E33" s="21" t="n">
        <v>10</v>
      </c>
      <c r="F33" s="21" t="n">
        <v>2</v>
      </c>
      <c r="G33" s="21" t="n">
        <v>0</v>
      </c>
      <c r="H33" s="21" t="n">
        <v>0</v>
      </c>
      <c r="I33" s="21" t="n">
        <v>137</v>
      </c>
      <c r="J33" s="23" t="n">
        <v>0</v>
      </c>
      <c r="K33" s="23" t="n">
        <v>0</v>
      </c>
      <c r="L33" s="23" t="n">
        <v>0</v>
      </c>
      <c r="M33" s="23" t="n">
        <v>0</v>
      </c>
      <c r="N33" s="23" t="n">
        <v>0</v>
      </c>
      <c r="O33" s="23" t="n">
        <v>0</v>
      </c>
      <c r="P33" s="42" t="inlineStr">
        <is>
          <t>Iron Chestplate, Iron Helmet, Iron Legplates, Iron Boots, Malignant Dagger, Fiber Buckler</t>
        </is>
      </c>
    </row>
    <row r="34">
      <c r="A34" s="21" t="n">
        <v>31</v>
      </c>
      <c r="B34" s="21" t="inlineStr">
        <is>
          <t>Rogue</t>
        </is>
      </c>
      <c r="C34" s="21" t="n">
        <v>1</v>
      </c>
      <c r="D34" s="21" t="n">
        <v>34</v>
      </c>
      <c r="E34" s="21" t="n">
        <v>10</v>
      </c>
      <c r="F34" s="21" t="n">
        <v>2</v>
      </c>
      <c r="G34" s="21" t="n">
        <v>0</v>
      </c>
      <c r="H34" s="21" t="n">
        <v>0</v>
      </c>
      <c r="I34" s="21" t="n">
        <v>137</v>
      </c>
      <c r="J34" s="23" t="n">
        <v>0</v>
      </c>
      <c r="K34" s="23" t="n">
        <v>0</v>
      </c>
      <c r="L34" s="23" t="n">
        <v>0</v>
      </c>
      <c r="M34" s="23" t="n">
        <v>0</v>
      </c>
      <c r="N34" s="23" t="n">
        <v>0</v>
      </c>
      <c r="O34" s="23" t="n">
        <v>0</v>
      </c>
      <c r="P34" s="42" t="inlineStr">
        <is>
          <t>Iron Chestplate, Iron Helmet, Iron Legplates, Iron Boots, Malignant Dagger, Fiber Buckler</t>
        </is>
      </c>
    </row>
    <row r="35">
      <c r="A35" s="21" t="n">
        <v>32</v>
      </c>
      <c r="B35" s="21" t="inlineStr">
        <is>
          <t>Rogue</t>
        </is>
      </c>
      <c r="C35" s="21" t="n">
        <v>1</v>
      </c>
      <c r="D35" s="21" t="n">
        <v>34</v>
      </c>
      <c r="E35" s="21" t="n">
        <v>10</v>
      </c>
      <c r="F35" s="21" t="n">
        <v>2</v>
      </c>
      <c r="G35" s="21" t="n">
        <v>0</v>
      </c>
      <c r="H35" s="21" t="n">
        <v>0</v>
      </c>
      <c r="I35" s="21" t="n">
        <v>137</v>
      </c>
      <c r="J35" s="23" t="n">
        <v>0</v>
      </c>
      <c r="K35" s="23" t="n">
        <v>0</v>
      </c>
      <c r="L35" s="23" t="n">
        <v>0</v>
      </c>
      <c r="M35" s="23" t="n">
        <v>0</v>
      </c>
      <c r="N35" s="23" t="n">
        <v>0</v>
      </c>
      <c r="O35" s="23" t="n">
        <v>0</v>
      </c>
      <c r="P35" s="42" t="inlineStr">
        <is>
          <t>Iron Chestplate, Iron Helmet, Iron Legplates, Iron Boots, Malignant Dagger, Fiber Buckler</t>
        </is>
      </c>
    </row>
    <row r="36">
      <c r="A36" s="21" t="n">
        <v>33</v>
      </c>
      <c r="B36" s="21" t="inlineStr">
        <is>
          <t>Rogue</t>
        </is>
      </c>
      <c r="C36" s="21" t="n">
        <v>1</v>
      </c>
      <c r="D36" s="21" t="n">
        <v>34</v>
      </c>
      <c r="E36" s="21" t="n">
        <v>10</v>
      </c>
      <c r="F36" s="21" t="n">
        <v>2</v>
      </c>
      <c r="G36" s="21" t="n">
        <v>0</v>
      </c>
      <c r="H36" s="21" t="n">
        <v>0</v>
      </c>
      <c r="I36" s="21" t="n">
        <v>137</v>
      </c>
      <c r="J36" s="23" t="n">
        <v>0</v>
      </c>
      <c r="K36" s="23" t="n">
        <v>0</v>
      </c>
      <c r="L36" s="23" t="n">
        <v>0</v>
      </c>
      <c r="M36" s="23" t="n">
        <v>0</v>
      </c>
      <c r="N36" s="23" t="n">
        <v>0</v>
      </c>
      <c r="O36" s="23" t="n">
        <v>0</v>
      </c>
      <c r="P36" s="42" t="inlineStr">
        <is>
          <t>Iron Chestplate, Iron Helmet, Iron Legplates, Iron Boots, Malignant Dagger, Fiber Buckler</t>
        </is>
      </c>
    </row>
    <row r="37">
      <c r="A37" s="21" t="n">
        <v>34</v>
      </c>
      <c r="B37" s="21" t="inlineStr">
        <is>
          <t>Rogue</t>
        </is>
      </c>
      <c r="C37" s="21" t="n">
        <v>1</v>
      </c>
      <c r="D37" s="21" t="n">
        <v>34</v>
      </c>
      <c r="E37" s="21" t="n">
        <v>10</v>
      </c>
      <c r="F37" s="21" t="n">
        <v>2</v>
      </c>
      <c r="G37" s="21" t="n">
        <v>0</v>
      </c>
      <c r="H37" s="21" t="n">
        <v>0</v>
      </c>
      <c r="I37" s="21" t="n">
        <v>137</v>
      </c>
      <c r="J37" s="23" t="n">
        <v>0</v>
      </c>
      <c r="K37" s="23" t="n">
        <v>0</v>
      </c>
      <c r="L37" s="23" t="n">
        <v>0</v>
      </c>
      <c r="M37" s="23" t="n">
        <v>0</v>
      </c>
      <c r="N37" s="23" t="n">
        <v>0</v>
      </c>
      <c r="O37" s="23" t="n">
        <v>0</v>
      </c>
      <c r="P37" s="42" t="inlineStr">
        <is>
          <t>Iron Chestplate, Iron Helmet, Iron Legplates, Iron Boots, Malignant Dagger, Fiber Buckler</t>
        </is>
      </c>
    </row>
    <row r="38">
      <c r="A38" s="21" t="n">
        <v>35</v>
      </c>
      <c r="B38" s="21" t="inlineStr">
        <is>
          <t>Rogue</t>
        </is>
      </c>
      <c r="C38" s="21" t="n">
        <v>1</v>
      </c>
      <c r="D38" s="21" t="n">
        <v>34</v>
      </c>
      <c r="E38" s="21" t="n">
        <v>10</v>
      </c>
      <c r="F38" s="21" t="n">
        <v>2</v>
      </c>
      <c r="G38" s="21" t="n">
        <v>0</v>
      </c>
      <c r="H38" s="21" t="n">
        <v>0</v>
      </c>
      <c r="I38" s="21" t="n">
        <v>167</v>
      </c>
      <c r="J38" s="23" t="n">
        <v>0</v>
      </c>
      <c r="K38" s="23" t="n">
        <v>0</v>
      </c>
      <c r="L38" s="23" t="n">
        <v>0</v>
      </c>
      <c r="M38" s="23" t="n">
        <v>0</v>
      </c>
      <c r="N38" s="23" t="n">
        <v>0</v>
      </c>
      <c r="O38" s="23" t="n">
        <v>0</v>
      </c>
      <c r="P38" s="42" t="inlineStr">
        <is>
          <t>Iron Chestplate, Iron Helmet, Iron Legplates, Iron Boots, Malignant Dagger, Firebrand Buckler</t>
        </is>
      </c>
    </row>
    <row r="39">
      <c r="A39" s="21" t="n">
        <v>36</v>
      </c>
      <c r="B39" s="21" t="inlineStr">
        <is>
          <t>Rogue</t>
        </is>
      </c>
      <c r="C39" s="21" t="n">
        <v>1</v>
      </c>
      <c r="D39" s="21" t="n">
        <v>34</v>
      </c>
      <c r="E39" s="21" t="n">
        <v>10</v>
      </c>
      <c r="F39" s="21" t="n">
        <v>2</v>
      </c>
      <c r="G39" s="21" t="n">
        <v>0</v>
      </c>
      <c r="H39" s="21" t="n">
        <v>0</v>
      </c>
      <c r="I39" s="21" t="n">
        <v>167</v>
      </c>
      <c r="J39" s="23" t="n">
        <v>0</v>
      </c>
      <c r="K39" s="23" t="n">
        <v>0</v>
      </c>
      <c r="L39" s="23" t="n">
        <v>0</v>
      </c>
      <c r="M39" s="23" t="n">
        <v>0</v>
      </c>
      <c r="N39" s="23" t="n">
        <v>0</v>
      </c>
      <c r="O39" s="23" t="n">
        <v>0</v>
      </c>
      <c r="P39" s="42" t="inlineStr">
        <is>
          <t>Iron Chestplate, Iron Helmet, Iron Legplates, Iron Boots, Malignant Dagger, Firebrand Buckler</t>
        </is>
      </c>
    </row>
    <row r="40">
      <c r="A40" s="21" t="n">
        <v>37</v>
      </c>
      <c r="B40" s="21" t="inlineStr">
        <is>
          <t>Rogue</t>
        </is>
      </c>
      <c r="C40" s="21" t="n">
        <v>1</v>
      </c>
      <c r="D40" s="21" t="n">
        <v>34</v>
      </c>
      <c r="E40" s="21" t="n">
        <v>10</v>
      </c>
      <c r="F40" s="21" t="n">
        <v>2</v>
      </c>
      <c r="G40" s="21" t="n">
        <v>0</v>
      </c>
      <c r="H40" s="21" t="n">
        <v>0</v>
      </c>
      <c r="I40" s="21" t="n">
        <v>167</v>
      </c>
      <c r="J40" s="23" t="n">
        <v>0</v>
      </c>
      <c r="K40" s="23" t="n">
        <v>0</v>
      </c>
      <c r="L40" s="23" t="n">
        <v>0</v>
      </c>
      <c r="M40" s="23" t="n">
        <v>0</v>
      </c>
      <c r="N40" s="23" t="n">
        <v>0</v>
      </c>
      <c r="O40" s="23" t="n">
        <v>0</v>
      </c>
      <c r="P40" s="42" t="inlineStr">
        <is>
          <t>Iron Chestplate, Iron Helmet, Iron Legplates, Iron Boots, Malignant Dagger, Firebrand Buckler</t>
        </is>
      </c>
    </row>
    <row r="41">
      <c r="A41" s="21" t="n">
        <v>38</v>
      </c>
      <c r="B41" s="21" t="inlineStr">
        <is>
          <t>Rogue</t>
        </is>
      </c>
      <c r="C41" s="21" t="n">
        <v>1</v>
      </c>
      <c r="D41" s="21" t="n">
        <v>34</v>
      </c>
      <c r="E41" s="21" t="n">
        <v>10</v>
      </c>
      <c r="F41" s="21" t="n">
        <v>2</v>
      </c>
      <c r="G41" s="21" t="n">
        <v>0</v>
      </c>
      <c r="H41" s="21" t="n">
        <v>0</v>
      </c>
      <c r="I41" s="21" t="n">
        <v>167</v>
      </c>
      <c r="J41" s="23" t="n">
        <v>0</v>
      </c>
      <c r="K41" s="23" t="n">
        <v>0</v>
      </c>
      <c r="L41" s="23" t="n">
        <v>0</v>
      </c>
      <c r="M41" s="23" t="n">
        <v>0</v>
      </c>
      <c r="N41" s="23" t="n">
        <v>0</v>
      </c>
      <c r="O41" s="23" t="n">
        <v>0</v>
      </c>
      <c r="P41" s="42" t="inlineStr">
        <is>
          <t>Iron Chestplate, Iron Helmet, Iron Legplates, Iron Boots, Malignant Dagger, Firebrand Buckler</t>
        </is>
      </c>
    </row>
    <row r="42">
      <c r="A42" s="21" t="n">
        <v>39</v>
      </c>
      <c r="B42" s="21" t="inlineStr">
        <is>
          <t>Rogue</t>
        </is>
      </c>
      <c r="C42" s="21" t="n">
        <v>1</v>
      </c>
      <c r="D42" s="21" t="n">
        <v>34</v>
      </c>
      <c r="E42" s="21" t="n">
        <v>10</v>
      </c>
      <c r="F42" s="21" t="n">
        <v>2</v>
      </c>
      <c r="G42" s="21" t="n">
        <v>0</v>
      </c>
      <c r="H42" s="21" t="n">
        <v>0</v>
      </c>
      <c r="I42" s="21" t="n">
        <v>167</v>
      </c>
      <c r="J42" s="23" t="n">
        <v>0</v>
      </c>
      <c r="K42" s="23" t="n">
        <v>0</v>
      </c>
      <c r="L42" s="23" t="n">
        <v>0</v>
      </c>
      <c r="M42" s="23" t="n">
        <v>0</v>
      </c>
      <c r="N42" s="23" t="n">
        <v>0</v>
      </c>
      <c r="O42" s="23" t="n">
        <v>0</v>
      </c>
      <c r="P42" s="42" t="inlineStr">
        <is>
          <t>Iron Chestplate, Iron Helmet, Iron Legplates, Iron Boots, Malignant Dagger, Firebrand Buckler</t>
        </is>
      </c>
    </row>
    <row r="43">
      <c r="A43" s="21" t="n">
        <v>40</v>
      </c>
      <c r="B43" s="21" t="inlineStr">
        <is>
          <t>Rogue</t>
        </is>
      </c>
      <c r="C43" s="21" t="n">
        <v>1</v>
      </c>
      <c r="D43" s="21" t="n">
        <v>34</v>
      </c>
      <c r="E43" s="21" t="n">
        <v>10</v>
      </c>
      <c r="F43" s="21" t="n">
        <v>2</v>
      </c>
      <c r="G43" s="21" t="n">
        <v>0</v>
      </c>
      <c r="H43" s="21" t="n">
        <v>0</v>
      </c>
      <c r="I43" s="21" t="n">
        <v>167</v>
      </c>
      <c r="J43" s="23" t="n">
        <v>0</v>
      </c>
      <c r="K43" s="23" t="n">
        <v>0</v>
      </c>
      <c r="L43" s="23" t="n">
        <v>0</v>
      </c>
      <c r="M43" s="23" t="n">
        <v>0</v>
      </c>
      <c r="N43" s="23" t="n">
        <v>0</v>
      </c>
      <c r="O43" s="23" t="n">
        <v>0</v>
      </c>
      <c r="P43" s="42" t="inlineStr">
        <is>
          <t>Iron Chestplate, Iron Helmet, Iron Legplates, Iron Boots, Malignant Dagger, Firebrand Buckler</t>
        </is>
      </c>
    </row>
    <row r="44">
      <c r="A44" s="21" t="n">
        <v>41</v>
      </c>
      <c r="B44" s="21" t="inlineStr">
        <is>
          <t>Rogue</t>
        </is>
      </c>
      <c r="C44" s="21" t="n">
        <v>1</v>
      </c>
      <c r="D44" s="21" t="n">
        <v>34</v>
      </c>
      <c r="E44" s="21" t="n">
        <v>10</v>
      </c>
      <c r="F44" s="21" t="n">
        <v>2</v>
      </c>
      <c r="G44" s="21" t="n">
        <v>0</v>
      </c>
      <c r="H44" s="21" t="n">
        <v>0</v>
      </c>
      <c r="I44" s="21" t="n">
        <v>167</v>
      </c>
      <c r="J44" s="23" t="n">
        <v>0</v>
      </c>
      <c r="K44" s="23" t="n">
        <v>0</v>
      </c>
      <c r="L44" s="23" t="n">
        <v>0</v>
      </c>
      <c r="M44" s="23" t="n">
        <v>0</v>
      </c>
      <c r="N44" s="23" t="n">
        <v>0</v>
      </c>
      <c r="O44" s="23" t="n">
        <v>0</v>
      </c>
      <c r="P44" s="42" t="inlineStr">
        <is>
          <t>Iron Chestplate, Iron Helmet, Iron Legplates, Iron Boots, Malignant Dagger, Firebrand Buckler</t>
        </is>
      </c>
    </row>
    <row r="45">
      <c r="A45" s="21" t="n">
        <v>42</v>
      </c>
      <c r="B45" s="21" t="inlineStr">
        <is>
          <t>Rogue</t>
        </is>
      </c>
      <c r="C45" s="21" t="n">
        <v>1</v>
      </c>
      <c r="D45" s="21" t="n">
        <v>34</v>
      </c>
      <c r="E45" s="21" t="n">
        <v>10</v>
      </c>
      <c r="F45" s="21" t="n">
        <v>2</v>
      </c>
      <c r="G45" s="21" t="n">
        <v>0</v>
      </c>
      <c r="H45" s="21" t="n">
        <v>0</v>
      </c>
      <c r="I45" s="21" t="n">
        <v>167</v>
      </c>
      <c r="J45" s="23" t="n">
        <v>0</v>
      </c>
      <c r="K45" s="23" t="n">
        <v>0</v>
      </c>
      <c r="L45" s="23" t="n">
        <v>0</v>
      </c>
      <c r="M45" s="23" t="n">
        <v>0</v>
      </c>
      <c r="N45" s="23" t="n">
        <v>0</v>
      </c>
      <c r="O45" s="23" t="n">
        <v>0</v>
      </c>
      <c r="P45" s="42" t="inlineStr">
        <is>
          <t>Iron Chestplate, Iron Helmet, Iron Legplates, Iron Boots, Malignant Dagger, Firebrand Buckler</t>
        </is>
      </c>
    </row>
    <row r="46">
      <c r="A46" s="21" t="n">
        <v>43</v>
      </c>
      <c r="B46" s="21" t="inlineStr">
        <is>
          <t>Rogue</t>
        </is>
      </c>
      <c r="C46" s="21" t="n">
        <v>1</v>
      </c>
      <c r="D46" s="21" t="n">
        <v>34</v>
      </c>
      <c r="E46" s="21" t="n">
        <v>10</v>
      </c>
      <c r="F46" s="21" t="n">
        <v>2</v>
      </c>
      <c r="G46" s="21" t="n">
        <v>0</v>
      </c>
      <c r="H46" s="21" t="n">
        <v>0</v>
      </c>
      <c r="I46" s="21" t="n">
        <v>167</v>
      </c>
      <c r="J46" s="23" t="n">
        <v>0</v>
      </c>
      <c r="K46" s="23" t="n">
        <v>0</v>
      </c>
      <c r="L46" s="23" t="n">
        <v>0</v>
      </c>
      <c r="M46" s="23" t="n">
        <v>0</v>
      </c>
      <c r="N46" s="23" t="n">
        <v>0</v>
      </c>
      <c r="O46" s="23" t="n">
        <v>0</v>
      </c>
      <c r="P46" s="42" t="inlineStr">
        <is>
          <t>Iron Chestplate, Iron Helmet, Iron Legplates, Iron Boots, Malignant Dagger, Firebrand Buckler</t>
        </is>
      </c>
    </row>
    <row r="47">
      <c r="A47" s="21" t="n">
        <v>44</v>
      </c>
      <c r="B47" s="21" t="inlineStr">
        <is>
          <t>Rogue</t>
        </is>
      </c>
      <c r="C47" s="21" t="n">
        <v>1</v>
      </c>
      <c r="D47" s="21" t="n">
        <v>34</v>
      </c>
      <c r="E47" s="21" t="n">
        <v>10</v>
      </c>
      <c r="F47" s="21" t="n">
        <v>2</v>
      </c>
      <c r="G47" s="21" t="n">
        <v>0</v>
      </c>
      <c r="H47" s="21" t="n">
        <v>0</v>
      </c>
      <c r="I47" s="21" t="n">
        <v>167</v>
      </c>
      <c r="J47" s="23" t="n">
        <v>0</v>
      </c>
      <c r="K47" s="23" t="n">
        <v>0</v>
      </c>
      <c r="L47" s="23" t="n">
        <v>0</v>
      </c>
      <c r="M47" s="23" t="n">
        <v>0</v>
      </c>
      <c r="N47" s="23" t="n">
        <v>0</v>
      </c>
      <c r="O47" s="23" t="n">
        <v>0</v>
      </c>
      <c r="P47" s="42" t="inlineStr">
        <is>
          <t>Iron Chestplate, Iron Helmet, Iron Legplates, Iron Boots, Malignant Dagger, Firebrand Buckler</t>
        </is>
      </c>
    </row>
    <row r="48">
      <c r="A48" s="21" t="n">
        <v>45</v>
      </c>
      <c r="B48" s="21" t="inlineStr">
        <is>
          <t>Rogue</t>
        </is>
      </c>
      <c r="C48" s="21" t="n">
        <v>1</v>
      </c>
      <c r="D48" s="21" t="n">
        <v>34</v>
      </c>
      <c r="E48" s="21" t="n">
        <v>10</v>
      </c>
      <c r="F48" s="21" t="n">
        <v>2</v>
      </c>
      <c r="G48" s="21" t="n">
        <v>0</v>
      </c>
      <c r="H48" s="21" t="n">
        <v>0</v>
      </c>
      <c r="I48" s="21" t="n">
        <v>167</v>
      </c>
      <c r="J48" s="23" t="n">
        <v>0</v>
      </c>
      <c r="K48" s="23" t="n">
        <v>0</v>
      </c>
      <c r="L48" s="23" t="n">
        <v>0</v>
      </c>
      <c r="M48" s="23" t="n">
        <v>0</v>
      </c>
      <c r="N48" s="23" t="n">
        <v>0</v>
      </c>
      <c r="O48" s="23" t="n">
        <v>0</v>
      </c>
      <c r="P48" s="42" t="inlineStr">
        <is>
          <t>Iron Chestplate, Iron Helmet, Iron Legplates, Iron Boots, Malignant Dagger, Firebrand Buckler</t>
        </is>
      </c>
    </row>
    <row r="49">
      <c r="A49" s="21" t="n">
        <v>46</v>
      </c>
      <c r="B49" s="21" t="inlineStr">
        <is>
          <t>Rogue</t>
        </is>
      </c>
      <c r="C49" s="21" t="n">
        <v>1</v>
      </c>
      <c r="D49" s="21" t="n">
        <v>34</v>
      </c>
      <c r="E49" s="21" t="n">
        <v>10</v>
      </c>
      <c r="F49" s="21" t="n">
        <v>2</v>
      </c>
      <c r="G49" s="21" t="n">
        <v>0</v>
      </c>
      <c r="H49" s="21" t="n">
        <v>0</v>
      </c>
      <c r="I49" s="21" t="n">
        <v>167</v>
      </c>
      <c r="J49" s="23" t="n">
        <v>0</v>
      </c>
      <c r="K49" s="23" t="n">
        <v>0</v>
      </c>
      <c r="L49" s="23" t="n">
        <v>0</v>
      </c>
      <c r="M49" s="23" t="n">
        <v>0</v>
      </c>
      <c r="N49" s="23" t="n">
        <v>0</v>
      </c>
      <c r="O49" s="23" t="n">
        <v>0</v>
      </c>
      <c r="P49" s="42" t="inlineStr">
        <is>
          <t>Iron Chestplate, Iron Helmet, Iron Legplates, Iron Boots, Malignant Dagger, Firebrand Buckler</t>
        </is>
      </c>
    </row>
    <row r="50">
      <c r="A50" s="21" t="n">
        <v>47</v>
      </c>
      <c r="B50" s="21" t="inlineStr">
        <is>
          <t>Rogue</t>
        </is>
      </c>
      <c r="C50" s="21" t="n">
        <v>1</v>
      </c>
      <c r="D50" s="21" t="n">
        <v>34</v>
      </c>
      <c r="E50" s="21" t="n">
        <v>10</v>
      </c>
      <c r="F50" s="21" t="n">
        <v>2</v>
      </c>
      <c r="G50" s="21" t="n">
        <v>0</v>
      </c>
      <c r="H50" s="21" t="n">
        <v>0</v>
      </c>
      <c r="I50" s="21" t="n">
        <v>167</v>
      </c>
      <c r="J50" s="23" t="n">
        <v>0</v>
      </c>
      <c r="K50" s="23" t="n">
        <v>0</v>
      </c>
      <c r="L50" s="23" t="n">
        <v>0</v>
      </c>
      <c r="M50" s="23" t="n">
        <v>0</v>
      </c>
      <c r="N50" s="23" t="n">
        <v>0</v>
      </c>
      <c r="O50" s="23" t="n">
        <v>0</v>
      </c>
      <c r="P50" s="42" t="inlineStr">
        <is>
          <t>Iron Chestplate, Iron Helmet, Iron Legplates, Iron Boots, Malignant Dagger, Firebrand Buckler</t>
        </is>
      </c>
    </row>
    <row r="51">
      <c r="A51" s="21" t="n">
        <v>48</v>
      </c>
      <c r="B51" s="21" t="inlineStr">
        <is>
          <t>Rogue</t>
        </is>
      </c>
      <c r="C51" s="21" t="n">
        <v>1</v>
      </c>
      <c r="D51" s="21" t="n">
        <v>34</v>
      </c>
      <c r="E51" s="21" t="n">
        <v>10</v>
      </c>
      <c r="F51" s="21" t="n">
        <v>2</v>
      </c>
      <c r="G51" s="21" t="n">
        <v>0</v>
      </c>
      <c r="H51" s="21" t="n">
        <v>0</v>
      </c>
      <c r="I51" s="21" t="n">
        <v>167</v>
      </c>
      <c r="J51" s="23" t="n">
        <v>0</v>
      </c>
      <c r="K51" s="23" t="n">
        <v>0</v>
      </c>
      <c r="L51" s="23" t="n">
        <v>0</v>
      </c>
      <c r="M51" s="23" t="n">
        <v>0</v>
      </c>
      <c r="N51" s="23" t="n">
        <v>0</v>
      </c>
      <c r="O51" s="23" t="n">
        <v>0</v>
      </c>
      <c r="P51" s="42" t="inlineStr">
        <is>
          <t>Iron Chestplate, Iron Helmet, Iron Legplates, Iron Boots, Malignant Dagger, Firebrand Buckler</t>
        </is>
      </c>
    </row>
    <row r="52">
      <c r="A52" s="21" t="n">
        <v>49</v>
      </c>
      <c r="B52" s="21" t="inlineStr">
        <is>
          <t>Rogue</t>
        </is>
      </c>
      <c r="C52" s="21" t="n">
        <v>1</v>
      </c>
      <c r="D52" s="21" t="n">
        <v>34</v>
      </c>
      <c r="E52" s="21" t="n">
        <v>10</v>
      </c>
      <c r="F52" s="21" t="n">
        <v>2</v>
      </c>
      <c r="G52" s="21" t="n">
        <v>0</v>
      </c>
      <c r="H52" s="21" t="n">
        <v>0</v>
      </c>
      <c r="I52" s="21" t="n">
        <v>167</v>
      </c>
      <c r="J52" s="23" t="n">
        <v>0</v>
      </c>
      <c r="K52" s="23" t="n">
        <v>0</v>
      </c>
      <c r="L52" s="23" t="n">
        <v>0</v>
      </c>
      <c r="M52" s="23" t="n">
        <v>0</v>
      </c>
      <c r="N52" s="23" t="n">
        <v>0</v>
      </c>
      <c r="O52" s="23" t="n">
        <v>0</v>
      </c>
      <c r="P52" s="42" t="inlineStr">
        <is>
          <t>Iron Chestplate, Iron Helmet, Iron Legplates, Iron Boots, Malignant Dagger, Firebrand Buckler</t>
        </is>
      </c>
    </row>
    <row r="53">
      <c r="A53" s="21" t="n">
        <v>50</v>
      </c>
      <c r="B53" s="21" t="inlineStr">
        <is>
          <t>Rogue</t>
        </is>
      </c>
      <c r="C53" s="21" t="n">
        <v>1</v>
      </c>
      <c r="D53" s="21" t="n">
        <v>34</v>
      </c>
      <c r="E53" s="21" t="n">
        <v>10</v>
      </c>
      <c r="F53" s="21" t="n">
        <v>2</v>
      </c>
      <c r="G53" s="21" t="n">
        <v>0</v>
      </c>
      <c r="H53" s="21" t="n">
        <v>0</v>
      </c>
      <c r="I53" s="21" t="n">
        <v>167</v>
      </c>
      <c r="J53" s="23" t="n">
        <v>0</v>
      </c>
      <c r="K53" s="23" t="n">
        <v>0</v>
      </c>
      <c r="L53" s="23" t="n">
        <v>0</v>
      </c>
      <c r="M53" s="23" t="n">
        <v>0</v>
      </c>
      <c r="N53" s="23" t="n">
        <v>0</v>
      </c>
      <c r="O53" s="23" t="n">
        <v>0</v>
      </c>
      <c r="P53" s="42" t="inlineStr">
        <is>
          <t>Iron Chestplate, Iron Helmet, Iron Legplates, Iron Boots, Malignant Dagger, Firebrand Buckler</t>
        </is>
      </c>
    </row>
    <row r="54">
      <c r="A54" s="21" t="n">
        <v>1</v>
      </c>
      <c r="B54" s="21" t="inlineStr">
        <is>
          <t>Warrior</t>
        </is>
      </c>
      <c r="C54" s="21" t="n">
        <v>1</v>
      </c>
      <c r="D54" s="21" t="n">
        <v>3</v>
      </c>
      <c r="E54" s="21" t="n">
        <v>10</v>
      </c>
      <c r="F54" s="21" t="n">
        <v>0</v>
      </c>
      <c r="G54" s="21" t="n">
        <v>0</v>
      </c>
      <c r="H54" s="21" t="n">
        <v>0</v>
      </c>
      <c r="I54" s="21" t="n">
        <v>25</v>
      </c>
      <c r="J54" s="23" t="n">
        <v>0</v>
      </c>
      <c r="K54" s="23" t="n">
        <v>0</v>
      </c>
      <c r="L54" s="23" t="n">
        <v>0</v>
      </c>
      <c r="M54" s="23" t="n">
        <v>0</v>
      </c>
      <c r="N54" s="23" t="n">
        <v>0</v>
      </c>
      <c r="O54" s="23" t="n">
        <v>0</v>
      </c>
      <c r="P54" s="42" t="inlineStr">
        <is>
          <t>Cloth Tunic, Cloth Cap, Cloth Leggings, Cloth Shoes, Stick</t>
        </is>
      </c>
    </row>
    <row r="55">
      <c r="A55" s="21" t="n">
        <v>2</v>
      </c>
      <c r="B55" s="21" t="inlineStr">
        <is>
          <t>Warrior</t>
        </is>
      </c>
      <c r="C55" s="21" t="n">
        <v>1</v>
      </c>
      <c r="D55" s="21" t="n">
        <v>3</v>
      </c>
      <c r="E55" s="21" t="n">
        <v>10</v>
      </c>
      <c r="F55" s="21" t="n">
        <v>0</v>
      </c>
      <c r="G55" s="21" t="n">
        <v>0</v>
      </c>
      <c r="H55" s="21" t="n">
        <v>0</v>
      </c>
      <c r="I55" s="21" t="n">
        <v>25</v>
      </c>
      <c r="J55" s="23" t="n">
        <v>0</v>
      </c>
      <c r="K55" s="23" t="n">
        <v>0</v>
      </c>
      <c r="L55" s="23" t="n">
        <v>0</v>
      </c>
      <c r="M55" s="23" t="n">
        <v>0</v>
      </c>
      <c r="N55" s="23" t="n">
        <v>0</v>
      </c>
      <c r="O55" s="23" t="n">
        <v>0</v>
      </c>
      <c r="P55" s="42" t="inlineStr">
        <is>
          <t>Cloth Tunic, Cloth Cap, Cloth Leggings, Cloth Shoes, Stick</t>
        </is>
      </c>
    </row>
    <row r="56">
      <c r="A56" s="21" t="n">
        <v>3</v>
      </c>
      <c r="B56" s="21" t="inlineStr">
        <is>
          <t>Warrior</t>
        </is>
      </c>
      <c r="C56" s="21" t="n">
        <v>1</v>
      </c>
      <c r="D56" s="21" t="n">
        <v>3</v>
      </c>
      <c r="E56" s="21" t="n">
        <v>10</v>
      </c>
      <c r="F56" s="21" t="n">
        <v>0</v>
      </c>
      <c r="G56" s="21" t="n">
        <v>0</v>
      </c>
      <c r="H56" s="21" t="n">
        <v>0</v>
      </c>
      <c r="I56" s="21" t="n">
        <v>25</v>
      </c>
      <c r="J56" s="23" t="n">
        <v>0</v>
      </c>
      <c r="K56" s="23" t="n">
        <v>0</v>
      </c>
      <c r="L56" s="23" t="n">
        <v>0</v>
      </c>
      <c r="M56" s="23" t="n">
        <v>0</v>
      </c>
      <c r="N56" s="23" t="n">
        <v>0</v>
      </c>
      <c r="O56" s="23" t="n">
        <v>0</v>
      </c>
      <c r="P56" s="42" t="inlineStr">
        <is>
          <t>Cloth Tunic, Cloth Cap, Cloth Leggings, Cloth Shoes, Stick</t>
        </is>
      </c>
    </row>
    <row r="57">
      <c r="A57" s="21" t="n">
        <v>4</v>
      </c>
      <c r="B57" s="21" t="inlineStr">
        <is>
          <t>Warrior</t>
        </is>
      </c>
      <c r="C57" s="21" t="n">
        <v>1</v>
      </c>
      <c r="D57" s="21" t="n">
        <v>3</v>
      </c>
      <c r="E57" s="21" t="n">
        <v>10</v>
      </c>
      <c r="F57" s="21" t="n">
        <v>0</v>
      </c>
      <c r="G57" s="21" t="n">
        <v>0</v>
      </c>
      <c r="H57" s="21" t="n">
        <v>0</v>
      </c>
      <c r="I57" s="21" t="n">
        <v>25</v>
      </c>
      <c r="J57" s="23" t="n">
        <v>0</v>
      </c>
      <c r="K57" s="23" t="n">
        <v>0</v>
      </c>
      <c r="L57" s="23" t="n">
        <v>0</v>
      </c>
      <c r="M57" s="23" t="n">
        <v>0</v>
      </c>
      <c r="N57" s="23" t="n">
        <v>0</v>
      </c>
      <c r="O57" s="23" t="n">
        <v>0</v>
      </c>
      <c r="P57" s="42" t="inlineStr">
        <is>
          <t>Cloth Tunic, Cloth Cap, Cloth Leggings, Cloth Shoes, Stick</t>
        </is>
      </c>
    </row>
    <row r="58">
      <c r="A58" s="21" t="n">
        <v>5</v>
      </c>
      <c r="B58" s="21" t="inlineStr">
        <is>
          <t>Warrior</t>
        </is>
      </c>
      <c r="C58" s="21" t="n">
        <v>1</v>
      </c>
      <c r="D58" s="21" t="n">
        <v>14</v>
      </c>
      <c r="E58" s="21" t="n">
        <v>10</v>
      </c>
      <c r="F58" s="21" t="n">
        <v>0</v>
      </c>
      <c r="G58" s="21" t="n">
        <v>0</v>
      </c>
      <c r="H58" s="21" t="n">
        <v>0</v>
      </c>
      <c r="I58" s="21" t="n">
        <v>35</v>
      </c>
      <c r="J58" s="23" t="n">
        <v>0</v>
      </c>
      <c r="K58" s="23" t="n">
        <v>0</v>
      </c>
      <c r="L58" s="23" t="n">
        <v>0</v>
      </c>
      <c r="M58" s="23" t="n">
        <v>0</v>
      </c>
      <c r="N58" s="23" t="n">
        <v>0</v>
      </c>
      <c r="O58" s="23" t="n">
        <v>0</v>
      </c>
      <c r="P58" s="42" t="inlineStr">
        <is>
          <t>Cloth Tunic, Cloth Cap, Cloth Leggings, Cloth Shoes, Small Sword, Wooden Buckler</t>
        </is>
      </c>
    </row>
    <row r="59">
      <c r="A59" s="21" t="n">
        <v>6</v>
      </c>
      <c r="B59" s="21" t="inlineStr">
        <is>
          <t>Warrior</t>
        </is>
      </c>
      <c r="C59" s="21" t="n">
        <v>1</v>
      </c>
      <c r="D59" s="21" t="n">
        <v>14</v>
      </c>
      <c r="E59" s="21" t="n">
        <v>10</v>
      </c>
      <c r="F59" s="21" t="n">
        <v>0</v>
      </c>
      <c r="G59" s="21" t="n">
        <v>0</v>
      </c>
      <c r="H59" s="21" t="n">
        <v>0</v>
      </c>
      <c r="I59" s="21" t="n">
        <v>35</v>
      </c>
      <c r="J59" s="23" t="n">
        <v>0</v>
      </c>
      <c r="K59" s="23" t="n">
        <v>0</v>
      </c>
      <c r="L59" s="23" t="n">
        <v>0</v>
      </c>
      <c r="M59" s="23" t="n">
        <v>0</v>
      </c>
      <c r="N59" s="23" t="n">
        <v>0</v>
      </c>
      <c r="O59" s="23" t="n">
        <v>0</v>
      </c>
      <c r="P59" s="42" t="inlineStr">
        <is>
          <t>Cloth Tunic, Cloth Cap, Cloth Leggings, Cloth Shoes, Small Sword, Wooden Buckler</t>
        </is>
      </c>
    </row>
    <row r="60">
      <c r="A60" s="21" t="n">
        <v>7</v>
      </c>
      <c r="B60" s="21" t="inlineStr">
        <is>
          <t>Warrior</t>
        </is>
      </c>
      <c r="C60" s="21" t="n">
        <v>1</v>
      </c>
      <c r="D60" s="21" t="n">
        <v>14</v>
      </c>
      <c r="E60" s="21" t="n">
        <v>10</v>
      </c>
      <c r="F60" s="21" t="n">
        <v>0</v>
      </c>
      <c r="G60" s="21" t="n">
        <v>0</v>
      </c>
      <c r="H60" s="21" t="n">
        <v>0</v>
      </c>
      <c r="I60" s="21" t="n">
        <v>35</v>
      </c>
      <c r="J60" s="23" t="n">
        <v>0</v>
      </c>
      <c r="K60" s="23" t="n">
        <v>0</v>
      </c>
      <c r="L60" s="23" t="n">
        <v>0</v>
      </c>
      <c r="M60" s="23" t="n">
        <v>0</v>
      </c>
      <c r="N60" s="23" t="n">
        <v>0</v>
      </c>
      <c r="O60" s="23" t="n">
        <v>0</v>
      </c>
      <c r="P60" s="42" t="inlineStr">
        <is>
          <t>Cloth Tunic, Cloth Cap, Cloth Leggings, Cloth Shoes, Small Sword, Wooden Buckler</t>
        </is>
      </c>
    </row>
    <row r="61">
      <c r="A61" s="21" t="n">
        <v>8</v>
      </c>
      <c r="B61" s="21" t="inlineStr">
        <is>
          <t>Warrior</t>
        </is>
      </c>
      <c r="C61" s="21" t="n">
        <v>1</v>
      </c>
      <c r="D61" s="21" t="n">
        <v>14</v>
      </c>
      <c r="E61" s="21" t="n">
        <v>10</v>
      </c>
      <c r="F61" s="21" t="n">
        <v>0</v>
      </c>
      <c r="G61" s="21" t="n">
        <v>0</v>
      </c>
      <c r="H61" s="21" t="n">
        <v>0</v>
      </c>
      <c r="I61" s="21" t="n">
        <v>35</v>
      </c>
      <c r="J61" s="23" t="n">
        <v>0</v>
      </c>
      <c r="K61" s="23" t="n">
        <v>0</v>
      </c>
      <c r="L61" s="23" t="n">
        <v>0</v>
      </c>
      <c r="M61" s="23" t="n">
        <v>0</v>
      </c>
      <c r="N61" s="23" t="n">
        <v>0</v>
      </c>
      <c r="O61" s="23" t="n">
        <v>0</v>
      </c>
      <c r="P61" s="42" t="inlineStr">
        <is>
          <t>Cloth Tunic, Cloth Cap, Cloth Leggings, Cloth Shoes, Small Sword, Wooden Buckler</t>
        </is>
      </c>
    </row>
    <row r="62">
      <c r="A62" s="21" t="n">
        <v>9</v>
      </c>
      <c r="B62" s="21" t="inlineStr">
        <is>
          <t>Warrior</t>
        </is>
      </c>
      <c r="C62" s="21" t="n">
        <v>1</v>
      </c>
      <c r="D62" s="21" t="n">
        <v>14</v>
      </c>
      <c r="E62" s="21" t="n">
        <v>10</v>
      </c>
      <c r="F62" s="21" t="n">
        <v>0</v>
      </c>
      <c r="G62" s="21" t="n">
        <v>0</v>
      </c>
      <c r="H62" s="21" t="n">
        <v>0</v>
      </c>
      <c r="I62" s="21" t="n">
        <v>35</v>
      </c>
      <c r="J62" s="23" t="n">
        <v>0</v>
      </c>
      <c r="K62" s="23" t="n">
        <v>0</v>
      </c>
      <c r="L62" s="23" t="n">
        <v>0</v>
      </c>
      <c r="M62" s="23" t="n">
        <v>0</v>
      </c>
      <c r="N62" s="23" t="n">
        <v>0</v>
      </c>
      <c r="O62" s="23" t="n">
        <v>0</v>
      </c>
      <c r="P62" s="42" t="inlineStr">
        <is>
          <t>Cloth Tunic, Cloth Cap, Cloth Leggings, Cloth Shoes, Small Sword, Wooden Buckler</t>
        </is>
      </c>
    </row>
    <row r="63">
      <c r="A63" s="21" t="n">
        <v>10</v>
      </c>
      <c r="B63" s="21" t="inlineStr">
        <is>
          <t>Warrior</t>
        </is>
      </c>
      <c r="C63" s="21" t="n">
        <v>1</v>
      </c>
      <c r="D63" s="21" t="n">
        <v>14</v>
      </c>
      <c r="E63" s="21" t="n">
        <v>10</v>
      </c>
      <c r="F63" s="21" t="n">
        <v>0</v>
      </c>
      <c r="G63" s="21" t="n">
        <v>0</v>
      </c>
      <c r="H63" s="21" t="n">
        <v>0</v>
      </c>
      <c r="I63" s="21" t="n">
        <v>51</v>
      </c>
      <c r="J63" s="23" t="n">
        <v>0</v>
      </c>
      <c r="K63" s="23" t="n">
        <v>0</v>
      </c>
      <c r="L63" s="23" t="n">
        <v>0</v>
      </c>
      <c r="M63" s="23" t="n">
        <v>0</v>
      </c>
      <c r="N63" s="23" t="n">
        <v>0</v>
      </c>
      <c r="O63" s="23" t="n">
        <v>0</v>
      </c>
      <c r="P63" s="42" t="inlineStr">
        <is>
          <t>Leather Tunic, Leather Cap, Leather Leggings, Leather Boots, Small Sword, Wooden Buckler</t>
        </is>
      </c>
    </row>
    <row r="64">
      <c r="A64" s="21" t="n">
        <v>11</v>
      </c>
      <c r="B64" s="21" t="inlineStr">
        <is>
          <t>Warrior</t>
        </is>
      </c>
      <c r="C64" s="21" t="n">
        <v>1</v>
      </c>
      <c r="D64" s="21" t="n">
        <v>14</v>
      </c>
      <c r="E64" s="21" t="n">
        <v>10</v>
      </c>
      <c r="F64" s="21" t="n">
        <v>0</v>
      </c>
      <c r="G64" s="21" t="n">
        <v>0</v>
      </c>
      <c r="H64" s="21" t="n">
        <v>0</v>
      </c>
      <c r="I64" s="21" t="n">
        <v>51</v>
      </c>
      <c r="J64" s="23" t="n">
        <v>0</v>
      </c>
      <c r="K64" s="23" t="n">
        <v>0</v>
      </c>
      <c r="L64" s="23" t="n">
        <v>0</v>
      </c>
      <c r="M64" s="23" t="n">
        <v>0</v>
      </c>
      <c r="N64" s="23" t="n">
        <v>0</v>
      </c>
      <c r="O64" s="23" t="n">
        <v>0</v>
      </c>
      <c r="P64" s="42" t="inlineStr">
        <is>
          <t>Leather Tunic, Leather Cap, Leather Leggings, Leather Boots, Small Sword, Wooden Buckler</t>
        </is>
      </c>
    </row>
    <row r="65">
      <c r="A65" s="21" t="n">
        <v>12</v>
      </c>
      <c r="B65" s="21" t="inlineStr">
        <is>
          <t>Warrior</t>
        </is>
      </c>
      <c r="C65" s="21" t="n">
        <v>1</v>
      </c>
      <c r="D65" s="21" t="n">
        <v>14</v>
      </c>
      <c r="E65" s="21" t="n">
        <v>10</v>
      </c>
      <c r="F65" s="21" t="n">
        <v>0</v>
      </c>
      <c r="G65" s="21" t="n">
        <v>0</v>
      </c>
      <c r="H65" s="21" t="n">
        <v>0</v>
      </c>
      <c r="I65" s="21" t="n">
        <v>51</v>
      </c>
      <c r="J65" s="23" t="n">
        <v>0</v>
      </c>
      <c r="K65" s="23" t="n">
        <v>0</v>
      </c>
      <c r="L65" s="23" t="n">
        <v>0</v>
      </c>
      <c r="M65" s="23" t="n">
        <v>0</v>
      </c>
      <c r="N65" s="23" t="n">
        <v>0</v>
      </c>
      <c r="O65" s="23" t="n">
        <v>0</v>
      </c>
      <c r="P65" s="42" t="inlineStr">
        <is>
          <t>Leather Tunic, Leather Cap, Leather Leggings, Leather Boots, Small Sword, Wooden Buckler</t>
        </is>
      </c>
    </row>
    <row r="66">
      <c r="A66" s="21" t="n">
        <v>13</v>
      </c>
      <c r="B66" s="21" t="inlineStr">
        <is>
          <t>Warrior</t>
        </is>
      </c>
      <c r="C66" s="21" t="n">
        <v>1</v>
      </c>
      <c r="D66" s="21" t="n">
        <v>14</v>
      </c>
      <c r="E66" s="21" t="n">
        <v>10</v>
      </c>
      <c r="F66" s="21" t="n">
        <v>0</v>
      </c>
      <c r="G66" s="21" t="n">
        <v>0</v>
      </c>
      <c r="H66" s="21" t="n">
        <v>0</v>
      </c>
      <c r="I66" s="21" t="n">
        <v>51</v>
      </c>
      <c r="J66" s="23" t="n">
        <v>0</v>
      </c>
      <c r="K66" s="23" t="n">
        <v>0</v>
      </c>
      <c r="L66" s="23" t="n">
        <v>0</v>
      </c>
      <c r="M66" s="23" t="n">
        <v>0</v>
      </c>
      <c r="N66" s="23" t="n">
        <v>0</v>
      </c>
      <c r="O66" s="23" t="n">
        <v>0</v>
      </c>
      <c r="P66" s="42" t="inlineStr">
        <is>
          <t>Leather Tunic, Leather Cap, Leather Leggings, Leather Boots, Small Sword, Wooden Buckler</t>
        </is>
      </c>
    </row>
    <row r="67">
      <c r="A67" s="21" t="n">
        <v>14</v>
      </c>
      <c r="B67" s="21" t="inlineStr">
        <is>
          <t>Warrior</t>
        </is>
      </c>
      <c r="C67" s="21" t="n">
        <v>1</v>
      </c>
      <c r="D67" s="21" t="n">
        <v>14</v>
      </c>
      <c r="E67" s="21" t="n">
        <v>10</v>
      </c>
      <c r="F67" s="21" t="n">
        <v>0</v>
      </c>
      <c r="G67" s="21" t="n">
        <v>0</v>
      </c>
      <c r="H67" s="21" t="n">
        <v>0</v>
      </c>
      <c r="I67" s="21" t="n">
        <v>51</v>
      </c>
      <c r="J67" s="23" t="n">
        <v>0</v>
      </c>
      <c r="K67" s="23" t="n">
        <v>0</v>
      </c>
      <c r="L67" s="23" t="n">
        <v>0</v>
      </c>
      <c r="M67" s="23" t="n">
        <v>0</v>
      </c>
      <c r="N67" s="23" t="n">
        <v>0</v>
      </c>
      <c r="O67" s="23" t="n">
        <v>0</v>
      </c>
      <c r="P67" s="42" t="inlineStr">
        <is>
          <t>Leather Tunic, Leather Cap, Leather Leggings, Leather Boots, Small Sword, Wooden Buckler</t>
        </is>
      </c>
    </row>
    <row r="68">
      <c r="A68" s="21" t="n">
        <v>15</v>
      </c>
      <c r="B68" s="21" t="inlineStr">
        <is>
          <t>Warrior</t>
        </is>
      </c>
      <c r="C68" s="21" t="n">
        <v>1</v>
      </c>
      <c r="D68" s="21" t="n">
        <v>24</v>
      </c>
      <c r="E68" s="21" t="n">
        <v>10</v>
      </c>
      <c r="F68" s="21" t="n">
        <v>0</v>
      </c>
      <c r="G68" s="21" t="n">
        <v>0</v>
      </c>
      <c r="H68" s="21" t="n">
        <v>0</v>
      </c>
      <c r="I68" s="21" t="n">
        <v>51</v>
      </c>
      <c r="J68" s="23" t="n">
        <v>0</v>
      </c>
      <c r="K68" s="23" t="n">
        <v>0</v>
      </c>
      <c r="L68" s="23" t="n">
        <v>0</v>
      </c>
      <c r="M68" s="23" t="n">
        <v>0</v>
      </c>
      <c r="N68" s="23" t="n">
        <v>0</v>
      </c>
      <c r="O68" s="23" t="n">
        <v>0</v>
      </c>
      <c r="P68" s="42" t="inlineStr">
        <is>
          <t>Leather Tunic, Leather Cap, Leather Leggings, Leather Boots, Long Sword, Wooden Buckler</t>
        </is>
      </c>
    </row>
    <row r="69">
      <c r="A69" s="21" t="n">
        <v>16</v>
      </c>
      <c r="B69" s="21" t="inlineStr">
        <is>
          <t>Warrior</t>
        </is>
      </c>
      <c r="C69" s="21" t="n">
        <v>1</v>
      </c>
      <c r="D69" s="21" t="n">
        <v>24</v>
      </c>
      <c r="E69" s="21" t="n">
        <v>10</v>
      </c>
      <c r="F69" s="21" t="n">
        <v>0</v>
      </c>
      <c r="G69" s="21" t="n">
        <v>0</v>
      </c>
      <c r="H69" s="21" t="n">
        <v>0</v>
      </c>
      <c r="I69" s="21" t="n">
        <v>51</v>
      </c>
      <c r="J69" s="23" t="n">
        <v>0</v>
      </c>
      <c r="K69" s="23" t="n">
        <v>0</v>
      </c>
      <c r="L69" s="23" t="n">
        <v>0</v>
      </c>
      <c r="M69" s="23" t="n">
        <v>0</v>
      </c>
      <c r="N69" s="23" t="n">
        <v>0</v>
      </c>
      <c r="O69" s="23" t="n">
        <v>0</v>
      </c>
      <c r="P69" s="42" t="inlineStr">
        <is>
          <t>Leather Tunic, Leather Cap, Leather Leggings, Leather Boots, Long Sword, Wooden Buckler</t>
        </is>
      </c>
    </row>
    <row r="70">
      <c r="A70" s="21" t="n">
        <v>17</v>
      </c>
      <c r="B70" s="21" t="inlineStr">
        <is>
          <t>Warrior</t>
        </is>
      </c>
      <c r="C70" s="21" t="n">
        <v>1</v>
      </c>
      <c r="D70" s="21" t="n">
        <v>24</v>
      </c>
      <c r="E70" s="21" t="n">
        <v>10</v>
      </c>
      <c r="F70" s="21" t="n">
        <v>0</v>
      </c>
      <c r="G70" s="21" t="n">
        <v>0</v>
      </c>
      <c r="H70" s="21" t="n">
        <v>0</v>
      </c>
      <c r="I70" s="21" t="n">
        <v>51</v>
      </c>
      <c r="J70" s="23" t="n">
        <v>0</v>
      </c>
      <c r="K70" s="23" t="n">
        <v>0</v>
      </c>
      <c r="L70" s="23" t="n">
        <v>0</v>
      </c>
      <c r="M70" s="23" t="n">
        <v>0</v>
      </c>
      <c r="N70" s="23" t="n">
        <v>0</v>
      </c>
      <c r="O70" s="23" t="n">
        <v>0</v>
      </c>
      <c r="P70" s="42" t="inlineStr">
        <is>
          <t>Leather Tunic, Leather Cap, Leather Leggings, Leather Boots, Long Sword, Wooden Buckler</t>
        </is>
      </c>
    </row>
    <row r="71">
      <c r="A71" s="21" t="n">
        <v>18</v>
      </c>
      <c r="B71" s="21" t="inlineStr">
        <is>
          <t>Warrior</t>
        </is>
      </c>
      <c r="C71" s="21" t="n">
        <v>1</v>
      </c>
      <c r="D71" s="21" t="n">
        <v>24</v>
      </c>
      <c r="E71" s="21" t="n">
        <v>10</v>
      </c>
      <c r="F71" s="21" t="n">
        <v>0</v>
      </c>
      <c r="G71" s="21" t="n">
        <v>0</v>
      </c>
      <c r="H71" s="21" t="n">
        <v>0</v>
      </c>
      <c r="I71" s="21" t="n">
        <v>90</v>
      </c>
      <c r="J71" s="23" t="n">
        <v>0</v>
      </c>
      <c r="K71" s="23" t="n">
        <v>0</v>
      </c>
      <c r="L71" s="23" t="n">
        <v>0</v>
      </c>
      <c r="M71" s="23" t="n">
        <v>0</v>
      </c>
      <c r="N71" s="23" t="n">
        <v>0</v>
      </c>
      <c r="O71" s="23" t="n">
        <v>0</v>
      </c>
      <c r="P71" s="42" t="inlineStr">
        <is>
          <t>Bronze Chestplate, Bronze Helmet, Bronze Legplates, Bronze Boots, Long Sword, Wooden Buckler</t>
        </is>
      </c>
    </row>
    <row r="72">
      <c r="A72" s="21" t="n">
        <v>19</v>
      </c>
      <c r="B72" s="21" t="inlineStr">
        <is>
          <t>Warrior</t>
        </is>
      </c>
      <c r="C72" s="21" t="n">
        <v>1</v>
      </c>
      <c r="D72" s="21" t="n">
        <v>24</v>
      </c>
      <c r="E72" s="21" t="n">
        <v>10</v>
      </c>
      <c r="F72" s="21" t="n">
        <v>0</v>
      </c>
      <c r="G72" s="21" t="n">
        <v>0</v>
      </c>
      <c r="H72" s="21" t="n">
        <v>0</v>
      </c>
      <c r="I72" s="21" t="n">
        <v>90</v>
      </c>
      <c r="J72" s="23" t="n">
        <v>0</v>
      </c>
      <c r="K72" s="23" t="n">
        <v>0</v>
      </c>
      <c r="L72" s="23" t="n">
        <v>0</v>
      </c>
      <c r="M72" s="23" t="n">
        <v>0</v>
      </c>
      <c r="N72" s="23" t="n">
        <v>0</v>
      </c>
      <c r="O72" s="23" t="n">
        <v>0</v>
      </c>
      <c r="P72" s="42" t="inlineStr">
        <is>
          <t>Bronze Chestplate, Bronze Helmet, Bronze Legplates, Bronze Boots, Long Sword, Wooden Buckler</t>
        </is>
      </c>
    </row>
    <row r="73">
      <c r="A73" s="21" t="n">
        <v>20</v>
      </c>
      <c r="B73" s="21" t="inlineStr">
        <is>
          <t>Warrior</t>
        </is>
      </c>
      <c r="C73" s="21" t="n">
        <v>1</v>
      </c>
      <c r="D73" s="21" t="n">
        <v>24</v>
      </c>
      <c r="E73" s="21" t="n">
        <v>10</v>
      </c>
      <c r="F73" s="21" t="n">
        <v>0</v>
      </c>
      <c r="G73" s="21" t="n">
        <v>0</v>
      </c>
      <c r="H73" s="21" t="n">
        <v>0</v>
      </c>
      <c r="I73" s="21" t="n">
        <v>130</v>
      </c>
      <c r="J73" s="23" t="n">
        <v>0</v>
      </c>
      <c r="K73" s="23" t="n">
        <v>0</v>
      </c>
      <c r="L73" s="23" t="n">
        <v>0</v>
      </c>
      <c r="M73" s="23" t="n">
        <v>0</v>
      </c>
      <c r="N73" s="23" t="n">
        <v>0</v>
      </c>
      <c r="O73" s="23" t="n">
        <v>0</v>
      </c>
      <c r="P73" s="42" t="inlineStr">
        <is>
          <t>Bronze Chestplate, Bronze Helmet, Bronze Legplates, Bronze Boots, Long Sword, Kite Shield</t>
        </is>
      </c>
    </row>
    <row r="74">
      <c r="A74" s="21" t="n">
        <v>21</v>
      </c>
      <c r="B74" s="21" t="inlineStr">
        <is>
          <t>Warrior</t>
        </is>
      </c>
      <c r="C74" s="21" t="n">
        <v>1</v>
      </c>
      <c r="D74" s="21" t="n">
        <v>24</v>
      </c>
      <c r="E74" s="21" t="n">
        <v>10</v>
      </c>
      <c r="F74" s="21" t="n">
        <v>0</v>
      </c>
      <c r="G74" s="21" t="n">
        <v>0</v>
      </c>
      <c r="H74" s="21" t="n">
        <v>0</v>
      </c>
      <c r="I74" s="21" t="n">
        <v>130</v>
      </c>
      <c r="J74" s="23" t="n">
        <v>0</v>
      </c>
      <c r="K74" s="23" t="n">
        <v>0</v>
      </c>
      <c r="L74" s="23" t="n">
        <v>0</v>
      </c>
      <c r="M74" s="23" t="n">
        <v>0</v>
      </c>
      <c r="N74" s="23" t="n">
        <v>0</v>
      </c>
      <c r="O74" s="23" t="n">
        <v>0</v>
      </c>
      <c r="P74" s="42" t="inlineStr">
        <is>
          <t>Bronze Chestplate, Bronze Helmet, Bronze Legplates, Bronze Boots, Long Sword, Kite Shield</t>
        </is>
      </c>
    </row>
    <row r="75">
      <c r="A75" s="21" t="n">
        <v>22</v>
      </c>
      <c r="B75" s="21" t="inlineStr">
        <is>
          <t>Warrior</t>
        </is>
      </c>
      <c r="C75" s="21" t="n">
        <v>1</v>
      </c>
      <c r="D75" s="21" t="n">
        <v>24</v>
      </c>
      <c r="E75" s="21" t="n">
        <v>10</v>
      </c>
      <c r="F75" s="21" t="n">
        <v>0</v>
      </c>
      <c r="G75" s="21" t="n">
        <v>0</v>
      </c>
      <c r="H75" s="21" t="n">
        <v>0</v>
      </c>
      <c r="I75" s="21" t="n">
        <v>130</v>
      </c>
      <c r="J75" s="23" t="n">
        <v>0</v>
      </c>
      <c r="K75" s="23" t="n">
        <v>0</v>
      </c>
      <c r="L75" s="23" t="n">
        <v>0</v>
      </c>
      <c r="M75" s="23" t="n">
        <v>0</v>
      </c>
      <c r="N75" s="23" t="n">
        <v>0</v>
      </c>
      <c r="O75" s="23" t="n">
        <v>0</v>
      </c>
      <c r="P75" s="42" t="inlineStr">
        <is>
          <t>Bronze Chestplate, Bronze Helmet, Bronze Legplates, Bronze Boots, Long Sword, Kite Shield</t>
        </is>
      </c>
    </row>
    <row r="76">
      <c r="A76" s="21" t="n">
        <v>23</v>
      </c>
      <c r="B76" s="21" t="inlineStr">
        <is>
          <t>Warrior</t>
        </is>
      </c>
      <c r="C76" s="21" t="n">
        <v>1</v>
      </c>
      <c r="D76" s="21" t="n">
        <v>24</v>
      </c>
      <c r="E76" s="21" t="n">
        <v>10</v>
      </c>
      <c r="F76" s="21" t="n">
        <v>0</v>
      </c>
      <c r="G76" s="21" t="n">
        <v>0</v>
      </c>
      <c r="H76" s="21" t="n">
        <v>0</v>
      </c>
      <c r="I76" s="21" t="n">
        <v>130</v>
      </c>
      <c r="J76" s="23" t="n">
        <v>0</v>
      </c>
      <c r="K76" s="23" t="n">
        <v>0</v>
      </c>
      <c r="L76" s="23" t="n">
        <v>0</v>
      </c>
      <c r="M76" s="23" t="n">
        <v>0</v>
      </c>
      <c r="N76" s="23" t="n">
        <v>0</v>
      </c>
      <c r="O76" s="23" t="n">
        <v>0</v>
      </c>
      <c r="P76" s="42" t="inlineStr">
        <is>
          <t>Bronze Chestplate, Bronze Helmet, Bronze Legplates, Bronze Boots, Long Sword, Kite Shield</t>
        </is>
      </c>
    </row>
    <row r="77">
      <c r="A77" s="21" t="n">
        <v>24</v>
      </c>
      <c r="B77" s="21" t="inlineStr">
        <is>
          <t>Warrior</t>
        </is>
      </c>
      <c r="C77" s="21" t="n">
        <v>1</v>
      </c>
      <c r="D77" s="21" t="n">
        <v>24</v>
      </c>
      <c r="E77" s="21" t="n">
        <v>10</v>
      </c>
      <c r="F77" s="21" t="n">
        <v>0</v>
      </c>
      <c r="G77" s="21" t="n">
        <v>0</v>
      </c>
      <c r="H77" s="21" t="n">
        <v>0</v>
      </c>
      <c r="I77" s="21" t="n">
        <v>130</v>
      </c>
      <c r="J77" s="23" t="n">
        <v>0</v>
      </c>
      <c r="K77" s="23" t="n">
        <v>0</v>
      </c>
      <c r="L77" s="23" t="n">
        <v>0</v>
      </c>
      <c r="M77" s="23" t="n">
        <v>0</v>
      </c>
      <c r="N77" s="23" t="n">
        <v>0</v>
      </c>
      <c r="O77" s="23" t="n">
        <v>0</v>
      </c>
      <c r="P77" s="42" t="inlineStr">
        <is>
          <t>Bronze Chestplate, Bronze Helmet, Bronze Legplates, Bronze Boots, Long Sword, Kite Shield</t>
        </is>
      </c>
    </row>
    <row r="78">
      <c r="A78" s="21" t="n">
        <v>25</v>
      </c>
      <c r="B78" s="21" t="inlineStr">
        <is>
          <t>Warrior</t>
        </is>
      </c>
      <c r="C78" s="21" t="n">
        <v>1</v>
      </c>
      <c r="D78" s="21" t="n">
        <v>24</v>
      </c>
      <c r="E78" s="21" t="n">
        <v>10</v>
      </c>
      <c r="F78" s="21" t="n">
        <v>0</v>
      </c>
      <c r="G78" s="21" t="n">
        <v>0</v>
      </c>
      <c r="H78" s="21" t="n">
        <v>0</v>
      </c>
      <c r="I78" s="21" t="n">
        <v>130</v>
      </c>
      <c r="J78" s="23" t="n">
        <v>0</v>
      </c>
      <c r="K78" s="23" t="n">
        <v>0</v>
      </c>
      <c r="L78" s="23" t="n">
        <v>0</v>
      </c>
      <c r="M78" s="23" t="n">
        <v>0</v>
      </c>
      <c r="N78" s="23" t="n">
        <v>0</v>
      </c>
      <c r="O78" s="23" t="n">
        <v>0</v>
      </c>
      <c r="P78" s="42" t="inlineStr">
        <is>
          <t>Bronze Chestplate, Bronze Helmet, Bronze Legplates, Bronze Boots, Long Sword, Kite Shield</t>
        </is>
      </c>
    </row>
    <row r="79">
      <c r="A79" s="21" t="n">
        <v>26</v>
      </c>
      <c r="B79" s="21" t="inlineStr">
        <is>
          <t>Warrior</t>
        </is>
      </c>
      <c r="C79" s="21" t="n">
        <v>1</v>
      </c>
      <c r="D79" s="21" t="n">
        <v>24</v>
      </c>
      <c r="E79" s="21" t="n">
        <v>10</v>
      </c>
      <c r="F79" s="21" t="n">
        <v>0</v>
      </c>
      <c r="G79" s="21" t="n">
        <v>0</v>
      </c>
      <c r="H79" s="21" t="n">
        <v>0</v>
      </c>
      <c r="I79" s="21" t="n">
        <v>157</v>
      </c>
      <c r="J79" s="23" t="n">
        <v>0</v>
      </c>
      <c r="K79" s="23" t="n">
        <v>0</v>
      </c>
      <c r="L79" s="23" t="n">
        <v>0</v>
      </c>
      <c r="M79" s="23" t="n">
        <v>0</v>
      </c>
      <c r="N79" s="23" t="n">
        <v>0</v>
      </c>
      <c r="O79" s="23" t="n">
        <v>0</v>
      </c>
      <c r="P79" s="42" t="inlineStr">
        <is>
          <t>Iron Chestplate, Iron Helmet, Iron Legplates, Iron Boots, Long Sword, Kite Shield</t>
        </is>
      </c>
    </row>
    <row r="80">
      <c r="A80" s="21" t="n">
        <v>27</v>
      </c>
      <c r="B80" s="21" t="inlineStr">
        <is>
          <t>Warrior</t>
        </is>
      </c>
      <c r="C80" s="21" t="n">
        <v>1</v>
      </c>
      <c r="D80" s="21" t="n">
        <v>40</v>
      </c>
      <c r="E80" s="21" t="n">
        <v>10</v>
      </c>
      <c r="F80" s="21" t="n">
        <v>5</v>
      </c>
      <c r="G80" s="21" t="n">
        <v>50</v>
      </c>
      <c r="H80" s="21" t="n">
        <v>0</v>
      </c>
      <c r="I80" s="21" t="n">
        <v>157</v>
      </c>
      <c r="J80" s="23" t="n">
        <v>0</v>
      </c>
      <c r="K80" s="23" t="n">
        <v>0</v>
      </c>
      <c r="L80" s="23" t="n">
        <v>0</v>
      </c>
      <c r="M80" s="23" t="n">
        <v>0</v>
      </c>
      <c r="N80" s="23" t="n">
        <v>0</v>
      </c>
      <c r="O80" s="23" t="n">
        <v>0</v>
      </c>
      <c r="P80" s="42" t="inlineStr">
        <is>
          <t>Iron Chestplate, Iron Helmet, Iron Legplates, Iron Boots, Bastard Sword, Kite Shield</t>
        </is>
      </c>
    </row>
    <row r="81">
      <c r="A81" s="21" t="n">
        <v>28</v>
      </c>
      <c r="B81" s="21" t="inlineStr">
        <is>
          <t>Warrior</t>
        </is>
      </c>
      <c r="C81" s="21" t="n">
        <v>1</v>
      </c>
      <c r="D81" s="21" t="n">
        <v>40</v>
      </c>
      <c r="E81" s="21" t="n">
        <v>10</v>
      </c>
      <c r="F81" s="21" t="n">
        <v>5</v>
      </c>
      <c r="G81" s="21" t="n">
        <v>50</v>
      </c>
      <c r="H81" s="21" t="n">
        <v>0</v>
      </c>
      <c r="I81" s="21" t="n">
        <v>157</v>
      </c>
      <c r="J81" s="23" t="n">
        <v>0</v>
      </c>
      <c r="K81" s="23" t="n">
        <v>0</v>
      </c>
      <c r="L81" s="23" t="n">
        <v>0</v>
      </c>
      <c r="M81" s="23" t="n">
        <v>0</v>
      </c>
      <c r="N81" s="23" t="n">
        <v>0</v>
      </c>
      <c r="O81" s="23" t="n">
        <v>0</v>
      </c>
      <c r="P81" s="42" t="inlineStr">
        <is>
          <t>Iron Chestplate, Iron Helmet, Iron Legplates, Iron Boots, Bastard Sword, Kite Shield</t>
        </is>
      </c>
    </row>
    <row r="82">
      <c r="A82" s="21" t="n">
        <v>29</v>
      </c>
      <c r="B82" s="21" t="inlineStr">
        <is>
          <t>Warrior</t>
        </is>
      </c>
      <c r="C82" s="21" t="n">
        <v>1</v>
      </c>
      <c r="D82" s="21" t="n">
        <v>40</v>
      </c>
      <c r="E82" s="21" t="n">
        <v>10</v>
      </c>
      <c r="F82" s="21" t="n">
        <v>5</v>
      </c>
      <c r="G82" s="21" t="n">
        <v>50</v>
      </c>
      <c r="H82" s="21" t="n">
        <v>0</v>
      </c>
      <c r="I82" s="21" t="n">
        <v>157</v>
      </c>
      <c r="J82" s="23" t="n">
        <v>0</v>
      </c>
      <c r="K82" s="23" t="n">
        <v>0</v>
      </c>
      <c r="L82" s="23" t="n">
        <v>0</v>
      </c>
      <c r="M82" s="23" t="n">
        <v>0</v>
      </c>
      <c r="N82" s="23" t="n">
        <v>0</v>
      </c>
      <c r="O82" s="23" t="n">
        <v>0</v>
      </c>
      <c r="P82" s="42" t="inlineStr">
        <is>
          <t>Iron Chestplate, Iron Helmet, Iron Legplates, Iron Boots, Bastard Sword, Kite Shield</t>
        </is>
      </c>
    </row>
    <row r="83">
      <c r="A83" s="21" t="n">
        <v>30</v>
      </c>
      <c r="B83" s="21" t="inlineStr">
        <is>
          <t>Warrior</t>
        </is>
      </c>
      <c r="C83" s="21" t="n">
        <v>1</v>
      </c>
      <c r="D83" s="21" t="n">
        <v>40</v>
      </c>
      <c r="E83" s="21" t="n">
        <v>10</v>
      </c>
      <c r="F83" s="21" t="n">
        <v>5</v>
      </c>
      <c r="G83" s="21" t="n">
        <v>50</v>
      </c>
      <c r="H83" s="21" t="n">
        <v>0</v>
      </c>
      <c r="I83" s="21" t="n">
        <v>157</v>
      </c>
      <c r="J83" s="23" t="n">
        <v>0</v>
      </c>
      <c r="K83" s="23" t="n">
        <v>0</v>
      </c>
      <c r="L83" s="23" t="n">
        <v>0</v>
      </c>
      <c r="M83" s="23" t="n">
        <v>0</v>
      </c>
      <c r="N83" s="23" t="n">
        <v>0</v>
      </c>
      <c r="O83" s="23" t="n">
        <v>0</v>
      </c>
      <c r="P83" s="42" t="inlineStr">
        <is>
          <t>Iron Chestplate, Iron Helmet, Iron Legplates, Iron Boots, Bastard Sword, Kite Shield</t>
        </is>
      </c>
    </row>
    <row r="84">
      <c r="A84" s="21" t="n">
        <v>31</v>
      </c>
      <c r="B84" s="21" t="inlineStr">
        <is>
          <t>Warrior</t>
        </is>
      </c>
      <c r="C84" s="21" t="n">
        <v>1</v>
      </c>
      <c r="D84" s="21" t="n">
        <v>40</v>
      </c>
      <c r="E84" s="21" t="n">
        <v>10</v>
      </c>
      <c r="F84" s="21" t="n">
        <v>5</v>
      </c>
      <c r="G84" s="21" t="n">
        <v>50</v>
      </c>
      <c r="H84" s="21" t="n">
        <v>0</v>
      </c>
      <c r="I84" s="21" t="n">
        <v>157</v>
      </c>
      <c r="J84" s="23" t="n">
        <v>0</v>
      </c>
      <c r="K84" s="23" t="n">
        <v>0</v>
      </c>
      <c r="L84" s="23" t="n">
        <v>0</v>
      </c>
      <c r="M84" s="23" t="n">
        <v>0</v>
      </c>
      <c r="N84" s="23" t="n">
        <v>0</v>
      </c>
      <c r="O84" s="23" t="n">
        <v>0</v>
      </c>
      <c r="P84" s="42" t="inlineStr">
        <is>
          <t>Iron Chestplate, Iron Helmet, Iron Legplates, Iron Boots, Bastard Sword, Kite Shield</t>
        </is>
      </c>
    </row>
    <row r="85">
      <c r="A85" s="21" t="n">
        <v>32</v>
      </c>
      <c r="B85" s="21" t="inlineStr">
        <is>
          <t>Warrior</t>
        </is>
      </c>
      <c r="C85" s="21" t="n">
        <v>1</v>
      </c>
      <c r="D85" s="21" t="n">
        <v>40</v>
      </c>
      <c r="E85" s="21" t="n">
        <v>10</v>
      </c>
      <c r="F85" s="21" t="n">
        <v>5</v>
      </c>
      <c r="G85" s="21" t="n">
        <v>50</v>
      </c>
      <c r="H85" s="21" t="n">
        <v>0</v>
      </c>
      <c r="I85" s="21" t="n">
        <v>157</v>
      </c>
      <c r="J85" s="23" t="n">
        <v>0</v>
      </c>
      <c r="K85" s="23" t="n">
        <v>0</v>
      </c>
      <c r="L85" s="23" t="n">
        <v>0</v>
      </c>
      <c r="M85" s="23" t="n">
        <v>0</v>
      </c>
      <c r="N85" s="23" t="n">
        <v>0</v>
      </c>
      <c r="O85" s="23" t="n">
        <v>0</v>
      </c>
      <c r="P85" s="42" t="inlineStr">
        <is>
          <t>Iron Chestplate, Iron Helmet, Iron Legplates, Iron Boots, Bastard Sword, Kite Shield</t>
        </is>
      </c>
    </row>
    <row r="86">
      <c r="A86" s="21" t="n">
        <v>33</v>
      </c>
      <c r="B86" s="21" t="inlineStr">
        <is>
          <t>Warrior</t>
        </is>
      </c>
      <c r="C86" s="21" t="n">
        <v>1</v>
      </c>
      <c r="D86" s="21" t="n">
        <v>40</v>
      </c>
      <c r="E86" s="21" t="n">
        <v>10</v>
      </c>
      <c r="F86" s="21" t="n">
        <v>5</v>
      </c>
      <c r="G86" s="21" t="n">
        <v>50</v>
      </c>
      <c r="H86" s="21" t="n">
        <v>0</v>
      </c>
      <c r="I86" s="21" t="n">
        <v>157</v>
      </c>
      <c r="J86" s="23" t="n">
        <v>0</v>
      </c>
      <c r="K86" s="23" t="n">
        <v>0</v>
      </c>
      <c r="L86" s="23" t="n">
        <v>0</v>
      </c>
      <c r="M86" s="23" t="n">
        <v>0</v>
      </c>
      <c r="N86" s="23" t="n">
        <v>0</v>
      </c>
      <c r="O86" s="23" t="n">
        <v>0</v>
      </c>
      <c r="P86" s="42" t="inlineStr">
        <is>
          <t>Iron Chestplate, Iron Helmet, Iron Legplates, Iron Boots, Bastard Sword, Kite Shield</t>
        </is>
      </c>
    </row>
    <row r="87">
      <c r="A87" s="21" t="n">
        <v>34</v>
      </c>
      <c r="B87" s="21" t="inlineStr">
        <is>
          <t>Warrior</t>
        </is>
      </c>
      <c r="C87" s="21" t="n">
        <v>1</v>
      </c>
      <c r="D87" s="21" t="n">
        <v>40</v>
      </c>
      <c r="E87" s="21" t="n">
        <v>10</v>
      </c>
      <c r="F87" s="21" t="n">
        <v>5</v>
      </c>
      <c r="G87" s="21" t="n">
        <v>50</v>
      </c>
      <c r="H87" s="21" t="n">
        <v>0</v>
      </c>
      <c r="I87" s="21" t="n">
        <v>200</v>
      </c>
      <c r="J87" s="23" t="n">
        <v>0</v>
      </c>
      <c r="K87" s="23" t="n">
        <v>0</v>
      </c>
      <c r="L87" s="23" t="n">
        <v>0</v>
      </c>
      <c r="M87" s="23" t="n">
        <v>0</v>
      </c>
      <c r="N87" s="23" t="n">
        <v>0</v>
      </c>
      <c r="O87" s="23" t="n">
        <v>0</v>
      </c>
      <c r="P87" s="42" t="inlineStr">
        <is>
          <t>Steel Chestplate, Steel Helmet, Steel Legplates, Steel Boots, Bastard Sword, Kite Shield</t>
        </is>
      </c>
    </row>
    <row r="88">
      <c r="A88" s="21" t="n">
        <v>35</v>
      </c>
      <c r="B88" s="21" t="inlineStr">
        <is>
          <t>Warrior</t>
        </is>
      </c>
      <c r="C88" s="21" t="n">
        <v>1</v>
      </c>
      <c r="D88" s="21" t="n">
        <v>40</v>
      </c>
      <c r="E88" s="21" t="n">
        <v>10</v>
      </c>
      <c r="F88" s="21" t="n">
        <v>5</v>
      </c>
      <c r="G88" s="21" t="n">
        <v>50</v>
      </c>
      <c r="H88" s="21" t="n">
        <v>0</v>
      </c>
      <c r="I88" s="21" t="n">
        <v>250</v>
      </c>
      <c r="J88" s="23" t="n">
        <v>0</v>
      </c>
      <c r="K88" s="23" t="n">
        <v>0</v>
      </c>
      <c r="L88" s="23" t="n">
        <v>0</v>
      </c>
      <c r="M88" s="23" t="n">
        <v>0</v>
      </c>
      <c r="N88" s="23" t="n">
        <v>0</v>
      </c>
      <c r="O88" s="23" t="n">
        <v>0</v>
      </c>
      <c r="P88" s="42" t="inlineStr">
        <is>
          <t>Steel Chestplate, Steel Helmet, Steel Legplates, Steel Boots, Bastard Sword, Firebrand Shield</t>
        </is>
      </c>
    </row>
    <row r="89">
      <c r="A89" s="21" t="n">
        <v>36</v>
      </c>
      <c r="B89" s="21" t="inlineStr">
        <is>
          <t>Warrior</t>
        </is>
      </c>
      <c r="C89" s="21" t="n">
        <v>1</v>
      </c>
      <c r="D89" s="21" t="n">
        <v>40</v>
      </c>
      <c r="E89" s="21" t="n">
        <v>10</v>
      </c>
      <c r="F89" s="21" t="n">
        <v>5</v>
      </c>
      <c r="G89" s="21" t="n">
        <v>50</v>
      </c>
      <c r="H89" s="21" t="n">
        <v>0</v>
      </c>
      <c r="I89" s="21" t="n">
        <v>250</v>
      </c>
      <c r="J89" s="23" t="n">
        <v>0</v>
      </c>
      <c r="K89" s="23" t="n">
        <v>0</v>
      </c>
      <c r="L89" s="23" t="n">
        <v>0</v>
      </c>
      <c r="M89" s="23" t="n">
        <v>0</v>
      </c>
      <c r="N89" s="23" t="n">
        <v>0</v>
      </c>
      <c r="O89" s="23" t="n">
        <v>0</v>
      </c>
      <c r="P89" s="42" t="inlineStr">
        <is>
          <t>Steel Chestplate, Steel Helmet, Steel Legplates, Steel Boots, Bastard Sword, Firebrand Shield</t>
        </is>
      </c>
    </row>
    <row r="90">
      <c r="A90" s="21" t="n">
        <v>37</v>
      </c>
      <c r="B90" s="21" t="inlineStr">
        <is>
          <t>Warrior</t>
        </is>
      </c>
      <c r="C90" s="21" t="n">
        <v>1</v>
      </c>
      <c r="D90" s="21" t="n">
        <v>40</v>
      </c>
      <c r="E90" s="21" t="n">
        <v>10</v>
      </c>
      <c r="F90" s="21" t="n">
        <v>5</v>
      </c>
      <c r="G90" s="21" t="n">
        <v>50</v>
      </c>
      <c r="H90" s="21" t="n">
        <v>0</v>
      </c>
      <c r="I90" s="21" t="n">
        <v>250</v>
      </c>
      <c r="J90" s="23" t="n">
        <v>0</v>
      </c>
      <c r="K90" s="23" t="n">
        <v>0</v>
      </c>
      <c r="L90" s="23" t="n">
        <v>0</v>
      </c>
      <c r="M90" s="23" t="n">
        <v>0</v>
      </c>
      <c r="N90" s="23" t="n">
        <v>0</v>
      </c>
      <c r="O90" s="23" t="n">
        <v>0</v>
      </c>
      <c r="P90" s="42" t="inlineStr">
        <is>
          <t>Steel Chestplate, Steel Helmet, Steel Legplates, Steel Boots, Bastard Sword, Firebrand Shield</t>
        </is>
      </c>
    </row>
    <row r="91">
      <c r="A91" s="21" t="n">
        <v>38</v>
      </c>
      <c r="B91" s="21" t="inlineStr">
        <is>
          <t>Warrior</t>
        </is>
      </c>
      <c r="C91" s="21" t="n">
        <v>1</v>
      </c>
      <c r="D91" s="21" t="n">
        <v>40</v>
      </c>
      <c r="E91" s="21" t="n">
        <v>10</v>
      </c>
      <c r="F91" s="21" t="n">
        <v>5</v>
      </c>
      <c r="G91" s="21" t="n">
        <v>50</v>
      </c>
      <c r="H91" s="21" t="n">
        <v>0</v>
      </c>
      <c r="I91" s="21" t="n">
        <v>250</v>
      </c>
      <c r="J91" s="23" t="n">
        <v>0</v>
      </c>
      <c r="K91" s="23" t="n">
        <v>0</v>
      </c>
      <c r="L91" s="23" t="n">
        <v>0</v>
      </c>
      <c r="M91" s="23" t="n">
        <v>0</v>
      </c>
      <c r="N91" s="23" t="n">
        <v>0</v>
      </c>
      <c r="O91" s="23" t="n">
        <v>0</v>
      </c>
      <c r="P91" s="42" t="inlineStr">
        <is>
          <t>Steel Chestplate, Steel Helmet, Steel Legplates, Steel Boots, Bastard Sword, Firebrand Shield</t>
        </is>
      </c>
    </row>
    <row r="92">
      <c r="A92" s="21" t="n">
        <v>39</v>
      </c>
      <c r="B92" s="21" t="inlineStr">
        <is>
          <t>Warrior</t>
        </is>
      </c>
      <c r="C92" s="21" t="n">
        <v>1</v>
      </c>
      <c r="D92" s="21" t="n">
        <v>40</v>
      </c>
      <c r="E92" s="21" t="n">
        <v>10</v>
      </c>
      <c r="F92" s="21" t="n">
        <v>5</v>
      </c>
      <c r="G92" s="21" t="n">
        <v>50</v>
      </c>
      <c r="H92" s="21" t="n">
        <v>0</v>
      </c>
      <c r="I92" s="21" t="n">
        <v>250</v>
      </c>
      <c r="J92" s="23" t="n">
        <v>0</v>
      </c>
      <c r="K92" s="23" t="n">
        <v>0</v>
      </c>
      <c r="L92" s="23" t="n">
        <v>0</v>
      </c>
      <c r="M92" s="23" t="n">
        <v>0</v>
      </c>
      <c r="N92" s="23" t="n">
        <v>0</v>
      </c>
      <c r="O92" s="23" t="n">
        <v>0</v>
      </c>
      <c r="P92" s="42" t="inlineStr">
        <is>
          <t>Steel Chestplate, Steel Helmet, Steel Legplates, Steel Boots, Bastard Sword, Firebrand Shield</t>
        </is>
      </c>
    </row>
    <row r="93">
      <c r="A93" s="21" t="n">
        <v>40</v>
      </c>
      <c r="B93" s="21" t="inlineStr">
        <is>
          <t>Warrior</t>
        </is>
      </c>
      <c r="C93" s="21" t="n">
        <v>1</v>
      </c>
      <c r="D93" s="21" t="n">
        <v>40</v>
      </c>
      <c r="E93" s="21" t="n">
        <v>10</v>
      </c>
      <c r="F93" s="21" t="n">
        <v>5</v>
      </c>
      <c r="G93" s="21" t="n">
        <v>50</v>
      </c>
      <c r="H93" s="21" t="n">
        <v>0</v>
      </c>
      <c r="I93" s="21" t="n">
        <v>250</v>
      </c>
      <c r="J93" s="23" t="n">
        <v>0</v>
      </c>
      <c r="K93" s="23" t="n">
        <v>0</v>
      </c>
      <c r="L93" s="23" t="n">
        <v>0</v>
      </c>
      <c r="M93" s="23" t="n">
        <v>0</v>
      </c>
      <c r="N93" s="23" t="n">
        <v>0</v>
      </c>
      <c r="O93" s="23" t="n">
        <v>0</v>
      </c>
      <c r="P93" s="42" t="inlineStr">
        <is>
          <t>Steel Chestplate, Steel Helmet, Steel Legplates, Steel Boots, Bastard Sword, Firebrand Shield</t>
        </is>
      </c>
    </row>
    <row r="94">
      <c r="A94" s="21" t="n">
        <v>41</v>
      </c>
      <c r="B94" s="21" t="inlineStr">
        <is>
          <t>Warrior</t>
        </is>
      </c>
      <c r="C94" s="21" t="n">
        <v>1</v>
      </c>
      <c r="D94" s="21" t="n">
        <v>40</v>
      </c>
      <c r="E94" s="21" t="n">
        <v>10</v>
      </c>
      <c r="F94" s="21" t="n">
        <v>5</v>
      </c>
      <c r="G94" s="21" t="n">
        <v>50</v>
      </c>
      <c r="H94" s="21" t="n">
        <v>0</v>
      </c>
      <c r="I94" s="21" t="n">
        <v>250</v>
      </c>
      <c r="J94" s="23" t="n">
        <v>0</v>
      </c>
      <c r="K94" s="23" t="n">
        <v>0</v>
      </c>
      <c r="L94" s="23" t="n">
        <v>0</v>
      </c>
      <c r="M94" s="23" t="n">
        <v>0</v>
      </c>
      <c r="N94" s="23" t="n">
        <v>0</v>
      </c>
      <c r="O94" s="23" t="n">
        <v>0</v>
      </c>
      <c r="P94" s="42" t="inlineStr">
        <is>
          <t>Steel Chestplate, Steel Helmet, Steel Legplates, Steel Boots, Bastard Sword, Firebrand Shield</t>
        </is>
      </c>
    </row>
    <row r="95">
      <c r="A95" s="21" t="n">
        <v>42</v>
      </c>
      <c r="B95" s="21" t="inlineStr">
        <is>
          <t>Warrior</t>
        </is>
      </c>
      <c r="C95" s="21" t="n">
        <v>1</v>
      </c>
      <c r="D95" s="21" t="n">
        <v>40</v>
      </c>
      <c r="E95" s="21" t="n">
        <v>10</v>
      </c>
      <c r="F95" s="21" t="n">
        <v>5</v>
      </c>
      <c r="G95" s="21" t="n">
        <v>50</v>
      </c>
      <c r="H95" s="21" t="n">
        <v>0</v>
      </c>
      <c r="I95" s="21" t="n">
        <v>250</v>
      </c>
      <c r="J95" s="23" t="n">
        <v>0</v>
      </c>
      <c r="K95" s="23" t="n">
        <v>0</v>
      </c>
      <c r="L95" s="23" t="n">
        <v>0</v>
      </c>
      <c r="M95" s="23" t="n">
        <v>0</v>
      </c>
      <c r="N95" s="23" t="n">
        <v>0</v>
      </c>
      <c r="O95" s="23" t="n">
        <v>0</v>
      </c>
      <c r="P95" s="42" t="inlineStr">
        <is>
          <t>Steel Chestplate, Steel Helmet, Steel Legplates, Steel Boots, Bastard Sword, Firebrand Shield</t>
        </is>
      </c>
    </row>
    <row r="96">
      <c r="A96" s="21" t="n">
        <v>43</v>
      </c>
      <c r="B96" s="21" t="inlineStr">
        <is>
          <t>Warrior</t>
        </is>
      </c>
      <c r="C96" s="21" t="n">
        <v>1</v>
      </c>
      <c r="D96" s="21" t="n">
        <v>40</v>
      </c>
      <c r="E96" s="21" t="n">
        <v>10</v>
      </c>
      <c r="F96" s="21" t="n">
        <v>5</v>
      </c>
      <c r="G96" s="21" t="n">
        <v>50</v>
      </c>
      <c r="H96" s="21" t="n">
        <v>0</v>
      </c>
      <c r="I96" s="21" t="n">
        <v>250</v>
      </c>
      <c r="J96" s="23" t="n">
        <v>0</v>
      </c>
      <c r="K96" s="23" t="n">
        <v>0</v>
      </c>
      <c r="L96" s="23" t="n">
        <v>0</v>
      </c>
      <c r="M96" s="23" t="n">
        <v>0</v>
      </c>
      <c r="N96" s="23" t="n">
        <v>0</v>
      </c>
      <c r="O96" s="23" t="n">
        <v>0</v>
      </c>
      <c r="P96" s="42" t="inlineStr">
        <is>
          <t>Steel Chestplate, Steel Helmet, Steel Legplates, Steel Boots, Bastard Sword, Firebrand Shield</t>
        </is>
      </c>
    </row>
    <row r="97">
      <c r="A97" s="21" t="n">
        <v>44</v>
      </c>
      <c r="B97" s="21" t="inlineStr">
        <is>
          <t>Warrior</t>
        </is>
      </c>
      <c r="C97" s="21" t="n">
        <v>1</v>
      </c>
      <c r="D97" s="21" t="n">
        <v>40</v>
      </c>
      <c r="E97" s="21" t="n">
        <v>10</v>
      </c>
      <c r="F97" s="21" t="n">
        <v>5</v>
      </c>
      <c r="G97" s="21" t="n">
        <v>50</v>
      </c>
      <c r="H97" s="21" t="n">
        <v>0</v>
      </c>
      <c r="I97" s="21" t="n">
        <v>250</v>
      </c>
      <c r="J97" s="23" t="n">
        <v>0</v>
      </c>
      <c r="K97" s="23" t="n">
        <v>0</v>
      </c>
      <c r="L97" s="23" t="n">
        <v>0</v>
      </c>
      <c r="M97" s="23" t="n">
        <v>0</v>
      </c>
      <c r="N97" s="23" t="n">
        <v>0</v>
      </c>
      <c r="O97" s="23" t="n">
        <v>0</v>
      </c>
      <c r="P97" s="42" t="inlineStr">
        <is>
          <t>Steel Chestplate, Steel Helmet, Steel Legplates, Steel Boots, Bastard Sword, Firebrand Shield</t>
        </is>
      </c>
    </row>
    <row r="98">
      <c r="A98" s="21" t="n">
        <v>45</v>
      </c>
      <c r="B98" s="21" t="inlineStr">
        <is>
          <t>Warrior</t>
        </is>
      </c>
      <c r="C98" s="21" t="n">
        <v>1</v>
      </c>
      <c r="D98" s="21" t="n">
        <v>40</v>
      </c>
      <c r="E98" s="21" t="n">
        <v>10</v>
      </c>
      <c r="F98" s="21" t="n">
        <v>5</v>
      </c>
      <c r="G98" s="21" t="n">
        <v>50</v>
      </c>
      <c r="H98" s="21" t="n">
        <v>0</v>
      </c>
      <c r="I98" s="21" t="n">
        <v>250</v>
      </c>
      <c r="J98" s="23" t="n">
        <v>0</v>
      </c>
      <c r="K98" s="23" t="n">
        <v>0</v>
      </c>
      <c r="L98" s="23" t="n">
        <v>0</v>
      </c>
      <c r="M98" s="23" t="n">
        <v>0</v>
      </c>
      <c r="N98" s="23" t="n">
        <v>0</v>
      </c>
      <c r="O98" s="23" t="n">
        <v>0</v>
      </c>
      <c r="P98" s="42" t="inlineStr">
        <is>
          <t>Steel Chestplate, Steel Helmet, Steel Legplates, Steel Boots, Bastard Sword, Firebrand Shield</t>
        </is>
      </c>
    </row>
    <row r="99">
      <c r="A99" s="21" t="n">
        <v>46</v>
      </c>
      <c r="B99" s="21" t="inlineStr">
        <is>
          <t>Warrior</t>
        </is>
      </c>
      <c r="C99" s="21" t="n">
        <v>1</v>
      </c>
      <c r="D99" s="21" t="n">
        <v>40</v>
      </c>
      <c r="E99" s="21" t="n">
        <v>10</v>
      </c>
      <c r="F99" s="21" t="n">
        <v>5</v>
      </c>
      <c r="G99" s="21" t="n">
        <v>50</v>
      </c>
      <c r="H99" s="21" t="n">
        <v>0</v>
      </c>
      <c r="I99" s="21" t="n">
        <v>250</v>
      </c>
      <c r="J99" s="23" t="n">
        <v>0</v>
      </c>
      <c r="K99" s="23" t="n">
        <v>0</v>
      </c>
      <c r="L99" s="23" t="n">
        <v>0</v>
      </c>
      <c r="M99" s="23" t="n">
        <v>0</v>
      </c>
      <c r="N99" s="23" t="n">
        <v>0</v>
      </c>
      <c r="O99" s="23" t="n">
        <v>0</v>
      </c>
      <c r="P99" s="42" t="inlineStr">
        <is>
          <t>Steel Chestplate, Steel Helmet, Steel Legplates, Steel Boots, Bastard Sword, Firebrand Shield</t>
        </is>
      </c>
    </row>
    <row r="100">
      <c r="A100" s="21" t="n">
        <v>47</v>
      </c>
      <c r="B100" s="21" t="inlineStr">
        <is>
          <t>Warrior</t>
        </is>
      </c>
      <c r="C100" s="21" t="n">
        <v>1</v>
      </c>
      <c r="D100" s="21" t="n">
        <v>40</v>
      </c>
      <c r="E100" s="21" t="n">
        <v>10</v>
      </c>
      <c r="F100" s="21" t="n">
        <v>5</v>
      </c>
      <c r="G100" s="21" t="n">
        <v>50</v>
      </c>
      <c r="H100" s="21" t="n">
        <v>0</v>
      </c>
      <c r="I100" s="21" t="n">
        <v>250</v>
      </c>
      <c r="J100" s="23" t="n">
        <v>0</v>
      </c>
      <c r="K100" s="23" t="n">
        <v>0</v>
      </c>
      <c r="L100" s="23" t="n">
        <v>0</v>
      </c>
      <c r="M100" s="23" t="n">
        <v>0</v>
      </c>
      <c r="N100" s="23" t="n">
        <v>0</v>
      </c>
      <c r="O100" s="23" t="n">
        <v>0</v>
      </c>
      <c r="P100" s="42" t="inlineStr">
        <is>
          <t>Steel Chestplate, Steel Helmet, Steel Legplates, Steel Boots, Bastard Sword, Firebrand Shield</t>
        </is>
      </c>
    </row>
    <row r="101">
      <c r="A101" s="21" t="n">
        <v>48</v>
      </c>
      <c r="B101" s="21" t="inlineStr">
        <is>
          <t>Warrior</t>
        </is>
      </c>
      <c r="C101" s="21" t="n">
        <v>1</v>
      </c>
      <c r="D101" s="21" t="n">
        <v>40</v>
      </c>
      <c r="E101" s="21" t="n">
        <v>10</v>
      </c>
      <c r="F101" s="21" t="n">
        <v>5</v>
      </c>
      <c r="G101" s="21" t="n">
        <v>50</v>
      </c>
      <c r="H101" s="21" t="n">
        <v>0</v>
      </c>
      <c r="I101" s="21" t="n">
        <v>250</v>
      </c>
      <c r="J101" s="23" t="n">
        <v>0</v>
      </c>
      <c r="K101" s="23" t="n">
        <v>0</v>
      </c>
      <c r="L101" s="23" t="n">
        <v>0</v>
      </c>
      <c r="M101" s="23" t="n">
        <v>0</v>
      </c>
      <c r="N101" s="23" t="n">
        <v>0</v>
      </c>
      <c r="O101" s="23" t="n">
        <v>0</v>
      </c>
      <c r="P101" s="42" t="inlineStr">
        <is>
          <t>Steel Chestplate, Steel Helmet, Steel Legplates, Steel Boots, Bastard Sword, Firebrand Shield</t>
        </is>
      </c>
    </row>
    <row r="102">
      <c r="A102" s="21" t="n">
        <v>49</v>
      </c>
      <c r="B102" s="21" t="inlineStr">
        <is>
          <t>Warrior</t>
        </is>
      </c>
      <c r="C102" s="21" t="n">
        <v>1</v>
      </c>
      <c r="D102" s="21" t="n">
        <v>40</v>
      </c>
      <c r="E102" s="21" t="n">
        <v>10</v>
      </c>
      <c r="F102" s="21" t="n">
        <v>5</v>
      </c>
      <c r="G102" s="21" t="n">
        <v>50</v>
      </c>
      <c r="H102" s="21" t="n">
        <v>0</v>
      </c>
      <c r="I102" s="21" t="n">
        <v>250</v>
      </c>
      <c r="J102" s="23" t="n">
        <v>0</v>
      </c>
      <c r="K102" s="23" t="n">
        <v>0</v>
      </c>
      <c r="L102" s="23" t="n">
        <v>0</v>
      </c>
      <c r="M102" s="23" t="n">
        <v>0</v>
      </c>
      <c r="N102" s="23" t="n">
        <v>0</v>
      </c>
      <c r="O102" s="23" t="n">
        <v>0</v>
      </c>
      <c r="P102" s="42" t="inlineStr">
        <is>
          <t>Steel Chestplate, Steel Helmet, Steel Legplates, Steel Boots, Bastard Sword, Firebrand Shield</t>
        </is>
      </c>
    </row>
    <row r="103">
      <c r="A103" s="21" t="n">
        <v>50</v>
      </c>
      <c r="B103" s="21" t="inlineStr">
        <is>
          <t>Warrior</t>
        </is>
      </c>
      <c r="C103" s="21" t="n">
        <v>1</v>
      </c>
      <c r="D103" s="21" t="n">
        <v>40</v>
      </c>
      <c r="E103" s="21" t="n">
        <v>10</v>
      </c>
      <c r="F103" s="21" t="n">
        <v>5</v>
      </c>
      <c r="G103" s="21" t="n">
        <v>50</v>
      </c>
      <c r="H103" s="21" t="n">
        <v>0</v>
      </c>
      <c r="I103" s="21" t="n">
        <v>250</v>
      </c>
      <c r="J103" s="23" t="n">
        <v>0</v>
      </c>
      <c r="K103" s="23" t="n">
        <v>0</v>
      </c>
      <c r="L103" s="23" t="n">
        <v>0</v>
      </c>
      <c r="M103" s="23" t="n">
        <v>0</v>
      </c>
      <c r="N103" s="23" t="n">
        <v>0</v>
      </c>
      <c r="O103" s="23" t="n">
        <v>0</v>
      </c>
      <c r="P103" s="42" t="inlineStr">
        <is>
          <t>Steel Chestplate, Steel Helmet, Steel Legplates, Steel Boots, Bastard Sword, Firebrand Shield</t>
        </is>
      </c>
    </row>
    <row r="104">
      <c r="A104" s="21" t="n">
        <v>1</v>
      </c>
      <c r="B104" s="21" t="inlineStr">
        <is>
          <t>Magus</t>
        </is>
      </c>
      <c r="C104" s="21" t="n">
        <v>1</v>
      </c>
      <c r="D104" s="21" t="n">
        <v>3</v>
      </c>
      <c r="E104" s="21" t="n">
        <v>10</v>
      </c>
      <c r="F104" s="21" t="n">
        <v>0</v>
      </c>
      <c r="G104" s="21" t="n">
        <v>0</v>
      </c>
      <c r="H104" s="21" t="n">
        <v>0</v>
      </c>
      <c r="I104" s="21" t="n">
        <v>25</v>
      </c>
      <c r="J104" s="23" t="n">
        <v>0</v>
      </c>
      <c r="K104" s="23" t="n">
        <v>0</v>
      </c>
      <c r="L104" s="23" t="n">
        <v>0</v>
      </c>
      <c r="M104" s="23" t="n">
        <v>0</v>
      </c>
      <c r="N104" s="23" t="n">
        <v>0</v>
      </c>
      <c r="O104" s="23" t="n">
        <v>0</v>
      </c>
      <c r="P104" s="42" t="inlineStr">
        <is>
          <t>Cloth Tunic, Cloth Cap, Cloth Leggings, Cloth Shoes, Stick</t>
        </is>
      </c>
    </row>
    <row r="105">
      <c r="A105" s="21" t="n">
        <v>2</v>
      </c>
      <c r="B105" s="21" t="inlineStr">
        <is>
          <t>Magus</t>
        </is>
      </c>
      <c r="C105" s="21" t="n">
        <v>1</v>
      </c>
      <c r="D105" s="21" t="n">
        <v>3</v>
      </c>
      <c r="E105" s="21" t="n">
        <v>10</v>
      </c>
      <c r="F105" s="21" t="n">
        <v>0</v>
      </c>
      <c r="G105" s="21" t="n">
        <v>0</v>
      </c>
      <c r="H105" s="21" t="n">
        <v>0</v>
      </c>
      <c r="I105" s="21" t="n">
        <v>25</v>
      </c>
      <c r="J105" s="23" t="n">
        <v>0</v>
      </c>
      <c r="K105" s="23" t="n">
        <v>0</v>
      </c>
      <c r="L105" s="23" t="n">
        <v>0</v>
      </c>
      <c r="M105" s="23" t="n">
        <v>0</v>
      </c>
      <c r="N105" s="23" t="n">
        <v>0</v>
      </c>
      <c r="O105" s="23" t="n">
        <v>0</v>
      </c>
      <c r="P105" s="42" t="inlineStr">
        <is>
          <t>Cloth Tunic, Cloth Cap, Cloth Leggings, Cloth Shoes, Stick</t>
        </is>
      </c>
    </row>
    <row r="106">
      <c r="A106" s="21" t="n">
        <v>3</v>
      </c>
      <c r="B106" s="21" t="inlineStr">
        <is>
          <t>Magus</t>
        </is>
      </c>
      <c r="C106" s="21" t="n">
        <v>1</v>
      </c>
      <c r="D106" s="21" t="n">
        <v>3</v>
      </c>
      <c r="E106" s="21" t="n">
        <v>10</v>
      </c>
      <c r="F106" s="21" t="n">
        <v>0</v>
      </c>
      <c r="G106" s="21" t="n">
        <v>0</v>
      </c>
      <c r="H106" s="21" t="n">
        <v>0</v>
      </c>
      <c r="I106" s="21" t="n">
        <v>25</v>
      </c>
      <c r="J106" s="23" t="n">
        <v>0</v>
      </c>
      <c r="K106" s="23" t="n">
        <v>0</v>
      </c>
      <c r="L106" s="23" t="n">
        <v>0</v>
      </c>
      <c r="M106" s="23" t="n">
        <v>0</v>
      </c>
      <c r="N106" s="23" t="n">
        <v>0</v>
      </c>
      <c r="O106" s="23" t="n">
        <v>0</v>
      </c>
      <c r="P106" s="42" t="inlineStr">
        <is>
          <t>Cloth Tunic, Cloth Cap, Cloth Leggings, Cloth Shoes, Stick</t>
        </is>
      </c>
    </row>
    <row r="107">
      <c r="A107" s="21" t="n">
        <v>4</v>
      </c>
      <c r="B107" s="21" t="inlineStr">
        <is>
          <t>Magus</t>
        </is>
      </c>
      <c r="C107" s="21" t="n">
        <v>1</v>
      </c>
      <c r="D107" s="21" t="n">
        <v>3</v>
      </c>
      <c r="E107" s="21" t="n">
        <v>10</v>
      </c>
      <c r="F107" s="21" t="n">
        <v>0</v>
      </c>
      <c r="G107" s="21" t="n">
        <v>0</v>
      </c>
      <c r="H107" s="21" t="n">
        <v>0</v>
      </c>
      <c r="I107" s="21" t="n">
        <v>25</v>
      </c>
      <c r="J107" s="23" t="n">
        <v>0</v>
      </c>
      <c r="K107" s="23" t="n">
        <v>0</v>
      </c>
      <c r="L107" s="23" t="n">
        <v>0</v>
      </c>
      <c r="M107" s="23" t="n">
        <v>0</v>
      </c>
      <c r="N107" s="23" t="n">
        <v>0</v>
      </c>
      <c r="O107" s="23" t="n">
        <v>0</v>
      </c>
      <c r="P107" s="42" t="inlineStr">
        <is>
          <t>Cloth Tunic, Cloth Cap, Cloth Leggings, Cloth Shoes, Stick</t>
        </is>
      </c>
    </row>
    <row r="108">
      <c r="A108" s="21" t="n">
        <v>5</v>
      </c>
      <c r="B108" s="21" t="inlineStr">
        <is>
          <t>Magus</t>
        </is>
      </c>
      <c r="C108" s="21" t="n">
        <v>1</v>
      </c>
      <c r="D108" s="21" t="n">
        <v>9</v>
      </c>
      <c r="E108" s="21" t="n">
        <v>10</v>
      </c>
      <c r="F108" s="21" t="n">
        <v>0</v>
      </c>
      <c r="G108" s="21" t="n">
        <v>0</v>
      </c>
      <c r="H108" s="21" t="n">
        <v>0</v>
      </c>
      <c r="I108" s="21" t="n">
        <v>25</v>
      </c>
      <c r="J108" s="23" t="n">
        <v>0</v>
      </c>
      <c r="K108" s="23" t="n">
        <v>0</v>
      </c>
      <c r="L108" s="23" t="n">
        <v>0</v>
      </c>
      <c r="M108" s="23" t="n">
        <v>0</v>
      </c>
      <c r="N108" s="23" t="n">
        <v>0</v>
      </c>
      <c r="O108" s="23" t="n">
        <v>0</v>
      </c>
      <c r="P108" s="42" t="inlineStr">
        <is>
          <t>Cloth Tunic, Cloth Cap, Cloth Leggings, Cloth Shoes, Wooden Stave</t>
        </is>
      </c>
    </row>
    <row r="109">
      <c r="A109" s="21" t="n">
        <v>6</v>
      </c>
      <c r="B109" s="21" t="inlineStr">
        <is>
          <t>Magus</t>
        </is>
      </c>
      <c r="C109" s="21" t="n">
        <v>1</v>
      </c>
      <c r="D109" s="21" t="n">
        <v>9</v>
      </c>
      <c r="E109" s="21" t="n">
        <v>10</v>
      </c>
      <c r="F109" s="21" t="n">
        <v>0</v>
      </c>
      <c r="G109" s="21" t="n">
        <v>0</v>
      </c>
      <c r="H109" s="21" t="n">
        <v>0</v>
      </c>
      <c r="I109" s="21" t="n">
        <v>25</v>
      </c>
      <c r="J109" s="23" t="n">
        <v>0</v>
      </c>
      <c r="K109" s="23" t="n">
        <v>0</v>
      </c>
      <c r="L109" s="23" t="n">
        <v>0</v>
      </c>
      <c r="M109" s="23" t="n">
        <v>0</v>
      </c>
      <c r="N109" s="23" t="n">
        <v>0</v>
      </c>
      <c r="O109" s="23" t="n">
        <v>0</v>
      </c>
      <c r="P109" s="42" t="inlineStr">
        <is>
          <t>Cloth Tunic, Cloth Cap, Cloth Leggings, Cloth Shoes, Wooden Stave</t>
        </is>
      </c>
    </row>
    <row r="110">
      <c r="A110" s="21" t="n">
        <v>7</v>
      </c>
      <c r="B110" s="21" t="inlineStr">
        <is>
          <t>Magus</t>
        </is>
      </c>
      <c r="C110" s="21" t="n">
        <v>1</v>
      </c>
      <c r="D110" s="21" t="n">
        <v>9</v>
      </c>
      <c r="E110" s="21" t="n">
        <v>10</v>
      </c>
      <c r="F110" s="21" t="n">
        <v>0</v>
      </c>
      <c r="G110" s="21" t="n">
        <v>0</v>
      </c>
      <c r="H110" s="21" t="n">
        <v>0</v>
      </c>
      <c r="I110" s="21" t="n">
        <v>25</v>
      </c>
      <c r="J110" s="23" t="n">
        <v>0</v>
      </c>
      <c r="K110" s="23" t="n">
        <v>0</v>
      </c>
      <c r="L110" s="23" t="n">
        <v>0</v>
      </c>
      <c r="M110" s="23" t="n">
        <v>0</v>
      </c>
      <c r="N110" s="23" t="n">
        <v>0</v>
      </c>
      <c r="O110" s="23" t="n">
        <v>0</v>
      </c>
      <c r="P110" s="42" t="inlineStr">
        <is>
          <t>Cloth Tunic, Cloth Cap, Cloth Leggings, Cloth Shoes, Wooden Stave</t>
        </is>
      </c>
    </row>
    <row r="111">
      <c r="A111" s="21" t="n">
        <v>8</v>
      </c>
      <c r="B111" s="21" t="inlineStr">
        <is>
          <t>Magus</t>
        </is>
      </c>
      <c r="C111" s="21" t="n">
        <v>1</v>
      </c>
      <c r="D111" s="21" t="n">
        <v>9</v>
      </c>
      <c r="E111" s="21" t="n">
        <v>10</v>
      </c>
      <c r="F111" s="21" t="n">
        <v>0</v>
      </c>
      <c r="G111" s="21" t="n">
        <v>0</v>
      </c>
      <c r="H111" s="21" t="n">
        <v>0</v>
      </c>
      <c r="I111" s="21" t="n">
        <v>25</v>
      </c>
      <c r="J111" s="23" t="n">
        <v>0</v>
      </c>
      <c r="K111" s="23" t="n">
        <v>0</v>
      </c>
      <c r="L111" s="23" t="n">
        <v>0</v>
      </c>
      <c r="M111" s="23" t="n">
        <v>0</v>
      </c>
      <c r="N111" s="23" t="n">
        <v>0</v>
      </c>
      <c r="O111" s="23" t="n">
        <v>0</v>
      </c>
      <c r="P111" s="42" t="inlineStr">
        <is>
          <t>Cloth Tunic, Cloth Cap, Cloth Leggings, Cloth Shoes, Wooden Stave</t>
        </is>
      </c>
    </row>
    <row r="112">
      <c r="A112" s="21" t="n">
        <v>9</v>
      </c>
      <c r="B112" s="21" t="inlineStr">
        <is>
          <t>Magus</t>
        </is>
      </c>
      <c r="C112" s="21" t="n">
        <v>1</v>
      </c>
      <c r="D112" s="21" t="n">
        <v>9</v>
      </c>
      <c r="E112" s="21" t="n">
        <v>10</v>
      </c>
      <c r="F112" s="21" t="n">
        <v>0</v>
      </c>
      <c r="G112" s="21" t="n">
        <v>0</v>
      </c>
      <c r="H112" s="21" t="n">
        <v>0</v>
      </c>
      <c r="I112" s="21" t="n">
        <v>25</v>
      </c>
      <c r="J112" s="23" t="n">
        <v>0</v>
      </c>
      <c r="K112" s="23" t="n">
        <v>0</v>
      </c>
      <c r="L112" s="23" t="n">
        <v>0</v>
      </c>
      <c r="M112" s="23" t="n">
        <v>0</v>
      </c>
      <c r="N112" s="23" t="n">
        <v>0</v>
      </c>
      <c r="O112" s="23" t="n">
        <v>0</v>
      </c>
      <c r="P112" s="42" t="inlineStr">
        <is>
          <t>Cloth Tunic, Cloth Cap, Cloth Leggings, Cloth Shoes, Wooden Stave</t>
        </is>
      </c>
    </row>
    <row r="113">
      <c r="A113" s="21" t="n">
        <v>10</v>
      </c>
      <c r="B113" s="21" t="inlineStr">
        <is>
          <t>Magus</t>
        </is>
      </c>
      <c r="C113" s="21" t="n">
        <v>1</v>
      </c>
      <c r="D113" s="21" t="n">
        <v>9</v>
      </c>
      <c r="E113" s="21" t="n">
        <v>10</v>
      </c>
      <c r="F113" s="21" t="n">
        <v>0</v>
      </c>
      <c r="G113" s="21" t="n">
        <v>0</v>
      </c>
      <c r="H113" s="21" t="n">
        <v>0</v>
      </c>
      <c r="I113" s="21" t="n">
        <v>25</v>
      </c>
      <c r="J113" s="23" t="n">
        <v>0</v>
      </c>
      <c r="K113" s="23" t="n">
        <v>0</v>
      </c>
      <c r="L113" s="23" t="n">
        <v>0</v>
      </c>
      <c r="M113" s="23" t="n">
        <v>0</v>
      </c>
      <c r="N113" s="23" t="n">
        <v>0</v>
      </c>
      <c r="O113" s="23" t="n">
        <v>0</v>
      </c>
      <c r="P113" s="42" t="inlineStr">
        <is>
          <t>Cloth Tunic, Cloth Cap, Cloth Leggings, Cloth Shoes, Wooden Stave</t>
        </is>
      </c>
    </row>
    <row r="114">
      <c r="A114" s="21" t="n">
        <v>11</v>
      </c>
      <c r="B114" s="21" t="inlineStr">
        <is>
          <t>Magus</t>
        </is>
      </c>
      <c r="C114" s="21" t="n">
        <v>1</v>
      </c>
      <c r="D114" s="21" t="n">
        <v>9</v>
      </c>
      <c r="E114" s="21" t="n">
        <v>10</v>
      </c>
      <c r="F114" s="21" t="n">
        <v>0</v>
      </c>
      <c r="G114" s="21" t="n">
        <v>0</v>
      </c>
      <c r="H114" s="21" t="n">
        <v>0</v>
      </c>
      <c r="I114" s="21" t="n">
        <v>25</v>
      </c>
      <c r="J114" s="23" t="n">
        <v>0</v>
      </c>
      <c r="K114" s="23" t="n">
        <v>0</v>
      </c>
      <c r="L114" s="23" t="n">
        <v>0</v>
      </c>
      <c r="M114" s="23" t="n">
        <v>0</v>
      </c>
      <c r="N114" s="23" t="n">
        <v>0</v>
      </c>
      <c r="O114" s="23" t="n">
        <v>0</v>
      </c>
      <c r="P114" s="42" t="inlineStr">
        <is>
          <t>Cloth Tunic, Cloth Cap, Cloth Leggings, Cloth Shoes, Wooden Stave</t>
        </is>
      </c>
    </row>
    <row r="115">
      <c r="A115" s="21" t="n">
        <v>12</v>
      </c>
      <c r="B115" s="21" t="inlineStr">
        <is>
          <t>Magus</t>
        </is>
      </c>
      <c r="C115" s="21" t="n">
        <v>1</v>
      </c>
      <c r="D115" s="21" t="n">
        <v>9</v>
      </c>
      <c r="E115" s="21" t="n">
        <v>10</v>
      </c>
      <c r="F115" s="21" t="n">
        <v>0</v>
      </c>
      <c r="G115" s="21" t="n">
        <v>0</v>
      </c>
      <c r="H115" s="21" t="n">
        <v>0</v>
      </c>
      <c r="I115" s="21" t="n">
        <v>25</v>
      </c>
      <c r="J115" s="23" t="n">
        <v>0</v>
      </c>
      <c r="K115" s="23" t="n">
        <v>0</v>
      </c>
      <c r="L115" s="23" t="n">
        <v>0</v>
      </c>
      <c r="M115" s="23" t="n">
        <v>0</v>
      </c>
      <c r="N115" s="23" t="n">
        <v>0</v>
      </c>
      <c r="O115" s="23" t="n">
        <v>0</v>
      </c>
      <c r="P115" s="42" t="inlineStr">
        <is>
          <t>Cloth Tunic, Cloth Cap, Cloth Leggings, Cloth Shoes, Wooden Stave</t>
        </is>
      </c>
    </row>
    <row r="116">
      <c r="A116" s="21" t="n">
        <v>13</v>
      </c>
      <c r="B116" s="21" t="inlineStr">
        <is>
          <t>Magus</t>
        </is>
      </c>
      <c r="C116" s="21" t="n">
        <v>1</v>
      </c>
      <c r="D116" s="21" t="n">
        <v>9</v>
      </c>
      <c r="E116" s="21" t="n">
        <v>10</v>
      </c>
      <c r="F116" s="21" t="n">
        <v>0</v>
      </c>
      <c r="G116" s="21" t="n">
        <v>0</v>
      </c>
      <c r="H116" s="21" t="n">
        <v>0</v>
      </c>
      <c r="I116" s="21" t="n">
        <v>25</v>
      </c>
      <c r="J116" s="23" t="n">
        <v>0</v>
      </c>
      <c r="K116" s="23" t="n">
        <v>0</v>
      </c>
      <c r="L116" s="23" t="n">
        <v>0</v>
      </c>
      <c r="M116" s="23" t="n">
        <v>0</v>
      </c>
      <c r="N116" s="23" t="n">
        <v>0</v>
      </c>
      <c r="O116" s="23" t="n">
        <v>0</v>
      </c>
      <c r="P116" s="42" t="inlineStr">
        <is>
          <t>Cloth Tunic, Cloth Cap, Cloth Leggings, Cloth Shoes, Wooden Stave</t>
        </is>
      </c>
    </row>
    <row r="117">
      <c r="A117" s="21" t="n">
        <v>14</v>
      </c>
      <c r="B117" s="21" t="inlineStr">
        <is>
          <t>Magus</t>
        </is>
      </c>
      <c r="C117" s="21" t="n">
        <v>1</v>
      </c>
      <c r="D117" s="21" t="n">
        <v>9</v>
      </c>
      <c r="E117" s="21" t="n">
        <v>10</v>
      </c>
      <c r="F117" s="21" t="n">
        <v>0</v>
      </c>
      <c r="G117" s="21" t="n">
        <v>0</v>
      </c>
      <c r="H117" s="21" t="n">
        <v>0</v>
      </c>
      <c r="I117" s="21" t="n">
        <v>25</v>
      </c>
      <c r="J117" s="23" t="n">
        <v>0</v>
      </c>
      <c r="K117" s="23" t="n">
        <v>0</v>
      </c>
      <c r="L117" s="23" t="n">
        <v>0</v>
      </c>
      <c r="M117" s="23" t="n">
        <v>0</v>
      </c>
      <c r="N117" s="23" t="n">
        <v>0</v>
      </c>
      <c r="O117" s="23" t="n">
        <v>0</v>
      </c>
      <c r="P117" s="42" t="inlineStr">
        <is>
          <t>Cloth Tunic, Cloth Cap, Cloth Leggings, Cloth Shoes, Wooden Stave</t>
        </is>
      </c>
    </row>
    <row r="118">
      <c r="A118" s="21" t="n">
        <v>15</v>
      </c>
      <c r="B118" s="21" t="inlineStr">
        <is>
          <t>Magus</t>
        </is>
      </c>
      <c r="C118" s="21" t="n">
        <v>1</v>
      </c>
      <c r="D118" s="21" t="n">
        <v>15</v>
      </c>
      <c r="E118" s="21" t="n">
        <v>10</v>
      </c>
      <c r="F118" s="21" t="n">
        <v>0</v>
      </c>
      <c r="G118" s="21" t="n">
        <v>0</v>
      </c>
      <c r="H118" s="21" t="n">
        <v>0</v>
      </c>
      <c r="I118" s="21" t="n">
        <v>25</v>
      </c>
      <c r="J118" s="23" t="n">
        <v>0</v>
      </c>
      <c r="K118" s="23" t="n">
        <v>0</v>
      </c>
      <c r="L118" s="23" t="n">
        <v>0</v>
      </c>
      <c r="M118" s="23" t="n">
        <v>0</v>
      </c>
      <c r="N118" s="23" t="n">
        <v>0</v>
      </c>
      <c r="O118" s="23" t="n">
        <v>0</v>
      </c>
      <c r="P118" s="42" t="inlineStr">
        <is>
          <t>Cloth Tunic, Cloth Cap, Cloth Leggings, Cloth Shoes, Hardwood Stave</t>
        </is>
      </c>
    </row>
    <row r="119">
      <c r="A119" s="21" t="n">
        <v>16</v>
      </c>
      <c r="B119" s="21" t="inlineStr">
        <is>
          <t>Magus</t>
        </is>
      </c>
      <c r="C119" s="21" t="n">
        <v>1</v>
      </c>
      <c r="D119" s="21" t="n">
        <v>15</v>
      </c>
      <c r="E119" s="21" t="n">
        <v>10</v>
      </c>
      <c r="F119" s="21" t="n">
        <v>0</v>
      </c>
      <c r="G119" s="21" t="n">
        <v>0</v>
      </c>
      <c r="H119" s="21" t="n">
        <v>0</v>
      </c>
      <c r="I119" s="21" t="n">
        <v>25</v>
      </c>
      <c r="J119" s="23" t="n">
        <v>0</v>
      </c>
      <c r="K119" s="23" t="n">
        <v>0</v>
      </c>
      <c r="L119" s="23" t="n">
        <v>0</v>
      </c>
      <c r="M119" s="23" t="n">
        <v>0</v>
      </c>
      <c r="N119" s="23" t="n">
        <v>0</v>
      </c>
      <c r="O119" s="23" t="n">
        <v>0</v>
      </c>
      <c r="P119" s="42" t="inlineStr">
        <is>
          <t>Cloth Tunic, Cloth Cap, Cloth Leggings, Cloth Shoes, Hardwood Stave</t>
        </is>
      </c>
    </row>
    <row r="120">
      <c r="A120" s="21" t="n">
        <v>17</v>
      </c>
      <c r="B120" s="21" t="inlineStr">
        <is>
          <t>Magus</t>
        </is>
      </c>
      <c r="C120" s="21" t="n">
        <v>1</v>
      </c>
      <c r="D120" s="21" t="n">
        <v>15</v>
      </c>
      <c r="E120" s="21" t="n">
        <v>10</v>
      </c>
      <c r="F120" s="21" t="n">
        <v>0</v>
      </c>
      <c r="G120" s="21" t="n">
        <v>0</v>
      </c>
      <c r="H120" s="21" t="n">
        <v>0</v>
      </c>
      <c r="I120" s="21" t="n">
        <v>25</v>
      </c>
      <c r="J120" s="23" t="n">
        <v>0</v>
      </c>
      <c r="K120" s="23" t="n">
        <v>0</v>
      </c>
      <c r="L120" s="23" t="n">
        <v>0</v>
      </c>
      <c r="M120" s="23" t="n">
        <v>0</v>
      </c>
      <c r="N120" s="23" t="n">
        <v>0</v>
      </c>
      <c r="O120" s="23" t="n">
        <v>0</v>
      </c>
      <c r="P120" s="42" t="inlineStr">
        <is>
          <t>Cloth Tunic, Cloth Cap, Cloth Leggings, Cloth Shoes, Hardwood Stave</t>
        </is>
      </c>
    </row>
    <row r="121">
      <c r="A121" s="21" t="n">
        <v>18</v>
      </c>
      <c r="B121" s="21" t="inlineStr">
        <is>
          <t>Magus</t>
        </is>
      </c>
      <c r="C121" s="21" t="n">
        <v>1</v>
      </c>
      <c r="D121" s="21" t="n">
        <v>15</v>
      </c>
      <c r="E121" s="21" t="n">
        <v>10</v>
      </c>
      <c r="F121" s="21" t="n">
        <v>0</v>
      </c>
      <c r="G121" s="21" t="n">
        <v>0</v>
      </c>
      <c r="H121" s="21" t="n">
        <v>0</v>
      </c>
      <c r="I121" s="21" t="n">
        <v>25</v>
      </c>
      <c r="J121" s="23" t="n">
        <v>0</v>
      </c>
      <c r="K121" s="23" t="n">
        <v>0</v>
      </c>
      <c r="L121" s="23" t="n">
        <v>0</v>
      </c>
      <c r="M121" s="23" t="n">
        <v>0</v>
      </c>
      <c r="N121" s="23" t="n">
        <v>0</v>
      </c>
      <c r="O121" s="23" t="n">
        <v>0</v>
      </c>
      <c r="P121" s="42" t="inlineStr">
        <is>
          <t>Cloth Tunic, Cloth Cap, Cloth Leggings, Cloth Shoes, Hardwood Stave</t>
        </is>
      </c>
    </row>
    <row r="122">
      <c r="A122" s="21" t="n">
        <v>19</v>
      </c>
      <c r="B122" s="21" t="inlineStr">
        <is>
          <t>Magus</t>
        </is>
      </c>
      <c r="C122" s="21" t="n">
        <v>1</v>
      </c>
      <c r="D122" s="21" t="n">
        <v>15</v>
      </c>
      <c r="E122" s="21" t="n">
        <v>10</v>
      </c>
      <c r="F122" s="21" t="n">
        <v>0</v>
      </c>
      <c r="G122" s="21" t="n">
        <v>0</v>
      </c>
      <c r="H122" s="21" t="n">
        <v>0</v>
      </c>
      <c r="I122" s="21" t="n">
        <v>25</v>
      </c>
      <c r="J122" s="23" t="n">
        <v>0</v>
      </c>
      <c r="K122" s="23" t="n">
        <v>0</v>
      </c>
      <c r="L122" s="23" t="n">
        <v>0</v>
      </c>
      <c r="M122" s="23" t="n">
        <v>0</v>
      </c>
      <c r="N122" s="23" t="n">
        <v>0</v>
      </c>
      <c r="O122" s="23" t="n">
        <v>0</v>
      </c>
      <c r="P122" s="42" t="inlineStr">
        <is>
          <t>Cloth Tunic, Cloth Cap, Cloth Leggings, Cloth Shoes, Hardwood Stave</t>
        </is>
      </c>
    </row>
    <row r="123">
      <c r="A123" s="21" t="n">
        <v>20</v>
      </c>
      <c r="B123" s="21" t="inlineStr">
        <is>
          <t>Magus</t>
        </is>
      </c>
      <c r="C123" s="21" t="n">
        <v>1</v>
      </c>
      <c r="D123" s="21" t="n">
        <v>15</v>
      </c>
      <c r="E123" s="21" t="n">
        <v>10</v>
      </c>
      <c r="F123" s="21" t="n">
        <v>0</v>
      </c>
      <c r="G123" s="21" t="n">
        <v>0</v>
      </c>
      <c r="H123" s="21" t="n">
        <v>0</v>
      </c>
      <c r="I123" s="21" t="n">
        <v>50</v>
      </c>
      <c r="J123" s="23" t="n">
        <v>0</v>
      </c>
      <c r="K123" s="23" t="n">
        <v>0</v>
      </c>
      <c r="L123" s="23" t="n">
        <v>0</v>
      </c>
      <c r="M123" s="23" t="n">
        <v>0</v>
      </c>
      <c r="N123" s="23" t="n">
        <v>0</v>
      </c>
      <c r="O123" s="23" t="n">
        <v>0</v>
      </c>
      <c r="P123" s="42" t="inlineStr">
        <is>
          <t>Silk Tunic, Silk Cap, Silk Leggings, Silk Slippers, Hardwood Stave</t>
        </is>
      </c>
    </row>
    <row r="124">
      <c r="A124" s="21" t="n">
        <v>21</v>
      </c>
      <c r="B124" s="21" t="inlineStr">
        <is>
          <t>Magus</t>
        </is>
      </c>
      <c r="C124" s="21" t="n">
        <v>1</v>
      </c>
      <c r="D124" s="21" t="n">
        <v>15</v>
      </c>
      <c r="E124" s="21" t="n">
        <v>10</v>
      </c>
      <c r="F124" s="21" t="n">
        <v>0</v>
      </c>
      <c r="G124" s="21" t="n">
        <v>0</v>
      </c>
      <c r="H124" s="21" t="n">
        <v>0</v>
      </c>
      <c r="I124" s="21" t="n">
        <v>50</v>
      </c>
      <c r="J124" s="23" t="n">
        <v>0</v>
      </c>
      <c r="K124" s="23" t="n">
        <v>0</v>
      </c>
      <c r="L124" s="23" t="n">
        <v>0</v>
      </c>
      <c r="M124" s="23" t="n">
        <v>0</v>
      </c>
      <c r="N124" s="23" t="n">
        <v>0</v>
      </c>
      <c r="O124" s="23" t="n">
        <v>0</v>
      </c>
      <c r="P124" s="42" t="inlineStr">
        <is>
          <t>Silk Tunic, Silk Cap, Silk Leggings, Silk Slippers, Hardwood Stave</t>
        </is>
      </c>
    </row>
    <row r="125">
      <c r="A125" s="21" t="n">
        <v>22</v>
      </c>
      <c r="B125" s="21" t="inlineStr">
        <is>
          <t>Magus</t>
        </is>
      </c>
      <c r="C125" s="21" t="n">
        <v>1</v>
      </c>
      <c r="D125" s="21" t="n">
        <v>15</v>
      </c>
      <c r="E125" s="21" t="n">
        <v>10</v>
      </c>
      <c r="F125" s="21" t="n">
        <v>0</v>
      </c>
      <c r="G125" s="21" t="n">
        <v>0</v>
      </c>
      <c r="H125" s="21" t="n">
        <v>0</v>
      </c>
      <c r="I125" s="21" t="n">
        <v>50</v>
      </c>
      <c r="J125" s="23" t="n">
        <v>0</v>
      </c>
      <c r="K125" s="23" t="n">
        <v>0</v>
      </c>
      <c r="L125" s="23" t="n">
        <v>0</v>
      </c>
      <c r="M125" s="23" t="n">
        <v>0</v>
      </c>
      <c r="N125" s="23" t="n">
        <v>0</v>
      </c>
      <c r="O125" s="23" t="n">
        <v>0</v>
      </c>
      <c r="P125" s="42" t="inlineStr">
        <is>
          <t>Silk Tunic, Silk Cap, Silk Leggings, Silk Slippers, Hardwood Stave</t>
        </is>
      </c>
    </row>
    <row r="126">
      <c r="A126" s="21" t="n">
        <v>23</v>
      </c>
      <c r="B126" s="21" t="inlineStr">
        <is>
          <t>Magus</t>
        </is>
      </c>
      <c r="C126" s="21" t="n">
        <v>1</v>
      </c>
      <c r="D126" s="21" t="n">
        <v>15</v>
      </c>
      <c r="E126" s="21" t="n">
        <v>10</v>
      </c>
      <c r="F126" s="21" t="n">
        <v>0</v>
      </c>
      <c r="G126" s="21" t="n">
        <v>0</v>
      </c>
      <c r="H126" s="21" t="n">
        <v>0</v>
      </c>
      <c r="I126" s="21" t="n">
        <v>50</v>
      </c>
      <c r="J126" s="23" t="n">
        <v>0</v>
      </c>
      <c r="K126" s="23" t="n">
        <v>0</v>
      </c>
      <c r="L126" s="23" t="n">
        <v>0</v>
      </c>
      <c r="M126" s="23" t="n">
        <v>0</v>
      </c>
      <c r="N126" s="23" t="n">
        <v>0</v>
      </c>
      <c r="O126" s="23" t="n">
        <v>0</v>
      </c>
      <c r="P126" s="42" t="inlineStr">
        <is>
          <t>Silk Tunic, Silk Cap, Silk Leggings, Silk Slippers, Hardwood Stave</t>
        </is>
      </c>
    </row>
    <row r="127">
      <c r="A127" s="21" t="n">
        <v>24</v>
      </c>
      <c r="B127" s="21" t="inlineStr">
        <is>
          <t>Magus</t>
        </is>
      </c>
      <c r="C127" s="21" t="n">
        <v>1</v>
      </c>
      <c r="D127" s="21" t="n">
        <v>15</v>
      </c>
      <c r="E127" s="21" t="n">
        <v>10</v>
      </c>
      <c r="F127" s="21" t="n">
        <v>0</v>
      </c>
      <c r="G127" s="21" t="n">
        <v>0</v>
      </c>
      <c r="H127" s="21" t="n">
        <v>0</v>
      </c>
      <c r="I127" s="21" t="n">
        <v>50</v>
      </c>
      <c r="J127" s="23" t="n">
        <v>0</v>
      </c>
      <c r="K127" s="23" t="n">
        <v>0</v>
      </c>
      <c r="L127" s="23" t="n">
        <v>0</v>
      </c>
      <c r="M127" s="23" t="n">
        <v>0</v>
      </c>
      <c r="N127" s="23" t="n">
        <v>0</v>
      </c>
      <c r="O127" s="23" t="n">
        <v>0</v>
      </c>
      <c r="P127" s="42" t="inlineStr">
        <is>
          <t>Silk Tunic, Silk Cap, Silk Leggings, Silk Slippers, Hardwood Stave</t>
        </is>
      </c>
    </row>
    <row r="128">
      <c r="A128" s="21" t="n">
        <v>25</v>
      </c>
      <c r="B128" s="21" t="inlineStr">
        <is>
          <t>Magus</t>
        </is>
      </c>
      <c r="C128" s="21" t="n">
        <v>1</v>
      </c>
      <c r="D128" s="21" t="n">
        <v>15</v>
      </c>
      <c r="E128" s="21" t="n">
        <v>10</v>
      </c>
      <c r="F128" s="21" t="n">
        <v>0</v>
      </c>
      <c r="G128" s="21" t="n">
        <v>0</v>
      </c>
      <c r="H128" s="21" t="n">
        <v>0</v>
      </c>
      <c r="I128" s="21" t="n">
        <v>50</v>
      </c>
      <c r="J128" s="23" t="n">
        <v>0</v>
      </c>
      <c r="K128" s="23" t="n">
        <v>0</v>
      </c>
      <c r="L128" s="23" t="n">
        <v>0</v>
      </c>
      <c r="M128" s="23" t="n">
        <v>0</v>
      </c>
      <c r="N128" s="23" t="n">
        <v>0</v>
      </c>
      <c r="O128" s="23" t="n">
        <v>0</v>
      </c>
      <c r="P128" s="42" t="inlineStr">
        <is>
          <t>Silk Tunic, Silk Cap, Silk Leggings, Silk Slippers, Hardwood Stave</t>
        </is>
      </c>
    </row>
    <row r="129">
      <c r="A129" s="21" t="n">
        <v>26</v>
      </c>
      <c r="B129" s="21" t="inlineStr">
        <is>
          <t>Magus</t>
        </is>
      </c>
      <c r="C129" s="21" t="n">
        <v>1</v>
      </c>
      <c r="D129" s="21" t="n">
        <v>15</v>
      </c>
      <c r="E129" s="21" t="n">
        <v>10</v>
      </c>
      <c r="F129" s="21" t="n">
        <v>0</v>
      </c>
      <c r="G129" s="21" t="n">
        <v>0</v>
      </c>
      <c r="H129" s="21" t="n">
        <v>0</v>
      </c>
      <c r="I129" s="21" t="n">
        <v>50</v>
      </c>
      <c r="J129" s="23" t="n">
        <v>0</v>
      </c>
      <c r="K129" s="23" t="n">
        <v>0</v>
      </c>
      <c r="L129" s="23" t="n">
        <v>0</v>
      </c>
      <c r="M129" s="23" t="n">
        <v>0</v>
      </c>
      <c r="N129" s="23" t="n">
        <v>0</v>
      </c>
      <c r="O129" s="23" t="n">
        <v>0</v>
      </c>
      <c r="P129" s="42" t="inlineStr">
        <is>
          <t>Silk Tunic, Silk Cap, Silk Leggings, Silk Slippers, Hardwood Stave</t>
        </is>
      </c>
    </row>
    <row r="130">
      <c r="A130" s="21" t="n">
        <v>27</v>
      </c>
      <c r="B130" s="21" t="inlineStr">
        <is>
          <t>Magus</t>
        </is>
      </c>
      <c r="C130" s="21" t="n">
        <v>1</v>
      </c>
      <c r="D130" s="21" t="n">
        <v>21</v>
      </c>
      <c r="E130" s="21" t="n">
        <v>10</v>
      </c>
      <c r="F130" s="21" t="n">
        <v>0</v>
      </c>
      <c r="G130" s="21" t="n">
        <v>0</v>
      </c>
      <c r="H130" s="21" t="n">
        <v>125</v>
      </c>
      <c r="I130" s="21" t="n">
        <v>50</v>
      </c>
      <c r="J130" s="23" t="n">
        <v>0</v>
      </c>
      <c r="K130" s="23" t="n">
        <v>0</v>
      </c>
      <c r="L130" s="23" t="n">
        <v>0</v>
      </c>
      <c r="M130" s="23" t="n">
        <v>0</v>
      </c>
      <c r="N130" s="23" t="n">
        <v>0</v>
      </c>
      <c r="O130" s="23" t="n">
        <v>0</v>
      </c>
      <c r="P130" s="42" t="inlineStr">
        <is>
          <t>Silk Tunic, Silk Cap, Silk Leggings, Silk Slippers, Thicket Stave</t>
        </is>
      </c>
    </row>
    <row r="131">
      <c r="A131" s="21" t="n">
        <v>28</v>
      </c>
      <c r="B131" s="21" t="inlineStr">
        <is>
          <t>Magus</t>
        </is>
      </c>
      <c r="C131" s="21" t="n">
        <v>1</v>
      </c>
      <c r="D131" s="21" t="n">
        <v>21</v>
      </c>
      <c r="E131" s="21" t="n">
        <v>10</v>
      </c>
      <c r="F131" s="21" t="n">
        <v>0</v>
      </c>
      <c r="G131" s="21" t="n">
        <v>0</v>
      </c>
      <c r="H131" s="21" t="n">
        <v>125</v>
      </c>
      <c r="I131" s="21" t="n">
        <v>50</v>
      </c>
      <c r="J131" s="23" t="n">
        <v>0</v>
      </c>
      <c r="K131" s="23" t="n">
        <v>0</v>
      </c>
      <c r="L131" s="23" t="n">
        <v>0</v>
      </c>
      <c r="M131" s="23" t="n">
        <v>0</v>
      </c>
      <c r="N131" s="23" t="n">
        <v>0</v>
      </c>
      <c r="O131" s="23" t="n">
        <v>0</v>
      </c>
      <c r="P131" s="42" t="inlineStr">
        <is>
          <t>Silk Tunic, Silk Cap, Silk Leggings, Silk Slippers, Thicket Stave</t>
        </is>
      </c>
    </row>
    <row r="132">
      <c r="A132" s="21" t="n">
        <v>29</v>
      </c>
      <c r="B132" s="21" t="inlineStr">
        <is>
          <t>Magus</t>
        </is>
      </c>
      <c r="C132" s="21" t="n">
        <v>1</v>
      </c>
      <c r="D132" s="21" t="n">
        <v>21</v>
      </c>
      <c r="E132" s="21" t="n">
        <v>10</v>
      </c>
      <c r="F132" s="21" t="n">
        <v>0</v>
      </c>
      <c r="G132" s="21" t="n">
        <v>0</v>
      </c>
      <c r="H132" s="21" t="n">
        <v>125</v>
      </c>
      <c r="I132" s="21" t="n">
        <v>50</v>
      </c>
      <c r="J132" s="23" t="n">
        <v>0</v>
      </c>
      <c r="K132" s="23" t="n">
        <v>0</v>
      </c>
      <c r="L132" s="23" t="n">
        <v>0</v>
      </c>
      <c r="M132" s="23" t="n">
        <v>0</v>
      </c>
      <c r="N132" s="23" t="n">
        <v>0</v>
      </c>
      <c r="O132" s="23" t="n">
        <v>0</v>
      </c>
      <c r="P132" s="42" t="inlineStr">
        <is>
          <t>Silk Tunic, Silk Cap, Silk Leggings, Silk Slippers, Thicket Stave</t>
        </is>
      </c>
    </row>
    <row r="133">
      <c r="A133" s="21" t="n">
        <v>30</v>
      </c>
      <c r="B133" s="21" t="inlineStr">
        <is>
          <t>Magus</t>
        </is>
      </c>
      <c r="C133" s="21" t="n">
        <v>1</v>
      </c>
      <c r="D133" s="21" t="n">
        <v>21</v>
      </c>
      <c r="E133" s="21" t="n">
        <v>10</v>
      </c>
      <c r="F133" s="21" t="n">
        <v>0</v>
      </c>
      <c r="G133" s="21" t="n">
        <v>0</v>
      </c>
      <c r="H133" s="21" t="n">
        <v>125</v>
      </c>
      <c r="I133" s="21" t="n">
        <v>50</v>
      </c>
      <c r="J133" s="23" t="n">
        <v>0</v>
      </c>
      <c r="K133" s="23" t="n">
        <v>0</v>
      </c>
      <c r="L133" s="23" t="n">
        <v>0</v>
      </c>
      <c r="M133" s="23" t="n">
        <v>0</v>
      </c>
      <c r="N133" s="23" t="n">
        <v>0</v>
      </c>
      <c r="O133" s="23" t="n">
        <v>0</v>
      </c>
      <c r="P133" s="42" t="inlineStr">
        <is>
          <t>Silk Tunic, Silk Cap, Silk Leggings, Silk Slippers, Thicket Stave</t>
        </is>
      </c>
    </row>
    <row r="134">
      <c r="A134" s="21" t="n">
        <v>31</v>
      </c>
      <c r="B134" s="21" t="inlineStr">
        <is>
          <t>Magus</t>
        </is>
      </c>
      <c r="C134" s="21" t="n">
        <v>1</v>
      </c>
      <c r="D134" s="21" t="n">
        <v>21</v>
      </c>
      <c r="E134" s="21" t="n">
        <v>10</v>
      </c>
      <c r="F134" s="21" t="n">
        <v>0</v>
      </c>
      <c r="G134" s="21" t="n">
        <v>0</v>
      </c>
      <c r="H134" s="21" t="n">
        <v>125</v>
      </c>
      <c r="I134" s="21" t="n">
        <v>50</v>
      </c>
      <c r="J134" s="23" t="n">
        <v>0</v>
      </c>
      <c r="K134" s="23" t="n">
        <v>0</v>
      </c>
      <c r="L134" s="23" t="n">
        <v>0</v>
      </c>
      <c r="M134" s="23" t="n">
        <v>0</v>
      </c>
      <c r="N134" s="23" t="n">
        <v>0</v>
      </c>
      <c r="O134" s="23" t="n">
        <v>0</v>
      </c>
      <c r="P134" s="42" t="inlineStr">
        <is>
          <t>Silk Tunic, Silk Cap, Silk Leggings, Silk Slippers, Thicket Stave</t>
        </is>
      </c>
    </row>
    <row r="135">
      <c r="A135" s="21" t="n">
        <v>32</v>
      </c>
      <c r="B135" s="21" t="inlineStr">
        <is>
          <t>Magus</t>
        </is>
      </c>
      <c r="C135" s="21" t="n">
        <v>1</v>
      </c>
      <c r="D135" s="21" t="n">
        <v>21</v>
      </c>
      <c r="E135" s="21" t="n">
        <v>10</v>
      </c>
      <c r="F135" s="21" t="n">
        <v>0</v>
      </c>
      <c r="G135" s="21" t="n">
        <v>0</v>
      </c>
      <c r="H135" s="21" t="n">
        <v>125</v>
      </c>
      <c r="I135" s="21" t="n">
        <v>50</v>
      </c>
      <c r="J135" s="23" t="n">
        <v>0</v>
      </c>
      <c r="K135" s="23" t="n">
        <v>0</v>
      </c>
      <c r="L135" s="23" t="n">
        <v>0</v>
      </c>
      <c r="M135" s="23" t="n">
        <v>0</v>
      </c>
      <c r="N135" s="23" t="n">
        <v>0</v>
      </c>
      <c r="O135" s="23" t="n">
        <v>0</v>
      </c>
      <c r="P135" s="42" t="inlineStr">
        <is>
          <t>Silk Tunic, Silk Cap, Silk Leggings, Silk Slippers, Thicket Stave</t>
        </is>
      </c>
    </row>
    <row r="136">
      <c r="A136" s="21" t="n">
        <v>33</v>
      </c>
      <c r="B136" s="21" t="inlineStr">
        <is>
          <t>Magus</t>
        </is>
      </c>
      <c r="C136" s="21" t="n">
        <v>1</v>
      </c>
      <c r="D136" s="21" t="n">
        <v>21</v>
      </c>
      <c r="E136" s="21" t="n">
        <v>10</v>
      </c>
      <c r="F136" s="21" t="n">
        <v>0</v>
      </c>
      <c r="G136" s="21" t="n">
        <v>0</v>
      </c>
      <c r="H136" s="21" t="n">
        <v>125</v>
      </c>
      <c r="I136" s="21" t="n">
        <v>50</v>
      </c>
      <c r="J136" s="23" t="n">
        <v>0</v>
      </c>
      <c r="K136" s="23" t="n">
        <v>0</v>
      </c>
      <c r="L136" s="23" t="n">
        <v>0</v>
      </c>
      <c r="M136" s="23" t="n">
        <v>0</v>
      </c>
      <c r="N136" s="23" t="n">
        <v>0</v>
      </c>
      <c r="O136" s="23" t="n">
        <v>0</v>
      </c>
      <c r="P136" s="42" t="inlineStr">
        <is>
          <t>Silk Tunic, Silk Cap, Silk Leggings, Silk Slippers, Thicket Stave</t>
        </is>
      </c>
    </row>
    <row r="137">
      <c r="A137" s="21" t="n">
        <v>34</v>
      </c>
      <c r="B137" s="21" t="inlineStr">
        <is>
          <t>Magus</t>
        </is>
      </c>
      <c r="C137" s="21" t="n">
        <v>1</v>
      </c>
      <c r="D137" s="21" t="n">
        <v>21</v>
      </c>
      <c r="E137" s="21" t="n">
        <v>10</v>
      </c>
      <c r="F137" s="21" t="n">
        <v>0</v>
      </c>
      <c r="G137" s="21" t="n">
        <v>0</v>
      </c>
      <c r="H137" s="21" t="n">
        <v>125</v>
      </c>
      <c r="I137" s="21" t="n">
        <v>50</v>
      </c>
      <c r="J137" s="23" t="n">
        <v>0</v>
      </c>
      <c r="K137" s="23" t="n">
        <v>0</v>
      </c>
      <c r="L137" s="23" t="n">
        <v>0</v>
      </c>
      <c r="M137" s="23" t="n">
        <v>0</v>
      </c>
      <c r="N137" s="23" t="n">
        <v>0</v>
      </c>
      <c r="O137" s="23" t="n">
        <v>0</v>
      </c>
      <c r="P137" s="42" t="inlineStr">
        <is>
          <t>Silk Tunic, Silk Cap, Silk Leggings, Silk Slippers, Thicket Stave</t>
        </is>
      </c>
    </row>
    <row r="138">
      <c r="A138" s="21" t="n">
        <v>35</v>
      </c>
      <c r="B138" s="21" t="inlineStr">
        <is>
          <t>Magus</t>
        </is>
      </c>
      <c r="C138" s="21" t="n">
        <v>1</v>
      </c>
      <c r="D138" s="21" t="n">
        <v>21</v>
      </c>
      <c r="E138" s="21" t="n">
        <v>10</v>
      </c>
      <c r="F138" s="21" t="n">
        <v>0</v>
      </c>
      <c r="G138" s="21" t="n">
        <v>0</v>
      </c>
      <c r="H138" s="21" t="n">
        <v>125</v>
      </c>
      <c r="I138" s="21" t="n">
        <v>50</v>
      </c>
      <c r="J138" s="23" t="n">
        <v>0</v>
      </c>
      <c r="K138" s="23" t="n">
        <v>0</v>
      </c>
      <c r="L138" s="23" t="n">
        <v>0</v>
      </c>
      <c r="M138" s="23" t="n">
        <v>0</v>
      </c>
      <c r="N138" s="23" t="n">
        <v>0</v>
      </c>
      <c r="O138" s="23" t="n">
        <v>0</v>
      </c>
      <c r="P138" s="42" t="inlineStr">
        <is>
          <t>Silk Tunic, Silk Cap, Silk Leggings, Silk Slippers, Thicket Stave</t>
        </is>
      </c>
    </row>
    <row r="139">
      <c r="A139" s="21" t="n">
        <v>36</v>
      </c>
      <c r="B139" s="21" t="inlineStr">
        <is>
          <t>Magus</t>
        </is>
      </c>
      <c r="C139" s="21" t="n">
        <v>1</v>
      </c>
      <c r="D139" s="21" t="n">
        <v>21</v>
      </c>
      <c r="E139" s="21" t="n">
        <v>10</v>
      </c>
      <c r="F139" s="21" t="n">
        <v>0</v>
      </c>
      <c r="G139" s="21" t="n">
        <v>0</v>
      </c>
      <c r="H139" s="21" t="n">
        <v>125</v>
      </c>
      <c r="I139" s="21" t="n">
        <v>50</v>
      </c>
      <c r="J139" s="23" t="n">
        <v>0</v>
      </c>
      <c r="K139" s="23" t="n">
        <v>0</v>
      </c>
      <c r="L139" s="23" t="n">
        <v>0</v>
      </c>
      <c r="M139" s="23" t="n">
        <v>0</v>
      </c>
      <c r="N139" s="23" t="n">
        <v>0</v>
      </c>
      <c r="O139" s="23" t="n">
        <v>0</v>
      </c>
      <c r="P139" s="42" t="inlineStr">
        <is>
          <t>Silk Tunic, Silk Cap, Silk Leggings, Silk Slippers, Thicket Stave</t>
        </is>
      </c>
    </row>
    <row r="140">
      <c r="A140" s="21" t="n">
        <v>37</v>
      </c>
      <c r="B140" s="21" t="inlineStr">
        <is>
          <t>Magus</t>
        </is>
      </c>
      <c r="C140" s="21" t="n">
        <v>1</v>
      </c>
      <c r="D140" s="21" t="n">
        <v>21</v>
      </c>
      <c r="E140" s="21" t="n">
        <v>10</v>
      </c>
      <c r="F140" s="21" t="n">
        <v>0</v>
      </c>
      <c r="G140" s="21" t="n">
        <v>0</v>
      </c>
      <c r="H140" s="21" t="n">
        <v>125</v>
      </c>
      <c r="I140" s="21" t="n">
        <v>50</v>
      </c>
      <c r="J140" s="23" t="n">
        <v>0</v>
      </c>
      <c r="K140" s="23" t="n">
        <v>0</v>
      </c>
      <c r="L140" s="23" t="n">
        <v>0</v>
      </c>
      <c r="M140" s="23" t="n">
        <v>0</v>
      </c>
      <c r="N140" s="23" t="n">
        <v>0</v>
      </c>
      <c r="O140" s="23" t="n">
        <v>0</v>
      </c>
      <c r="P140" s="42" t="inlineStr">
        <is>
          <t>Silk Tunic, Silk Cap, Silk Leggings, Silk Slippers, Thicket Stave</t>
        </is>
      </c>
    </row>
    <row r="141">
      <c r="A141" s="21" t="n">
        <v>38</v>
      </c>
      <c r="B141" s="21" t="inlineStr">
        <is>
          <t>Magus</t>
        </is>
      </c>
      <c r="C141" s="21" t="n">
        <v>1</v>
      </c>
      <c r="D141" s="21" t="n">
        <v>21</v>
      </c>
      <c r="E141" s="21" t="n">
        <v>10</v>
      </c>
      <c r="F141" s="21" t="n">
        <v>0</v>
      </c>
      <c r="G141" s="21" t="n">
        <v>0</v>
      </c>
      <c r="H141" s="21" t="n">
        <v>125</v>
      </c>
      <c r="I141" s="21" t="n">
        <v>50</v>
      </c>
      <c r="J141" s="23" t="n">
        <v>0</v>
      </c>
      <c r="K141" s="23" t="n">
        <v>0</v>
      </c>
      <c r="L141" s="23" t="n">
        <v>0</v>
      </c>
      <c r="M141" s="23" t="n">
        <v>0</v>
      </c>
      <c r="N141" s="23" t="n">
        <v>0</v>
      </c>
      <c r="O141" s="23" t="n">
        <v>0</v>
      </c>
      <c r="P141" s="42" t="inlineStr">
        <is>
          <t>Silk Tunic, Silk Cap, Silk Leggings, Silk Slippers, Thicket Stave</t>
        </is>
      </c>
    </row>
    <row r="142">
      <c r="A142" s="21" t="n">
        <v>39</v>
      </c>
      <c r="B142" s="21" t="inlineStr">
        <is>
          <t>Magus</t>
        </is>
      </c>
      <c r="C142" s="21" t="n">
        <v>1</v>
      </c>
      <c r="D142" s="21" t="n">
        <v>21</v>
      </c>
      <c r="E142" s="21" t="n">
        <v>10</v>
      </c>
      <c r="F142" s="21" t="n">
        <v>0</v>
      </c>
      <c r="G142" s="21" t="n">
        <v>0</v>
      </c>
      <c r="H142" s="21" t="n">
        <v>125</v>
      </c>
      <c r="I142" s="21" t="n">
        <v>50</v>
      </c>
      <c r="J142" s="23" t="n">
        <v>0</v>
      </c>
      <c r="K142" s="23" t="n">
        <v>0</v>
      </c>
      <c r="L142" s="23" t="n">
        <v>0</v>
      </c>
      <c r="M142" s="23" t="n">
        <v>0</v>
      </c>
      <c r="N142" s="23" t="n">
        <v>0</v>
      </c>
      <c r="O142" s="23" t="n">
        <v>0</v>
      </c>
      <c r="P142" s="42" t="inlineStr">
        <is>
          <t>Silk Tunic, Silk Cap, Silk Leggings, Silk Slippers, Thicket Stave</t>
        </is>
      </c>
    </row>
    <row r="143">
      <c r="A143" s="21" t="n">
        <v>40</v>
      </c>
      <c r="B143" s="21" t="inlineStr">
        <is>
          <t>Magus</t>
        </is>
      </c>
      <c r="C143" s="21" t="n">
        <v>1</v>
      </c>
      <c r="D143" s="21" t="n">
        <v>21</v>
      </c>
      <c r="E143" s="21" t="n">
        <v>10</v>
      </c>
      <c r="F143" s="21" t="n">
        <v>0</v>
      </c>
      <c r="G143" s="21" t="n">
        <v>0</v>
      </c>
      <c r="H143" s="21" t="n">
        <v>125</v>
      </c>
      <c r="I143" s="21" t="n">
        <v>50</v>
      </c>
      <c r="J143" s="23" t="n">
        <v>0</v>
      </c>
      <c r="K143" s="23" t="n">
        <v>0</v>
      </c>
      <c r="L143" s="23" t="n">
        <v>0</v>
      </c>
      <c r="M143" s="23" t="n">
        <v>0</v>
      </c>
      <c r="N143" s="23" t="n">
        <v>0</v>
      </c>
      <c r="O143" s="23" t="n">
        <v>0</v>
      </c>
      <c r="P143" s="42" t="inlineStr">
        <is>
          <t>Silk Tunic, Silk Cap, Silk Leggings, Silk Slippers, Thicket Stave</t>
        </is>
      </c>
    </row>
    <row r="144">
      <c r="A144" s="21" t="n">
        <v>41</v>
      </c>
      <c r="B144" s="21" t="inlineStr">
        <is>
          <t>Magus</t>
        </is>
      </c>
      <c r="C144" s="21" t="n">
        <v>1</v>
      </c>
      <c r="D144" s="21" t="n">
        <v>21</v>
      </c>
      <c r="E144" s="21" t="n">
        <v>10</v>
      </c>
      <c r="F144" s="21" t="n">
        <v>0</v>
      </c>
      <c r="G144" s="21" t="n">
        <v>0</v>
      </c>
      <c r="H144" s="21" t="n">
        <v>125</v>
      </c>
      <c r="I144" s="21" t="n">
        <v>50</v>
      </c>
      <c r="J144" s="23" t="n">
        <v>0</v>
      </c>
      <c r="K144" s="23" t="n">
        <v>0</v>
      </c>
      <c r="L144" s="23" t="n">
        <v>0</v>
      </c>
      <c r="M144" s="23" t="n">
        <v>0</v>
      </c>
      <c r="N144" s="23" t="n">
        <v>0</v>
      </c>
      <c r="O144" s="23" t="n">
        <v>0</v>
      </c>
      <c r="P144" s="42" t="inlineStr">
        <is>
          <t>Silk Tunic, Silk Cap, Silk Leggings, Silk Slippers, Thicket Stave</t>
        </is>
      </c>
    </row>
    <row r="145">
      <c r="A145" s="21" t="n">
        <v>42</v>
      </c>
      <c r="B145" s="21" t="inlineStr">
        <is>
          <t>Magus</t>
        </is>
      </c>
      <c r="C145" s="21" t="n">
        <v>1</v>
      </c>
      <c r="D145" s="21" t="n">
        <v>21</v>
      </c>
      <c r="E145" s="21" t="n">
        <v>10</v>
      </c>
      <c r="F145" s="21" t="n">
        <v>0</v>
      </c>
      <c r="G145" s="21" t="n">
        <v>0</v>
      </c>
      <c r="H145" s="21" t="n">
        <v>125</v>
      </c>
      <c r="I145" s="21" t="n">
        <v>50</v>
      </c>
      <c r="J145" s="23" t="n">
        <v>0</v>
      </c>
      <c r="K145" s="23" t="n">
        <v>0</v>
      </c>
      <c r="L145" s="23" t="n">
        <v>0</v>
      </c>
      <c r="M145" s="23" t="n">
        <v>0</v>
      </c>
      <c r="N145" s="23" t="n">
        <v>0</v>
      </c>
      <c r="O145" s="23" t="n">
        <v>0</v>
      </c>
      <c r="P145" s="42" t="inlineStr">
        <is>
          <t>Silk Tunic, Silk Cap, Silk Leggings, Silk Slippers, Thicket Stave</t>
        </is>
      </c>
    </row>
    <row r="146">
      <c r="A146" s="21" t="n">
        <v>43</v>
      </c>
      <c r="B146" s="21" t="inlineStr">
        <is>
          <t>Magus</t>
        </is>
      </c>
      <c r="C146" s="21" t="n">
        <v>1</v>
      </c>
      <c r="D146" s="21" t="n">
        <v>21</v>
      </c>
      <c r="E146" s="21" t="n">
        <v>10</v>
      </c>
      <c r="F146" s="21" t="n">
        <v>0</v>
      </c>
      <c r="G146" s="21" t="n">
        <v>0</v>
      </c>
      <c r="H146" s="21" t="n">
        <v>125</v>
      </c>
      <c r="I146" s="21" t="n">
        <v>50</v>
      </c>
      <c r="J146" s="23" t="n">
        <v>0</v>
      </c>
      <c r="K146" s="23" t="n">
        <v>0</v>
      </c>
      <c r="L146" s="23" t="n">
        <v>0</v>
      </c>
      <c r="M146" s="23" t="n">
        <v>0</v>
      </c>
      <c r="N146" s="23" t="n">
        <v>0</v>
      </c>
      <c r="O146" s="23" t="n">
        <v>0</v>
      </c>
      <c r="P146" s="42" t="inlineStr">
        <is>
          <t>Silk Tunic, Silk Cap, Silk Leggings, Silk Slippers, Thicket Stave</t>
        </is>
      </c>
    </row>
    <row r="147">
      <c r="A147" s="21" t="n">
        <v>44</v>
      </c>
      <c r="B147" s="21" t="inlineStr">
        <is>
          <t>Magus</t>
        </is>
      </c>
      <c r="C147" s="21" t="n">
        <v>1</v>
      </c>
      <c r="D147" s="21" t="n">
        <v>21</v>
      </c>
      <c r="E147" s="21" t="n">
        <v>10</v>
      </c>
      <c r="F147" s="21" t="n">
        <v>0</v>
      </c>
      <c r="G147" s="21" t="n">
        <v>0</v>
      </c>
      <c r="H147" s="21" t="n">
        <v>125</v>
      </c>
      <c r="I147" s="21" t="n">
        <v>50</v>
      </c>
      <c r="J147" s="23" t="n">
        <v>0</v>
      </c>
      <c r="K147" s="23" t="n">
        <v>0</v>
      </c>
      <c r="L147" s="23" t="n">
        <v>0</v>
      </c>
      <c r="M147" s="23" t="n">
        <v>0</v>
      </c>
      <c r="N147" s="23" t="n">
        <v>0</v>
      </c>
      <c r="O147" s="23" t="n">
        <v>0</v>
      </c>
      <c r="P147" s="42" t="inlineStr">
        <is>
          <t>Silk Tunic, Silk Cap, Silk Leggings, Silk Slippers, Thicket Stave</t>
        </is>
      </c>
    </row>
    <row r="148">
      <c r="A148" s="21" t="n">
        <v>45</v>
      </c>
      <c r="B148" s="21" t="inlineStr">
        <is>
          <t>Magus</t>
        </is>
      </c>
      <c r="C148" s="21" t="n">
        <v>1</v>
      </c>
      <c r="D148" s="21" t="n">
        <v>21</v>
      </c>
      <c r="E148" s="21" t="n">
        <v>10</v>
      </c>
      <c r="F148" s="21" t="n">
        <v>0</v>
      </c>
      <c r="G148" s="21" t="n">
        <v>0</v>
      </c>
      <c r="H148" s="21" t="n">
        <v>125</v>
      </c>
      <c r="I148" s="21" t="n">
        <v>50</v>
      </c>
      <c r="J148" s="23" t="n">
        <v>0</v>
      </c>
      <c r="K148" s="23" t="n">
        <v>0</v>
      </c>
      <c r="L148" s="23" t="n">
        <v>0</v>
      </c>
      <c r="M148" s="23" t="n">
        <v>0</v>
      </c>
      <c r="N148" s="23" t="n">
        <v>0</v>
      </c>
      <c r="O148" s="23" t="n">
        <v>0</v>
      </c>
      <c r="P148" s="42" t="inlineStr">
        <is>
          <t>Silk Tunic, Silk Cap, Silk Leggings, Silk Slippers, Thicket Stave</t>
        </is>
      </c>
    </row>
    <row r="149">
      <c r="A149" s="21" t="n">
        <v>46</v>
      </c>
      <c r="B149" s="21" t="inlineStr">
        <is>
          <t>Magus</t>
        </is>
      </c>
      <c r="C149" s="21" t="n">
        <v>1</v>
      </c>
      <c r="D149" s="21" t="n">
        <v>21</v>
      </c>
      <c r="E149" s="21" t="n">
        <v>10</v>
      </c>
      <c r="F149" s="21" t="n">
        <v>0</v>
      </c>
      <c r="G149" s="21" t="n">
        <v>0</v>
      </c>
      <c r="H149" s="21" t="n">
        <v>125</v>
      </c>
      <c r="I149" s="21" t="n">
        <v>50</v>
      </c>
      <c r="J149" s="23" t="n">
        <v>0</v>
      </c>
      <c r="K149" s="23" t="n">
        <v>0</v>
      </c>
      <c r="L149" s="23" t="n">
        <v>0</v>
      </c>
      <c r="M149" s="23" t="n">
        <v>0</v>
      </c>
      <c r="N149" s="23" t="n">
        <v>0</v>
      </c>
      <c r="O149" s="23" t="n">
        <v>0</v>
      </c>
      <c r="P149" s="42" t="inlineStr">
        <is>
          <t>Silk Tunic, Silk Cap, Silk Leggings, Silk Slippers, Thicket Stave</t>
        </is>
      </c>
    </row>
    <row r="150">
      <c r="A150" s="21" t="n">
        <v>47</v>
      </c>
      <c r="B150" s="21" t="inlineStr">
        <is>
          <t>Magus</t>
        </is>
      </c>
      <c r="C150" s="21" t="n">
        <v>1</v>
      </c>
      <c r="D150" s="21" t="n">
        <v>21</v>
      </c>
      <c r="E150" s="21" t="n">
        <v>10</v>
      </c>
      <c r="F150" s="21" t="n">
        <v>0</v>
      </c>
      <c r="G150" s="21" t="n">
        <v>0</v>
      </c>
      <c r="H150" s="21" t="n">
        <v>125</v>
      </c>
      <c r="I150" s="21" t="n">
        <v>50</v>
      </c>
      <c r="J150" s="23" t="n">
        <v>0</v>
      </c>
      <c r="K150" s="23" t="n">
        <v>0</v>
      </c>
      <c r="L150" s="23" t="n">
        <v>0</v>
      </c>
      <c r="M150" s="23" t="n">
        <v>0</v>
      </c>
      <c r="N150" s="23" t="n">
        <v>0</v>
      </c>
      <c r="O150" s="23" t="n">
        <v>0</v>
      </c>
      <c r="P150" s="42" t="inlineStr">
        <is>
          <t>Silk Tunic, Silk Cap, Silk Leggings, Silk Slippers, Thicket Stave</t>
        </is>
      </c>
    </row>
    <row r="151">
      <c r="A151" s="21" t="n">
        <v>48</v>
      </c>
      <c r="B151" s="21" t="inlineStr">
        <is>
          <t>Magus</t>
        </is>
      </c>
      <c r="C151" s="21" t="n">
        <v>1</v>
      </c>
      <c r="D151" s="21" t="n">
        <v>21</v>
      </c>
      <c r="E151" s="21" t="n">
        <v>10</v>
      </c>
      <c r="F151" s="21" t="n">
        <v>0</v>
      </c>
      <c r="G151" s="21" t="n">
        <v>0</v>
      </c>
      <c r="H151" s="21" t="n">
        <v>125</v>
      </c>
      <c r="I151" s="21" t="n">
        <v>50</v>
      </c>
      <c r="J151" s="23" t="n">
        <v>0</v>
      </c>
      <c r="K151" s="23" t="n">
        <v>0</v>
      </c>
      <c r="L151" s="23" t="n">
        <v>0</v>
      </c>
      <c r="M151" s="23" t="n">
        <v>0</v>
      </c>
      <c r="N151" s="23" t="n">
        <v>0</v>
      </c>
      <c r="O151" s="23" t="n">
        <v>0</v>
      </c>
      <c r="P151" s="42" t="inlineStr">
        <is>
          <t>Silk Tunic, Silk Cap, Silk Leggings, Silk Slippers, Thicket Stave</t>
        </is>
      </c>
    </row>
    <row r="152">
      <c r="A152" s="21" t="n">
        <v>49</v>
      </c>
      <c r="B152" s="21" t="inlineStr">
        <is>
          <t>Magus</t>
        </is>
      </c>
      <c r="C152" s="21" t="n">
        <v>1</v>
      </c>
      <c r="D152" s="21" t="n">
        <v>21</v>
      </c>
      <c r="E152" s="21" t="n">
        <v>10</v>
      </c>
      <c r="F152" s="21" t="n">
        <v>0</v>
      </c>
      <c r="G152" s="21" t="n">
        <v>0</v>
      </c>
      <c r="H152" s="21" t="n">
        <v>125</v>
      </c>
      <c r="I152" s="21" t="n">
        <v>50</v>
      </c>
      <c r="J152" s="23" t="n">
        <v>0</v>
      </c>
      <c r="K152" s="23" t="n">
        <v>0</v>
      </c>
      <c r="L152" s="23" t="n">
        <v>0</v>
      </c>
      <c r="M152" s="23" t="n">
        <v>0</v>
      </c>
      <c r="N152" s="23" t="n">
        <v>0</v>
      </c>
      <c r="O152" s="23" t="n">
        <v>0</v>
      </c>
      <c r="P152" s="42" t="inlineStr">
        <is>
          <t>Silk Tunic, Silk Cap, Silk Leggings, Silk Slippers, Thicket Stave</t>
        </is>
      </c>
    </row>
    <row r="153">
      <c r="A153" s="21" t="n">
        <v>50</v>
      </c>
      <c r="B153" s="21" t="inlineStr">
        <is>
          <t>Magus</t>
        </is>
      </c>
      <c r="C153" s="21" t="n">
        <v>1</v>
      </c>
      <c r="D153" s="21" t="n">
        <v>21</v>
      </c>
      <c r="E153" s="21" t="n">
        <v>10</v>
      </c>
      <c r="F153" s="21" t="n">
        <v>0</v>
      </c>
      <c r="G153" s="21" t="n">
        <v>0</v>
      </c>
      <c r="H153" s="21" t="n">
        <v>125</v>
      </c>
      <c r="I153" s="21" t="n">
        <v>50</v>
      </c>
      <c r="J153" s="23" t="n">
        <v>0</v>
      </c>
      <c r="K153" s="23" t="n">
        <v>0</v>
      </c>
      <c r="L153" s="23" t="n">
        <v>0</v>
      </c>
      <c r="M153" s="23" t="n">
        <v>0</v>
      </c>
      <c r="N153" s="23" t="n">
        <v>0</v>
      </c>
      <c r="O153" s="23" t="n">
        <v>0</v>
      </c>
      <c r="P153" s="42" t="inlineStr">
        <is>
          <t>Silk Tunic, Silk Cap, Silk Leggings, Silk Slippers, Thicket Stave</t>
        </is>
      </c>
    </row>
    <row r="154">
      <c r="A154" s="21" t="n">
        <v>1</v>
      </c>
      <c r="B154" s="21" t="inlineStr">
        <is>
          <t>Priest</t>
        </is>
      </c>
      <c r="C154" s="21" t="n">
        <v>1</v>
      </c>
      <c r="D154" s="21" t="n">
        <v>3</v>
      </c>
      <c r="E154" s="21" t="n">
        <v>10</v>
      </c>
      <c r="F154" s="21" t="n">
        <v>0</v>
      </c>
      <c r="G154" s="21" t="n">
        <v>0</v>
      </c>
      <c r="H154" s="21" t="n">
        <v>0</v>
      </c>
      <c r="I154" s="21" t="n">
        <v>25</v>
      </c>
      <c r="J154" s="23" t="n">
        <v>0</v>
      </c>
      <c r="K154" s="23" t="n">
        <v>0</v>
      </c>
      <c r="L154" s="23" t="n">
        <v>0</v>
      </c>
      <c r="M154" s="23" t="n">
        <v>0</v>
      </c>
      <c r="N154" s="23" t="n">
        <v>0</v>
      </c>
      <c r="O154" s="23" t="n">
        <v>0</v>
      </c>
      <c r="P154" s="42" t="inlineStr">
        <is>
          <t>Cloth Tunic, Cloth Cap, Cloth Leggings, Cloth Shoes, Stick</t>
        </is>
      </c>
    </row>
    <row r="155">
      <c r="A155" s="21" t="n">
        <v>2</v>
      </c>
      <c r="B155" s="21" t="inlineStr">
        <is>
          <t>Priest</t>
        </is>
      </c>
      <c r="C155" s="21" t="n">
        <v>1</v>
      </c>
      <c r="D155" s="21" t="n">
        <v>3</v>
      </c>
      <c r="E155" s="21" t="n">
        <v>10</v>
      </c>
      <c r="F155" s="21" t="n">
        <v>0</v>
      </c>
      <c r="G155" s="21" t="n">
        <v>0</v>
      </c>
      <c r="H155" s="21" t="n">
        <v>0</v>
      </c>
      <c r="I155" s="21" t="n">
        <v>25</v>
      </c>
      <c r="J155" s="23" t="n">
        <v>0</v>
      </c>
      <c r="K155" s="23" t="n">
        <v>0</v>
      </c>
      <c r="L155" s="23" t="n">
        <v>0</v>
      </c>
      <c r="M155" s="23" t="n">
        <v>0</v>
      </c>
      <c r="N155" s="23" t="n">
        <v>0</v>
      </c>
      <c r="O155" s="23" t="n">
        <v>0</v>
      </c>
      <c r="P155" s="42" t="inlineStr">
        <is>
          <t>Cloth Tunic, Cloth Cap, Cloth Leggings, Cloth Shoes, Stick</t>
        </is>
      </c>
    </row>
    <row r="156">
      <c r="A156" s="21" t="n">
        <v>3</v>
      </c>
      <c r="B156" s="21" t="inlineStr">
        <is>
          <t>Priest</t>
        </is>
      </c>
      <c r="C156" s="21" t="n">
        <v>1</v>
      </c>
      <c r="D156" s="21" t="n">
        <v>3</v>
      </c>
      <c r="E156" s="21" t="n">
        <v>10</v>
      </c>
      <c r="F156" s="21" t="n">
        <v>0</v>
      </c>
      <c r="G156" s="21" t="n">
        <v>0</v>
      </c>
      <c r="H156" s="21" t="n">
        <v>0</v>
      </c>
      <c r="I156" s="21" t="n">
        <v>25</v>
      </c>
      <c r="J156" s="23" t="n">
        <v>0</v>
      </c>
      <c r="K156" s="23" t="n">
        <v>0</v>
      </c>
      <c r="L156" s="23" t="n">
        <v>0</v>
      </c>
      <c r="M156" s="23" t="n">
        <v>0</v>
      </c>
      <c r="N156" s="23" t="n">
        <v>0</v>
      </c>
      <c r="O156" s="23" t="n">
        <v>0</v>
      </c>
      <c r="P156" s="42" t="inlineStr">
        <is>
          <t>Cloth Tunic, Cloth Cap, Cloth Leggings, Cloth Shoes, Stick</t>
        </is>
      </c>
    </row>
    <row r="157">
      <c r="A157" s="21" t="n">
        <v>4</v>
      </c>
      <c r="B157" s="21" t="inlineStr">
        <is>
          <t>Priest</t>
        </is>
      </c>
      <c r="C157" s="21" t="n">
        <v>1</v>
      </c>
      <c r="D157" s="21" t="n">
        <v>3</v>
      </c>
      <c r="E157" s="21" t="n">
        <v>10</v>
      </c>
      <c r="F157" s="21" t="n">
        <v>0</v>
      </c>
      <c r="G157" s="21" t="n">
        <v>0</v>
      </c>
      <c r="H157" s="21" t="n">
        <v>0</v>
      </c>
      <c r="I157" s="21" t="n">
        <v>25</v>
      </c>
      <c r="J157" s="23" t="n">
        <v>0</v>
      </c>
      <c r="K157" s="23" t="n">
        <v>0</v>
      </c>
      <c r="L157" s="23" t="n">
        <v>0</v>
      </c>
      <c r="M157" s="23" t="n">
        <v>0</v>
      </c>
      <c r="N157" s="23" t="n">
        <v>0</v>
      </c>
      <c r="O157" s="23" t="n">
        <v>0</v>
      </c>
      <c r="P157" s="42" t="inlineStr">
        <is>
          <t>Cloth Tunic, Cloth Cap, Cloth Leggings, Cloth Shoes, Stick</t>
        </is>
      </c>
    </row>
    <row r="158">
      <c r="A158" s="21" t="n">
        <v>5</v>
      </c>
      <c r="B158" s="21" t="inlineStr">
        <is>
          <t>Priest</t>
        </is>
      </c>
      <c r="C158" s="21" t="n">
        <v>1</v>
      </c>
      <c r="D158" s="21" t="n">
        <v>12</v>
      </c>
      <c r="E158" s="21" t="n">
        <v>10</v>
      </c>
      <c r="F158" s="21" t="n">
        <v>0</v>
      </c>
      <c r="G158" s="21" t="n">
        <v>0</v>
      </c>
      <c r="H158" s="21" t="n">
        <v>0</v>
      </c>
      <c r="I158" s="21" t="n">
        <v>35</v>
      </c>
      <c r="J158" s="23" t="n">
        <v>0</v>
      </c>
      <c r="K158" s="23" t="n">
        <v>0</v>
      </c>
      <c r="L158" s="23" t="n">
        <v>0</v>
      </c>
      <c r="M158" s="23" t="n">
        <v>0</v>
      </c>
      <c r="N158" s="23" t="n">
        <v>0</v>
      </c>
      <c r="O158" s="23" t="n">
        <v>0</v>
      </c>
      <c r="P158" s="42" t="inlineStr">
        <is>
          <t>Cloth Tunic, Cloth Cap, Cloth Leggings, Cloth Shoes, Small Hammer, Wooden Buckler</t>
        </is>
      </c>
    </row>
    <row r="159">
      <c r="A159" s="21" t="n">
        <v>6</v>
      </c>
      <c r="B159" s="21" t="inlineStr">
        <is>
          <t>Priest</t>
        </is>
      </c>
      <c r="C159" s="21" t="n">
        <v>1</v>
      </c>
      <c r="D159" s="21" t="n">
        <v>12</v>
      </c>
      <c r="E159" s="21" t="n">
        <v>10</v>
      </c>
      <c r="F159" s="21" t="n">
        <v>0</v>
      </c>
      <c r="G159" s="21" t="n">
        <v>0</v>
      </c>
      <c r="H159" s="21" t="n">
        <v>0</v>
      </c>
      <c r="I159" s="21" t="n">
        <v>35</v>
      </c>
      <c r="J159" s="23" t="n">
        <v>0</v>
      </c>
      <c r="K159" s="23" t="n">
        <v>0</v>
      </c>
      <c r="L159" s="23" t="n">
        <v>0</v>
      </c>
      <c r="M159" s="23" t="n">
        <v>0</v>
      </c>
      <c r="N159" s="23" t="n">
        <v>0</v>
      </c>
      <c r="O159" s="23" t="n">
        <v>0</v>
      </c>
      <c r="P159" s="42" t="inlineStr">
        <is>
          <t>Cloth Tunic, Cloth Cap, Cloth Leggings, Cloth Shoes, Small Hammer, Wooden Buckler</t>
        </is>
      </c>
    </row>
    <row r="160">
      <c r="A160" s="21" t="n">
        <v>7</v>
      </c>
      <c r="B160" s="21" t="inlineStr">
        <is>
          <t>Priest</t>
        </is>
      </c>
      <c r="C160" s="21" t="n">
        <v>1</v>
      </c>
      <c r="D160" s="21" t="n">
        <v>12</v>
      </c>
      <c r="E160" s="21" t="n">
        <v>10</v>
      </c>
      <c r="F160" s="21" t="n">
        <v>0</v>
      </c>
      <c r="G160" s="21" t="n">
        <v>0</v>
      </c>
      <c r="H160" s="21" t="n">
        <v>0</v>
      </c>
      <c r="I160" s="21" t="n">
        <v>35</v>
      </c>
      <c r="J160" s="23" t="n">
        <v>0</v>
      </c>
      <c r="K160" s="23" t="n">
        <v>0</v>
      </c>
      <c r="L160" s="23" t="n">
        <v>0</v>
      </c>
      <c r="M160" s="23" t="n">
        <v>0</v>
      </c>
      <c r="N160" s="23" t="n">
        <v>0</v>
      </c>
      <c r="O160" s="23" t="n">
        <v>0</v>
      </c>
      <c r="P160" s="42" t="inlineStr">
        <is>
          <t>Cloth Tunic, Cloth Cap, Cloth Leggings, Cloth Shoes, Small Hammer, Wooden Buckler</t>
        </is>
      </c>
    </row>
    <row r="161">
      <c r="A161" s="21" t="n">
        <v>8</v>
      </c>
      <c r="B161" s="21" t="inlineStr">
        <is>
          <t>Priest</t>
        </is>
      </c>
      <c r="C161" s="21" t="n">
        <v>1</v>
      </c>
      <c r="D161" s="21" t="n">
        <v>12</v>
      </c>
      <c r="E161" s="21" t="n">
        <v>10</v>
      </c>
      <c r="F161" s="21" t="n">
        <v>0</v>
      </c>
      <c r="G161" s="21" t="n">
        <v>0</v>
      </c>
      <c r="H161" s="21" t="n">
        <v>0</v>
      </c>
      <c r="I161" s="21" t="n">
        <v>35</v>
      </c>
      <c r="J161" s="23" t="n">
        <v>0</v>
      </c>
      <c r="K161" s="23" t="n">
        <v>0</v>
      </c>
      <c r="L161" s="23" t="n">
        <v>0</v>
      </c>
      <c r="M161" s="23" t="n">
        <v>0</v>
      </c>
      <c r="N161" s="23" t="n">
        <v>0</v>
      </c>
      <c r="O161" s="23" t="n">
        <v>0</v>
      </c>
      <c r="P161" s="42" t="inlineStr">
        <is>
          <t>Cloth Tunic, Cloth Cap, Cloth Leggings, Cloth Shoes, Small Hammer, Wooden Buckler</t>
        </is>
      </c>
    </row>
    <row r="162">
      <c r="A162" s="21" t="n">
        <v>9</v>
      </c>
      <c r="B162" s="21" t="inlineStr">
        <is>
          <t>Priest</t>
        </is>
      </c>
      <c r="C162" s="21" t="n">
        <v>1</v>
      </c>
      <c r="D162" s="21" t="n">
        <v>12</v>
      </c>
      <c r="E162" s="21" t="n">
        <v>10</v>
      </c>
      <c r="F162" s="21" t="n">
        <v>0</v>
      </c>
      <c r="G162" s="21" t="n">
        <v>0</v>
      </c>
      <c r="H162" s="21" t="n">
        <v>0</v>
      </c>
      <c r="I162" s="21" t="n">
        <v>35</v>
      </c>
      <c r="J162" s="23" t="n">
        <v>0</v>
      </c>
      <c r="K162" s="23" t="n">
        <v>0</v>
      </c>
      <c r="L162" s="23" t="n">
        <v>0</v>
      </c>
      <c r="M162" s="23" t="n">
        <v>0</v>
      </c>
      <c r="N162" s="23" t="n">
        <v>0</v>
      </c>
      <c r="O162" s="23" t="n">
        <v>0</v>
      </c>
      <c r="P162" s="42" t="inlineStr">
        <is>
          <t>Cloth Tunic, Cloth Cap, Cloth Leggings, Cloth Shoes, Small Hammer, Wooden Buckler</t>
        </is>
      </c>
    </row>
    <row r="163">
      <c r="A163" s="21" t="n">
        <v>10</v>
      </c>
      <c r="B163" s="21" t="inlineStr">
        <is>
          <t>Priest</t>
        </is>
      </c>
      <c r="C163" s="21" t="n">
        <v>1</v>
      </c>
      <c r="D163" s="21" t="n">
        <v>12</v>
      </c>
      <c r="E163" s="21" t="n">
        <v>10</v>
      </c>
      <c r="F163" s="21" t="n">
        <v>0</v>
      </c>
      <c r="G163" s="21" t="n">
        <v>0</v>
      </c>
      <c r="H163" s="21" t="n">
        <v>0</v>
      </c>
      <c r="I163" s="21" t="n">
        <v>51</v>
      </c>
      <c r="J163" s="23" t="n">
        <v>0</v>
      </c>
      <c r="K163" s="23" t="n">
        <v>0</v>
      </c>
      <c r="L163" s="23" t="n">
        <v>0</v>
      </c>
      <c r="M163" s="23" t="n">
        <v>0</v>
      </c>
      <c r="N163" s="23" t="n">
        <v>0</v>
      </c>
      <c r="O163" s="23" t="n">
        <v>0</v>
      </c>
      <c r="P163" s="42" t="inlineStr">
        <is>
          <t>Leather Tunic, Leather Cap, Leather Leggings, Leather Boots, Small Hammer, Wooden Buckler</t>
        </is>
      </c>
    </row>
    <row r="164">
      <c r="A164" s="21" t="n">
        <v>11</v>
      </c>
      <c r="B164" s="21" t="inlineStr">
        <is>
          <t>Priest</t>
        </is>
      </c>
      <c r="C164" s="21" t="n">
        <v>1</v>
      </c>
      <c r="D164" s="21" t="n">
        <v>12</v>
      </c>
      <c r="E164" s="21" t="n">
        <v>10</v>
      </c>
      <c r="F164" s="21" t="n">
        <v>0</v>
      </c>
      <c r="G164" s="21" t="n">
        <v>0</v>
      </c>
      <c r="H164" s="21" t="n">
        <v>0</v>
      </c>
      <c r="I164" s="21" t="n">
        <v>51</v>
      </c>
      <c r="J164" s="23" t="n">
        <v>0</v>
      </c>
      <c r="K164" s="23" t="n">
        <v>0</v>
      </c>
      <c r="L164" s="23" t="n">
        <v>0</v>
      </c>
      <c r="M164" s="23" t="n">
        <v>0</v>
      </c>
      <c r="N164" s="23" t="n">
        <v>0</v>
      </c>
      <c r="O164" s="23" t="n">
        <v>0</v>
      </c>
      <c r="P164" s="42" t="inlineStr">
        <is>
          <t>Leather Tunic, Leather Cap, Leather Leggings, Leather Boots, Small Hammer, Wooden Buckler</t>
        </is>
      </c>
    </row>
    <row r="165">
      <c r="A165" s="21" t="n">
        <v>12</v>
      </c>
      <c r="B165" s="21" t="inlineStr">
        <is>
          <t>Priest</t>
        </is>
      </c>
      <c r="C165" s="21" t="n">
        <v>1</v>
      </c>
      <c r="D165" s="21" t="n">
        <v>12</v>
      </c>
      <c r="E165" s="21" t="n">
        <v>10</v>
      </c>
      <c r="F165" s="21" t="n">
        <v>0</v>
      </c>
      <c r="G165" s="21" t="n">
        <v>0</v>
      </c>
      <c r="H165" s="21" t="n">
        <v>0</v>
      </c>
      <c r="I165" s="21" t="n">
        <v>51</v>
      </c>
      <c r="J165" s="23" t="n">
        <v>0</v>
      </c>
      <c r="K165" s="23" t="n">
        <v>0</v>
      </c>
      <c r="L165" s="23" t="n">
        <v>0</v>
      </c>
      <c r="M165" s="23" t="n">
        <v>0</v>
      </c>
      <c r="N165" s="23" t="n">
        <v>0</v>
      </c>
      <c r="O165" s="23" t="n">
        <v>0</v>
      </c>
      <c r="P165" s="42" t="inlineStr">
        <is>
          <t>Leather Tunic, Leather Cap, Leather Leggings, Leather Boots, Small Hammer, Wooden Buckler</t>
        </is>
      </c>
    </row>
    <row r="166">
      <c r="A166" s="21" t="n">
        <v>13</v>
      </c>
      <c r="B166" s="21" t="inlineStr">
        <is>
          <t>Priest</t>
        </is>
      </c>
      <c r="C166" s="21" t="n">
        <v>1</v>
      </c>
      <c r="D166" s="21" t="n">
        <v>12</v>
      </c>
      <c r="E166" s="21" t="n">
        <v>10</v>
      </c>
      <c r="F166" s="21" t="n">
        <v>0</v>
      </c>
      <c r="G166" s="21" t="n">
        <v>0</v>
      </c>
      <c r="H166" s="21" t="n">
        <v>0</v>
      </c>
      <c r="I166" s="21" t="n">
        <v>51</v>
      </c>
      <c r="J166" s="23" t="n">
        <v>0</v>
      </c>
      <c r="K166" s="23" t="n">
        <v>0</v>
      </c>
      <c r="L166" s="23" t="n">
        <v>0</v>
      </c>
      <c r="M166" s="23" t="n">
        <v>0</v>
      </c>
      <c r="N166" s="23" t="n">
        <v>0</v>
      </c>
      <c r="O166" s="23" t="n">
        <v>0</v>
      </c>
      <c r="P166" s="42" t="inlineStr">
        <is>
          <t>Leather Tunic, Leather Cap, Leather Leggings, Leather Boots, Small Hammer, Wooden Buckler</t>
        </is>
      </c>
    </row>
    <row r="167">
      <c r="A167" s="21" t="n">
        <v>14</v>
      </c>
      <c r="B167" s="21" t="inlineStr">
        <is>
          <t>Priest</t>
        </is>
      </c>
      <c r="C167" s="21" t="n">
        <v>1</v>
      </c>
      <c r="D167" s="21" t="n">
        <v>12</v>
      </c>
      <c r="E167" s="21" t="n">
        <v>10</v>
      </c>
      <c r="F167" s="21" t="n">
        <v>0</v>
      </c>
      <c r="G167" s="21" t="n">
        <v>0</v>
      </c>
      <c r="H167" s="21" t="n">
        <v>0</v>
      </c>
      <c r="I167" s="21" t="n">
        <v>51</v>
      </c>
      <c r="J167" s="23" t="n">
        <v>0</v>
      </c>
      <c r="K167" s="23" t="n">
        <v>0</v>
      </c>
      <c r="L167" s="23" t="n">
        <v>0</v>
      </c>
      <c r="M167" s="23" t="n">
        <v>0</v>
      </c>
      <c r="N167" s="23" t="n">
        <v>0</v>
      </c>
      <c r="O167" s="23" t="n">
        <v>0</v>
      </c>
      <c r="P167" s="42" t="inlineStr">
        <is>
          <t>Leather Tunic, Leather Cap, Leather Leggings, Leather Boots, Small Hammer, Wooden Buckler</t>
        </is>
      </c>
    </row>
    <row r="168">
      <c r="A168" s="21" t="n">
        <v>15</v>
      </c>
      <c r="B168" s="21" t="inlineStr">
        <is>
          <t>Priest</t>
        </is>
      </c>
      <c r="C168" s="21" t="n">
        <v>1</v>
      </c>
      <c r="D168" s="21" t="n">
        <v>15</v>
      </c>
      <c r="E168" s="21" t="n">
        <v>10</v>
      </c>
      <c r="F168" s="21" t="n">
        <v>0</v>
      </c>
      <c r="G168" s="21" t="n">
        <v>0</v>
      </c>
      <c r="H168" s="21" t="n">
        <v>0</v>
      </c>
      <c r="I168" s="21" t="n">
        <v>51</v>
      </c>
      <c r="J168" s="23" t="n">
        <v>0</v>
      </c>
      <c r="K168" s="23" t="n">
        <v>0</v>
      </c>
      <c r="L168" s="23" t="n">
        <v>0</v>
      </c>
      <c r="M168" s="23" t="n">
        <v>0</v>
      </c>
      <c r="N168" s="23" t="n">
        <v>0</v>
      </c>
      <c r="O168" s="23" t="n">
        <v>0</v>
      </c>
      <c r="P168" s="42" t="inlineStr">
        <is>
          <t>Leather Tunic, Leather Cap, Leather Leggings, Leather Boots, Stone Hammer, Wooden Buckler</t>
        </is>
      </c>
    </row>
    <row r="169">
      <c r="A169" s="21" t="n">
        <v>16</v>
      </c>
      <c r="B169" s="21" t="inlineStr">
        <is>
          <t>Priest</t>
        </is>
      </c>
      <c r="C169" s="21" t="n">
        <v>1</v>
      </c>
      <c r="D169" s="21" t="n">
        <v>15</v>
      </c>
      <c r="E169" s="21" t="n">
        <v>10</v>
      </c>
      <c r="F169" s="21" t="n">
        <v>0</v>
      </c>
      <c r="G169" s="21" t="n">
        <v>0</v>
      </c>
      <c r="H169" s="21" t="n">
        <v>0</v>
      </c>
      <c r="I169" s="21" t="n">
        <v>51</v>
      </c>
      <c r="J169" s="23" t="n">
        <v>0</v>
      </c>
      <c r="K169" s="23" t="n">
        <v>0</v>
      </c>
      <c r="L169" s="23" t="n">
        <v>0</v>
      </c>
      <c r="M169" s="23" t="n">
        <v>0</v>
      </c>
      <c r="N169" s="23" t="n">
        <v>0</v>
      </c>
      <c r="O169" s="23" t="n">
        <v>0</v>
      </c>
      <c r="P169" s="42" t="inlineStr">
        <is>
          <t>Leather Tunic, Leather Cap, Leather Leggings, Leather Boots, Stone Hammer, Wooden Buckler</t>
        </is>
      </c>
    </row>
    <row r="170">
      <c r="A170" s="21" t="n">
        <v>17</v>
      </c>
      <c r="B170" s="21" t="inlineStr">
        <is>
          <t>Priest</t>
        </is>
      </c>
      <c r="C170" s="21" t="n">
        <v>1</v>
      </c>
      <c r="D170" s="21" t="n">
        <v>15</v>
      </c>
      <c r="E170" s="21" t="n">
        <v>10</v>
      </c>
      <c r="F170" s="21" t="n">
        <v>0</v>
      </c>
      <c r="G170" s="21" t="n">
        <v>0</v>
      </c>
      <c r="H170" s="21" t="n">
        <v>0</v>
      </c>
      <c r="I170" s="21" t="n">
        <v>51</v>
      </c>
      <c r="J170" s="23" t="n">
        <v>0</v>
      </c>
      <c r="K170" s="23" t="n">
        <v>0</v>
      </c>
      <c r="L170" s="23" t="n">
        <v>0</v>
      </c>
      <c r="M170" s="23" t="n">
        <v>0</v>
      </c>
      <c r="N170" s="23" t="n">
        <v>0</v>
      </c>
      <c r="O170" s="23" t="n">
        <v>0</v>
      </c>
      <c r="P170" s="42" t="inlineStr">
        <is>
          <t>Leather Tunic, Leather Cap, Leather Leggings, Leather Boots, Stone Hammer, Wooden Buckler</t>
        </is>
      </c>
    </row>
    <row r="171">
      <c r="A171" s="21" t="n">
        <v>18</v>
      </c>
      <c r="B171" s="21" t="inlineStr">
        <is>
          <t>Priest</t>
        </is>
      </c>
      <c r="C171" s="21" t="n">
        <v>1</v>
      </c>
      <c r="D171" s="21" t="n">
        <v>15</v>
      </c>
      <c r="E171" s="21" t="n">
        <v>10</v>
      </c>
      <c r="F171" s="21" t="n">
        <v>0</v>
      </c>
      <c r="G171" s="21" t="n">
        <v>0</v>
      </c>
      <c r="H171" s="21" t="n">
        <v>0</v>
      </c>
      <c r="I171" s="21" t="n">
        <v>51</v>
      </c>
      <c r="J171" s="23" t="n">
        <v>0</v>
      </c>
      <c r="K171" s="23" t="n">
        <v>0</v>
      </c>
      <c r="L171" s="23" t="n">
        <v>0</v>
      </c>
      <c r="M171" s="23" t="n">
        <v>0</v>
      </c>
      <c r="N171" s="23" t="n">
        <v>0</v>
      </c>
      <c r="O171" s="23" t="n">
        <v>0</v>
      </c>
      <c r="P171" s="42" t="inlineStr">
        <is>
          <t>Leather Tunic, Leather Cap, Leather Leggings, Leather Boots, Stone Hammer, Wooden Buckler</t>
        </is>
      </c>
    </row>
    <row r="172">
      <c r="A172" s="21" t="n">
        <v>19</v>
      </c>
      <c r="B172" s="21" t="inlineStr">
        <is>
          <t>Priest</t>
        </is>
      </c>
      <c r="C172" s="21" t="n">
        <v>1</v>
      </c>
      <c r="D172" s="21" t="n">
        <v>15</v>
      </c>
      <c r="E172" s="21" t="n">
        <v>10</v>
      </c>
      <c r="F172" s="21" t="n">
        <v>0</v>
      </c>
      <c r="G172" s="21" t="n">
        <v>0</v>
      </c>
      <c r="H172" s="21" t="n">
        <v>0</v>
      </c>
      <c r="I172" s="21" t="n">
        <v>51</v>
      </c>
      <c r="J172" s="23" t="n">
        <v>0</v>
      </c>
      <c r="K172" s="23" t="n">
        <v>0</v>
      </c>
      <c r="L172" s="23" t="n">
        <v>0</v>
      </c>
      <c r="M172" s="23" t="n">
        <v>0</v>
      </c>
      <c r="N172" s="23" t="n">
        <v>0</v>
      </c>
      <c r="O172" s="23" t="n">
        <v>0</v>
      </c>
      <c r="P172" s="42" t="inlineStr">
        <is>
          <t>Leather Tunic, Leather Cap, Leather Leggings, Leather Boots, Stone Hammer, Wooden Buckler</t>
        </is>
      </c>
    </row>
    <row r="173">
      <c r="A173" s="21" t="n">
        <v>20</v>
      </c>
      <c r="B173" s="21" t="inlineStr">
        <is>
          <t>Priest</t>
        </is>
      </c>
      <c r="C173" s="21" t="n">
        <v>1</v>
      </c>
      <c r="D173" s="21" t="n">
        <v>15</v>
      </c>
      <c r="E173" s="21" t="n">
        <v>10</v>
      </c>
      <c r="F173" s="21" t="n">
        <v>0</v>
      </c>
      <c r="G173" s="21" t="n">
        <v>0</v>
      </c>
      <c r="H173" s="21" t="n">
        <v>20</v>
      </c>
      <c r="I173" s="21" t="n">
        <v>70</v>
      </c>
      <c r="J173" s="23" t="n">
        <v>0</v>
      </c>
      <c r="K173" s="23" t="n">
        <v>0</v>
      </c>
      <c r="L173" s="23" t="n">
        <v>0</v>
      </c>
      <c r="M173" s="23" t="n">
        <v>0</v>
      </c>
      <c r="N173" s="23" t="n">
        <v>0</v>
      </c>
      <c r="O173" s="23" t="n">
        <v>0</v>
      </c>
      <c r="P173" s="42" t="inlineStr">
        <is>
          <t>Silk Tunic, Silk Cap, Silk Leggings, Silk Slippers, Stone Hammer, Light Guard</t>
        </is>
      </c>
    </row>
    <row r="174">
      <c r="A174" s="21" t="n">
        <v>21</v>
      </c>
      <c r="B174" s="21" t="inlineStr">
        <is>
          <t>Priest</t>
        </is>
      </c>
      <c r="C174" s="21" t="n">
        <v>1</v>
      </c>
      <c r="D174" s="21" t="n">
        <v>15</v>
      </c>
      <c r="E174" s="21" t="n">
        <v>10</v>
      </c>
      <c r="F174" s="21" t="n">
        <v>0</v>
      </c>
      <c r="G174" s="21" t="n">
        <v>0</v>
      </c>
      <c r="H174" s="21" t="n">
        <v>20</v>
      </c>
      <c r="I174" s="21" t="n">
        <v>70</v>
      </c>
      <c r="J174" s="23" t="n">
        <v>0</v>
      </c>
      <c r="K174" s="23" t="n">
        <v>0</v>
      </c>
      <c r="L174" s="23" t="n">
        <v>0</v>
      </c>
      <c r="M174" s="23" t="n">
        <v>0</v>
      </c>
      <c r="N174" s="23" t="n">
        <v>0</v>
      </c>
      <c r="O174" s="23" t="n">
        <v>0</v>
      </c>
      <c r="P174" s="42" t="inlineStr">
        <is>
          <t>Silk Tunic, Silk Cap, Silk Leggings, Silk Slippers, Stone Hammer, Light Guard</t>
        </is>
      </c>
    </row>
    <row r="175">
      <c r="A175" s="21" t="n">
        <v>22</v>
      </c>
      <c r="B175" s="21" t="inlineStr">
        <is>
          <t>Priest</t>
        </is>
      </c>
      <c r="C175" s="21" t="n">
        <v>1</v>
      </c>
      <c r="D175" s="21" t="n">
        <v>15</v>
      </c>
      <c r="E175" s="21" t="n">
        <v>10</v>
      </c>
      <c r="F175" s="21" t="n">
        <v>0</v>
      </c>
      <c r="G175" s="21" t="n">
        <v>0</v>
      </c>
      <c r="H175" s="21" t="n">
        <v>20</v>
      </c>
      <c r="I175" s="21" t="n">
        <v>70</v>
      </c>
      <c r="J175" s="23" t="n">
        <v>0</v>
      </c>
      <c r="K175" s="23" t="n">
        <v>0</v>
      </c>
      <c r="L175" s="23" t="n">
        <v>0</v>
      </c>
      <c r="M175" s="23" t="n">
        <v>0</v>
      </c>
      <c r="N175" s="23" t="n">
        <v>0</v>
      </c>
      <c r="O175" s="23" t="n">
        <v>0</v>
      </c>
      <c r="P175" s="42" t="inlineStr">
        <is>
          <t>Silk Tunic, Silk Cap, Silk Leggings, Silk Slippers, Stone Hammer, Light Guard</t>
        </is>
      </c>
    </row>
    <row r="176">
      <c r="A176" s="21" t="n">
        <v>23</v>
      </c>
      <c r="B176" s="21" t="inlineStr">
        <is>
          <t>Priest</t>
        </is>
      </c>
      <c r="C176" s="21" t="n">
        <v>1</v>
      </c>
      <c r="D176" s="21" t="n">
        <v>15</v>
      </c>
      <c r="E176" s="21" t="n">
        <v>10</v>
      </c>
      <c r="F176" s="21" t="n">
        <v>0</v>
      </c>
      <c r="G176" s="21" t="n">
        <v>0</v>
      </c>
      <c r="H176" s="21" t="n">
        <v>20</v>
      </c>
      <c r="I176" s="21" t="n">
        <v>70</v>
      </c>
      <c r="J176" s="23" t="n">
        <v>0</v>
      </c>
      <c r="K176" s="23" t="n">
        <v>0</v>
      </c>
      <c r="L176" s="23" t="n">
        <v>0</v>
      </c>
      <c r="M176" s="23" t="n">
        <v>0</v>
      </c>
      <c r="N176" s="23" t="n">
        <v>0</v>
      </c>
      <c r="O176" s="23" t="n">
        <v>0</v>
      </c>
      <c r="P176" s="42" t="inlineStr">
        <is>
          <t>Silk Tunic, Silk Cap, Silk Leggings, Silk Slippers, Stone Hammer, Light Guard</t>
        </is>
      </c>
    </row>
    <row r="177">
      <c r="A177" s="21" t="n">
        <v>24</v>
      </c>
      <c r="B177" s="21" t="inlineStr">
        <is>
          <t>Priest</t>
        </is>
      </c>
      <c r="C177" s="21" t="n">
        <v>1</v>
      </c>
      <c r="D177" s="21" t="n">
        <v>15</v>
      </c>
      <c r="E177" s="21" t="n">
        <v>10</v>
      </c>
      <c r="F177" s="21" t="n">
        <v>0</v>
      </c>
      <c r="G177" s="21" t="n">
        <v>0</v>
      </c>
      <c r="H177" s="21" t="n">
        <v>20</v>
      </c>
      <c r="I177" s="21" t="n">
        <v>70</v>
      </c>
      <c r="J177" s="23" t="n">
        <v>0</v>
      </c>
      <c r="K177" s="23" t="n">
        <v>0</v>
      </c>
      <c r="L177" s="23" t="n">
        <v>0</v>
      </c>
      <c r="M177" s="23" t="n">
        <v>0</v>
      </c>
      <c r="N177" s="23" t="n">
        <v>0</v>
      </c>
      <c r="O177" s="23" t="n">
        <v>0</v>
      </c>
      <c r="P177" s="42" t="inlineStr">
        <is>
          <t>Silk Tunic, Silk Cap, Silk Leggings, Silk Slippers, Stone Hammer, Light Guard</t>
        </is>
      </c>
    </row>
    <row r="178">
      <c r="A178" s="21" t="n">
        <v>25</v>
      </c>
      <c r="B178" s="21" t="inlineStr">
        <is>
          <t>Priest</t>
        </is>
      </c>
      <c r="C178" s="21" t="n">
        <v>1</v>
      </c>
      <c r="D178" s="21" t="n">
        <v>15</v>
      </c>
      <c r="E178" s="21" t="n">
        <v>10</v>
      </c>
      <c r="F178" s="21" t="n">
        <v>0</v>
      </c>
      <c r="G178" s="21" t="n">
        <v>0</v>
      </c>
      <c r="H178" s="21" t="n">
        <v>20</v>
      </c>
      <c r="I178" s="21" t="n">
        <v>70</v>
      </c>
      <c r="J178" s="23" t="n">
        <v>0</v>
      </c>
      <c r="K178" s="23" t="n">
        <v>0</v>
      </c>
      <c r="L178" s="23" t="n">
        <v>0</v>
      </c>
      <c r="M178" s="23" t="n">
        <v>0</v>
      </c>
      <c r="N178" s="23" t="n">
        <v>0</v>
      </c>
      <c r="O178" s="23" t="n">
        <v>0</v>
      </c>
      <c r="P178" s="42" t="inlineStr">
        <is>
          <t>Silk Tunic, Silk Cap, Silk Leggings, Silk Slippers, Stone Hammer, Light Guard</t>
        </is>
      </c>
    </row>
    <row r="179">
      <c r="A179" s="21" t="n">
        <v>26</v>
      </c>
      <c r="B179" s="21" t="inlineStr">
        <is>
          <t>Priest</t>
        </is>
      </c>
      <c r="C179" s="21" t="n">
        <v>1</v>
      </c>
      <c r="D179" s="21" t="n">
        <v>15</v>
      </c>
      <c r="E179" s="21" t="n">
        <v>10</v>
      </c>
      <c r="F179" s="21" t="n">
        <v>0</v>
      </c>
      <c r="G179" s="21" t="n">
        <v>0</v>
      </c>
      <c r="H179" s="21" t="n">
        <v>20</v>
      </c>
      <c r="I179" s="21" t="n">
        <v>70</v>
      </c>
      <c r="J179" s="23" t="n">
        <v>0</v>
      </c>
      <c r="K179" s="23" t="n">
        <v>0</v>
      </c>
      <c r="L179" s="23" t="n">
        <v>0</v>
      </c>
      <c r="M179" s="23" t="n">
        <v>0</v>
      </c>
      <c r="N179" s="23" t="n">
        <v>0</v>
      </c>
      <c r="O179" s="23" t="n">
        <v>0</v>
      </c>
      <c r="P179" s="42" t="inlineStr">
        <is>
          <t>Silk Tunic, Silk Cap, Silk Leggings, Silk Slippers, Stone Hammer, Light Guard</t>
        </is>
      </c>
    </row>
    <row r="180">
      <c r="A180" s="21" t="n">
        <v>27</v>
      </c>
      <c r="B180" s="21" t="inlineStr">
        <is>
          <t>Priest</t>
        </is>
      </c>
      <c r="C180" s="21" t="n">
        <v>1</v>
      </c>
      <c r="D180" s="21" t="n">
        <v>19</v>
      </c>
      <c r="E180" s="21" t="n">
        <v>10</v>
      </c>
      <c r="F180" s="21" t="n">
        <v>0</v>
      </c>
      <c r="G180" s="21" t="n">
        <v>50</v>
      </c>
      <c r="H180" s="21" t="n">
        <v>145</v>
      </c>
      <c r="I180" s="21" t="n">
        <v>70</v>
      </c>
      <c r="J180" s="23" t="n">
        <v>0</v>
      </c>
      <c r="K180" s="23" t="n">
        <v>0</v>
      </c>
      <c r="L180" s="23" t="n">
        <v>0</v>
      </c>
      <c r="M180" s="23" t="n">
        <v>0</v>
      </c>
      <c r="N180" s="23" t="n">
        <v>0</v>
      </c>
      <c r="O180" s="23" t="n">
        <v>0</v>
      </c>
      <c r="P180" s="42" t="inlineStr">
        <is>
          <t>Silk Tunic, Silk Cap, Silk Leggings, Silk Slippers, Brilliant Hammer, Light Guard</t>
        </is>
      </c>
    </row>
    <row r="181">
      <c r="A181" s="21" t="n">
        <v>28</v>
      </c>
      <c r="B181" s="21" t="inlineStr">
        <is>
          <t>Priest</t>
        </is>
      </c>
      <c r="C181" s="21" t="n">
        <v>1</v>
      </c>
      <c r="D181" s="21" t="n">
        <v>19</v>
      </c>
      <c r="E181" s="21" t="n">
        <v>10</v>
      </c>
      <c r="F181" s="21" t="n">
        <v>0</v>
      </c>
      <c r="G181" s="21" t="n">
        <v>50</v>
      </c>
      <c r="H181" s="21" t="n">
        <v>145</v>
      </c>
      <c r="I181" s="21" t="n">
        <v>70</v>
      </c>
      <c r="J181" s="23" t="n">
        <v>0</v>
      </c>
      <c r="K181" s="23" t="n">
        <v>0</v>
      </c>
      <c r="L181" s="23" t="n">
        <v>0</v>
      </c>
      <c r="M181" s="23" t="n">
        <v>0</v>
      </c>
      <c r="N181" s="23" t="n">
        <v>0</v>
      </c>
      <c r="O181" s="23" t="n">
        <v>0</v>
      </c>
      <c r="P181" s="42" t="inlineStr">
        <is>
          <t>Silk Tunic, Silk Cap, Silk Leggings, Silk Slippers, Brilliant Hammer, Light Guard</t>
        </is>
      </c>
    </row>
    <row r="182">
      <c r="A182" s="21" t="n">
        <v>29</v>
      </c>
      <c r="B182" s="21" t="inlineStr">
        <is>
          <t>Priest</t>
        </is>
      </c>
      <c r="C182" s="21" t="n">
        <v>1</v>
      </c>
      <c r="D182" s="21" t="n">
        <v>19</v>
      </c>
      <c r="E182" s="21" t="n">
        <v>10</v>
      </c>
      <c r="F182" s="21" t="n">
        <v>0</v>
      </c>
      <c r="G182" s="21" t="n">
        <v>50</v>
      </c>
      <c r="H182" s="21" t="n">
        <v>145</v>
      </c>
      <c r="I182" s="21" t="n">
        <v>70</v>
      </c>
      <c r="J182" s="23" t="n">
        <v>0</v>
      </c>
      <c r="K182" s="23" t="n">
        <v>0</v>
      </c>
      <c r="L182" s="23" t="n">
        <v>0</v>
      </c>
      <c r="M182" s="23" t="n">
        <v>0</v>
      </c>
      <c r="N182" s="23" t="n">
        <v>0</v>
      </c>
      <c r="O182" s="23" t="n">
        <v>0</v>
      </c>
      <c r="P182" s="42" t="inlineStr">
        <is>
          <t>Silk Tunic, Silk Cap, Silk Leggings, Silk Slippers, Brilliant Hammer, Light Guard</t>
        </is>
      </c>
    </row>
    <row r="183">
      <c r="A183" s="21" t="n">
        <v>30</v>
      </c>
      <c r="B183" s="21" t="inlineStr">
        <is>
          <t>Priest</t>
        </is>
      </c>
      <c r="C183" s="21" t="n">
        <v>1</v>
      </c>
      <c r="D183" s="21" t="n">
        <v>19</v>
      </c>
      <c r="E183" s="21" t="n">
        <v>10</v>
      </c>
      <c r="F183" s="21" t="n">
        <v>0</v>
      </c>
      <c r="G183" s="21" t="n">
        <v>50</v>
      </c>
      <c r="H183" s="21" t="n">
        <v>145</v>
      </c>
      <c r="I183" s="21" t="n">
        <v>70</v>
      </c>
      <c r="J183" s="23" t="n">
        <v>0</v>
      </c>
      <c r="K183" s="23" t="n">
        <v>0</v>
      </c>
      <c r="L183" s="23" t="n">
        <v>0</v>
      </c>
      <c r="M183" s="23" t="n">
        <v>0</v>
      </c>
      <c r="N183" s="23" t="n">
        <v>0</v>
      </c>
      <c r="O183" s="23" t="n">
        <v>0</v>
      </c>
      <c r="P183" s="42" t="inlineStr">
        <is>
          <t>Silk Tunic, Silk Cap, Silk Leggings, Silk Slippers, Brilliant Hammer, Light Guard</t>
        </is>
      </c>
    </row>
    <row r="184">
      <c r="A184" s="21" t="n">
        <v>31</v>
      </c>
      <c r="B184" s="21" t="inlineStr">
        <is>
          <t>Priest</t>
        </is>
      </c>
      <c r="C184" s="21" t="n">
        <v>1</v>
      </c>
      <c r="D184" s="21" t="n">
        <v>19</v>
      </c>
      <c r="E184" s="21" t="n">
        <v>10</v>
      </c>
      <c r="F184" s="21" t="n">
        <v>0</v>
      </c>
      <c r="G184" s="21" t="n">
        <v>50</v>
      </c>
      <c r="H184" s="21" t="n">
        <v>145</v>
      </c>
      <c r="I184" s="21" t="n">
        <v>70</v>
      </c>
      <c r="J184" s="23" t="n">
        <v>0</v>
      </c>
      <c r="K184" s="23" t="n">
        <v>0</v>
      </c>
      <c r="L184" s="23" t="n">
        <v>0</v>
      </c>
      <c r="M184" s="23" t="n">
        <v>0</v>
      </c>
      <c r="N184" s="23" t="n">
        <v>0</v>
      </c>
      <c r="O184" s="23" t="n">
        <v>0</v>
      </c>
      <c r="P184" s="42" t="inlineStr">
        <is>
          <t>Silk Tunic, Silk Cap, Silk Leggings, Silk Slippers, Brilliant Hammer, Light Guard</t>
        </is>
      </c>
    </row>
    <row r="185">
      <c r="A185" s="21" t="n">
        <v>32</v>
      </c>
      <c r="B185" s="21" t="inlineStr">
        <is>
          <t>Priest</t>
        </is>
      </c>
      <c r="C185" s="21" t="n">
        <v>1</v>
      </c>
      <c r="D185" s="21" t="n">
        <v>19</v>
      </c>
      <c r="E185" s="21" t="n">
        <v>10</v>
      </c>
      <c r="F185" s="21" t="n">
        <v>0</v>
      </c>
      <c r="G185" s="21" t="n">
        <v>50</v>
      </c>
      <c r="H185" s="21" t="n">
        <v>145</v>
      </c>
      <c r="I185" s="21" t="n">
        <v>70</v>
      </c>
      <c r="J185" s="23" t="n">
        <v>0</v>
      </c>
      <c r="K185" s="23" t="n">
        <v>0</v>
      </c>
      <c r="L185" s="23" t="n">
        <v>0</v>
      </c>
      <c r="M185" s="23" t="n">
        <v>0</v>
      </c>
      <c r="N185" s="23" t="n">
        <v>0</v>
      </c>
      <c r="O185" s="23" t="n">
        <v>0</v>
      </c>
      <c r="P185" s="42" t="inlineStr">
        <is>
          <t>Silk Tunic, Silk Cap, Silk Leggings, Silk Slippers, Brilliant Hammer, Light Guard</t>
        </is>
      </c>
    </row>
    <row r="186">
      <c r="A186" s="21" t="n">
        <v>33</v>
      </c>
      <c r="B186" s="21" t="inlineStr">
        <is>
          <t>Priest</t>
        </is>
      </c>
      <c r="C186" s="21" t="n">
        <v>1</v>
      </c>
      <c r="D186" s="21" t="n">
        <v>19</v>
      </c>
      <c r="E186" s="21" t="n">
        <v>10</v>
      </c>
      <c r="F186" s="21" t="n">
        <v>0</v>
      </c>
      <c r="G186" s="21" t="n">
        <v>50</v>
      </c>
      <c r="H186" s="21" t="n">
        <v>145</v>
      </c>
      <c r="I186" s="21" t="n">
        <v>70</v>
      </c>
      <c r="J186" s="23" t="n">
        <v>0</v>
      </c>
      <c r="K186" s="23" t="n">
        <v>0</v>
      </c>
      <c r="L186" s="23" t="n">
        <v>0</v>
      </c>
      <c r="M186" s="23" t="n">
        <v>0</v>
      </c>
      <c r="N186" s="23" t="n">
        <v>0</v>
      </c>
      <c r="O186" s="23" t="n">
        <v>0</v>
      </c>
      <c r="P186" s="42" t="inlineStr">
        <is>
          <t>Silk Tunic, Silk Cap, Silk Leggings, Silk Slippers, Brilliant Hammer, Light Guard</t>
        </is>
      </c>
    </row>
    <row r="187">
      <c r="A187" s="21" t="n">
        <v>34</v>
      </c>
      <c r="B187" s="21" t="inlineStr">
        <is>
          <t>Priest</t>
        </is>
      </c>
      <c r="C187" s="21" t="n">
        <v>1</v>
      </c>
      <c r="D187" s="21" t="n">
        <v>19</v>
      </c>
      <c r="E187" s="21" t="n">
        <v>10</v>
      </c>
      <c r="F187" s="21" t="n">
        <v>0</v>
      </c>
      <c r="G187" s="21" t="n">
        <v>50</v>
      </c>
      <c r="H187" s="21" t="n">
        <v>145</v>
      </c>
      <c r="I187" s="21" t="n">
        <v>70</v>
      </c>
      <c r="J187" s="23" t="n">
        <v>0</v>
      </c>
      <c r="K187" s="23" t="n">
        <v>0</v>
      </c>
      <c r="L187" s="23" t="n">
        <v>0</v>
      </c>
      <c r="M187" s="23" t="n">
        <v>0</v>
      </c>
      <c r="N187" s="23" t="n">
        <v>0</v>
      </c>
      <c r="O187" s="23" t="n">
        <v>0</v>
      </c>
      <c r="P187" s="42" t="inlineStr">
        <is>
          <t>Silk Tunic, Silk Cap, Silk Leggings, Silk Slippers, Brilliant Hammer, Light Guard</t>
        </is>
      </c>
    </row>
    <row r="188">
      <c r="A188" s="21" t="n">
        <v>35</v>
      </c>
      <c r="B188" s="21" t="inlineStr">
        <is>
          <t>Priest</t>
        </is>
      </c>
      <c r="C188" s="21" t="n">
        <v>1</v>
      </c>
      <c r="D188" s="21" t="n">
        <v>19</v>
      </c>
      <c r="E188" s="21" t="n">
        <v>10</v>
      </c>
      <c r="F188" s="21" t="n">
        <v>0</v>
      </c>
      <c r="G188" s="21" t="n">
        <v>50</v>
      </c>
      <c r="H188" s="21" t="n">
        <v>165</v>
      </c>
      <c r="I188" s="21" t="n">
        <v>90</v>
      </c>
      <c r="J188" s="23" t="n">
        <v>0</v>
      </c>
      <c r="K188" s="23" t="n">
        <v>0</v>
      </c>
      <c r="L188" s="23" t="n">
        <v>0</v>
      </c>
      <c r="M188" s="23" t="n">
        <v>0</v>
      </c>
      <c r="N188" s="23" t="n">
        <v>0</v>
      </c>
      <c r="O188" s="23" t="n">
        <v>0</v>
      </c>
      <c r="P188" s="42" t="inlineStr">
        <is>
          <t>Silk Tunic, Silk Cap, Silk Leggings, Silk Slippers, Brilliant Hammer, Firebrand Guard</t>
        </is>
      </c>
    </row>
    <row r="189">
      <c r="A189" s="21" t="n">
        <v>36</v>
      </c>
      <c r="B189" s="21" t="inlineStr">
        <is>
          <t>Priest</t>
        </is>
      </c>
      <c r="C189" s="21" t="n">
        <v>1</v>
      </c>
      <c r="D189" s="21" t="n">
        <v>19</v>
      </c>
      <c r="E189" s="21" t="n">
        <v>10</v>
      </c>
      <c r="F189" s="21" t="n">
        <v>0</v>
      </c>
      <c r="G189" s="21" t="n">
        <v>50</v>
      </c>
      <c r="H189" s="21" t="n">
        <v>165</v>
      </c>
      <c r="I189" s="21" t="n">
        <v>90</v>
      </c>
      <c r="J189" s="23" t="n">
        <v>0</v>
      </c>
      <c r="K189" s="23" t="n">
        <v>0</v>
      </c>
      <c r="L189" s="23" t="n">
        <v>0</v>
      </c>
      <c r="M189" s="23" t="n">
        <v>0</v>
      </c>
      <c r="N189" s="23" t="n">
        <v>0</v>
      </c>
      <c r="O189" s="23" t="n">
        <v>0</v>
      </c>
      <c r="P189" s="42" t="inlineStr">
        <is>
          <t>Silk Tunic, Silk Cap, Silk Leggings, Silk Slippers, Brilliant Hammer, Firebrand Guard</t>
        </is>
      </c>
    </row>
    <row r="190">
      <c r="A190" s="21" t="n">
        <v>37</v>
      </c>
      <c r="B190" s="21" t="inlineStr">
        <is>
          <t>Priest</t>
        </is>
      </c>
      <c r="C190" s="21" t="n">
        <v>1</v>
      </c>
      <c r="D190" s="21" t="n">
        <v>19</v>
      </c>
      <c r="E190" s="21" t="n">
        <v>10</v>
      </c>
      <c r="F190" s="21" t="n">
        <v>0</v>
      </c>
      <c r="G190" s="21" t="n">
        <v>50</v>
      </c>
      <c r="H190" s="21" t="n">
        <v>165</v>
      </c>
      <c r="I190" s="21" t="n">
        <v>90</v>
      </c>
      <c r="J190" s="23" t="n">
        <v>0</v>
      </c>
      <c r="K190" s="23" t="n">
        <v>0</v>
      </c>
      <c r="L190" s="23" t="n">
        <v>0</v>
      </c>
      <c r="M190" s="23" t="n">
        <v>0</v>
      </c>
      <c r="N190" s="23" t="n">
        <v>0</v>
      </c>
      <c r="O190" s="23" t="n">
        <v>0</v>
      </c>
      <c r="P190" s="42" t="inlineStr">
        <is>
          <t>Silk Tunic, Silk Cap, Silk Leggings, Silk Slippers, Brilliant Hammer, Firebrand Guard</t>
        </is>
      </c>
    </row>
    <row r="191">
      <c r="A191" s="21" t="n">
        <v>38</v>
      </c>
      <c r="B191" s="21" t="inlineStr">
        <is>
          <t>Priest</t>
        </is>
      </c>
      <c r="C191" s="21" t="n">
        <v>1</v>
      </c>
      <c r="D191" s="21" t="n">
        <v>19</v>
      </c>
      <c r="E191" s="21" t="n">
        <v>10</v>
      </c>
      <c r="F191" s="21" t="n">
        <v>0</v>
      </c>
      <c r="G191" s="21" t="n">
        <v>50</v>
      </c>
      <c r="H191" s="21" t="n">
        <v>165</v>
      </c>
      <c r="I191" s="21" t="n">
        <v>90</v>
      </c>
      <c r="J191" s="23" t="n">
        <v>0</v>
      </c>
      <c r="K191" s="23" t="n">
        <v>0</v>
      </c>
      <c r="L191" s="23" t="n">
        <v>0</v>
      </c>
      <c r="M191" s="23" t="n">
        <v>0</v>
      </c>
      <c r="N191" s="23" t="n">
        <v>0</v>
      </c>
      <c r="O191" s="23" t="n">
        <v>0</v>
      </c>
      <c r="P191" s="42" t="inlineStr">
        <is>
          <t>Silk Tunic, Silk Cap, Silk Leggings, Silk Slippers, Brilliant Hammer, Firebrand Guard</t>
        </is>
      </c>
    </row>
    <row r="192">
      <c r="A192" s="21" t="n">
        <v>39</v>
      </c>
      <c r="B192" s="21" t="inlineStr">
        <is>
          <t>Priest</t>
        </is>
      </c>
      <c r="C192" s="21" t="n">
        <v>1</v>
      </c>
      <c r="D192" s="21" t="n">
        <v>19</v>
      </c>
      <c r="E192" s="21" t="n">
        <v>10</v>
      </c>
      <c r="F192" s="21" t="n">
        <v>0</v>
      </c>
      <c r="G192" s="21" t="n">
        <v>50</v>
      </c>
      <c r="H192" s="21" t="n">
        <v>165</v>
      </c>
      <c r="I192" s="21" t="n">
        <v>90</v>
      </c>
      <c r="J192" s="23" t="n">
        <v>0</v>
      </c>
      <c r="K192" s="23" t="n">
        <v>0</v>
      </c>
      <c r="L192" s="23" t="n">
        <v>0</v>
      </c>
      <c r="M192" s="23" t="n">
        <v>0</v>
      </c>
      <c r="N192" s="23" t="n">
        <v>0</v>
      </c>
      <c r="O192" s="23" t="n">
        <v>0</v>
      </c>
      <c r="P192" s="42" t="inlineStr">
        <is>
          <t>Silk Tunic, Silk Cap, Silk Leggings, Silk Slippers, Brilliant Hammer, Firebrand Guard</t>
        </is>
      </c>
    </row>
    <row r="193">
      <c r="A193" s="21" t="n">
        <v>40</v>
      </c>
      <c r="B193" s="21" t="inlineStr">
        <is>
          <t>Priest</t>
        </is>
      </c>
      <c r="C193" s="21" t="n">
        <v>1</v>
      </c>
      <c r="D193" s="21" t="n">
        <v>19</v>
      </c>
      <c r="E193" s="21" t="n">
        <v>10</v>
      </c>
      <c r="F193" s="21" t="n">
        <v>0</v>
      </c>
      <c r="G193" s="21" t="n">
        <v>50</v>
      </c>
      <c r="H193" s="21" t="n">
        <v>165</v>
      </c>
      <c r="I193" s="21" t="n">
        <v>90</v>
      </c>
      <c r="J193" s="23" t="n">
        <v>0</v>
      </c>
      <c r="K193" s="23" t="n">
        <v>0</v>
      </c>
      <c r="L193" s="23" t="n">
        <v>0</v>
      </c>
      <c r="M193" s="23" t="n">
        <v>0</v>
      </c>
      <c r="N193" s="23" t="n">
        <v>0</v>
      </c>
      <c r="O193" s="23" t="n">
        <v>0</v>
      </c>
      <c r="P193" s="42" t="inlineStr">
        <is>
          <t>Silk Tunic, Silk Cap, Silk Leggings, Silk Slippers, Brilliant Hammer, Firebrand Guard</t>
        </is>
      </c>
    </row>
    <row r="194">
      <c r="A194" s="21" t="n">
        <v>41</v>
      </c>
      <c r="B194" s="21" t="inlineStr">
        <is>
          <t>Priest</t>
        </is>
      </c>
      <c r="C194" s="21" t="n">
        <v>1</v>
      </c>
      <c r="D194" s="21" t="n">
        <v>19</v>
      </c>
      <c r="E194" s="21" t="n">
        <v>10</v>
      </c>
      <c r="F194" s="21" t="n">
        <v>0</v>
      </c>
      <c r="G194" s="21" t="n">
        <v>50</v>
      </c>
      <c r="H194" s="21" t="n">
        <v>165</v>
      </c>
      <c r="I194" s="21" t="n">
        <v>90</v>
      </c>
      <c r="J194" s="23" t="n">
        <v>0</v>
      </c>
      <c r="K194" s="23" t="n">
        <v>0</v>
      </c>
      <c r="L194" s="23" t="n">
        <v>0</v>
      </c>
      <c r="M194" s="23" t="n">
        <v>0</v>
      </c>
      <c r="N194" s="23" t="n">
        <v>0</v>
      </c>
      <c r="O194" s="23" t="n">
        <v>0</v>
      </c>
      <c r="P194" s="42" t="inlineStr">
        <is>
          <t>Silk Tunic, Silk Cap, Silk Leggings, Silk Slippers, Brilliant Hammer, Firebrand Guard</t>
        </is>
      </c>
    </row>
    <row r="195">
      <c r="A195" s="21" t="n">
        <v>42</v>
      </c>
      <c r="B195" s="21" t="inlineStr">
        <is>
          <t>Priest</t>
        </is>
      </c>
      <c r="C195" s="21" t="n">
        <v>1</v>
      </c>
      <c r="D195" s="21" t="n">
        <v>19</v>
      </c>
      <c r="E195" s="21" t="n">
        <v>10</v>
      </c>
      <c r="F195" s="21" t="n">
        <v>0</v>
      </c>
      <c r="G195" s="21" t="n">
        <v>50</v>
      </c>
      <c r="H195" s="21" t="n">
        <v>165</v>
      </c>
      <c r="I195" s="21" t="n">
        <v>90</v>
      </c>
      <c r="J195" s="23" t="n">
        <v>0</v>
      </c>
      <c r="K195" s="23" t="n">
        <v>0</v>
      </c>
      <c r="L195" s="23" t="n">
        <v>0</v>
      </c>
      <c r="M195" s="23" t="n">
        <v>0</v>
      </c>
      <c r="N195" s="23" t="n">
        <v>0</v>
      </c>
      <c r="O195" s="23" t="n">
        <v>0</v>
      </c>
      <c r="P195" s="42" t="inlineStr">
        <is>
          <t>Silk Tunic, Silk Cap, Silk Leggings, Silk Slippers, Brilliant Hammer, Firebrand Guard</t>
        </is>
      </c>
    </row>
    <row r="196">
      <c r="A196" s="21" t="n">
        <v>43</v>
      </c>
      <c r="B196" s="21" t="inlineStr">
        <is>
          <t>Priest</t>
        </is>
      </c>
      <c r="C196" s="21" t="n">
        <v>1</v>
      </c>
      <c r="D196" s="21" t="n">
        <v>19</v>
      </c>
      <c r="E196" s="21" t="n">
        <v>10</v>
      </c>
      <c r="F196" s="21" t="n">
        <v>0</v>
      </c>
      <c r="G196" s="21" t="n">
        <v>50</v>
      </c>
      <c r="H196" s="21" t="n">
        <v>165</v>
      </c>
      <c r="I196" s="21" t="n">
        <v>90</v>
      </c>
      <c r="J196" s="23" t="n">
        <v>0</v>
      </c>
      <c r="K196" s="23" t="n">
        <v>0</v>
      </c>
      <c r="L196" s="23" t="n">
        <v>0</v>
      </c>
      <c r="M196" s="23" t="n">
        <v>0</v>
      </c>
      <c r="N196" s="23" t="n">
        <v>0</v>
      </c>
      <c r="O196" s="23" t="n">
        <v>0</v>
      </c>
      <c r="P196" s="42" t="inlineStr">
        <is>
          <t>Silk Tunic, Silk Cap, Silk Leggings, Silk Slippers, Brilliant Hammer, Firebrand Guard</t>
        </is>
      </c>
    </row>
    <row r="197">
      <c r="A197" s="21" t="n">
        <v>44</v>
      </c>
      <c r="B197" s="21" t="inlineStr">
        <is>
          <t>Priest</t>
        </is>
      </c>
      <c r="C197" s="21" t="n">
        <v>1</v>
      </c>
      <c r="D197" s="21" t="n">
        <v>19</v>
      </c>
      <c r="E197" s="21" t="n">
        <v>10</v>
      </c>
      <c r="F197" s="21" t="n">
        <v>0</v>
      </c>
      <c r="G197" s="21" t="n">
        <v>50</v>
      </c>
      <c r="H197" s="21" t="n">
        <v>165</v>
      </c>
      <c r="I197" s="21" t="n">
        <v>90</v>
      </c>
      <c r="J197" s="23" t="n">
        <v>0</v>
      </c>
      <c r="K197" s="23" t="n">
        <v>0</v>
      </c>
      <c r="L197" s="23" t="n">
        <v>0</v>
      </c>
      <c r="M197" s="23" t="n">
        <v>0</v>
      </c>
      <c r="N197" s="23" t="n">
        <v>0</v>
      </c>
      <c r="O197" s="23" t="n">
        <v>0</v>
      </c>
      <c r="P197" s="42" t="inlineStr">
        <is>
          <t>Silk Tunic, Silk Cap, Silk Leggings, Silk Slippers, Brilliant Hammer, Firebrand Guard</t>
        </is>
      </c>
    </row>
    <row r="198">
      <c r="A198" s="21" t="n">
        <v>45</v>
      </c>
      <c r="B198" s="21" t="inlineStr">
        <is>
          <t>Priest</t>
        </is>
      </c>
      <c r="C198" s="21" t="n">
        <v>1</v>
      </c>
      <c r="D198" s="21" t="n">
        <v>19</v>
      </c>
      <c r="E198" s="21" t="n">
        <v>10</v>
      </c>
      <c r="F198" s="21" t="n">
        <v>0</v>
      </c>
      <c r="G198" s="21" t="n">
        <v>50</v>
      </c>
      <c r="H198" s="21" t="n">
        <v>165</v>
      </c>
      <c r="I198" s="21" t="n">
        <v>90</v>
      </c>
      <c r="J198" s="23" t="n">
        <v>0</v>
      </c>
      <c r="K198" s="23" t="n">
        <v>0</v>
      </c>
      <c r="L198" s="23" t="n">
        <v>0</v>
      </c>
      <c r="M198" s="23" t="n">
        <v>0</v>
      </c>
      <c r="N198" s="23" t="n">
        <v>0</v>
      </c>
      <c r="O198" s="23" t="n">
        <v>0</v>
      </c>
      <c r="P198" s="42" t="inlineStr">
        <is>
          <t>Silk Tunic, Silk Cap, Silk Leggings, Silk Slippers, Brilliant Hammer, Firebrand Guard</t>
        </is>
      </c>
    </row>
    <row r="199">
      <c r="A199" s="21" t="n">
        <v>46</v>
      </c>
      <c r="B199" s="21" t="inlineStr">
        <is>
          <t>Priest</t>
        </is>
      </c>
      <c r="C199" s="21" t="n">
        <v>1</v>
      </c>
      <c r="D199" s="21" t="n">
        <v>19</v>
      </c>
      <c r="E199" s="21" t="n">
        <v>10</v>
      </c>
      <c r="F199" s="21" t="n">
        <v>0</v>
      </c>
      <c r="G199" s="21" t="n">
        <v>50</v>
      </c>
      <c r="H199" s="21" t="n">
        <v>165</v>
      </c>
      <c r="I199" s="21" t="n">
        <v>90</v>
      </c>
      <c r="J199" s="23" t="n">
        <v>0</v>
      </c>
      <c r="K199" s="23" t="n">
        <v>0</v>
      </c>
      <c r="L199" s="23" t="n">
        <v>0</v>
      </c>
      <c r="M199" s="23" t="n">
        <v>0</v>
      </c>
      <c r="N199" s="23" t="n">
        <v>0</v>
      </c>
      <c r="O199" s="23" t="n">
        <v>0</v>
      </c>
      <c r="P199" s="42" t="inlineStr">
        <is>
          <t>Silk Tunic, Silk Cap, Silk Leggings, Silk Slippers, Brilliant Hammer, Firebrand Guard</t>
        </is>
      </c>
    </row>
    <row r="200">
      <c r="A200" s="21" t="n">
        <v>47</v>
      </c>
      <c r="B200" s="21" t="inlineStr">
        <is>
          <t>Priest</t>
        </is>
      </c>
      <c r="C200" s="21" t="n">
        <v>1</v>
      </c>
      <c r="D200" s="21" t="n">
        <v>19</v>
      </c>
      <c r="E200" s="21" t="n">
        <v>10</v>
      </c>
      <c r="F200" s="21" t="n">
        <v>0</v>
      </c>
      <c r="G200" s="21" t="n">
        <v>50</v>
      </c>
      <c r="H200" s="21" t="n">
        <v>165</v>
      </c>
      <c r="I200" s="21" t="n">
        <v>90</v>
      </c>
      <c r="J200" s="23" t="n">
        <v>0</v>
      </c>
      <c r="K200" s="23" t="n">
        <v>0</v>
      </c>
      <c r="L200" s="23" t="n">
        <v>0</v>
      </c>
      <c r="M200" s="23" t="n">
        <v>0</v>
      </c>
      <c r="N200" s="23" t="n">
        <v>0</v>
      </c>
      <c r="O200" s="23" t="n">
        <v>0</v>
      </c>
      <c r="P200" s="42" t="inlineStr">
        <is>
          <t>Silk Tunic, Silk Cap, Silk Leggings, Silk Slippers, Brilliant Hammer, Firebrand Guard</t>
        </is>
      </c>
    </row>
    <row r="201">
      <c r="A201" s="21" t="n">
        <v>48</v>
      </c>
      <c r="B201" s="21" t="inlineStr">
        <is>
          <t>Priest</t>
        </is>
      </c>
      <c r="C201" s="21" t="n">
        <v>1</v>
      </c>
      <c r="D201" s="21" t="n">
        <v>19</v>
      </c>
      <c r="E201" s="21" t="n">
        <v>10</v>
      </c>
      <c r="F201" s="21" t="n">
        <v>0</v>
      </c>
      <c r="G201" s="21" t="n">
        <v>50</v>
      </c>
      <c r="H201" s="21" t="n">
        <v>165</v>
      </c>
      <c r="I201" s="21" t="n">
        <v>90</v>
      </c>
      <c r="J201" s="23" t="n">
        <v>0</v>
      </c>
      <c r="K201" s="23" t="n">
        <v>0</v>
      </c>
      <c r="L201" s="23" t="n">
        <v>0</v>
      </c>
      <c r="M201" s="23" t="n">
        <v>0</v>
      </c>
      <c r="N201" s="23" t="n">
        <v>0</v>
      </c>
      <c r="O201" s="23" t="n">
        <v>0</v>
      </c>
      <c r="P201" s="42" t="inlineStr">
        <is>
          <t>Silk Tunic, Silk Cap, Silk Leggings, Silk Slippers, Brilliant Hammer, Firebrand Guard</t>
        </is>
      </c>
    </row>
    <row r="202">
      <c r="A202" s="21" t="n">
        <v>49</v>
      </c>
      <c r="B202" s="21" t="inlineStr">
        <is>
          <t>Priest</t>
        </is>
      </c>
      <c r="C202" s="21" t="n">
        <v>1</v>
      </c>
      <c r="D202" s="21" t="n">
        <v>19</v>
      </c>
      <c r="E202" s="21" t="n">
        <v>10</v>
      </c>
      <c r="F202" s="21" t="n">
        <v>0</v>
      </c>
      <c r="G202" s="21" t="n">
        <v>50</v>
      </c>
      <c r="H202" s="21" t="n">
        <v>165</v>
      </c>
      <c r="I202" s="21" t="n">
        <v>90</v>
      </c>
      <c r="J202" s="23" t="n">
        <v>0</v>
      </c>
      <c r="K202" s="23" t="n">
        <v>0</v>
      </c>
      <c r="L202" s="23" t="n">
        <v>0</v>
      </c>
      <c r="M202" s="23" t="n">
        <v>0</v>
      </c>
      <c r="N202" s="23" t="n">
        <v>0</v>
      </c>
      <c r="O202" s="23" t="n">
        <v>0</v>
      </c>
      <c r="P202" s="42" t="inlineStr">
        <is>
          <t>Silk Tunic, Silk Cap, Silk Leggings, Silk Slippers, Brilliant Hammer, Firebrand Guard</t>
        </is>
      </c>
    </row>
    <row r="203">
      <c r="A203" s="21" t="n">
        <v>50</v>
      </c>
      <c r="B203" s="21" t="inlineStr">
        <is>
          <t>Priest</t>
        </is>
      </c>
      <c r="C203" s="21" t="n">
        <v>1</v>
      </c>
      <c r="D203" s="21" t="n">
        <v>19</v>
      </c>
      <c r="E203" s="21" t="n">
        <v>10</v>
      </c>
      <c r="F203" s="21" t="n">
        <v>0</v>
      </c>
      <c r="G203" s="21" t="n">
        <v>50</v>
      </c>
      <c r="H203" s="21" t="n">
        <v>165</v>
      </c>
      <c r="I203" s="21" t="n">
        <v>90</v>
      </c>
      <c r="J203" s="23" t="n">
        <v>0</v>
      </c>
      <c r="K203" s="23" t="n">
        <v>0</v>
      </c>
      <c r="L203" s="23" t="n">
        <v>0</v>
      </c>
      <c r="M203" s="23" t="n">
        <v>0</v>
      </c>
      <c r="N203" s="23" t="n">
        <v>0</v>
      </c>
      <c r="O203" s="23" t="n">
        <v>0</v>
      </c>
      <c r="P203" s="42" t="inlineStr">
        <is>
          <t>Silk Tunic, Silk Cap, Silk Leggings, Silk Slippers, Brilliant Hammer, Firebrand Guard</t>
        </is>
      </c>
    </row>
    <row r="204">
      <c r="A204" s="21" t="n">
        <v>1</v>
      </c>
      <c r="B204" s="21" t="inlineStr">
        <is>
          <t>Rogue</t>
        </is>
      </c>
      <c r="C204" s="21" t="n">
        <v>2</v>
      </c>
      <c r="D204" s="21" t="n">
        <v>3</v>
      </c>
      <c r="E204" s="21" t="n">
        <v>10</v>
      </c>
      <c r="F204" s="21" t="n">
        <v>0</v>
      </c>
      <c r="G204" s="21" t="n">
        <v>0</v>
      </c>
      <c r="H204" s="21" t="n">
        <v>0</v>
      </c>
      <c r="I204" s="21" t="n">
        <v>25</v>
      </c>
      <c r="J204" s="23" t="n">
        <v>0</v>
      </c>
      <c r="K204" s="23" t="n">
        <v>0</v>
      </c>
      <c r="L204" s="23" t="n">
        <v>0</v>
      </c>
      <c r="M204" s="23" t="n">
        <v>0</v>
      </c>
      <c r="N204" s="23" t="n">
        <v>0</v>
      </c>
      <c r="O204" s="23" t="n">
        <v>0</v>
      </c>
      <c r="P204" s="42" t="inlineStr">
        <is>
          <t>Cloth Tunic, Cloth Cap, Cloth Leggings, Cloth Shoes, Stick</t>
        </is>
      </c>
    </row>
    <row r="205">
      <c r="A205" s="21" t="n">
        <v>2</v>
      </c>
      <c r="B205" s="21" t="inlineStr">
        <is>
          <t>Rogue</t>
        </is>
      </c>
      <c r="C205" s="21" t="n">
        <v>2</v>
      </c>
      <c r="D205" s="21" t="n">
        <v>3</v>
      </c>
      <c r="E205" s="21" t="n">
        <v>10</v>
      </c>
      <c r="F205" s="21" t="n">
        <v>0</v>
      </c>
      <c r="G205" s="21" t="n">
        <v>0</v>
      </c>
      <c r="H205" s="21" t="n">
        <v>0</v>
      </c>
      <c r="I205" s="21" t="n">
        <v>25</v>
      </c>
      <c r="J205" s="23" t="n">
        <v>0</v>
      </c>
      <c r="K205" s="23" t="n">
        <v>0</v>
      </c>
      <c r="L205" s="23" t="n">
        <v>0</v>
      </c>
      <c r="M205" s="23" t="n">
        <v>0</v>
      </c>
      <c r="N205" s="23" t="n">
        <v>0</v>
      </c>
      <c r="O205" s="23" t="n">
        <v>0</v>
      </c>
      <c r="P205" s="42" t="inlineStr">
        <is>
          <t>Cloth Tunic, Cloth Cap, Cloth Leggings, Cloth Shoes, Stick</t>
        </is>
      </c>
    </row>
    <row r="206">
      <c r="A206" s="21" t="n">
        <v>3</v>
      </c>
      <c r="B206" s="21" t="inlineStr">
        <is>
          <t>Rogue</t>
        </is>
      </c>
      <c r="C206" s="21" t="n">
        <v>2</v>
      </c>
      <c r="D206" s="21" t="n">
        <v>3</v>
      </c>
      <c r="E206" s="21" t="n">
        <v>10</v>
      </c>
      <c r="F206" s="21" t="n">
        <v>0</v>
      </c>
      <c r="G206" s="21" t="n">
        <v>0</v>
      </c>
      <c r="H206" s="21" t="n">
        <v>0</v>
      </c>
      <c r="I206" s="21" t="n">
        <v>25</v>
      </c>
      <c r="J206" s="23" t="n">
        <v>0</v>
      </c>
      <c r="K206" s="23" t="n">
        <v>0</v>
      </c>
      <c r="L206" s="23" t="n">
        <v>0</v>
      </c>
      <c r="M206" s="23" t="n">
        <v>0</v>
      </c>
      <c r="N206" s="23" t="n">
        <v>0</v>
      </c>
      <c r="O206" s="23" t="n">
        <v>0</v>
      </c>
      <c r="P206" s="42" t="inlineStr">
        <is>
          <t>Cloth Tunic, Cloth Cap, Cloth Leggings, Cloth Shoes, Stick</t>
        </is>
      </c>
    </row>
    <row r="207">
      <c r="A207" s="21" t="n">
        <v>4</v>
      </c>
      <c r="B207" s="21" t="inlineStr">
        <is>
          <t>Rogue</t>
        </is>
      </c>
      <c r="C207" s="21" t="n">
        <v>2</v>
      </c>
      <c r="D207" s="21" t="n">
        <v>3</v>
      </c>
      <c r="E207" s="21" t="n">
        <v>10</v>
      </c>
      <c r="F207" s="21" t="n">
        <v>2</v>
      </c>
      <c r="G207" s="21" t="n">
        <v>70</v>
      </c>
      <c r="H207" s="21" t="n">
        <v>0</v>
      </c>
      <c r="I207" s="21" t="n">
        <v>30</v>
      </c>
      <c r="J207" s="23" t="n">
        <v>0</v>
      </c>
      <c r="K207" s="23" t="n">
        <v>0</v>
      </c>
      <c r="L207" s="23" t="n">
        <v>0</v>
      </c>
      <c r="M207" s="23" t="n">
        <v>0</v>
      </c>
      <c r="N207" s="23" t="n">
        <v>0</v>
      </c>
      <c r="O207" s="23" t="n">
        <v>0</v>
      </c>
      <c r="P207" s="42" t="inlineStr">
        <is>
          <t>Cloth Tunic, Cloth Cap, Cloth Leggings, Cloth Shoes, Stick, Worn Leather Gloves</t>
        </is>
      </c>
    </row>
    <row r="208">
      <c r="A208" s="21" t="n">
        <v>5</v>
      </c>
      <c r="B208" s="21" t="inlineStr">
        <is>
          <t>Rogue</t>
        </is>
      </c>
      <c r="C208" s="21" t="n">
        <v>2</v>
      </c>
      <c r="D208" s="21" t="n">
        <v>12</v>
      </c>
      <c r="E208" s="21" t="n">
        <v>10</v>
      </c>
      <c r="F208" s="21" t="n">
        <v>7</v>
      </c>
      <c r="G208" s="21" t="n">
        <v>210</v>
      </c>
      <c r="H208" s="21" t="n">
        <v>30</v>
      </c>
      <c r="I208" s="21" t="n">
        <v>52</v>
      </c>
      <c r="J208" s="23" t="n">
        <v>0</v>
      </c>
      <c r="K208" s="23" t="n">
        <v>0</v>
      </c>
      <c r="L208" s="23" t="n">
        <v>0</v>
      </c>
      <c r="M208" s="23" t="n">
        <v>0</v>
      </c>
      <c r="N208" s="23" t="n">
        <v>0</v>
      </c>
      <c r="O208" s="23" t="n">
        <v>0</v>
      </c>
      <c r="P208" s="42" t="inlineStr">
        <is>
          <t>Cloth Tunic, Cloth Cap, Cloth Leggings, Cloth Shoes, Small Dagger, Wooden Buckler, Worn Leather Belt, Worn Leather Gloves, Copper Band, Copper Band</t>
        </is>
      </c>
    </row>
    <row r="209">
      <c r="A209" s="21" t="n">
        <v>6</v>
      </c>
      <c r="B209" s="21" t="inlineStr">
        <is>
          <t>Rogue</t>
        </is>
      </c>
      <c r="C209" s="21" t="n">
        <v>2</v>
      </c>
      <c r="D209" s="21" t="n">
        <v>12</v>
      </c>
      <c r="E209" s="21" t="n">
        <v>10</v>
      </c>
      <c r="F209" s="21" t="n">
        <v>7</v>
      </c>
      <c r="G209" s="21" t="n">
        <v>230</v>
      </c>
      <c r="H209" s="21" t="n">
        <v>50</v>
      </c>
      <c r="I209" s="21" t="n">
        <v>60</v>
      </c>
      <c r="J209" s="23" t="n">
        <v>0</v>
      </c>
      <c r="K209" s="23" t="n">
        <v>0</v>
      </c>
      <c r="L209" s="23" t="n">
        <v>0</v>
      </c>
      <c r="M209" s="23" t="n">
        <v>0</v>
      </c>
      <c r="N209" s="23" t="n">
        <v>0</v>
      </c>
      <c r="O209" s="23" t="n">
        <v>0</v>
      </c>
      <c r="P209" s="42" t="inlineStr">
        <is>
          <t>Cloth Tunic, Cloth Cap, Cloth Leggings, Cloth Shoes, Small Dagger, Wooden Buckler, Worn Leather Belt, Worn Leather Gloves, Threadbare Cloak, Copper Band, Copper Band</t>
        </is>
      </c>
    </row>
    <row r="210">
      <c r="A210" s="21" t="n">
        <v>7</v>
      </c>
      <c r="B210" s="21" t="inlineStr">
        <is>
          <t>Rogue</t>
        </is>
      </c>
      <c r="C210" s="21" t="n">
        <v>2</v>
      </c>
      <c r="D210" s="21" t="n">
        <v>12</v>
      </c>
      <c r="E210" s="21" t="n">
        <v>10</v>
      </c>
      <c r="F210" s="21" t="n">
        <v>7</v>
      </c>
      <c r="G210" s="21" t="n">
        <v>255</v>
      </c>
      <c r="H210" s="21" t="n">
        <v>190</v>
      </c>
      <c r="I210" s="21" t="n">
        <v>65</v>
      </c>
      <c r="J210" s="23" t="n">
        <v>0</v>
      </c>
      <c r="K210" s="23" t="n">
        <v>0</v>
      </c>
      <c r="L210" s="23" t="n">
        <v>0</v>
      </c>
      <c r="M210" s="23" t="n">
        <v>0</v>
      </c>
      <c r="N210" s="23" t="n">
        <v>0</v>
      </c>
      <c r="O210" s="23" t="n">
        <v>0</v>
      </c>
      <c r="P210" s="42" t="inlineStr">
        <is>
          <t>Cloth Tunic, Cloth Cap, Cloth Leggings, Cloth Shoes, Small Dagger, Wooden Buckler, Worn Leather Belt, Worn Leather Gloves, Threadbare Cloak, Simple Pendant, Copper Band, Copper Band</t>
        </is>
      </c>
    </row>
    <row r="211">
      <c r="A211" s="21" t="n">
        <v>8</v>
      </c>
      <c r="B211" s="21" t="inlineStr">
        <is>
          <t>Rogue</t>
        </is>
      </c>
      <c r="C211" s="21" t="n">
        <v>2</v>
      </c>
      <c r="D211" s="21" t="n">
        <v>12</v>
      </c>
      <c r="E211" s="21" t="n">
        <v>10</v>
      </c>
      <c r="F211" s="21" t="n">
        <v>9</v>
      </c>
      <c r="G211" s="21" t="n">
        <v>345</v>
      </c>
      <c r="H211" s="21" t="n">
        <v>190</v>
      </c>
      <c r="I211" s="21" t="n">
        <v>77</v>
      </c>
      <c r="J211" s="23" t="n">
        <v>0</v>
      </c>
      <c r="K211" s="23" t="n">
        <v>0</v>
      </c>
      <c r="L211" s="23" t="n">
        <v>0</v>
      </c>
      <c r="M211" s="23" t="n">
        <v>0</v>
      </c>
      <c r="N211" s="23" t="n">
        <v>0</v>
      </c>
      <c r="O211" s="23" t="n">
        <v>0</v>
      </c>
      <c r="P211" s="42" t="inlineStr">
        <is>
          <t>Cloth Tunic, Cloth Cap, Cloth Leggings, Cloth Shoes, Small Dagger, Wooden Buckler, Worn Leather Belt, Worn Leather Gloves, Threadbare Cloak, Simple Pendant, Patchwork Pauldrons, Copper Band, Copper Band</t>
        </is>
      </c>
    </row>
    <row r="212">
      <c r="A212" s="21" t="n">
        <v>9</v>
      </c>
      <c r="B212" s="21" t="inlineStr">
        <is>
          <t>Rogue</t>
        </is>
      </c>
      <c r="C212" s="21" t="n">
        <v>2</v>
      </c>
      <c r="D212" s="21" t="n">
        <v>12</v>
      </c>
      <c r="E212" s="21" t="n">
        <v>10</v>
      </c>
      <c r="F212" s="21" t="n">
        <v>9</v>
      </c>
      <c r="G212" s="21" t="n">
        <v>345</v>
      </c>
      <c r="H212" s="21" t="n">
        <v>190</v>
      </c>
      <c r="I212" s="21" t="n">
        <v>77</v>
      </c>
      <c r="J212" s="23" t="n">
        <v>0</v>
      </c>
      <c r="K212" s="23" t="n">
        <v>0</v>
      </c>
      <c r="L212" s="23" t="n">
        <v>0</v>
      </c>
      <c r="M212" s="23" t="n">
        <v>0</v>
      </c>
      <c r="N212" s="23" t="n">
        <v>0</v>
      </c>
      <c r="O212" s="23" t="n">
        <v>0</v>
      </c>
      <c r="P212" s="42" t="inlineStr">
        <is>
          <t>Cloth Tunic, Cloth Cap, Cloth Leggings, Cloth Shoes, Small Dagger, Wooden Buckler, Worn Leather Belt, Worn Leather Gloves, Threadbare Cloak, Simple Pendant, Patchwork Pauldrons, Copper Band, Copper Band</t>
        </is>
      </c>
    </row>
    <row r="213">
      <c r="A213" s="21" t="n">
        <v>10</v>
      </c>
      <c r="B213" s="21" t="inlineStr">
        <is>
          <t>Rogue</t>
        </is>
      </c>
      <c r="C213" s="21" t="n">
        <v>2</v>
      </c>
      <c r="D213" s="21" t="n">
        <v>12</v>
      </c>
      <c r="E213" s="21" t="n">
        <v>10</v>
      </c>
      <c r="F213" s="21" t="n">
        <v>9</v>
      </c>
      <c r="G213" s="21" t="n">
        <v>345</v>
      </c>
      <c r="H213" s="21" t="n">
        <v>190</v>
      </c>
      <c r="I213" s="21" t="n">
        <v>93</v>
      </c>
      <c r="J213" s="23" t="n">
        <v>0</v>
      </c>
      <c r="K213" s="23" t="n">
        <v>0</v>
      </c>
      <c r="L213" s="23" t="n">
        <v>0</v>
      </c>
      <c r="M213" s="23" t="n">
        <v>0</v>
      </c>
      <c r="N213" s="23" t="n">
        <v>0</v>
      </c>
      <c r="O213" s="23" t="n">
        <v>0</v>
      </c>
      <c r="P213" s="42" t="inlineStr">
        <is>
          <t>Leather Tunic, Leather Cap, Leather Leggings, Leather Boots, Small Dagger, Wooden Buckler, Worn Leather Belt, Worn Leather Gloves, Threadbare Cloak, Simple Pendant, Patchwork Pauldrons, Copper Band, Copper Band</t>
        </is>
      </c>
    </row>
    <row r="214">
      <c r="A214" s="21" t="n">
        <v>11</v>
      </c>
      <c r="B214" s="21" t="inlineStr">
        <is>
          <t>Rogue</t>
        </is>
      </c>
      <c r="C214" s="21" t="n">
        <v>2</v>
      </c>
      <c r="D214" s="21" t="n">
        <v>12</v>
      </c>
      <c r="E214" s="21" t="n">
        <v>10</v>
      </c>
      <c r="F214" s="21" t="n">
        <v>9</v>
      </c>
      <c r="G214" s="21" t="n">
        <v>345</v>
      </c>
      <c r="H214" s="21" t="n">
        <v>190</v>
      </c>
      <c r="I214" s="21" t="n">
        <v>93</v>
      </c>
      <c r="J214" s="23" t="n">
        <v>0</v>
      </c>
      <c r="K214" s="23" t="n">
        <v>0</v>
      </c>
      <c r="L214" s="23" t="n">
        <v>0</v>
      </c>
      <c r="M214" s="23" t="n">
        <v>0</v>
      </c>
      <c r="N214" s="23" t="n">
        <v>0</v>
      </c>
      <c r="O214" s="23" t="n">
        <v>0</v>
      </c>
      <c r="P214" s="42" t="inlineStr">
        <is>
          <t>Leather Tunic, Leather Cap, Leather Leggings, Leather Boots, Small Dagger, Wooden Buckler, Worn Leather Belt, Worn Leather Gloves, Threadbare Cloak, Simple Pendant, Patchwork Pauldrons, Copper Band, Copper Band</t>
        </is>
      </c>
    </row>
    <row r="215">
      <c r="A215" s="21" t="n">
        <v>12</v>
      </c>
      <c r="B215" s="21" t="inlineStr">
        <is>
          <t>Rogue</t>
        </is>
      </c>
      <c r="C215" s="21" t="n">
        <v>2</v>
      </c>
      <c r="D215" s="21" t="n">
        <v>12</v>
      </c>
      <c r="E215" s="21" t="n">
        <v>10</v>
      </c>
      <c r="F215" s="21" t="n">
        <v>9</v>
      </c>
      <c r="G215" s="21" t="n">
        <v>345</v>
      </c>
      <c r="H215" s="21" t="n">
        <v>190</v>
      </c>
      <c r="I215" s="21" t="n">
        <v>93</v>
      </c>
      <c r="J215" s="23" t="n">
        <v>0</v>
      </c>
      <c r="K215" s="23" t="n">
        <v>0</v>
      </c>
      <c r="L215" s="23" t="n">
        <v>0</v>
      </c>
      <c r="M215" s="23" t="n">
        <v>0</v>
      </c>
      <c r="N215" s="23" t="n">
        <v>0</v>
      </c>
      <c r="O215" s="23" t="n">
        <v>0</v>
      </c>
      <c r="P215" s="42" t="inlineStr">
        <is>
          <t>Leather Tunic, Leather Cap, Leather Leggings, Leather Boots, Small Dagger, Wooden Buckler, Worn Leather Belt, Worn Leather Gloves, Threadbare Cloak, Simple Pendant, Patchwork Pauldrons, Copper Band, Copper Band</t>
        </is>
      </c>
    </row>
    <row r="216">
      <c r="A216" s="21" t="n">
        <v>13</v>
      </c>
      <c r="B216" s="21" t="inlineStr">
        <is>
          <t>Rogue</t>
        </is>
      </c>
      <c r="C216" s="21" t="n">
        <v>2</v>
      </c>
      <c r="D216" s="21" t="n">
        <v>12</v>
      </c>
      <c r="E216" s="21" t="n">
        <v>10</v>
      </c>
      <c r="F216" s="21" t="n">
        <v>15</v>
      </c>
      <c r="G216" s="21" t="n">
        <v>415</v>
      </c>
      <c r="H216" s="21" t="n">
        <v>240</v>
      </c>
      <c r="I216" s="21" t="n">
        <v>105</v>
      </c>
      <c r="J216" s="23" t="n">
        <v>0</v>
      </c>
      <c r="K216" s="23" t="n">
        <v>0</v>
      </c>
      <c r="L216" s="23" t="n">
        <v>0</v>
      </c>
      <c r="M216" s="23" t="n">
        <v>0.04</v>
      </c>
      <c r="N216" s="23" t="n">
        <v>0</v>
      </c>
      <c r="O216" s="23" t="n">
        <v>0</v>
      </c>
      <c r="P216" s="42" t="inlineStr">
        <is>
          <t>Leather Tunic, Leather Cap, Leather Leggings, Leather Boots, Small Dagger, Wooden Buckler, Worn Leather Belt, Worn Leather Gloves, Threadbare Cloak, Simple Pendant, Patchwork Pauldrons, Ring of the Trail, Ring of the Trail</t>
        </is>
      </c>
    </row>
    <row r="217">
      <c r="A217" s="21" t="n">
        <v>14</v>
      </c>
      <c r="B217" s="21" t="inlineStr">
        <is>
          <t>Rogue</t>
        </is>
      </c>
      <c r="C217" s="21" t="n">
        <v>2</v>
      </c>
      <c r="D217" s="21" t="n">
        <v>12</v>
      </c>
      <c r="E217" s="21" t="n">
        <v>10</v>
      </c>
      <c r="F217" s="21" t="n">
        <v>19</v>
      </c>
      <c r="G217" s="21" t="n">
        <v>480</v>
      </c>
      <c r="H217" s="21" t="n">
        <v>240</v>
      </c>
      <c r="I217" s="21" t="n">
        <v>115</v>
      </c>
      <c r="J217" s="23" t="n">
        <v>0</v>
      </c>
      <c r="K217" s="23" t="n">
        <v>0</v>
      </c>
      <c r="L217" s="23" t="n">
        <v>0.02</v>
      </c>
      <c r="M217" s="23" t="n">
        <v>0.04</v>
      </c>
      <c r="N217" s="23" t="n">
        <v>0</v>
      </c>
      <c r="O217" s="23" t="n">
        <v>0</v>
      </c>
      <c r="P217" s="42" t="inlineStr">
        <is>
          <t>Leather Tunic, Leather Cap, Leather Leggings, Leather Boots, Small Dagger, Wooden Buckler, Worn Leather Belt, Scout's Gloves, Threadbare Cloak, Simple Pendant, Patchwork Pauldrons, Ring of the Trail, Ring of the Trail</t>
        </is>
      </c>
    </row>
    <row r="218">
      <c r="A218" s="21" t="n">
        <v>15</v>
      </c>
      <c r="B218" s="21" t="inlineStr">
        <is>
          <t>Rogue</t>
        </is>
      </c>
      <c r="C218" s="21" t="n">
        <v>2</v>
      </c>
      <c r="D218" s="21" t="n">
        <v>19</v>
      </c>
      <c r="E218" s="21" t="n">
        <v>10</v>
      </c>
      <c r="F218" s="21" t="n">
        <v>19</v>
      </c>
      <c r="G218" s="21" t="n">
        <v>480</v>
      </c>
      <c r="H218" s="21" t="n">
        <v>240</v>
      </c>
      <c r="I218" s="21" t="n">
        <v>115</v>
      </c>
      <c r="J218" s="23" t="n">
        <v>0</v>
      </c>
      <c r="K218" s="23" t="n">
        <v>0</v>
      </c>
      <c r="L218" s="23" t="n">
        <v>0.02</v>
      </c>
      <c r="M218" s="23" t="n">
        <v>0.04</v>
      </c>
      <c r="N218" s="23" t="n">
        <v>0</v>
      </c>
      <c r="O218" s="23" t="n">
        <v>0</v>
      </c>
      <c r="P218" s="42" t="inlineStr">
        <is>
          <t>Leather Tunic, Leather Cap, Leather Leggings, Leather Boots, Grim Dagger, Wooden Buckler, Worn Leather Belt, Scout's Gloves, Threadbare Cloak, Simple Pendant, Patchwork Pauldrons, Ring of the Trail, Ring of the Trail</t>
        </is>
      </c>
    </row>
    <row r="219">
      <c r="A219" s="21" t="n">
        <v>16</v>
      </c>
      <c r="B219" s="21" t="inlineStr">
        <is>
          <t>Rogue</t>
        </is>
      </c>
      <c r="C219" s="21" t="n">
        <v>2</v>
      </c>
      <c r="D219" s="21" t="n">
        <v>19</v>
      </c>
      <c r="E219" s="21" t="n">
        <v>10</v>
      </c>
      <c r="F219" s="21" t="n">
        <v>19</v>
      </c>
      <c r="G219" s="21" t="n">
        <v>510</v>
      </c>
      <c r="H219" s="21" t="n">
        <v>270</v>
      </c>
      <c r="I219" s="21" t="n">
        <v>122</v>
      </c>
      <c r="J219" s="23" t="n">
        <v>0</v>
      </c>
      <c r="K219" s="23" t="n">
        <v>0</v>
      </c>
      <c r="L219" s="23" t="n">
        <v>0.02</v>
      </c>
      <c r="M219" s="23" t="n">
        <v>0.04</v>
      </c>
      <c r="N219" s="23" t="n">
        <v>0.02</v>
      </c>
      <c r="O219" s="23" t="n">
        <v>0</v>
      </c>
      <c r="P219" s="42" t="inlineStr">
        <is>
          <t>Leather Tunic, Leather Cap, Leather Leggings, Leather Boots, Grim Dagger, Wooden Buckler, Worn Leather Belt, Scout's Gloves, Traveler's Cloak, Simple Pendant, Patchwork Pauldrons, Ring of the Trail, Ring of the Trail</t>
        </is>
      </c>
    </row>
    <row r="220">
      <c r="A220" s="21" t="n">
        <v>17</v>
      </c>
      <c r="B220" s="21" t="inlineStr">
        <is>
          <t>Rogue</t>
        </is>
      </c>
      <c r="C220" s="21" t="n">
        <v>2</v>
      </c>
      <c r="D220" s="21" t="n">
        <v>19</v>
      </c>
      <c r="E220" s="21" t="n">
        <v>10</v>
      </c>
      <c r="F220" s="21" t="n">
        <v>19</v>
      </c>
      <c r="G220" s="21" t="n">
        <v>545</v>
      </c>
      <c r="H220" s="21" t="n">
        <v>410</v>
      </c>
      <c r="I220" s="21" t="n">
        <v>129</v>
      </c>
      <c r="J220" s="23" t="n">
        <v>0.03</v>
      </c>
      <c r="K220" s="23" t="n">
        <v>0</v>
      </c>
      <c r="L220" s="23" t="n">
        <v>0.02</v>
      </c>
      <c r="M220" s="23" t="n">
        <v>0.04</v>
      </c>
      <c r="N220" s="23" t="n">
        <v>0.02</v>
      </c>
      <c r="O220" s="23" t="n">
        <v>0</v>
      </c>
      <c r="P220" s="42" t="inlineStr">
        <is>
          <t>Leather Tunic, Leather Cap, Leather Leggings, Leather Boots, Grim Dagger, Wooden Buckler, Worn Leather Belt, Scout's Gloves, Traveler's Cloak, Charm of Focus, Patchwork Pauldrons, Ring of the Trail, Ring of the Trail</t>
        </is>
      </c>
    </row>
    <row r="221">
      <c r="A221" s="21" t="n">
        <v>18</v>
      </c>
      <c r="B221" s="21" t="inlineStr">
        <is>
          <t>Rogue</t>
        </is>
      </c>
      <c r="C221" s="21" t="n">
        <v>2</v>
      </c>
      <c r="D221" s="21" t="n">
        <v>19</v>
      </c>
      <c r="E221" s="21" t="n">
        <v>10</v>
      </c>
      <c r="F221" s="21" t="n">
        <v>22</v>
      </c>
      <c r="G221" s="21" t="n">
        <v>710</v>
      </c>
      <c r="H221" s="21" t="n">
        <v>410</v>
      </c>
      <c r="I221" s="21" t="n">
        <v>184</v>
      </c>
      <c r="J221" s="23" t="n">
        <v>0.03</v>
      </c>
      <c r="K221" s="23" t="n">
        <v>0</v>
      </c>
      <c r="L221" s="23" t="n">
        <v>0.02</v>
      </c>
      <c r="M221" s="23" t="n">
        <v>0.04</v>
      </c>
      <c r="N221" s="23" t="n">
        <v>0.02</v>
      </c>
      <c r="O221" s="23" t="n">
        <v>0.02</v>
      </c>
      <c r="P221" s="42" t="inlineStr">
        <is>
          <t>Bronze Chestplate, Bronze Helmet, Bronze Legplates, Bronze Boots, Grim Dagger, Wooden Buckler, Worn Leather Belt, Scout's Gloves, Traveler's Cloak, Charm of Focus, Cold Iron Pauldrons, Ring of the Trail, Ring of the Trail</t>
        </is>
      </c>
    </row>
    <row r="222">
      <c r="A222" s="21" t="n">
        <v>19</v>
      </c>
      <c r="B222" s="21" t="inlineStr">
        <is>
          <t>Rogue</t>
        </is>
      </c>
      <c r="C222" s="21" t="n">
        <v>2</v>
      </c>
      <c r="D222" s="21" t="n">
        <v>19</v>
      </c>
      <c r="E222" s="21" t="n">
        <v>10</v>
      </c>
      <c r="F222" s="21" t="n">
        <v>22</v>
      </c>
      <c r="G222" s="21" t="n">
        <v>710</v>
      </c>
      <c r="H222" s="21" t="n">
        <v>410</v>
      </c>
      <c r="I222" s="21" t="n">
        <v>184</v>
      </c>
      <c r="J222" s="23" t="n">
        <v>0.03</v>
      </c>
      <c r="K222" s="23" t="n">
        <v>0</v>
      </c>
      <c r="L222" s="23" t="n">
        <v>0.02</v>
      </c>
      <c r="M222" s="23" t="n">
        <v>0.04</v>
      </c>
      <c r="N222" s="23" t="n">
        <v>0.02</v>
      </c>
      <c r="O222" s="23" t="n">
        <v>0.02</v>
      </c>
      <c r="P222" s="42" t="inlineStr">
        <is>
          <t>Bronze Chestplate, Bronze Helmet, Bronze Legplates, Bronze Boots, Grim Dagger, Wooden Buckler, Worn Leather Belt, Scout's Gloves, Traveler's Cloak, Charm of Focus, Cold Iron Pauldrons, Ring of the Trail, Ring of the Trail</t>
        </is>
      </c>
    </row>
    <row r="223">
      <c r="A223" s="21" t="n">
        <v>20</v>
      </c>
      <c r="B223" s="21" t="inlineStr">
        <is>
          <t>Rogue</t>
        </is>
      </c>
      <c r="C223" s="21" t="n">
        <v>2</v>
      </c>
      <c r="D223" s="21" t="n">
        <v>19</v>
      </c>
      <c r="E223" s="21" t="n">
        <v>10</v>
      </c>
      <c r="F223" s="21" t="n">
        <v>26</v>
      </c>
      <c r="G223" s="21" t="n">
        <v>995</v>
      </c>
      <c r="H223" s="21" t="n">
        <v>410</v>
      </c>
      <c r="I223" s="21" t="n">
        <v>215</v>
      </c>
      <c r="J223" s="23" t="n">
        <v>0.05</v>
      </c>
      <c r="K223" s="23" t="n">
        <v>0</v>
      </c>
      <c r="L223" s="23" t="n">
        <v>0.04</v>
      </c>
      <c r="M223" s="23" t="n">
        <v>0.04</v>
      </c>
      <c r="N223" s="23" t="n">
        <v>0.02</v>
      </c>
      <c r="O223" s="23" t="n">
        <v>0.02</v>
      </c>
      <c r="P223" s="42" t="inlineStr">
        <is>
          <t>Bronze Chestplate, Bronze Helmet, Bronze Legplates, Bronze Boots, Grim Dagger, Fiber Buckler, Sturdy Belt, Scout's Gloves, Traveler's Cloak, Charm of Focus, Cold Iron Pauldrons, Ring of the Trail, Ring of the Trail</t>
        </is>
      </c>
    </row>
    <row r="224">
      <c r="A224" s="21" t="n">
        <v>21</v>
      </c>
      <c r="B224" s="21" t="inlineStr">
        <is>
          <t>Rogue</t>
        </is>
      </c>
      <c r="C224" s="21" t="n">
        <v>2</v>
      </c>
      <c r="D224" s="21" t="n">
        <v>19</v>
      </c>
      <c r="E224" s="21" t="n">
        <v>10</v>
      </c>
      <c r="F224" s="21" t="n">
        <v>26</v>
      </c>
      <c r="G224" s="21" t="n">
        <v>995</v>
      </c>
      <c r="H224" s="21" t="n">
        <v>410</v>
      </c>
      <c r="I224" s="21" t="n">
        <v>215</v>
      </c>
      <c r="J224" s="23" t="n">
        <v>0.05</v>
      </c>
      <c r="K224" s="23" t="n">
        <v>0</v>
      </c>
      <c r="L224" s="23" t="n">
        <v>0.04</v>
      </c>
      <c r="M224" s="23" t="n">
        <v>0.04</v>
      </c>
      <c r="N224" s="23" t="n">
        <v>0.02</v>
      </c>
      <c r="O224" s="23" t="n">
        <v>0.02</v>
      </c>
      <c r="P224" s="42" t="inlineStr">
        <is>
          <t>Bronze Chestplate, Bronze Helmet, Bronze Legplates, Bronze Boots, Grim Dagger, Fiber Buckler, Sturdy Belt, Scout's Gloves, Traveler's Cloak, Charm of Focus, Cold Iron Pauldrons, Ring of the Trail, Ring of the Trail</t>
        </is>
      </c>
    </row>
    <row r="225">
      <c r="A225" s="21" t="n">
        <v>22</v>
      </c>
      <c r="B225" s="21" t="inlineStr">
        <is>
          <t>Rogue</t>
        </is>
      </c>
      <c r="C225" s="21" t="n">
        <v>2</v>
      </c>
      <c r="D225" s="21" t="n">
        <v>19</v>
      </c>
      <c r="E225" s="21" t="n">
        <v>10</v>
      </c>
      <c r="F225" s="21" t="n">
        <v>26</v>
      </c>
      <c r="G225" s="21" t="n">
        <v>995</v>
      </c>
      <c r="H225" s="21" t="n">
        <v>410</v>
      </c>
      <c r="I225" s="21" t="n">
        <v>215</v>
      </c>
      <c r="J225" s="23" t="n">
        <v>0.05</v>
      </c>
      <c r="K225" s="23" t="n">
        <v>0</v>
      </c>
      <c r="L225" s="23" t="n">
        <v>0.04</v>
      </c>
      <c r="M225" s="23" t="n">
        <v>0.04</v>
      </c>
      <c r="N225" s="23" t="n">
        <v>0.02</v>
      </c>
      <c r="O225" s="23" t="n">
        <v>0.02</v>
      </c>
      <c r="P225" s="42" t="inlineStr">
        <is>
          <t>Bronze Chestplate, Bronze Helmet, Bronze Legplates, Bronze Boots, Grim Dagger, Fiber Buckler, Sturdy Belt, Scout's Gloves, Traveler's Cloak, Charm of Focus, Cold Iron Pauldrons, Ring of the Trail, Ring of the Trail</t>
        </is>
      </c>
    </row>
    <row r="226">
      <c r="A226" s="21" t="n">
        <v>23</v>
      </c>
      <c r="B226" s="21" t="inlineStr">
        <is>
          <t>Rogue</t>
        </is>
      </c>
      <c r="C226" s="21" t="n">
        <v>2</v>
      </c>
      <c r="D226" s="21" t="n">
        <v>19</v>
      </c>
      <c r="E226" s="21" t="n">
        <v>10</v>
      </c>
      <c r="F226" s="21" t="n">
        <v>32</v>
      </c>
      <c r="G226" s="21" t="n">
        <v>1095</v>
      </c>
      <c r="H226" s="21" t="n">
        <v>470</v>
      </c>
      <c r="I226" s="21" t="n">
        <v>225</v>
      </c>
      <c r="J226" s="23" t="n">
        <v>0.05</v>
      </c>
      <c r="K226" s="23" t="n">
        <v>0</v>
      </c>
      <c r="L226" s="23" t="n">
        <v>0.04</v>
      </c>
      <c r="M226" s="23" t="n">
        <v>0.06</v>
      </c>
      <c r="N226" s="23" t="n">
        <v>0.02</v>
      </c>
      <c r="O226" s="23" t="n">
        <v>0.02</v>
      </c>
      <c r="P226" s="42" t="inlineStr">
        <is>
          <t>Bronze Chestplate, Bronze Helmet, Bronze Legplates, Bronze Boots, Grim Dagger, Fiber Buckler, Sturdy Belt, Scout's Gloves, Traveler's Cloak, Charm of Focus, Cold Iron Pauldrons, Ring of the Hunt, Ring of the Hunt</t>
        </is>
      </c>
    </row>
    <row r="227">
      <c r="A227" s="21" t="n">
        <v>24</v>
      </c>
      <c r="B227" s="21" t="inlineStr">
        <is>
          <t>Rogue</t>
        </is>
      </c>
      <c r="C227" s="21" t="n">
        <v>2</v>
      </c>
      <c r="D227" s="21" t="n">
        <v>19</v>
      </c>
      <c r="E227" s="21" t="n">
        <v>10</v>
      </c>
      <c r="F227" s="21" t="n">
        <v>36</v>
      </c>
      <c r="G227" s="21" t="n">
        <v>1185</v>
      </c>
      <c r="H227" s="21" t="n">
        <v>470</v>
      </c>
      <c r="I227" s="21" t="n">
        <v>235</v>
      </c>
      <c r="J227" s="23" t="n">
        <v>0.05</v>
      </c>
      <c r="K227" s="23" t="n">
        <v>0</v>
      </c>
      <c r="L227" s="23" t="n">
        <v>0.05</v>
      </c>
      <c r="M227" s="23" t="n">
        <v>0.06</v>
      </c>
      <c r="N227" s="23" t="n">
        <v>0.02</v>
      </c>
      <c r="O227" s="23" t="n">
        <v>0.02</v>
      </c>
      <c r="P227" s="42" t="inlineStr">
        <is>
          <t>Bronze Chestplate, Bronze Helmet, Bronze Legplates, Bronze Boots, Grim Dagger, Fiber Buckler, Sturdy Belt, Reinforced War Gloves, Traveler's Cloak, Charm of Focus, Cold Iron Pauldrons, Ring of the Hunt, Ring of the Hunt</t>
        </is>
      </c>
    </row>
    <row r="228">
      <c r="A228" s="21" t="n">
        <v>25</v>
      </c>
      <c r="B228" s="21" t="inlineStr">
        <is>
          <t>Rogue</t>
        </is>
      </c>
      <c r="C228" s="21" t="n">
        <v>2</v>
      </c>
      <c r="D228" s="21" t="n">
        <v>19</v>
      </c>
      <c r="E228" s="21" t="n">
        <v>10</v>
      </c>
      <c r="F228" s="21" t="n">
        <v>36</v>
      </c>
      <c r="G228" s="21" t="n">
        <v>1185</v>
      </c>
      <c r="H228" s="21" t="n">
        <v>470</v>
      </c>
      <c r="I228" s="21" t="n">
        <v>235</v>
      </c>
      <c r="J228" s="23" t="n">
        <v>0.05</v>
      </c>
      <c r="K228" s="23" t="n">
        <v>0</v>
      </c>
      <c r="L228" s="23" t="n">
        <v>0.05</v>
      </c>
      <c r="M228" s="23" t="n">
        <v>0.06</v>
      </c>
      <c r="N228" s="23" t="n">
        <v>0.02</v>
      </c>
      <c r="O228" s="23" t="n">
        <v>0.02</v>
      </c>
      <c r="P228" s="42" t="inlineStr">
        <is>
          <t>Bronze Chestplate, Bronze Helmet, Bronze Legplates, Bronze Boots, Grim Dagger, Fiber Buckler, Sturdy Belt, Reinforced War Gloves, Traveler's Cloak, Charm of Focus, Cold Iron Pauldrons, Ring of the Hunt, Ring of the Hunt</t>
        </is>
      </c>
    </row>
    <row r="229">
      <c r="A229" s="21" t="n">
        <v>26</v>
      </c>
      <c r="B229" s="21" t="inlineStr">
        <is>
          <t>Rogue</t>
        </is>
      </c>
      <c r="C229" s="21" t="n">
        <v>2</v>
      </c>
      <c r="D229" s="21" t="n">
        <v>19</v>
      </c>
      <c r="E229" s="21" t="n">
        <v>10</v>
      </c>
      <c r="F229" s="21" t="n">
        <v>36</v>
      </c>
      <c r="G229" s="21" t="n">
        <v>1225</v>
      </c>
      <c r="H229" s="21" t="n">
        <v>510</v>
      </c>
      <c r="I229" s="21" t="n">
        <v>271</v>
      </c>
      <c r="J229" s="23" t="n">
        <v>0.05</v>
      </c>
      <c r="K229" s="23" t="n">
        <v>0</v>
      </c>
      <c r="L229" s="23" t="n">
        <v>0.05</v>
      </c>
      <c r="M229" s="23" t="n">
        <v>0.06</v>
      </c>
      <c r="N229" s="23" t="n">
        <v>0.03</v>
      </c>
      <c r="O229" s="23" t="n">
        <v>0.02</v>
      </c>
      <c r="P229" s="42" t="inlineStr">
        <is>
          <t>Iron Chestplate, Iron Helmet, Iron Legplates, Iron Boots, Grim Dagger, Fiber Buckler, Sturdy Belt, Reinforced War Gloves, Warden's Cloak, Charm of Focus, Cold Iron Pauldrons, Ring of the Hunt, Ring of the Hunt</t>
        </is>
      </c>
    </row>
    <row r="230">
      <c r="A230" s="21" t="n">
        <v>27</v>
      </c>
      <c r="B230" s="21" t="inlineStr">
        <is>
          <t>Rogue</t>
        </is>
      </c>
      <c r="C230" s="21" t="n">
        <v>2</v>
      </c>
      <c r="D230" s="21" t="n">
        <v>34</v>
      </c>
      <c r="E230" s="21" t="n">
        <v>10</v>
      </c>
      <c r="F230" s="21" t="n">
        <v>38</v>
      </c>
      <c r="G230" s="21" t="n">
        <v>1265</v>
      </c>
      <c r="H230" s="21" t="n">
        <v>685</v>
      </c>
      <c r="I230" s="21" t="n">
        <v>277</v>
      </c>
      <c r="J230" s="23" t="n">
        <v>0.07000000000000001</v>
      </c>
      <c r="K230" s="23" t="n">
        <v>0</v>
      </c>
      <c r="L230" s="23" t="n">
        <v>0.05</v>
      </c>
      <c r="M230" s="23" t="n">
        <v>0.06</v>
      </c>
      <c r="N230" s="23" t="n">
        <v>0.03</v>
      </c>
      <c r="O230" s="23" t="n">
        <v>0.02</v>
      </c>
      <c r="P230" s="42" t="inlineStr">
        <is>
          <t>Iron Chestplate, Iron Helmet, Iron Legplates, Iron Boots, Malignant Dagger, Fiber Buckler, Sturdy Belt, Reinforced War Gloves, Warden's Cloak, Charm of Insight, Cold Iron Pauldrons, Ring of the Hunt, Ring of the Hunt</t>
        </is>
      </c>
    </row>
    <row r="231">
      <c r="A231" s="21" t="n">
        <v>28</v>
      </c>
      <c r="B231" s="21" t="inlineStr">
        <is>
          <t>Rogue</t>
        </is>
      </c>
      <c r="C231" s="21" t="n">
        <v>2</v>
      </c>
      <c r="D231" s="21" t="n">
        <v>34</v>
      </c>
      <c r="E231" s="21" t="n">
        <v>10</v>
      </c>
      <c r="F231" s="21" t="n">
        <v>40</v>
      </c>
      <c r="G231" s="21" t="n">
        <v>1445</v>
      </c>
      <c r="H231" s="21" t="n">
        <v>685</v>
      </c>
      <c r="I231" s="21" t="n">
        <v>294</v>
      </c>
      <c r="J231" s="23" t="n">
        <v>0.07000000000000001</v>
      </c>
      <c r="K231" s="23" t="n">
        <v>0</v>
      </c>
      <c r="L231" s="23" t="n">
        <v>0.05</v>
      </c>
      <c r="M231" s="23" t="n">
        <v>0.06</v>
      </c>
      <c r="N231" s="23" t="n">
        <v>0.03</v>
      </c>
      <c r="O231" s="23" t="n">
        <v>0.03</v>
      </c>
      <c r="P231" s="42" t="inlineStr">
        <is>
          <t>Iron Chestplate, Iron Helmet, Iron Legplates, Iron Boots, Malignant Dagger, Fiber Buckler, Sturdy Belt, Reinforced War Gloves, Warden's Cloak, Charm of Insight, Tempered Pauldrons, Ring of the Hunt, Ring of the Hunt</t>
        </is>
      </c>
    </row>
    <row r="232">
      <c r="A232" s="21" t="n">
        <v>29</v>
      </c>
      <c r="B232" s="21" t="inlineStr">
        <is>
          <t>Rogue</t>
        </is>
      </c>
      <c r="C232" s="21" t="n">
        <v>2</v>
      </c>
      <c r="D232" s="21" t="n">
        <v>34</v>
      </c>
      <c r="E232" s="21" t="n">
        <v>10</v>
      </c>
      <c r="F232" s="21" t="n">
        <v>40</v>
      </c>
      <c r="G232" s="21" t="n">
        <v>1445</v>
      </c>
      <c r="H232" s="21" t="n">
        <v>685</v>
      </c>
      <c r="I232" s="21" t="n">
        <v>294</v>
      </c>
      <c r="J232" s="23" t="n">
        <v>0.07000000000000001</v>
      </c>
      <c r="K232" s="23" t="n">
        <v>0</v>
      </c>
      <c r="L232" s="23" t="n">
        <v>0.05</v>
      </c>
      <c r="M232" s="23" t="n">
        <v>0.06</v>
      </c>
      <c r="N232" s="23" t="n">
        <v>0.03</v>
      </c>
      <c r="O232" s="23" t="n">
        <v>0.03</v>
      </c>
      <c r="P232" s="42" t="inlineStr">
        <is>
          <t>Iron Chestplate, Iron Helmet, Iron Legplates, Iron Boots, Malignant Dagger, Fiber Buckler, Sturdy Belt, Reinforced War Gloves, Warden's Cloak, Charm of Insight, Tempered Pauldrons, Ring of the Hunt, Ring of the Hunt</t>
        </is>
      </c>
    </row>
    <row r="233">
      <c r="A233" s="21" t="n">
        <v>30</v>
      </c>
      <c r="B233" s="21" t="inlineStr">
        <is>
          <t>Rogue</t>
        </is>
      </c>
      <c r="C233" s="21" t="n">
        <v>2</v>
      </c>
      <c r="D233" s="21" t="n">
        <v>34</v>
      </c>
      <c r="E233" s="21" t="n">
        <v>10</v>
      </c>
      <c r="F233" s="21" t="n">
        <v>43</v>
      </c>
      <c r="G233" s="21" t="n">
        <v>1665</v>
      </c>
      <c r="H233" s="21" t="n">
        <v>685</v>
      </c>
      <c r="I233" s="21" t="n">
        <v>303</v>
      </c>
      <c r="J233" s="23" t="n">
        <v>0.08</v>
      </c>
      <c r="K233" s="23" t="n">
        <v>0</v>
      </c>
      <c r="L233" s="23" t="n">
        <v>0.06</v>
      </c>
      <c r="M233" s="23" t="n">
        <v>0.06</v>
      </c>
      <c r="N233" s="23" t="n">
        <v>0.03</v>
      </c>
      <c r="O233" s="23" t="n">
        <v>0.03</v>
      </c>
      <c r="P233" s="42" t="inlineStr">
        <is>
          <t>Iron Chestplate, Iron Helmet, Iron Legplates, Iron Boots, Malignant Dagger, Fiber Buckler, Ironbound Belt, Reinforced War Gloves, Warden's Cloak, Charm of Insight, Tempered Pauldrons, Ring of the Hunt, Ring of the Hunt</t>
        </is>
      </c>
    </row>
    <row r="234">
      <c r="A234" s="21" t="n">
        <v>31</v>
      </c>
      <c r="B234" s="21" t="inlineStr">
        <is>
          <t>Rogue</t>
        </is>
      </c>
      <c r="C234" s="21" t="n">
        <v>2</v>
      </c>
      <c r="D234" s="21" t="n">
        <v>34</v>
      </c>
      <c r="E234" s="21" t="n">
        <v>10</v>
      </c>
      <c r="F234" s="21" t="n">
        <v>43</v>
      </c>
      <c r="G234" s="21" t="n">
        <v>1665</v>
      </c>
      <c r="H234" s="21" t="n">
        <v>685</v>
      </c>
      <c r="I234" s="21" t="n">
        <v>303</v>
      </c>
      <c r="J234" s="23" t="n">
        <v>0.08</v>
      </c>
      <c r="K234" s="23" t="n">
        <v>0</v>
      </c>
      <c r="L234" s="23" t="n">
        <v>0.06</v>
      </c>
      <c r="M234" s="23" t="n">
        <v>0.06</v>
      </c>
      <c r="N234" s="23" t="n">
        <v>0.03</v>
      </c>
      <c r="O234" s="23" t="n">
        <v>0.03</v>
      </c>
      <c r="P234" s="42" t="inlineStr">
        <is>
          <t>Iron Chestplate, Iron Helmet, Iron Legplates, Iron Boots, Malignant Dagger, Fiber Buckler, Ironbound Belt, Reinforced War Gloves, Warden's Cloak, Charm of Insight, Tempered Pauldrons, Ring of the Hunt, Ring of the Hunt</t>
        </is>
      </c>
    </row>
    <row r="235">
      <c r="A235" s="21" t="n">
        <v>32</v>
      </c>
      <c r="B235" s="21" t="inlineStr">
        <is>
          <t>Rogue</t>
        </is>
      </c>
      <c r="C235" s="21" t="n">
        <v>2</v>
      </c>
      <c r="D235" s="21" t="n">
        <v>34</v>
      </c>
      <c r="E235" s="21" t="n">
        <v>10</v>
      </c>
      <c r="F235" s="21" t="n">
        <v>43</v>
      </c>
      <c r="G235" s="21" t="n">
        <v>1665</v>
      </c>
      <c r="H235" s="21" t="n">
        <v>685</v>
      </c>
      <c r="I235" s="21" t="n">
        <v>303</v>
      </c>
      <c r="J235" s="23" t="n">
        <v>0.08</v>
      </c>
      <c r="K235" s="23" t="n">
        <v>0</v>
      </c>
      <c r="L235" s="23" t="n">
        <v>0.06</v>
      </c>
      <c r="M235" s="23" t="n">
        <v>0.06</v>
      </c>
      <c r="N235" s="23" t="n">
        <v>0.03</v>
      </c>
      <c r="O235" s="23" t="n">
        <v>0.03</v>
      </c>
      <c r="P235" s="42" t="inlineStr">
        <is>
          <t>Iron Chestplate, Iron Helmet, Iron Legplates, Iron Boots, Malignant Dagger, Fiber Buckler, Ironbound Belt, Reinforced War Gloves, Warden's Cloak, Charm of Insight, Tempered Pauldrons, Ring of the Hunt, Ring of the Hunt</t>
        </is>
      </c>
    </row>
    <row r="236">
      <c r="A236" s="21" t="n">
        <v>33</v>
      </c>
      <c r="B236" s="21" t="inlineStr">
        <is>
          <t>Rogue</t>
        </is>
      </c>
      <c r="C236" s="21" t="n">
        <v>2</v>
      </c>
      <c r="D236" s="21" t="n">
        <v>34</v>
      </c>
      <c r="E236" s="21" t="n">
        <v>10</v>
      </c>
      <c r="F236" s="21" t="n">
        <v>51</v>
      </c>
      <c r="G236" s="21" t="n">
        <v>1785</v>
      </c>
      <c r="H236" s="21" t="n">
        <v>765</v>
      </c>
      <c r="I236" s="21" t="n">
        <v>313</v>
      </c>
      <c r="J236" s="23" t="n">
        <v>0.08</v>
      </c>
      <c r="K236" s="23" t="n">
        <v>0</v>
      </c>
      <c r="L236" s="23" t="n">
        <v>0.06</v>
      </c>
      <c r="M236" s="23" t="n">
        <v>0.08</v>
      </c>
      <c r="N236" s="23" t="n">
        <v>0.03</v>
      </c>
      <c r="O236" s="23" t="n">
        <v>0.03</v>
      </c>
      <c r="P236" s="42" t="inlineStr">
        <is>
          <t>Iron Chestplate, Iron Helmet, Iron Legplates, Iron Boots, Malignant Dagger, Fiber Buckler, Ironbound Belt, Reinforced War Gloves, Warden's Cloak, Charm of Insight, Tempered Pauldrons, Ring of the Vanguard, Ring of the Vanguard</t>
        </is>
      </c>
    </row>
    <row r="237">
      <c r="A237" s="21" t="n">
        <v>34</v>
      </c>
      <c r="B237" s="21" t="inlineStr">
        <is>
          <t>Rogue</t>
        </is>
      </c>
      <c r="C237" s="21" t="n">
        <v>2</v>
      </c>
      <c r="D237" s="21" t="n">
        <v>34</v>
      </c>
      <c r="E237" s="21" t="n">
        <v>10</v>
      </c>
      <c r="F237" s="21" t="n">
        <v>55</v>
      </c>
      <c r="G237" s="21" t="n">
        <v>1875</v>
      </c>
      <c r="H237" s="21" t="n">
        <v>765</v>
      </c>
      <c r="I237" s="21" t="n">
        <v>323</v>
      </c>
      <c r="J237" s="23" t="n">
        <v>0.08</v>
      </c>
      <c r="K237" s="23" t="n">
        <v>0</v>
      </c>
      <c r="L237" s="23" t="n">
        <v>0.07000000000000001</v>
      </c>
      <c r="M237" s="23" t="n">
        <v>0.08</v>
      </c>
      <c r="N237" s="23" t="n">
        <v>0.03</v>
      </c>
      <c r="O237" s="23" t="n">
        <v>0.03</v>
      </c>
      <c r="P237" s="42" t="inlineStr">
        <is>
          <t>Iron Chestplate, Iron Helmet, Iron Legplates, Iron Boots, Malignant Dagger, Fiber Buckler, Ironbound Belt, Runed War Gloves, Warden's Cloak, Charm of Insight, Tempered Pauldrons, Ring of the Vanguard, Ring of the Vanguard</t>
        </is>
      </c>
    </row>
    <row r="238">
      <c r="A238" s="21" t="n">
        <v>35</v>
      </c>
      <c r="B238" s="21" t="inlineStr">
        <is>
          <t>Rogue</t>
        </is>
      </c>
      <c r="C238" s="21" t="n">
        <v>2</v>
      </c>
      <c r="D238" s="21" t="n">
        <v>34</v>
      </c>
      <c r="E238" s="21" t="n">
        <v>10</v>
      </c>
      <c r="F238" s="21" t="n">
        <v>55</v>
      </c>
      <c r="G238" s="21" t="n">
        <v>1875</v>
      </c>
      <c r="H238" s="21" t="n">
        <v>765</v>
      </c>
      <c r="I238" s="21" t="n">
        <v>353</v>
      </c>
      <c r="J238" s="23" t="n">
        <v>0.08</v>
      </c>
      <c r="K238" s="23" t="n">
        <v>0</v>
      </c>
      <c r="L238" s="23" t="n">
        <v>0.07000000000000001</v>
      </c>
      <c r="M238" s="23" t="n">
        <v>0.08</v>
      </c>
      <c r="N238" s="23" t="n">
        <v>0.03</v>
      </c>
      <c r="O238" s="23" t="n">
        <v>0.03</v>
      </c>
      <c r="P238" s="42" t="inlineStr">
        <is>
          <t>Iron Chestplate, Iron Helmet, Iron Legplates, Iron Boots, Malignant Dagger, Firebrand Buckler, Ironbound Belt, Runed War Gloves, Warden's Cloak, Charm of Insight, Tempered Pauldrons, Ring of the Vanguard, Ring of the Vanguard</t>
        </is>
      </c>
    </row>
    <row r="239">
      <c r="A239" s="21" t="n">
        <v>36</v>
      </c>
      <c r="B239" s="21" t="inlineStr">
        <is>
          <t>Rogue</t>
        </is>
      </c>
      <c r="C239" s="21" t="n">
        <v>2</v>
      </c>
      <c r="D239" s="21" t="n">
        <v>34</v>
      </c>
      <c r="E239" s="21" t="n">
        <v>10</v>
      </c>
      <c r="F239" s="21" t="n">
        <v>55</v>
      </c>
      <c r="G239" s="21" t="n">
        <v>1910</v>
      </c>
      <c r="H239" s="21" t="n">
        <v>800</v>
      </c>
      <c r="I239" s="21" t="n">
        <v>363</v>
      </c>
      <c r="J239" s="23" t="n">
        <v>0.08</v>
      </c>
      <c r="K239" s="23" t="n">
        <v>0</v>
      </c>
      <c r="L239" s="23" t="n">
        <v>0.07000000000000001</v>
      </c>
      <c r="M239" s="23" t="n">
        <v>0.08</v>
      </c>
      <c r="N239" s="23" t="n">
        <v>0.04</v>
      </c>
      <c r="O239" s="23" t="n">
        <v>0.03</v>
      </c>
      <c r="P239" s="42" t="inlineStr">
        <is>
          <t>Iron Chestplate, Iron Helmet, Iron Legplates, Iron Boots, Malignant Dagger, Firebrand Buckler, Ironbound Belt, Runed War Gloves, Stormward Cloak, Charm of Insight, Tempered Pauldrons, Ring of the Vanguard, Ring of the Vanguard</t>
        </is>
      </c>
    </row>
    <row r="240">
      <c r="A240" s="21" t="n">
        <v>37</v>
      </c>
      <c r="B240" s="21" t="inlineStr">
        <is>
          <t>Rogue</t>
        </is>
      </c>
      <c r="C240" s="21" t="n">
        <v>2</v>
      </c>
      <c r="D240" s="21" t="n">
        <v>34</v>
      </c>
      <c r="E240" s="21" t="n">
        <v>10</v>
      </c>
      <c r="F240" s="21" t="n">
        <v>55</v>
      </c>
      <c r="G240" s="21" t="n">
        <v>1940</v>
      </c>
      <c r="H240" s="21" t="n">
        <v>960</v>
      </c>
      <c r="I240" s="21" t="n">
        <v>370</v>
      </c>
      <c r="J240" s="23" t="n">
        <v>0.1</v>
      </c>
      <c r="K240" s="23" t="n">
        <v>0</v>
      </c>
      <c r="L240" s="23" t="n">
        <v>0.07000000000000001</v>
      </c>
      <c r="M240" s="23" t="n">
        <v>0.08</v>
      </c>
      <c r="N240" s="23" t="n">
        <v>0.04</v>
      </c>
      <c r="O240" s="23" t="n">
        <v>0.03</v>
      </c>
      <c r="P240" s="42" t="inlineStr">
        <is>
          <t>Iron Chestplate, Iron Helmet, Iron Legplates, Iron Boots, Malignant Dagger, Firebrand Buckler, Ironbound Belt, Runed War Gloves, Stormward Cloak, Charm of Ascendance, Tempered Pauldrons, Ring of the Vanguard, Ring of the Vanguard</t>
        </is>
      </c>
    </row>
    <row r="241">
      <c r="A241" s="21" t="n">
        <v>38</v>
      </c>
      <c r="B241" s="21" t="inlineStr">
        <is>
          <t>Rogue</t>
        </is>
      </c>
      <c r="C241" s="21" t="n">
        <v>2</v>
      </c>
      <c r="D241" s="21" t="n">
        <v>34</v>
      </c>
      <c r="E241" s="21" t="n">
        <v>10</v>
      </c>
      <c r="F241" s="21" t="n">
        <v>57</v>
      </c>
      <c r="G241" s="21" t="n">
        <v>2095</v>
      </c>
      <c r="H241" s="21" t="n">
        <v>960</v>
      </c>
      <c r="I241" s="21" t="n">
        <v>385</v>
      </c>
      <c r="J241" s="23" t="n">
        <v>0.1</v>
      </c>
      <c r="K241" s="23" t="n">
        <v>0</v>
      </c>
      <c r="L241" s="23" t="n">
        <v>0.07000000000000001</v>
      </c>
      <c r="M241" s="23" t="n">
        <v>0.08</v>
      </c>
      <c r="N241" s="23" t="n">
        <v>0.04</v>
      </c>
      <c r="O241" s="23" t="n">
        <v>0.04</v>
      </c>
      <c r="P241" s="42" t="inlineStr">
        <is>
          <t>Iron Chestplate, Iron Helmet, Iron Legplates, Iron Boots, Malignant Dagger, Firebrand Buckler, Ironbound Belt, Runed War Gloves, Stormward Cloak, Charm of Ascendance, Runeplate Pauldrons, Ring of the Vanguard, Ring of the Vanguard</t>
        </is>
      </c>
    </row>
    <row r="242">
      <c r="A242" s="21" t="n">
        <v>39</v>
      </c>
      <c r="B242" s="21" t="inlineStr">
        <is>
          <t>Rogue</t>
        </is>
      </c>
      <c r="C242" s="21" t="n">
        <v>2</v>
      </c>
      <c r="D242" s="21" t="n">
        <v>34</v>
      </c>
      <c r="E242" s="21" t="n">
        <v>10</v>
      </c>
      <c r="F242" s="21" t="n">
        <v>57</v>
      </c>
      <c r="G242" s="21" t="n">
        <v>2095</v>
      </c>
      <c r="H242" s="21" t="n">
        <v>960</v>
      </c>
      <c r="I242" s="21" t="n">
        <v>385</v>
      </c>
      <c r="J242" s="23" t="n">
        <v>0.1</v>
      </c>
      <c r="K242" s="23" t="n">
        <v>0</v>
      </c>
      <c r="L242" s="23" t="n">
        <v>0.07000000000000001</v>
      </c>
      <c r="M242" s="23" t="n">
        <v>0.08</v>
      </c>
      <c r="N242" s="23" t="n">
        <v>0.04</v>
      </c>
      <c r="O242" s="23" t="n">
        <v>0.04</v>
      </c>
      <c r="P242" s="42" t="inlineStr">
        <is>
          <t>Iron Chestplate, Iron Helmet, Iron Legplates, Iron Boots, Malignant Dagger, Firebrand Buckler, Ironbound Belt, Runed War Gloves, Stormward Cloak, Charm of Ascendance, Runeplate Pauldrons, Ring of the Vanguard, Ring of the Vanguard</t>
        </is>
      </c>
    </row>
    <row r="243">
      <c r="A243" s="21" t="n">
        <v>40</v>
      </c>
      <c r="B243" s="21" t="inlineStr">
        <is>
          <t>Rogue</t>
        </is>
      </c>
      <c r="C243" s="21" t="n">
        <v>2</v>
      </c>
      <c r="D243" s="21" t="n">
        <v>34</v>
      </c>
      <c r="E243" s="21" t="n">
        <v>10</v>
      </c>
      <c r="F243" s="21" t="n">
        <v>59</v>
      </c>
      <c r="G243" s="21" t="n">
        <v>2280</v>
      </c>
      <c r="H243" s="21" t="n">
        <v>960</v>
      </c>
      <c r="I243" s="21" t="n">
        <v>393</v>
      </c>
      <c r="J243" s="23" t="n">
        <v>0.11</v>
      </c>
      <c r="K243" s="23" t="n">
        <v>0</v>
      </c>
      <c r="L243" s="23" t="n">
        <v>0.08</v>
      </c>
      <c r="M243" s="23" t="n">
        <v>0.08</v>
      </c>
      <c r="N243" s="23" t="n">
        <v>0.04</v>
      </c>
      <c r="O243" s="23" t="n">
        <v>0.04</v>
      </c>
      <c r="P243" s="42" t="inlineStr">
        <is>
          <t>Iron Chestplate, Iron Helmet, Iron Legplates, Iron Boots, Malignant Dagger, Firebrand Buckler, Runeplate Belt, Runed War Gloves, Stormward Cloak, Charm of Ascendance, Runeplate Pauldrons, Ring of the Vanguard, Ring of the Vanguard</t>
        </is>
      </c>
    </row>
    <row r="244">
      <c r="A244" s="21" t="n">
        <v>41</v>
      </c>
      <c r="B244" s="21" t="inlineStr">
        <is>
          <t>Rogue</t>
        </is>
      </c>
      <c r="C244" s="21" t="n">
        <v>2</v>
      </c>
      <c r="D244" s="21" t="n">
        <v>34</v>
      </c>
      <c r="E244" s="21" t="n">
        <v>10</v>
      </c>
      <c r="F244" s="21" t="n">
        <v>59</v>
      </c>
      <c r="G244" s="21" t="n">
        <v>2280</v>
      </c>
      <c r="H244" s="21" t="n">
        <v>960</v>
      </c>
      <c r="I244" s="21" t="n">
        <v>393</v>
      </c>
      <c r="J244" s="23" t="n">
        <v>0.11</v>
      </c>
      <c r="K244" s="23" t="n">
        <v>0</v>
      </c>
      <c r="L244" s="23" t="n">
        <v>0.08</v>
      </c>
      <c r="M244" s="23" t="n">
        <v>0.08</v>
      </c>
      <c r="N244" s="23" t="n">
        <v>0.04</v>
      </c>
      <c r="O244" s="23" t="n">
        <v>0.04</v>
      </c>
      <c r="P244" s="42" t="inlineStr">
        <is>
          <t>Iron Chestplate, Iron Helmet, Iron Legplates, Iron Boots, Malignant Dagger, Firebrand Buckler, Runeplate Belt, Runed War Gloves, Stormward Cloak, Charm of Ascendance, Runeplate Pauldrons, Ring of the Vanguard, Ring of the Vanguard</t>
        </is>
      </c>
    </row>
    <row r="245">
      <c r="A245" s="21" t="n">
        <v>42</v>
      </c>
      <c r="B245" s="21" t="inlineStr">
        <is>
          <t>Rogue</t>
        </is>
      </c>
      <c r="C245" s="21" t="n">
        <v>2</v>
      </c>
      <c r="D245" s="21" t="n">
        <v>34</v>
      </c>
      <c r="E245" s="21" t="n">
        <v>10</v>
      </c>
      <c r="F245" s="21" t="n">
        <v>59</v>
      </c>
      <c r="G245" s="21" t="n">
        <v>2280</v>
      </c>
      <c r="H245" s="21" t="n">
        <v>960</v>
      </c>
      <c r="I245" s="21" t="n">
        <v>393</v>
      </c>
      <c r="J245" s="23" t="n">
        <v>0.11</v>
      </c>
      <c r="K245" s="23" t="n">
        <v>0</v>
      </c>
      <c r="L245" s="23" t="n">
        <v>0.08</v>
      </c>
      <c r="M245" s="23" t="n">
        <v>0.08</v>
      </c>
      <c r="N245" s="23" t="n">
        <v>0.04</v>
      </c>
      <c r="O245" s="23" t="n">
        <v>0.04</v>
      </c>
      <c r="P245" s="42" t="inlineStr">
        <is>
          <t>Iron Chestplate, Iron Helmet, Iron Legplates, Iron Boots, Malignant Dagger, Firebrand Buckler, Runeplate Belt, Runed War Gloves, Stormward Cloak, Charm of Ascendance, Runeplate Pauldrons, Ring of the Vanguard, Ring of the Vanguard</t>
        </is>
      </c>
    </row>
    <row r="246">
      <c r="A246" s="21" t="n">
        <v>43</v>
      </c>
      <c r="B246" s="21" t="inlineStr">
        <is>
          <t>Rogue</t>
        </is>
      </c>
      <c r="C246" s="21" t="n">
        <v>2</v>
      </c>
      <c r="D246" s="21" t="n">
        <v>34</v>
      </c>
      <c r="E246" s="21" t="n">
        <v>10</v>
      </c>
      <c r="F246" s="21" t="n">
        <v>67</v>
      </c>
      <c r="G246" s="21" t="n">
        <v>2380</v>
      </c>
      <c r="H246" s="21" t="n">
        <v>1020</v>
      </c>
      <c r="I246" s="21" t="n">
        <v>409</v>
      </c>
      <c r="J246" s="23" t="n">
        <v>0.11</v>
      </c>
      <c r="K246" s="23" t="n">
        <v>0</v>
      </c>
      <c r="L246" s="23" t="n">
        <v>0.08</v>
      </c>
      <c r="M246" s="23" t="n">
        <v>0.1</v>
      </c>
      <c r="N246" s="23" t="n">
        <v>0.04</v>
      </c>
      <c r="O246" s="23" t="n">
        <v>0.04</v>
      </c>
      <c r="P246" s="42" t="inlineStr">
        <is>
          <t>Iron Chestplate, Iron Helmet, Iron Legplates, Iron Boots, Malignant Dagger, Firebrand Buckler, Runeplate Belt, Runed War Gloves, Stormward Cloak, Charm of Ascendance, Runeplate Pauldrons, Ring of the Warlord, Ring of the Warlord</t>
        </is>
      </c>
    </row>
    <row r="247">
      <c r="A247" s="21" t="n">
        <v>44</v>
      </c>
      <c r="B247" s="21" t="inlineStr">
        <is>
          <t>Rogue</t>
        </is>
      </c>
      <c r="C247" s="21" t="n">
        <v>2</v>
      </c>
      <c r="D247" s="21" t="n">
        <v>34</v>
      </c>
      <c r="E247" s="21" t="n">
        <v>10</v>
      </c>
      <c r="F247" s="21" t="n">
        <v>71</v>
      </c>
      <c r="G247" s="21" t="n">
        <v>2470</v>
      </c>
      <c r="H247" s="21" t="n">
        <v>1020</v>
      </c>
      <c r="I247" s="21" t="n">
        <v>419</v>
      </c>
      <c r="J247" s="23" t="n">
        <v>0.11</v>
      </c>
      <c r="K247" s="23" t="n">
        <v>0</v>
      </c>
      <c r="L247" s="23" t="n">
        <v>0.09</v>
      </c>
      <c r="M247" s="23" t="n">
        <v>0.1</v>
      </c>
      <c r="N247" s="23" t="n">
        <v>0.04</v>
      </c>
      <c r="O247" s="23" t="n">
        <v>0.04</v>
      </c>
      <c r="P247" s="42" t="inlineStr">
        <is>
          <t>Iron Chestplate, Iron Helmet, Iron Legplates, Iron Boots, Malignant Dagger, Firebrand Buckler, Runeplate Belt, Exalted War Gloves, Stormward Cloak, Charm of Ascendance, Runeplate Pauldrons, Ring of the Warlord, Ring of the Warlord</t>
        </is>
      </c>
    </row>
    <row r="248">
      <c r="A248" s="21" t="n">
        <v>45</v>
      </c>
      <c r="B248" s="21" t="inlineStr">
        <is>
          <t>Rogue</t>
        </is>
      </c>
      <c r="C248" s="21" t="n">
        <v>2</v>
      </c>
      <c r="D248" s="21" t="n">
        <v>34</v>
      </c>
      <c r="E248" s="21" t="n">
        <v>10</v>
      </c>
      <c r="F248" s="21" t="n">
        <v>71</v>
      </c>
      <c r="G248" s="21" t="n">
        <v>2470</v>
      </c>
      <c r="H248" s="21" t="n">
        <v>1020</v>
      </c>
      <c r="I248" s="21" t="n">
        <v>419</v>
      </c>
      <c r="J248" s="23" t="n">
        <v>0.11</v>
      </c>
      <c r="K248" s="23" t="n">
        <v>0</v>
      </c>
      <c r="L248" s="23" t="n">
        <v>0.09</v>
      </c>
      <c r="M248" s="23" t="n">
        <v>0.1</v>
      </c>
      <c r="N248" s="23" t="n">
        <v>0.04</v>
      </c>
      <c r="O248" s="23" t="n">
        <v>0.04</v>
      </c>
      <c r="P248" s="42" t="inlineStr">
        <is>
          <t>Iron Chestplate, Iron Helmet, Iron Legplates, Iron Boots, Malignant Dagger, Firebrand Buckler, Runeplate Belt, Exalted War Gloves, Stormward Cloak, Charm of Ascendance, Runeplate Pauldrons, Ring of the Warlord, Ring of the Warlord</t>
        </is>
      </c>
    </row>
    <row r="249">
      <c r="A249" s="21" t="n">
        <v>46</v>
      </c>
      <c r="B249" s="21" t="inlineStr">
        <is>
          <t>Rogue</t>
        </is>
      </c>
      <c r="C249" s="21" t="n">
        <v>2</v>
      </c>
      <c r="D249" s="21" t="n">
        <v>34</v>
      </c>
      <c r="E249" s="21" t="n">
        <v>10</v>
      </c>
      <c r="F249" s="21" t="n">
        <v>71</v>
      </c>
      <c r="G249" s="21" t="n">
        <v>2505</v>
      </c>
      <c r="H249" s="21" t="n">
        <v>1055</v>
      </c>
      <c r="I249" s="21" t="n">
        <v>427</v>
      </c>
      <c r="J249" s="23" t="n">
        <v>0.11</v>
      </c>
      <c r="K249" s="23" t="n">
        <v>0</v>
      </c>
      <c r="L249" s="23" t="n">
        <v>0.09</v>
      </c>
      <c r="M249" s="23" t="n">
        <v>0.1</v>
      </c>
      <c r="N249" s="23" t="n">
        <v>0.05</v>
      </c>
      <c r="O249" s="23" t="n">
        <v>0.04</v>
      </c>
      <c r="P249" s="42" t="inlineStr">
        <is>
          <t>Iron Chestplate, Iron Helmet, Iron Legplates, Iron Boots, Malignant Dagger, Firebrand Buckler, Runeplate Belt, Exalted War Gloves, Skyweave Cloak, Charm of Ascendance, Runeplate Pauldrons, Ring of the Warlord, Ring of the Warlord</t>
        </is>
      </c>
    </row>
    <row r="250">
      <c r="A250" s="21" t="n">
        <v>47</v>
      </c>
      <c r="B250" s="21" t="inlineStr">
        <is>
          <t>Rogue</t>
        </is>
      </c>
      <c r="C250" s="21" t="n">
        <v>2</v>
      </c>
      <c r="D250" s="21" t="n">
        <v>34</v>
      </c>
      <c r="E250" s="21" t="n">
        <v>10</v>
      </c>
      <c r="F250" s="21" t="n">
        <v>71</v>
      </c>
      <c r="G250" s="21" t="n">
        <v>2535</v>
      </c>
      <c r="H250" s="21" t="n">
        <v>1135</v>
      </c>
      <c r="I250" s="21" t="n">
        <v>432</v>
      </c>
      <c r="J250" s="23" t="n">
        <v>0.13</v>
      </c>
      <c r="K250" s="23" t="n">
        <v>0</v>
      </c>
      <c r="L250" s="23" t="n">
        <v>0.09</v>
      </c>
      <c r="M250" s="23" t="n">
        <v>0.1</v>
      </c>
      <c r="N250" s="23" t="n">
        <v>0.05</v>
      </c>
      <c r="O250" s="23" t="n">
        <v>0.04</v>
      </c>
      <c r="P250" s="42" t="inlineStr">
        <is>
          <t>Iron Chestplate, Iron Helmet, Iron Legplates, Iron Boots, Malignant Dagger, Firebrand Buckler, Runeplate Belt, Exalted War Gloves, Skyweave Cloak, Charm of the Archon, Runeplate Pauldrons, Ring of the Warlord, Ring of the Warlord</t>
        </is>
      </c>
    </row>
    <row r="251">
      <c r="A251" s="21" t="n">
        <v>48</v>
      </c>
      <c r="B251" s="21" t="inlineStr">
        <is>
          <t>Rogue</t>
        </is>
      </c>
      <c r="C251" s="21" t="n">
        <v>2</v>
      </c>
      <c r="D251" s="21" t="n">
        <v>34</v>
      </c>
      <c r="E251" s="21" t="n">
        <v>10</v>
      </c>
      <c r="F251" s="21" t="n">
        <v>73</v>
      </c>
      <c r="G251" s="21" t="n">
        <v>2690</v>
      </c>
      <c r="H251" s="21" t="n">
        <v>1135</v>
      </c>
      <c r="I251" s="21" t="n">
        <v>450</v>
      </c>
      <c r="J251" s="23" t="n">
        <v>0.13</v>
      </c>
      <c r="K251" s="23" t="n">
        <v>0</v>
      </c>
      <c r="L251" s="23" t="n">
        <v>0.09</v>
      </c>
      <c r="M251" s="23" t="n">
        <v>0.1</v>
      </c>
      <c r="N251" s="23" t="n">
        <v>0.05</v>
      </c>
      <c r="O251" s="23" t="n">
        <v>0.05</v>
      </c>
      <c r="P251" s="42" t="inlineStr">
        <is>
          <t>Iron Chestplate, Iron Helmet, Iron Legplates, Iron Boots, Malignant Dagger, Firebrand Buckler, Runeplate Belt, Exalted War Gloves, Skyweave Cloak, Charm of the Archon, Bulwark Pauldrons, Ring of the Warlord, Ring of the Warlord</t>
        </is>
      </c>
    </row>
    <row r="252">
      <c r="A252" s="21" t="n">
        <v>49</v>
      </c>
      <c r="B252" s="21" t="inlineStr">
        <is>
          <t>Rogue</t>
        </is>
      </c>
      <c r="C252" s="21" t="n">
        <v>2</v>
      </c>
      <c r="D252" s="21" t="n">
        <v>34</v>
      </c>
      <c r="E252" s="21" t="n">
        <v>10</v>
      </c>
      <c r="F252" s="21" t="n">
        <v>75</v>
      </c>
      <c r="G252" s="21" t="n">
        <v>2900</v>
      </c>
      <c r="H252" s="21" t="n">
        <v>1135</v>
      </c>
      <c r="I252" s="21" t="n">
        <v>458</v>
      </c>
      <c r="J252" s="23" t="n">
        <v>0.14</v>
      </c>
      <c r="K252" s="23" t="n">
        <v>0</v>
      </c>
      <c r="L252" s="23" t="n">
        <v>0.1</v>
      </c>
      <c r="M252" s="23" t="n">
        <v>0.1</v>
      </c>
      <c r="N252" s="23" t="n">
        <v>0.05</v>
      </c>
      <c r="O252" s="23" t="n">
        <v>0.05</v>
      </c>
      <c r="P252" s="42" t="inlineStr">
        <is>
          <t>Iron Chestplate, Iron Helmet, Iron Legplates, Iron Boots, Malignant Dagger, Firebrand Buckler, Bulwark Belt, Exalted War Gloves, Skyweave Cloak, Charm of the Archon, Bulwark Pauldrons, Ring of the Warlord, Ring of the Warlord</t>
        </is>
      </c>
    </row>
    <row r="253">
      <c r="A253" s="21" t="n">
        <v>50</v>
      </c>
      <c r="B253" s="21" t="inlineStr">
        <is>
          <t>Rogue</t>
        </is>
      </c>
      <c r="C253" s="21" t="n">
        <v>2</v>
      </c>
      <c r="D253" s="21" t="n">
        <v>34</v>
      </c>
      <c r="E253" s="21" t="n">
        <v>10</v>
      </c>
      <c r="F253" s="21" t="n">
        <v>75</v>
      </c>
      <c r="G253" s="21" t="n">
        <v>2900</v>
      </c>
      <c r="H253" s="21" t="n">
        <v>1135</v>
      </c>
      <c r="I253" s="21" t="n">
        <v>458</v>
      </c>
      <c r="J253" s="23" t="n">
        <v>0.14</v>
      </c>
      <c r="K253" s="23" t="n">
        <v>0</v>
      </c>
      <c r="L253" s="23" t="n">
        <v>0.1</v>
      </c>
      <c r="M253" s="23" t="n">
        <v>0.1</v>
      </c>
      <c r="N253" s="23" t="n">
        <v>0.05</v>
      </c>
      <c r="O253" s="23" t="n">
        <v>0.05</v>
      </c>
      <c r="P253" s="42" t="inlineStr">
        <is>
          <t>Iron Chestplate, Iron Helmet, Iron Legplates, Iron Boots, Malignant Dagger, Firebrand Buckler, Bulwark Belt, Exalted War Gloves, Skyweave Cloak, Charm of the Archon, Bulwark Pauldrons, Ring of the Warlord, Ring of the Warlord</t>
        </is>
      </c>
    </row>
    <row r="254">
      <c r="A254" s="21" t="n">
        <v>1</v>
      </c>
      <c r="B254" s="21" t="inlineStr">
        <is>
          <t>Warrior</t>
        </is>
      </c>
      <c r="C254" s="21" t="n">
        <v>2</v>
      </c>
      <c r="D254" s="21" t="n">
        <v>3</v>
      </c>
      <c r="E254" s="21" t="n">
        <v>10</v>
      </c>
      <c r="F254" s="21" t="n">
        <v>0</v>
      </c>
      <c r="G254" s="21" t="n">
        <v>0</v>
      </c>
      <c r="H254" s="21" t="n">
        <v>0</v>
      </c>
      <c r="I254" s="21" t="n">
        <v>25</v>
      </c>
      <c r="J254" s="23" t="n">
        <v>0</v>
      </c>
      <c r="K254" s="23" t="n">
        <v>0</v>
      </c>
      <c r="L254" s="23" t="n">
        <v>0</v>
      </c>
      <c r="M254" s="23" t="n">
        <v>0</v>
      </c>
      <c r="N254" s="23" t="n">
        <v>0</v>
      </c>
      <c r="O254" s="23" t="n">
        <v>0</v>
      </c>
      <c r="P254" s="42" t="inlineStr">
        <is>
          <t>Cloth Tunic, Cloth Cap, Cloth Leggings, Cloth Shoes, Stick</t>
        </is>
      </c>
    </row>
    <row r="255">
      <c r="A255" s="21" t="n">
        <v>2</v>
      </c>
      <c r="B255" s="21" t="inlineStr">
        <is>
          <t>Warrior</t>
        </is>
      </c>
      <c r="C255" s="21" t="n">
        <v>2</v>
      </c>
      <c r="D255" s="21" t="n">
        <v>3</v>
      </c>
      <c r="E255" s="21" t="n">
        <v>10</v>
      </c>
      <c r="F255" s="21" t="n">
        <v>0</v>
      </c>
      <c r="G255" s="21" t="n">
        <v>0</v>
      </c>
      <c r="H255" s="21" t="n">
        <v>0</v>
      </c>
      <c r="I255" s="21" t="n">
        <v>25</v>
      </c>
      <c r="J255" s="23" t="n">
        <v>0</v>
      </c>
      <c r="K255" s="23" t="n">
        <v>0</v>
      </c>
      <c r="L255" s="23" t="n">
        <v>0</v>
      </c>
      <c r="M255" s="23" t="n">
        <v>0</v>
      </c>
      <c r="N255" s="23" t="n">
        <v>0</v>
      </c>
      <c r="O255" s="23" t="n">
        <v>0</v>
      </c>
      <c r="P255" s="42" t="inlineStr">
        <is>
          <t>Cloth Tunic, Cloth Cap, Cloth Leggings, Cloth Shoes, Stick</t>
        </is>
      </c>
    </row>
    <row r="256">
      <c r="A256" s="21" t="n">
        <v>3</v>
      </c>
      <c r="B256" s="21" t="inlineStr">
        <is>
          <t>Warrior</t>
        </is>
      </c>
      <c r="C256" s="21" t="n">
        <v>2</v>
      </c>
      <c r="D256" s="21" t="n">
        <v>3</v>
      </c>
      <c r="E256" s="21" t="n">
        <v>10</v>
      </c>
      <c r="F256" s="21" t="n">
        <v>0</v>
      </c>
      <c r="G256" s="21" t="n">
        <v>0</v>
      </c>
      <c r="H256" s="21" t="n">
        <v>0</v>
      </c>
      <c r="I256" s="21" t="n">
        <v>25</v>
      </c>
      <c r="J256" s="23" t="n">
        <v>0</v>
      </c>
      <c r="K256" s="23" t="n">
        <v>0</v>
      </c>
      <c r="L256" s="23" t="n">
        <v>0</v>
      </c>
      <c r="M256" s="23" t="n">
        <v>0</v>
      </c>
      <c r="N256" s="23" t="n">
        <v>0</v>
      </c>
      <c r="O256" s="23" t="n">
        <v>0</v>
      </c>
      <c r="P256" s="42" t="inlineStr">
        <is>
          <t>Cloth Tunic, Cloth Cap, Cloth Leggings, Cloth Shoes, Stick</t>
        </is>
      </c>
    </row>
    <row r="257">
      <c r="A257" s="21" t="n">
        <v>4</v>
      </c>
      <c r="B257" s="21" t="inlineStr">
        <is>
          <t>Warrior</t>
        </is>
      </c>
      <c r="C257" s="21" t="n">
        <v>2</v>
      </c>
      <c r="D257" s="21" t="n">
        <v>3</v>
      </c>
      <c r="E257" s="21" t="n">
        <v>10</v>
      </c>
      <c r="F257" s="21" t="n">
        <v>2</v>
      </c>
      <c r="G257" s="21" t="n">
        <v>70</v>
      </c>
      <c r="H257" s="21" t="n">
        <v>0</v>
      </c>
      <c r="I257" s="21" t="n">
        <v>30</v>
      </c>
      <c r="J257" s="23" t="n">
        <v>0</v>
      </c>
      <c r="K257" s="23" t="n">
        <v>0</v>
      </c>
      <c r="L257" s="23" t="n">
        <v>0</v>
      </c>
      <c r="M257" s="23" t="n">
        <v>0</v>
      </c>
      <c r="N257" s="23" t="n">
        <v>0</v>
      </c>
      <c r="O257" s="23" t="n">
        <v>0</v>
      </c>
      <c r="P257" s="42" t="inlineStr">
        <is>
          <t>Cloth Tunic, Cloth Cap, Cloth Leggings, Cloth Shoes, Stick, Worn Leather Gloves</t>
        </is>
      </c>
    </row>
    <row r="258">
      <c r="A258" s="21" t="n">
        <v>5</v>
      </c>
      <c r="B258" s="21" t="inlineStr">
        <is>
          <t>Warrior</t>
        </is>
      </c>
      <c r="C258" s="21" t="n">
        <v>2</v>
      </c>
      <c r="D258" s="21" t="n">
        <v>14</v>
      </c>
      <c r="E258" s="21" t="n">
        <v>10</v>
      </c>
      <c r="F258" s="21" t="n">
        <v>7</v>
      </c>
      <c r="G258" s="21" t="n">
        <v>210</v>
      </c>
      <c r="H258" s="21" t="n">
        <v>30</v>
      </c>
      <c r="I258" s="21" t="n">
        <v>52</v>
      </c>
      <c r="J258" s="23" t="n">
        <v>0</v>
      </c>
      <c r="K258" s="23" t="n">
        <v>0</v>
      </c>
      <c r="L258" s="23" t="n">
        <v>0</v>
      </c>
      <c r="M258" s="23" t="n">
        <v>0</v>
      </c>
      <c r="N258" s="23" t="n">
        <v>0</v>
      </c>
      <c r="O258" s="23" t="n">
        <v>0</v>
      </c>
      <c r="P258" s="42" t="inlineStr">
        <is>
          <t>Cloth Tunic, Cloth Cap, Cloth Leggings, Cloth Shoes, Small Sword, Wooden Buckler, Worn Leather Belt, Worn Leather Gloves, Copper Band, Copper Band</t>
        </is>
      </c>
    </row>
    <row r="259">
      <c r="A259" s="21" t="n">
        <v>6</v>
      </c>
      <c r="B259" s="21" t="inlineStr">
        <is>
          <t>Warrior</t>
        </is>
      </c>
      <c r="C259" s="21" t="n">
        <v>2</v>
      </c>
      <c r="D259" s="21" t="n">
        <v>14</v>
      </c>
      <c r="E259" s="21" t="n">
        <v>10</v>
      </c>
      <c r="F259" s="21" t="n">
        <v>7</v>
      </c>
      <c r="G259" s="21" t="n">
        <v>230</v>
      </c>
      <c r="H259" s="21" t="n">
        <v>50</v>
      </c>
      <c r="I259" s="21" t="n">
        <v>60</v>
      </c>
      <c r="J259" s="23" t="n">
        <v>0</v>
      </c>
      <c r="K259" s="23" t="n">
        <v>0</v>
      </c>
      <c r="L259" s="23" t="n">
        <v>0</v>
      </c>
      <c r="M259" s="23" t="n">
        <v>0</v>
      </c>
      <c r="N259" s="23" t="n">
        <v>0</v>
      </c>
      <c r="O259" s="23" t="n">
        <v>0</v>
      </c>
      <c r="P259" s="42" t="inlineStr">
        <is>
          <t>Cloth Tunic, Cloth Cap, Cloth Leggings, Cloth Shoes, Small Sword, Wooden Buckler, Worn Leather Belt, Worn Leather Gloves, Threadbare Cloak, Copper Band, Copper Band</t>
        </is>
      </c>
    </row>
    <row r="260">
      <c r="A260" s="21" t="n">
        <v>7</v>
      </c>
      <c r="B260" s="21" t="inlineStr">
        <is>
          <t>Warrior</t>
        </is>
      </c>
      <c r="C260" s="21" t="n">
        <v>2</v>
      </c>
      <c r="D260" s="21" t="n">
        <v>14</v>
      </c>
      <c r="E260" s="21" t="n">
        <v>10</v>
      </c>
      <c r="F260" s="21" t="n">
        <v>7</v>
      </c>
      <c r="G260" s="21" t="n">
        <v>255</v>
      </c>
      <c r="H260" s="21" t="n">
        <v>190</v>
      </c>
      <c r="I260" s="21" t="n">
        <v>65</v>
      </c>
      <c r="J260" s="23" t="n">
        <v>0</v>
      </c>
      <c r="K260" s="23" t="n">
        <v>0</v>
      </c>
      <c r="L260" s="23" t="n">
        <v>0</v>
      </c>
      <c r="M260" s="23" t="n">
        <v>0</v>
      </c>
      <c r="N260" s="23" t="n">
        <v>0</v>
      </c>
      <c r="O260" s="23" t="n">
        <v>0</v>
      </c>
      <c r="P260" s="42" t="inlineStr">
        <is>
          <t>Cloth Tunic, Cloth Cap, Cloth Leggings, Cloth Shoes, Small Sword, Wooden Buckler, Worn Leather Belt, Worn Leather Gloves, Threadbare Cloak, Simple Pendant, Copper Band, Copper Band</t>
        </is>
      </c>
    </row>
    <row r="261">
      <c r="A261" s="21" t="n">
        <v>8</v>
      </c>
      <c r="B261" s="21" t="inlineStr">
        <is>
          <t>Warrior</t>
        </is>
      </c>
      <c r="C261" s="21" t="n">
        <v>2</v>
      </c>
      <c r="D261" s="21" t="n">
        <v>14</v>
      </c>
      <c r="E261" s="21" t="n">
        <v>10</v>
      </c>
      <c r="F261" s="21" t="n">
        <v>9</v>
      </c>
      <c r="G261" s="21" t="n">
        <v>345</v>
      </c>
      <c r="H261" s="21" t="n">
        <v>190</v>
      </c>
      <c r="I261" s="21" t="n">
        <v>77</v>
      </c>
      <c r="J261" s="23" t="n">
        <v>0</v>
      </c>
      <c r="K261" s="23" t="n">
        <v>0</v>
      </c>
      <c r="L261" s="23" t="n">
        <v>0</v>
      </c>
      <c r="M261" s="23" t="n">
        <v>0</v>
      </c>
      <c r="N261" s="23" t="n">
        <v>0</v>
      </c>
      <c r="O261" s="23" t="n">
        <v>0</v>
      </c>
      <c r="P261" s="42" t="inlineStr">
        <is>
          <t>Cloth Tunic, Cloth Cap, Cloth Leggings, Cloth Shoes, Small Sword, Wooden Buckler, Worn Leather Belt, Worn Leather Gloves, Threadbare Cloak, Simple Pendant, Patchwork Pauldrons, Copper Band, Copper Band</t>
        </is>
      </c>
    </row>
    <row r="262">
      <c r="A262" s="21" t="n">
        <v>9</v>
      </c>
      <c r="B262" s="21" t="inlineStr">
        <is>
          <t>Warrior</t>
        </is>
      </c>
      <c r="C262" s="21" t="n">
        <v>2</v>
      </c>
      <c r="D262" s="21" t="n">
        <v>14</v>
      </c>
      <c r="E262" s="21" t="n">
        <v>10</v>
      </c>
      <c r="F262" s="21" t="n">
        <v>9</v>
      </c>
      <c r="G262" s="21" t="n">
        <v>345</v>
      </c>
      <c r="H262" s="21" t="n">
        <v>190</v>
      </c>
      <c r="I262" s="21" t="n">
        <v>77</v>
      </c>
      <c r="J262" s="23" t="n">
        <v>0</v>
      </c>
      <c r="K262" s="23" t="n">
        <v>0</v>
      </c>
      <c r="L262" s="23" t="n">
        <v>0</v>
      </c>
      <c r="M262" s="23" t="n">
        <v>0</v>
      </c>
      <c r="N262" s="23" t="n">
        <v>0</v>
      </c>
      <c r="O262" s="23" t="n">
        <v>0</v>
      </c>
      <c r="P262" s="42" t="inlineStr">
        <is>
          <t>Cloth Tunic, Cloth Cap, Cloth Leggings, Cloth Shoes, Small Sword, Wooden Buckler, Worn Leather Belt, Worn Leather Gloves, Threadbare Cloak, Simple Pendant, Patchwork Pauldrons, Copper Band, Copper Band</t>
        </is>
      </c>
    </row>
    <row r="263">
      <c r="A263" s="21" t="n">
        <v>10</v>
      </c>
      <c r="B263" s="21" t="inlineStr">
        <is>
          <t>Warrior</t>
        </is>
      </c>
      <c r="C263" s="21" t="n">
        <v>2</v>
      </c>
      <c r="D263" s="21" t="n">
        <v>14</v>
      </c>
      <c r="E263" s="21" t="n">
        <v>10</v>
      </c>
      <c r="F263" s="21" t="n">
        <v>9</v>
      </c>
      <c r="G263" s="21" t="n">
        <v>345</v>
      </c>
      <c r="H263" s="21" t="n">
        <v>190</v>
      </c>
      <c r="I263" s="21" t="n">
        <v>93</v>
      </c>
      <c r="J263" s="23" t="n">
        <v>0</v>
      </c>
      <c r="K263" s="23" t="n">
        <v>0</v>
      </c>
      <c r="L263" s="23" t="n">
        <v>0</v>
      </c>
      <c r="M263" s="23" t="n">
        <v>0</v>
      </c>
      <c r="N263" s="23" t="n">
        <v>0</v>
      </c>
      <c r="O263" s="23" t="n">
        <v>0</v>
      </c>
      <c r="P263" s="42" t="inlineStr">
        <is>
          <t>Leather Tunic, Leather Cap, Leather Leggings, Leather Boots, Small Sword, Wooden Buckler, Worn Leather Belt, Worn Leather Gloves, Threadbare Cloak, Simple Pendant, Patchwork Pauldrons, Copper Band, Copper Band</t>
        </is>
      </c>
    </row>
    <row r="264">
      <c r="A264" s="21" t="n">
        <v>11</v>
      </c>
      <c r="B264" s="21" t="inlineStr">
        <is>
          <t>Warrior</t>
        </is>
      </c>
      <c r="C264" s="21" t="n">
        <v>2</v>
      </c>
      <c r="D264" s="21" t="n">
        <v>14</v>
      </c>
      <c r="E264" s="21" t="n">
        <v>10</v>
      </c>
      <c r="F264" s="21" t="n">
        <v>9</v>
      </c>
      <c r="G264" s="21" t="n">
        <v>345</v>
      </c>
      <c r="H264" s="21" t="n">
        <v>190</v>
      </c>
      <c r="I264" s="21" t="n">
        <v>93</v>
      </c>
      <c r="J264" s="23" t="n">
        <v>0</v>
      </c>
      <c r="K264" s="23" t="n">
        <v>0</v>
      </c>
      <c r="L264" s="23" t="n">
        <v>0</v>
      </c>
      <c r="M264" s="23" t="n">
        <v>0</v>
      </c>
      <c r="N264" s="23" t="n">
        <v>0</v>
      </c>
      <c r="O264" s="23" t="n">
        <v>0</v>
      </c>
      <c r="P264" s="42" t="inlineStr">
        <is>
          <t>Leather Tunic, Leather Cap, Leather Leggings, Leather Boots, Small Sword, Wooden Buckler, Worn Leather Belt, Worn Leather Gloves, Threadbare Cloak, Simple Pendant, Patchwork Pauldrons, Copper Band, Copper Band</t>
        </is>
      </c>
    </row>
    <row r="265">
      <c r="A265" s="21" t="n">
        <v>12</v>
      </c>
      <c r="B265" s="21" t="inlineStr">
        <is>
          <t>Warrior</t>
        </is>
      </c>
      <c r="C265" s="21" t="n">
        <v>2</v>
      </c>
      <c r="D265" s="21" t="n">
        <v>14</v>
      </c>
      <c r="E265" s="21" t="n">
        <v>10</v>
      </c>
      <c r="F265" s="21" t="n">
        <v>9</v>
      </c>
      <c r="G265" s="21" t="n">
        <v>345</v>
      </c>
      <c r="H265" s="21" t="n">
        <v>190</v>
      </c>
      <c r="I265" s="21" t="n">
        <v>93</v>
      </c>
      <c r="J265" s="23" t="n">
        <v>0</v>
      </c>
      <c r="K265" s="23" t="n">
        <v>0</v>
      </c>
      <c r="L265" s="23" t="n">
        <v>0</v>
      </c>
      <c r="M265" s="23" t="n">
        <v>0</v>
      </c>
      <c r="N265" s="23" t="n">
        <v>0</v>
      </c>
      <c r="O265" s="23" t="n">
        <v>0</v>
      </c>
      <c r="P265" s="42" t="inlineStr">
        <is>
          <t>Leather Tunic, Leather Cap, Leather Leggings, Leather Boots, Small Sword, Wooden Buckler, Worn Leather Belt, Worn Leather Gloves, Threadbare Cloak, Simple Pendant, Patchwork Pauldrons, Copper Band, Copper Band</t>
        </is>
      </c>
    </row>
    <row r="266">
      <c r="A266" s="21" t="n">
        <v>13</v>
      </c>
      <c r="B266" s="21" t="inlineStr">
        <is>
          <t>Warrior</t>
        </is>
      </c>
      <c r="C266" s="21" t="n">
        <v>2</v>
      </c>
      <c r="D266" s="21" t="n">
        <v>14</v>
      </c>
      <c r="E266" s="21" t="n">
        <v>10</v>
      </c>
      <c r="F266" s="21" t="n">
        <v>15</v>
      </c>
      <c r="G266" s="21" t="n">
        <v>415</v>
      </c>
      <c r="H266" s="21" t="n">
        <v>240</v>
      </c>
      <c r="I266" s="21" t="n">
        <v>105</v>
      </c>
      <c r="J266" s="23" t="n">
        <v>0</v>
      </c>
      <c r="K266" s="23" t="n">
        <v>0</v>
      </c>
      <c r="L266" s="23" t="n">
        <v>0</v>
      </c>
      <c r="M266" s="23" t="n">
        <v>0.04</v>
      </c>
      <c r="N266" s="23" t="n">
        <v>0</v>
      </c>
      <c r="O266" s="23" t="n">
        <v>0</v>
      </c>
      <c r="P266" s="42" t="inlineStr">
        <is>
          <t>Leather Tunic, Leather Cap, Leather Leggings, Leather Boots, Small Sword, Wooden Buckler, Worn Leather Belt, Worn Leather Gloves, Threadbare Cloak, Simple Pendant, Patchwork Pauldrons, Ring of the Trail, Ring of the Trail</t>
        </is>
      </c>
    </row>
    <row r="267">
      <c r="A267" s="21" t="n">
        <v>14</v>
      </c>
      <c r="B267" s="21" t="inlineStr">
        <is>
          <t>Warrior</t>
        </is>
      </c>
      <c r="C267" s="21" t="n">
        <v>2</v>
      </c>
      <c r="D267" s="21" t="n">
        <v>14</v>
      </c>
      <c r="E267" s="21" t="n">
        <v>10</v>
      </c>
      <c r="F267" s="21" t="n">
        <v>19</v>
      </c>
      <c r="G267" s="21" t="n">
        <v>480</v>
      </c>
      <c r="H267" s="21" t="n">
        <v>240</v>
      </c>
      <c r="I267" s="21" t="n">
        <v>115</v>
      </c>
      <c r="J267" s="23" t="n">
        <v>0</v>
      </c>
      <c r="K267" s="23" t="n">
        <v>0</v>
      </c>
      <c r="L267" s="23" t="n">
        <v>0.02</v>
      </c>
      <c r="M267" s="23" t="n">
        <v>0.04</v>
      </c>
      <c r="N267" s="23" t="n">
        <v>0</v>
      </c>
      <c r="O267" s="23" t="n">
        <v>0</v>
      </c>
      <c r="P267" s="42" t="inlineStr">
        <is>
          <t>Leather Tunic, Leather Cap, Leather Leggings, Leather Boots, Small Sword, Wooden Buckler, Worn Leather Belt, Scout's Gloves, Threadbare Cloak, Simple Pendant, Patchwork Pauldrons, Ring of the Trail, Ring of the Trail</t>
        </is>
      </c>
    </row>
    <row r="268">
      <c r="A268" s="21" t="n">
        <v>15</v>
      </c>
      <c r="B268" s="21" t="inlineStr">
        <is>
          <t>Warrior</t>
        </is>
      </c>
      <c r="C268" s="21" t="n">
        <v>2</v>
      </c>
      <c r="D268" s="21" t="n">
        <v>24</v>
      </c>
      <c r="E268" s="21" t="n">
        <v>10</v>
      </c>
      <c r="F268" s="21" t="n">
        <v>19</v>
      </c>
      <c r="G268" s="21" t="n">
        <v>480</v>
      </c>
      <c r="H268" s="21" t="n">
        <v>240</v>
      </c>
      <c r="I268" s="21" t="n">
        <v>115</v>
      </c>
      <c r="J268" s="23" t="n">
        <v>0</v>
      </c>
      <c r="K268" s="23" t="n">
        <v>0</v>
      </c>
      <c r="L268" s="23" t="n">
        <v>0.02</v>
      </c>
      <c r="M268" s="23" t="n">
        <v>0.04</v>
      </c>
      <c r="N268" s="23" t="n">
        <v>0</v>
      </c>
      <c r="O268" s="23" t="n">
        <v>0</v>
      </c>
      <c r="P268" s="42" t="inlineStr">
        <is>
          <t>Leather Tunic, Leather Cap, Leather Leggings, Leather Boots, Long Sword, Wooden Buckler, Worn Leather Belt, Scout's Gloves, Threadbare Cloak, Simple Pendant, Patchwork Pauldrons, Ring of the Trail, Ring of the Trail</t>
        </is>
      </c>
    </row>
    <row r="269">
      <c r="A269" s="21" t="n">
        <v>16</v>
      </c>
      <c r="B269" s="21" t="inlineStr">
        <is>
          <t>Warrior</t>
        </is>
      </c>
      <c r="C269" s="21" t="n">
        <v>2</v>
      </c>
      <c r="D269" s="21" t="n">
        <v>24</v>
      </c>
      <c r="E269" s="21" t="n">
        <v>10</v>
      </c>
      <c r="F269" s="21" t="n">
        <v>19</v>
      </c>
      <c r="G269" s="21" t="n">
        <v>510</v>
      </c>
      <c r="H269" s="21" t="n">
        <v>270</v>
      </c>
      <c r="I269" s="21" t="n">
        <v>122</v>
      </c>
      <c r="J269" s="23" t="n">
        <v>0</v>
      </c>
      <c r="K269" s="23" t="n">
        <v>0</v>
      </c>
      <c r="L269" s="23" t="n">
        <v>0.02</v>
      </c>
      <c r="M269" s="23" t="n">
        <v>0.04</v>
      </c>
      <c r="N269" s="23" t="n">
        <v>0.02</v>
      </c>
      <c r="O269" s="23" t="n">
        <v>0</v>
      </c>
      <c r="P269" s="42" t="inlineStr">
        <is>
          <t>Leather Tunic, Leather Cap, Leather Leggings, Leather Boots, Long Sword, Wooden Buckler, Worn Leather Belt, Scout's Gloves, Traveler's Cloak, Simple Pendant, Patchwork Pauldrons, Ring of the Trail, Ring of the Trail</t>
        </is>
      </c>
    </row>
    <row r="270">
      <c r="A270" s="21" t="n">
        <v>17</v>
      </c>
      <c r="B270" s="21" t="inlineStr">
        <is>
          <t>Warrior</t>
        </is>
      </c>
      <c r="C270" s="21" t="n">
        <v>2</v>
      </c>
      <c r="D270" s="21" t="n">
        <v>24</v>
      </c>
      <c r="E270" s="21" t="n">
        <v>10</v>
      </c>
      <c r="F270" s="21" t="n">
        <v>19</v>
      </c>
      <c r="G270" s="21" t="n">
        <v>545</v>
      </c>
      <c r="H270" s="21" t="n">
        <v>410</v>
      </c>
      <c r="I270" s="21" t="n">
        <v>129</v>
      </c>
      <c r="J270" s="23" t="n">
        <v>0.03</v>
      </c>
      <c r="K270" s="23" t="n">
        <v>0</v>
      </c>
      <c r="L270" s="23" t="n">
        <v>0.02</v>
      </c>
      <c r="M270" s="23" t="n">
        <v>0.04</v>
      </c>
      <c r="N270" s="23" t="n">
        <v>0.02</v>
      </c>
      <c r="O270" s="23" t="n">
        <v>0</v>
      </c>
      <c r="P270" s="42" t="inlineStr">
        <is>
          <t>Leather Tunic, Leather Cap, Leather Leggings, Leather Boots, Long Sword, Wooden Buckler, Worn Leather Belt, Scout's Gloves, Traveler's Cloak, Charm of Focus, Patchwork Pauldrons, Ring of the Trail, Ring of the Trail</t>
        </is>
      </c>
    </row>
    <row r="271">
      <c r="A271" s="21" t="n">
        <v>18</v>
      </c>
      <c r="B271" s="21" t="inlineStr">
        <is>
          <t>Warrior</t>
        </is>
      </c>
      <c r="C271" s="21" t="n">
        <v>2</v>
      </c>
      <c r="D271" s="21" t="n">
        <v>24</v>
      </c>
      <c r="E271" s="21" t="n">
        <v>10</v>
      </c>
      <c r="F271" s="21" t="n">
        <v>22</v>
      </c>
      <c r="G271" s="21" t="n">
        <v>710</v>
      </c>
      <c r="H271" s="21" t="n">
        <v>410</v>
      </c>
      <c r="I271" s="21" t="n">
        <v>184</v>
      </c>
      <c r="J271" s="23" t="n">
        <v>0.03</v>
      </c>
      <c r="K271" s="23" t="n">
        <v>0</v>
      </c>
      <c r="L271" s="23" t="n">
        <v>0.02</v>
      </c>
      <c r="M271" s="23" t="n">
        <v>0.04</v>
      </c>
      <c r="N271" s="23" t="n">
        <v>0.02</v>
      </c>
      <c r="O271" s="23" t="n">
        <v>0.02</v>
      </c>
      <c r="P271" s="42" t="inlineStr">
        <is>
          <t>Bronze Chestplate, Bronze Helmet, Bronze Legplates, Bronze Boots, Long Sword, Wooden Buckler, Worn Leather Belt, Scout's Gloves, Traveler's Cloak, Charm of Focus, Cold Iron Pauldrons, Ring of the Trail, Ring of the Trail</t>
        </is>
      </c>
    </row>
    <row r="272">
      <c r="A272" s="21" t="n">
        <v>19</v>
      </c>
      <c r="B272" s="21" t="inlineStr">
        <is>
          <t>Warrior</t>
        </is>
      </c>
      <c r="C272" s="21" t="n">
        <v>2</v>
      </c>
      <c r="D272" s="21" t="n">
        <v>24</v>
      </c>
      <c r="E272" s="21" t="n">
        <v>10</v>
      </c>
      <c r="F272" s="21" t="n">
        <v>22</v>
      </c>
      <c r="G272" s="21" t="n">
        <v>710</v>
      </c>
      <c r="H272" s="21" t="n">
        <v>410</v>
      </c>
      <c r="I272" s="21" t="n">
        <v>184</v>
      </c>
      <c r="J272" s="23" t="n">
        <v>0.03</v>
      </c>
      <c r="K272" s="23" t="n">
        <v>0</v>
      </c>
      <c r="L272" s="23" t="n">
        <v>0.02</v>
      </c>
      <c r="M272" s="23" t="n">
        <v>0.04</v>
      </c>
      <c r="N272" s="23" t="n">
        <v>0.02</v>
      </c>
      <c r="O272" s="23" t="n">
        <v>0.02</v>
      </c>
      <c r="P272" s="42" t="inlineStr">
        <is>
          <t>Bronze Chestplate, Bronze Helmet, Bronze Legplates, Bronze Boots, Long Sword, Wooden Buckler, Worn Leather Belt, Scout's Gloves, Traveler's Cloak, Charm of Focus, Cold Iron Pauldrons, Ring of the Trail, Ring of the Trail</t>
        </is>
      </c>
    </row>
    <row r="273">
      <c r="A273" s="21" t="n">
        <v>20</v>
      </c>
      <c r="B273" s="21" t="inlineStr">
        <is>
          <t>Warrior</t>
        </is>
      </c>
      <c r="C273" s="21" t="n">
        <v>2</v>
      </c>
      <c r="D273" s="21" t="n">
        <v>24</v>
      </c>
      <c r="E273" s="21" t="n">
        <v>10</v>
      </c>
      <c r="F273" s="21" t="n">
        <v>26</v>
      </c>
      <c r="G273" s="21" t="n">
        <v>995</v>
      </c>
      <c r="H273" s="21" t="n">
        <v>410</v>
      </c>
      <c r="I273" s="21" t="n">
        <v>235</v>
      </c>
      <c r="J273" s="23" t="n">
        <v>0.05</v>
      </c>
      <c r="K273" s="23" t="n">
        <v>0</v>
      </c>
      <c r="L273" s="23" t="n">
        <v>0.04</v>
      </c>
      <c r="M273" s="23" t="n">
        <v>0.04</v>
      </c>
      <c r="N273" s="23" t="n">
        <v>0.02</v>
      </c>
      <c r="O273" s="23" t="n">
        <v>0.02</v>
      </c>
      <c r="P273" s="42" t="inlineStr">
        <is>
          <t>Bronze Chestplate, Bronze Helmet, Bronze Legplates, Bronze Boots, Long Sword, Kite Shield, Sturdy Belt, Scout's Gloves, Traveler's Cloak, Charm of Focus, Cold Iron Pauldrons, Ring of the Trail, Ring of the Trail</t>
        </is>
      </c>
    </row>
    <row r="274">
      <c r="A274" s="21" t="n">
        <v>21</v>
      </c>
      <c r="B274" s="21" t="inlineStr">
        <is>
          <t>Warrior</t>
        </is>
      </c>
      <c r="C274" s="21" t="n">
        <v>2</v>
      </c>
      <c r="D274" s="21" t="n">
        <v>24</v>
      </c>
      <c r="E274" s="21" t="n">
        <v>10</v>
      </c>
      <c r="F274" s="21" t="n">
        <v>26</v>
      </c>
      <c r="G274" s="21" t="n">
        <v>995</v>
      </c>
      <c r="H274" s="21" t="n">
        <v>410</v>
      </c>
      <c r="I274" s="21" t="n">
        <v>235</v>
      </c>
      <c r="J274" s="23" t="n">
        <v>0.05</v>
      </c>
      <c r="K274" s="23" t="n">
        <v>0</v>
      </c>
      <c r="L274" s="23" t="n">
        <v>0.04</v>
      </c>
      <c r="M274" s="23" t="n">
        <v>0.04</v>
      </c>
      <c r="N274" s="23" t="n">
        <v>0.02</v>
      </c>
      <c r="O274" s="23" t="n">
        <v>0.02</v>
      </c>
      <c r="P274" s="42" t="inlineStr">
        <is>
          <t>Bronze Chestplate, Bronze Helmet, Bronze Legplates, Bronze Boots, Long Sword, Kite Shield, Sturdy Belt, Scout's Gloves, Traveler's Cloak, Charm of Focus, Cold Iron Pauldrons, Ring of the Trail, Ring of the Trail</t>
        </is>
      </c>
    </row>
    <row r="275">
      <c r="A275" s="21" t="n">
        <v>22</v>
      </c>
      <c r="B275" s="21" t="inlineStr">
        <is>
          <t>Warrior</t>
        </is>
      </c>
      <c r="C275" s="21" t="n">
        <v>2</v>
      </c>
      <c r="D275" s="21" t="n">
        <v>24</v>
      </c>
      <c r="E275" s="21" t="n">
        <v>10</v>
      </c>
      <c r="F275" s="21" t="n">
        <v>26</v>
      </c>
      <c r="G275" s="21" t="n">
        <v>995</v>
      </c>
      <c r="H275" s="21" t="n">
        <v>410</v>
      </c>
      <c r="I275" s="21" t="n">
        <v>235</v>
      </c>
      <c r="J275" s="23" t="n">
        <v>0.05</v>
      </c>
      <c r="K275" s="23" t="n">
        <v>0</v>
      </c>
      <c r="L275" s="23" t="n">
        <v>0.04</v>
      </c>
      <c r="M275" s="23" t="n">
        <v>0.04</v>
      </c>
      <c r="N275" s="23" t="n">
        <v>0.02</v>
      </c>
      <c r="O275" s="23" t="n">
        <v>0.02</v>
      </c>
      <c r="P275" s="42" t="inlineStr">
        <is>
          <t>Bronze Chestplate, Bronze Helmet, Bronze Legplates, Bronze Boots, Long Sword, Kite Shield, Sturdy Belt, Scout's Gloves, Traveler's Cloak, Charm of Focus, Cold Iron Pauldrons, Ring of the Trail, Ring of the Trail</t>
        </is>
      </c>
    </row>
    <row r="276">
      <c r="A276" s="21" t="n">
        <v>23</v>
      </c>
      <c r="B276" s="21" t="inlineStr">
        <is>
          <t>Warrior</t>
        </is>
      </c>
      <c r="C276" s="21" t="n">
        <v>2</v>
      </c>
      <c r="D276" s="21" t="n">
        <v>24</v>
      </c>
      <c r="E276" s="21" t="n">
        <v>10</v>
      </c>
      <c r="F276" s="21" t="n">
        <v>32</v>
      </c>
      <c r="G276" s="21" t="n">
        <v>1095</v>
      </c>
      <c r="H276" s="21" t="n">
        <v>470</v>
      </c>
      <c r="I276" s="21" t="n">
        <v>245</v>
      </c>
      <c r="J276" s="23" t="n">
        <v>0.05</v>
      </c>
      <c r="K276" s="23" t="n">
        <v>0</v>
      </c>
      <c r="L276" s="23" t="n">
        <v>0.04</v>
      </c>
      <c r="M276" s="23" t="n">
        <v>0.06</v>
      </c>
      <c r="N276" s="23" t="n">
        <v>0.02</v>
      </c>
      <c r="O276" s="23" t="n">
        <v>0.02</v>
      </c>
      <c r="P276" s="42" t="inlineStr">
        <is>
          <t>Bronze Chestplate, Bronze Helmet, Bronze Legplates, Bronze Boots, Long Sword, Kite Shield, Sturdy Belt, Scout's Gloves, Traveler's Cloak, Charm of Focus, Cold Iron Pauldrons, Ring of the Hunt, Ring of the Hunt</t>
        </is>
      </c>
    </row>
    <row r="277">
      <c r="A277" s="21" t="n">
        <v>24</v>
      </c>
      <c r="B277" s="21" t="inlineStr">
        <is>
          <t>Warrior</t>
        </is>
      </c>
      <c r="C277" s="21" t="n">
        <v>2</v>
      </c>
      <c r="D277" s="21" t="n">
        <v>24</v>
      </c>
      <c r="E277" s="21" t="n">
        <v>10</v>
      </c>
      <c r="F277" s="21" t="n">
        <v>36</v>
      </c>
      <c r="G277" s="21" t="n">
        <v>1185</v>
      </c>
      <c r="H277" s="21" t="n">
        <v>470</v>
      </c>
      <c r="I277" s="21" t="n">
        <v>255</v>
      </c>
      <c r="J277" s="23" t="n">
        <v>0.05</v>
      </c>
      <c r="K277" s="23" t="n">
        <v>0</v>
      </c>
      <c r="L277" s="23" t="n">
        <v>0.05</v>
      </c>
      <c r="M277" s="23" t="n">
        <v>0.06</v>
      </c>
      <c r="N277" s="23" t="n">
        <v>0.02</v>
      </c>
      <c r="O277" s="23" t="n">
        <v>0.02</v>
      </c>
      <c r="P277" s="42" t="inlineStr">
        <is>
          <t>Bronze Chestplate, Bronze Helmet, Bronze Legplates, Bronze Boots, Long Sword, Kite Shield, Sturdy Belt, Reinforced War Gloves, Traveler's Cloak, Charm of Focus, Cold Iron Pauldrons, Ring of the Hunt, Ring of the Hunt</t>
        </is>
      </c>
    </row>
    <row r="278">
      <c r="A278" s="21" t="n">
        <v>25</v>
      </c>
      <c r="B278" s="21" t="inlineStr">
        <is>
          <t>Warrior</t>
        </is>
      </c>
      <c r="C278" s="21" t="n">
        <v>2</v>
      </c>
      <c r="D278" s="21" t="n">
        <v>24</v>
      </c>
      <c r="E278" s="21" t="n">
        <v>10</v>
      </c>
      <c r="F278" s="21" t="n">
        <v>36</v>
      </c>
      <c r="G278" s="21" t="n">
        <v>1185</v>
      </c>
      <c r="H278" s="21" t="n">
        <v>470</v>
      </c>
      <c r="I278" s="21" t="n">
        <v>255</v>
      </c>
      <c r="J278" s="23" t="n">
        <v>0.05</v>
      </c>
      <c r="K278" s="23" t="n">
        <v>0</v>
      </c>
      <c r="L278" s="23" t="n">
        <v>0.05</v>
      </c>
      <c r="M278" s="23" t="n">
        <v>0.06</v>
      </c>
      <c r="N278" s="23" t="n">
        <v>0.02</v>
      </c>
      <c r="O278" s="23" t="n">
        <v>0.02</v>
      </c>
      <c r="P278" s="42" t="inlineStr">
        <is>
          <t>Bronze Chestplate, Bronze Helmet, Bronze Legplates, Bronze Boots, Long Sword, Kite Shield, Sturdy Belt, Reinforced War Gloves, Traveler's Cloak, Charm of Focus, Cold Iron Pauldrons, Ring of the Hunt, Ring of the Hunt</t>
        </is>
      </c>
    </row>
    <row r="279">
      <c r="A279" s="21" t="n">
        <v>26</v>
      </c>
      <c r="B279" s="21" t="inlineStr">
        <is>
          <t>Warrior</t>
        </is>
      </c>
      <c r="C279" s="21" t="n">
        <v>2</v>
      </c>
      <c r="D279" s="21" t="n">
        <v>24</v>
      </c>
      <c r="E279" s="21" t="n">
        <v>10</v>
      </c>
      <c r="F279" s="21" t="n">
        <v>36</v>
      </c>
      <c r="G279" s="21" t="n">
        <v>1225</v>
      </c>
      <c r="H279" s="21" t="n">
        <v>510</v>
      </c>
      <c r="I279" s="21" t="n">
        <v>291</v>
      </c>
      <c r="J279" s="23" t="n">
        <v>0.05</v>
      </c>
      <c r="K279" s="23" t="n">
        <v>0</v>
      </c>
      <c r="L279" s="23" t="n">
        <v>0.05</v>
      </c>
      <c r="M279" s="23" t="n">
        <v>0.06</v>
      </c>
      <c r="N279" s="23" t="n">
        <v>0.03</v>
      </c>
      <c r="O279" s="23" t="n">
        <v>0.02</v>
      </c>
      <c r="P279" s="42" t="inlineStr">
        <is>
          <t>Iron Chestplate, Iron Helmet, Iron Legplates, Iron Boots, Long Sword, Kite Shield, Sturdy Belt, Reinforced War Gloves, Warden's Cloak, Charm of Focus, Cold Iron Pauldrons, Ring of the Hunt, Ring of the Hunt</t>
        </is>
      </c>
    </row>
    <row r="280">
      <c r="A280" s="21" t="n">
        <v>27</v>
      </c>
      <c r="B280" s="21" t="inlineStr">
        <is>
          <t>Warrior</t>
        </is>
      </c>
      <c r="C280" s="21" t="n">
        <v>2</v>
      </c>
      <c r="D280" s="21" t="n">
        <v>40</v>
      </c>
      <c r="E280" s="21" t="n">
        <v>10</v>
      </c>
      <c r="F280" s="21" t="n">
        <v>41</v>
      </c>
      <c r="G280" s="21" t="n">
        <v>1315</v>
      </c>
      <c r="H280" s="21" t="n">
        <v>685</v>
      </c>
      <c r="I280" s="21" t="n">
        <v>297</v>
      </c>
      <c r="J280" s="23" t="n">
        <v>0.07000000000000001</v>
      </c>
      <c r="K280" s="23" t="n">
        <v>0</v>
      </c>
      <c r="L280" s="23" t="n">
        <v>0.05</v>
      </c>
      <c r="M280" s="23" t="n">
        <v>0.06</v>
      </c>
      <c r="N280" s="23" t="n">
        <v>0.03</v>
      </c>
      <c r="O280" s="23" t="n">
        <v>0.02</v>
      </c>
      <c r="P280" s="42" t="inlineStr">
        <is>
          <t>Iron Chestplate, Iron Helmet, Iron Legplates, Iron Boots, Bastard Sword, Kite Shield, Sturdy Belt, Reinforced War Gloves, Warden's Cloak, Charm of Insight, Cold Iron Pauldrons, Ring of the Hunt, Ring of the Hunt</t>
        </is>
      </c>
    </row>
    <row r="281">
      <c r="A281" s="21" t="n">
        <v>28</v>
      </c>
      <c r="B281" s="21" t="inlineStr">
        <is>
          <t>Warrior</t>
        </is>
      </c>
      <c r="C281" s="21" t="n">
        <v>2</v>
      </c>
      <c r="D281" s="21" t="n">
        <v>40</v>
      </c>
      <c r="E281" s="21" t="n">
        <v>10</v>
      </c>
      <c r="F281" s="21" t="n">
        <v>43</v>
      </c>
      <c r="G281" s="21" t="n">
        <v>1495</v>
      </c>
      <c r="H281" s="21" t="n">
        <v>685</v>
      </c>
      <c r="I281" s="21" t="n">
        <v>314</v>
      </c>
      <c r="J281" s="23" t="n">
        <v>0.07000000000000001</v>
      </c>
      <c r="K281" s="23" t="n">
        <v>0</v>
      </c>
      <c r="L281" s="23" t="n">
        <v>0.05</v>
      </c>
      <c r="M281" s="23" t="n">
        <v>0.06</v>
      </c>
      <c r="N281" s="23" t="n">
        <v>0.03</v>
      </c>
      <c r="O281" s="23" t="n">
        <v>0.03</v>
      </c>
      <c r="P281" s="42" t="inlineStr">
        <is>
          <t>Iron Chestplate, Iron Helmet, Iron Legplates, Iron Boots, Bastard Sword, Kite Shield, Sturdy Belt, Reinforced War Gloves, Warden's Cloak, Charm of Insight, Tempered Pauldrons, Ring of the Hunt, Ring of the Hunt</t>
        </is>
      </c>
    </row>
    <row r="282">
      <c r="A282" s="21" t="n">
        <v>29</v>
      </c>
      <c r="B282" s="21" t="inlineStr">
        <is>
          <t>Warrior</t>
        </is>
      </c>
      <c r="C282" s="21" t="n">
        <v>2</v>
      </c>
      <c r="D282" s="21" t="n">
        <v>40</v>
      </c>
      <c r="E282" s="21" t="n">
        <v>10</v>
      </c>
      <c r="F282" s="21" t="n">
        <v>43</v>
      </c>
      <c r="G282" s="21" t="n">
        <v>1495</v>
      </c>
      <c r="H282" s="21" t="n">
        <v>685</v>
      </c>
      <c r="I282" s="21" t="n">
        <v>314</v>
      </c>
      <c r="J282" s="23" t="n">
        <v>0.07000000000000001</v>
      </c>
      <c r="K282" s="23" t="n">
        <v>0</v>
      </c>
      <c r="L282" s="23" t="n">
        <v>0.05</v>
      </c>
      <c r="M282" s="23" t="n">
        <v>0.06</v>
      </c>
      <c r="N282" s="23" t="n">
        <v>0.03</v>
      </c>
      <c r="O282" s="23" t="n">
        <v>0.03</v>
      </c>
      <c r="P282" s="42" t="inlineStr">
        <is>
          <t>Iron Chestplate, Iron Helmet, Iron Legplates, Iron Boots, Bastard Sword, Kite Shield, Sturdy Belt, Reinforced War Gloves, Warden's Cloak, Charm of Insight, Tempered Pauldrons, Ring of the Hunt, Ring of the Hunt</t>
        </is>
      </c>
    </row>
    <row r="283">
      <c r="A283" s="21" t="n">
        <v>30</v>
      </c>
      <c r="B283" s="21" t="inlineStr">
        <is>
          <t>Warrior</t>
        </is>
      </c>
      <c r="C283" s="21" t="n">
        <v>2</v>
      </c>
      <c r="D283" s="21" t="n">
        <v>40</v>
      </c>
      <c r="E283" s="21" t="n">
        <v>10</v>
      </c>
      <c r="F283" s="21" t="n">
        <v>46</v>
      </c>
      <c r="G283" s="21" t="n">
        <v>1715</v>
      </c>
      <c r="H283" s="21" t="n">
        <v>685</v>
      </c>
      <c r="I283" s="21" t="n">
        <v>323</v>
      </c>
      <c r="J283" s="23" t="n">
        <v>0.08</v>
      </c>
      <c r="K283" s="23" t="n">
        <v>0</v>
      </c>
      <c r="L283" s="23" t="n">
        <v>0.06</v>
      </c>
      <c r="M283" s="23" t="n">
        <v>0.06</v>
      </c>
      <c r="N283" s="23" t="n">
        <v>0.03</v>
      </c>
      <c r="O283" s="23" t="n">
        <v>0.03</v>
      </c>
      <c r="P283" s="42" t="inlineStr">
        <is>
          <t>Iron Chestplate, Iron Helmet, Iron Legplates, Iron Boots, Bastard Sword, Kite Shield, Ironbound Belt, Reinforced War Gloves, Warden's Cloak, Charm of Insight, Tempered Pauldrons, Ring of the Hunt, Ring of the Hunt</t>
        </is>
      </c>
    </row>
    <row r="284">
      <c r="A284" s="21" t="n">
        <v>31</v>
      </c>
      <c r="B284" s="21" t="inlineStr">
        <is>
          <t>Warrior</t>
        </is>
      </c>
      <c r="C284" s="21" t="n">
        <v>2</v>
      </c>
      <c r="D284" s="21" t="n">
        <v>40</v>
      </c>
      <c r="E284" s="21" t="n">
        <v>10</v>
      </c>
      <c r="F284" s="21" t="n">
        <v>46</v>
      </c>
      <c r="G284" s="21" t="n">
        <v>1715</v>
      </c>
      <c r="H284" s="21" t="n">
        <v>685</v>
      </c>
      <c r="I284" s="21" t="n">
        <v>323</v>
      </c>
      <c r="J284" s="23" t="n">
        <v>0.08</v>
      </c>
      <c r="K284" s="23" t="n">
        <v>0</v>
      </c>
      <c r="L284" s="23" t="n">
        <v>0.06</v>
      </c>
      <c r="M284" s="23" t="n">
        <v>0.06</v>
      </c>
      <c r="N284" s="23" t="n">
        <v>0.03</v>
      </c>
      <c r="O284" s="23" t="n">
        <v>0.03</v>
      </c>
      <c r="P284" s="42" t="inlineStr">
        <is>
          <t>Iron Chestplate, Iron Helmet, Iron Legplates, Iron Boots, Bastard Sword, Kite Shield, Ironbound Belt, Reinforced War Gloves, Warden's Cloak, Charm of Insight, Tempered Pauldrons, Ring of the Hunt, Ring of the Hunt</t>
        </is>
      </c>
    </row>
    <row r="285">
      <c r="A285" s="21" t="n">
        <v>32</v>
      </c>
      <c r="B285" s="21" t="inlineStr">
        <is>
          <t>Warrior</t>
        </is>
      </c>
      <c r="C285" s="21" t="n">
        <v>2</v>
      </c>
      <c r="D285" s="21" t="n">
        <v>40</v>
      </c>
      <c r="E285" s="21" t="n">
        <v>10</v>
      </c>
      <c r="F285" s="21" t="n">
        <v>46</v>
      </c>
      <c r="G285" s="21" t="n">
        <v>1715</v>
      </c>
      <c r="H285" s="21" t="n">
        <v>685</v>
      </c>
      <c r="I285" s="21" t="n">
        <v>323</v>
      </c>
      <c r="J285" s="23" t="n">
        <v>0.08</v>
      </c>
      <c r="K285" s="23" t="n">
        <v>0</v>
      </c>
      <c r="L285" s="23" t="n">
        <v>0.06</v>
      </c>
      <c r="M285" s="23" t="n">
        <v>0.06</v>
      </c>
      <c r="N285" s="23" t="n">
        <v>0.03</v>
      </c>
      <c r="O285" s="23" t="n">
        <v>0.03</v>
      </c>
      <c r="P285" s="42" t="inlineStr">
        <is>
          <t>Iron Chestplate, Iron Helmet, Iron Legplates, Iron Boots, Bastard Sword, Kite Shield, Ironbound Belt, Reinforced War Gloves, Warden's Cloak, Charm of Insight, Tempered Pauldrons, Ring of the Hunt, Ring of the Hunt</t>
        </is>
      </c>
    </row>
    <row r="286">
      <c r="A286" s="21" t="n">
        <v>33</v>
      </c>
      <c r="B286" s="21" t="inlineStr">
        <is>
          <t>Warrior</t>
        </is>
      </c>
      <c r="C286" s="21" t="n">
        <v>2</v>
      </c>
      <c r="D286" s="21" t="n">
        <v>40</v>
      </c>
      <c r="E286" s="21" t="n">
        <v>10</v>
      </c>
      <c r="F286" s="21" t="n">
        <v>54</v>
      </c>
      <c r="G286" s="21" t="n">
        <v>1835</v>
      </c>
      <c r="H286" s="21" t="n">
        <v>765</v>
      </c>
      <c r="I286" s="21" t="n">
        <v>333</v>
      </c>
      <c r="J286" s="23" t="n">
        <v>0.08</v>
      </c>
      <c r="K286" s="23" t="n">
        <v>0</v>
      </c>
      <c r="L286" s="23" t="n">
        <v>0.06</v>
      </c>
      <c r="M286" s="23" t="n">
        <v>0.08</v>
      </c>
      <c r="N286" s="23" t="n">
        <v>0.03</v>
      </c>
      <c r="O286" s="23" t="n">
        <v>0.03</v>
      </c>
      <c r="P286" s="42" t="inlineStr">
        <is>
          <t>Iron Chestplate, Iron Helmet, Iron Legplates, Iron Boots, Bastard Sword, Kite Shield, Ironbound Belt, Reinforced War Gloves, Warden's Cloak, Charm of Insight, Tempered Pauldrons, Ring of the Vanguard, Ring of the Vanguard</t>
        </is>
      </c>
    </row>
    <row r="287">
      <c r="A287" s="21" t="n">
        <v>34</v>
      </c>
      <c r="B287" s="21" t="inlineStr">
        <is>
          <t>Warrior</t>
        </is>
      </c>
      <c r="C287" s="21" t="n">
        <v>2</v>
      </c>
      <c r="D287" s="21" t="n">
        <v>40</v>
      </c>
      <c r="E287" s="21" t="n">
        <v>10</v>
      </c>
      <c r="F287" s="21" t="n">
        <v>58</v>
      </c>
      <c r="G287" s="21" t="n">
        <v>1925</v>
      </c>
      <c r="H287" s="21" t="n">
        <v>765</v>
      </c>
      <c r="I287" s="21" t="n">
        <v>386</v>
      </c>
      <c r="J287" s="23" t="n">
        <v>0.08</v>
      </c>
      <c r="K287" s="23" t="n">
        <v>0</v>
      </c>
      <c r="L287" s="23" t="n">
        <v>0.07000000000000001</v>
      </c>
      <c r="M287" s="23" t="n">
        <v>0.08</v>
      </c>
      <c r="N287" s="23" t="n">
        <v>0.03</v>
      </c>
      <c r="O287" s="23" t="n">
        <v>0.03</v>
      </c>
      <c r="P287" s="42" t="inlineStr">
        <is>
          <t>Steel Chestplate, Steel Helmet, Steel Legplates, Steel Boots, Bastard Sword, Kite Shield, Ironbound Belt, Runed War Gloves, Warden's Cloak, Charm of Insight, Tempered Pauldrons, Ring of the Vanguard, Ring of the Vanguard</t>
        </is>
      </c>
    </row>
    <row r="288">
      <c r="A288" s="21" t="n">
        <v>35</v>
      </c>
      <c r="B288" s="21" t="inlineStr">
        <is>
          <t>Warrior</t>
        </is>
      </c>
      <c r="C288" s="21" t="n">
        <v>2</v>
      </c>
      <c r="D288" s="21" t="n">
        <v>40</v>
      </c>
      <c r="E288" s="21" t="n">
        <v>10</v>
      </c>
      <c r="F288" s="21" t="n">
        <v>58</v>
      </c>
      <c r="G288" s="21" t="n">
        <v>1925</v>
      </c>
      <c r="H288" s="21" t="n">
        <v>765</v>
      </c>
      <c r="I288" s="21" t="n">
        <v>436</v>
      </c>
      <c r="J288" s="23" t="n">
        <v>0.08</v>
      </c>
      <c r="K288" s="23" t="n">
        <v>0</v>
      </c>
      <c r="L288" s="23" t="n">
        <v>0.07000000000000001</v>
      </c>
      <c r="M288" s="23" t="n">
        <v>0.08</v>
      </c>
      <c r="N288" s="23" t="n">
        <v>0.03</v>
      </c>
      <c r="O288" s="23" t="n">
        <v>0.03</v>
      </c>
      <c r="P288" s="42" t="inlineStr">
        <is>
          <t>Steel Chestplate, Steel Helmet, Steel Legplates, Steel Boots, Bastard Sword, Firebrand Shield, Ironbound Belt, Runed War Gloves, Warden's Cloak, Charm of Insight, Tempered Pauldrons, Ring of the Vanguard, Ring of the Vanguard</t>
        </is>
      </c>
    </row>
    <row r="289">
      <c r="A289" s="21" t="n">
        <v>36</v>
      </c>
      <c r="B289" s="21" t="inlineStr">
        <is>
          <t>Warrior</t>
        </is>
      </c>
      <c r="C289" s="21" t="n">
        <v>2</v>
      </c>
      <c r="D289" s="21" t="n">
        <v>40</v>
      </c>
      <c r="E289" s="21" t="n">
        <v>10</v>
      </c>
      <c r="F289" s="21" t="n">
        <v>58</v>
      </c>
      <c r="G289" s="21" t="n">
        <v>1960</v>
      </c>
      <c r="H289" s="21" t="n">
        <v>800</v>
      </c>
      <c r="I289" s="21" t="n">
        <v>446</v>
      </c>
      <c r="J289" s="23" t="n">
        <v>0.08</v>
      </c>
      <c r="K289" s="23" t="n">
        <v>0</v>
      </c>
      <c r="L289" s="23" t="n">
        <v>0.07000000000000001</v>
      </c>
      <c r="M289" s="23" t="n">
        <v>0.08</v>
      </c>
      <c r="N289" s="23" t="n">
        <v>0.04</v>
      </c>
      <c r="O289" s="23" t="n">
        <v>0.03</v>
      </c>
      <c r="P289" s="42" t="inlineStr">
        <is>
          <t>Steel Chestplate, Steel Helmet, Steel Legplates, Steel Boots, Bastard Sword, Firebrand Shield, Ironbound Belt, Runed War Gloves, Stormward Cloak, Charm of Insight, Tempered Pauldrons, Ring of the Vanguard, Ring of the Vanguard</t>
        </is>
      </c>
    </row>
    <row r="290">
      <c r="A290" s="21" t="n">
        <v>37</v>
      </c>
      <c r="B290" s="21" t="inlineStr">
        <is>
          <t>Warrior</t>
        </is>
      </c>
      <c r="C290" s="21" t="n">
        <v>2</v>
      </c>
      <c r="D290" s="21" t="n">
        <v>40</v>
      </c>
      <c r="E290" s="21" t="n">
        <v>10</v>
      </c>
      <c r="F290" s="21" t="n">
        <v>58</v>
      </c>
      <c r="G290" s="21" t="n">
        <v>1990</v>
      </c>
      <c r="H290" s="21" t="n">
        <v>960</v>
      </c>
      <c r="I290" s="21" t="n">
        <v>453</v>
      </c>
      <c r="J290" s="23" t="n">
        <v>0.1</v>
      </c>
      <c r="K290" s="23" t="n">
        <v>0</v>
      </c>
      <c r="L290" s="23" t="n">
        <v>0.07000000000000001</v>
      </c>
      <c r="M290" s="23" t="n">
        <v>0.08</v>
      </c>
      <c r="N290" s="23" t="n">
        <v>0.04</v>
      </c>
      <c r="O290" s="23" t="n">
        <v>0.03</v>
      </c>
      <c r="P290" s="42" t="inlineStr">
        <is>
          <t>Steel Chestplate, Steel Helmet, Steel Legplates, Steel Boots, Bastard Sword, Firebrand Shield, Ironbound Belt, Runed War Gloves, Stormward Cloak, Charm of Ascendance, Tempered Pauldrons, Ring of the Vanguard, Ring of the Vanguard</t>
        </is>
      </c>
    </row>
    <row r="291">
      <c r="A291" s="21" t="n">
        <v>38</v>
      </c>
      <c r="B291" s="21" t="inlineStr">
        <is>
          <t>Warrior</t>
        </is>
      </c>
      <c r="C291" s="21" t="n">
        <v>2</v>
      </c>
      <c r="D291" s="21" t="n">
        <v>40</v>
      </c>
      <c r="E291" s="21" t="n">
        <v>10</v>
      </c>
      <c r="F291" s="21" t="n">
        <v>60</v>
      </c>
      <c r="G291" s="21" t="n">
        <v>2145</v>
      </c>
      <c r="H291" s="21" t="n">
        <v>960</v>
      </c>
      <c r="I291" s="21" t="n">
        <v>468</v>
      </c>
      <c r="J291" s="23" t="n">
        <v>0.1</v>
      </c>
      <c r="K291" s="23" t="n">
        <v>0</v>
      </c>
      <c r="L291" s="23" t="n">
        <v>0.07000000000000001</v>
      </c>
      <c r="M291" s="23" t="n">
        <v>0.08</v>
      </c>
      <c r="N291" s="23" t="n">
        <v>0.04</v>
      </c>
      <c r="O291" s="23" t="n">
        <v>0.04</v>
      </c>
      <c r="P291" s="42" t="inlineStr">
        <is>
          <t>Steel Chestplate, Steel Helmet, Steel Legplates, Steel Boots, Bastard Sword, Firebrand Shield, Ironbound Belt, Runed War Gloves, Stormward Cloak, Charm of Ascendance, Runeplate Pauldrons, Ring of the Vanguard, Ring of the Vanguard</t>
        </is>
      </c>
    </row>
    <row r="292">
      <c r="A292" s="21" t="n">
        <v>39</v>
      </c>
      <c r="B292" s="21" t="inlineStr">
        <is>
          <t>Warrior</t>
        </is>
      </c>
      <c r="C292" s="21" t="n">
        <v>2</v>
      </c>
      <c r="D292" s="21" t="n">
        <v>40</v>
      </c>
      <c r="E292" s="21" t="n">
        <v>10</v>
      </c>
      <c r="F292" s="21" t="n">
        <v>60</v>
      </c>
      <c r="G292" s="21" t="n">
        <v>2145</v>
      </c>
      <c r="H292" s="21" t="n">
        <v>960</v>
      </c>
      <c r="I292" s="21" t="n">
        <v>468</v>
      </c>
      <c r="J292" s="23" t="n">
        <v>0.1</v>
      </c>
      <c r="K292" s="23" t="n">
        <v>0</v>
      </c>
      <c r="L292" s="23" t="n">
        <v>0.07000000000000001</v>
      </c>
      <c r="M292" s="23" t="n">
        <v>0.08</v>
      </c>
      <c r="N292" s="23" t="n">
        <v>0.04</v>
      </c>
      <c r="O292" s="23" t="n">
        <v>0.04</v>
      </c>
      <c r="P292" s="42" t="inlineStr">
        <is>
          <t>Steel Chestplate, Steel Helmet, Steel Legplates, Steel Boots, Bastard Sword, Firebrand Shield, Ironbound Belt, Runed War Gloves, Stormward Cloak, Charm of Ascendance, Runeplate Pauldrons, Ring of the Vanguard, Ring of the Vanguard</t>
        </is>
      </c>
    </row>
    <row r="293">
      <c r="A293" s="21" t="n">
        <v>40</v>
      </c>
      <c r="B293" s="21" t="inlineStr">
        <is>
          <t>Warrior</t>
        </is>
      </c>
      <c r="C293" s="21" t="n">
        <v>2</v>
      </c>
      <c r="D293" s="21" t="n">
        <v>40</v>
      </c>
      <c r="E293" s="21" t="n">
        <v>10</v>
      </c>
      <c r="F293" s="21" t="n">
        <v>62</v>
      </c>
      <c r="G293" s="21" t="n">
        <v>2330</v>
      </c>
      <c r="H293" s="21" t="n">
        <v>960</v>
      </c>
      <c r="I293" s="21" t="n">
        <v>476</v>
      </c>
      <c r="J293" s="23" t="n">
        <v>0.11</v>
      </c>
      <c r="K293" s="23" t="n">
        <v>0</v>
      </c>
      <c r="L293" s="23" t="n">
        <v>0.08</v>
      </c>
      <c r="M293" s="23" t="n">
        <v>0.08</v>
      </c>
      <c r="N293" s="23" t="n">
        <v>0.04</v>
      </c>
      <c r="O293" s="23" t="n">
        <v>0.04</v>
      </c>
      <c r="P293" s="42" t="inlineStr">
        <is>
          <t>Steel Chestplate, Steel Helmet, Steel Legplates, Steel Boots, Bastard Sword, Firebrand Shield, Runeplate Belt, Runed War Gloves, Stormward Cloak, Charm of Ascendance, Runeplate Pauldrons, Ring of the Vanguard, Ring of the Vanguard</t>
        </is>
      </c>
    </row>
    <row r="294">
      <c r="A294" s="21" t="n">
        <v>41</v>
      </c>
      <c r="B294" s="21" t="inlineStr">
        <is>
          <t>Warrior</t>
        </is>
      </c>
      <c r="C294" s="21" t="n">
        <v>2</v>
      </c>
      <c r="D294" s="21" t="n">
        <v>40</v>
      </c>
      <c r="E294" s="21" t="n">
        <v>10</v>
      </c>
      <c r="F294" s="21" t="n">
        <v>62</v>
      </c>
      <c r="G294" s="21" t="n">
        <v>2330</v>
      </c>
      <c r="H294" s="21" t="n">
        <v>960</v>
      </c>
      <c r="I294" s="21" t="n">
        <v>476</v>
      </c>
      <c r="J294" s="23" t="n">
        <v>0.11</v>
      </c>
      <c r="K294" s="23" t="n">
        <v>0</v>
      </c>
      <c r="L294" s="23" t="n">
        <v>0.08</v>
      </c>
      <c r="M294" s="23" t="n">
        <v>0.08</v>
      </c>
      <c r="N294" s="23" t="n">
        <v>0.04</v>
      </c>
      <c r="O294" s="23" t="n">
        <v>0.04</v>
      </c>
      <c r="P294" s="42" t="inlineStr">
        <is>
          <t>Steel Chestplate, Steel Helmet, Steel Legplates, Steel Boots, Bastard Sword, Firebrand Shield, Runeplate Belt, Runed War Gloves, Stormward Cloak, Charm of Ascendance, Runeplate Pauldrons, Ring of the Vanguard, Ring of the Vanguard</t>
        </is>
      </c>
    </row>
    <row r="295">
      <c r="A295" s="21" t="n">
        <v>42</v>
      </c>
      <c r="B295" s="21" t="inlineStr">
        <is>
          <t>Warrior</t>
        </is>
      </c>
      <c r="C295" s="21" t="n">
        <v>2</v>
      </c>
      <c r="D295" s="21" t="n">
        <v>40</v>
      </c>
      <c r="E295" s="21" t="n">
        <v>10</v>
      </c>
      <c r="F295" s="21" t="n">
        <v>62</v>
      </c>
      <c r="G295" s="21" t="n">
        <v>2330</v>
      </c>
      <c r="H295" s="21" t="n">
        <v>960</v>
      </c>
      <c r="I295" s="21" t="n">
        <v>476</v>
      </c>
      <c r="J295" s="23" t="n">
        <v>0.11</v>
      </c>
      <c r="K295" s="23" t="n">
        <v>0</v>
      </c>
      <c r="L295" s="23" t="n">
        <v>0.08</v>
      </c>
      <c r="M295" s="23" t="n">
        <v>0.08</v>
      </c>
      <c r="N295" s="23" t="n">
        <v>0.04</v>
      </c>
      <c r="O295" s="23" t="n">
        <v>0.04</v>
      </c>
      <c r="P295" s="42" t="inlineStr">
        <is>
          <t>Steel Chestplate, Steel Helmet, Steel Legplates, Steel Boots, Bastard Sword, Firebrand Shield, Runeplate Belt, Runed War Gloves, Stormward Cloak, Charm of Ascendance, Runeplate Pauldrons, Ring of the Vanguard, Ring of the Vanguard</t>
        </is>
      </c>
    </row>
    <row r="296">
      <c r="A296" s="21" t="n">
        <v>43</v>
      </c>
      <c r="B296" s="21" t="inlineStr">
        <is>
          <t>Warrior</t>
        </is>
      </c>
      <c r="C296" s="21" t="n">
        <v>2</v>
      </c>
      <c r="D296" s="21" t="n">
        <v>40</v>
      </c>
      <c r="E296" s="21" t="n">
        <v>10</v>
      </c>
      <c r="F296" s="21" t="n">
        <v>70</v>
      </c>
      <c r="G296" s="21" t="n">
        <v>2430</v>
      </c>
      <c r="H296" s="21" t="n">
        <v>1020</v>
      </c>
      <c r="I296" s="21" t="n">
        <v>492</v>
      </c>
      <c r="J296" s="23" t="n">
        <v>0.11</v>
      </c>
      <c r="K296" s="23" t="n">
        <v>0</v>
      </c>
      <c r="L296" s="23" t="n">
        <v>0.08</v>
      </c>
      <c r="M296" s="23" t="n">
        <v>0.1</v>
      </c>
      <c r="N296" s="23" t="n">
        <v>0.04</v>
      </c>
      <c r="O296" s="23" t="n">
        <v>0.04</v>
      </c>
      <c r="P296" s="42" t="inlineStr">
        <is>
          <t>Steel Chestplate, Steel Helmet, Steel Legplates, Steel Boots, Bastard Sword, Firebrand Shield, Runeplate Belt, Runed War Gloves, Stormward Cloak, Charm of Ascendance, Runeplate Pauldrons, Ring of the Warlord, Ring of the Warlord</t>
        </is>
      </c>
    </row>
    <row r="297">
      <c r="A297" s="21" t="n">
        <v>44</v>
      </c>
      <c r="B297" s="21" t="inlineStr">
        <is>
          <t>Warrior</t>
        </is>
      </c>
      <c r="C297" s="21" t="n">
        <v>2</v>
      </c>
      <c r="D297" s="21" t="n">
        <v>40</v>
      </c>
      <c r="E297" s="21" t="n">
        <v>10</v>
      </c>
      <c r="F297" s="21" t="n">
        <v>74</v>
      </c>
      <c r="G297" s="21" t="n">
        <v>2520</v>
      </c>
      <c r="H297" s="21" t="n">
        <v>1020</v>
      </c>
      <c r="I297" s="21" t="n">
        <v>502</v>
      </c>
      <c r="J297" s="23" t="n">
        <v>0.11</v>
      </c>
      <c r="K297" s="23" t="n">
        <v>0</v>
      </c>
      <c r="L297" s="23" t="n">
        <v>0.09</v>
      </c>
      <c r="M297" s="23" t="n">
        <v>0.1</v>
      </c>
      <c r="N297" s="23" t="n">
        <v>0.04</v>
      </c>
      <c r="O297" s="23" t="n">
        <v>0.04</v>
      </c>
      <c r="P297" s="42" t="inlineStr">
        <is>
          <t>Steel Chestplate, Steel Helmet, Steel Legplates, Steel Boots, Bastard Sword, Firebrand Shield, Runeplate Belt, Exalted War Gloves, Stormward Cloak, Charm of Ascendance, Runeplate Pauldrons, Ring of the Warlord, Ring of the Warlord</t>
        </is>
      </c>
    </row>
    <row r="298">
      <c r="A298" s="21" t="n">
        <v>45</v>
      </c>
      <c r="B298" s="21" t="inlineStr">
        <is>
          <t>Warrior</t>
        </is>
      </c>
      <c r="C298" s="21" t="n">
        <v>2</v>
      </c>
      <c r="D298" s="21" t="n">
        <v>40</v>
      </c>
      <c r="E298" s="21" t="n">
        <v>10</v>
      </c>
      <c r="F298" s="21" t="n">
        <v>74</v>
      </c>
      <c r="G298" s="21" t="n">
        <v>2520</v>
      </c>
      <c r="H298" s="21" t="n">
        <v>1020</v>
      </c>
      <c r="I298" s="21" t="n">
        <v>502</v>
      </c>
      <c r="J298" s="23" t="n">
        <v>0.11</v>
      </c>
      <c r="K298" s="23" t="n">
        <v>0</v>
      </c>
      <c r="L298" s="23" t="n">
        <v>0.09</v>
      </c>
      <c r="M298" s="23" t="n">
        <v>0.1</v>
      </c>
      <c r="N298" s="23" t="n">
        <v>0.04</v>
      </c>
      <c r="O298" s="23" t="n">
        <v>0.04</v>
      </c>
      <c r="P298" s="42" t="inlineStr">
        <is>
          <t>Steel Chestplate, Steel Helmet, Steel Legplates, Steel Boots, Bastard Sword, Firebrand Shield, Runeplate Belt, Exalted War Gloves, Stormward Cloak, Charm of Ascendance, Runeplate Pauldrons, Ring of the Warlord, Ring of the Warlord</t>
        </is>
      </c>
    </row>
    <row r="299">
      <c r="A299" s="21" t="n">
        <v>46</v>
      </c>
      <c r="B299" s="21" t="inlineStr">
        <is>
          <t>Warrior</t>
        </is>
      </c>
      <c r="C299" s="21" t="n">
        <v>2</v>
      </c>
      <c r="D299" s="21" t="n">
        <v>40</v>
      </c>
      <c r="E299" s="21" t="n">
        <v>10</v>
      </c>
      <c r="F299" s="21" t="n">
        <v>74</v>
      </c>
      <c r="G299" s="21" t="n">
        <v>2555</v>
      </c>
      <c r="H299" s="21" t="n">
        <v>1055</v>
      </c>
      <c r="I299" s="21" t="n">
        <v>510</v>
      </c>
      <c r="J299" s="23" t="n">
        <v>0.11</v>
      </c>
      <c r="K299" s="23" t="n">
        <v>0</v>
      </c>
      <c r="L299" s="23" t="n">
        <v>0.09</v>
      </c>
      <c r="M299" s="23" t="n">
        <v>0.1</v>
      </c>
      <c r="N299" s="23" t="n">
        <v>0.05</v>
      </c>
      <c r="O299" s="23" t="n">
        <v>0.04</v>
      </c>
      <c r="P299" s="42" t="inlineStr">
        <is>
          <t>Steel Chestplate, Steel Helmet, Steel Legplates, Steel Boots, Bastard Sword, Firebrand Shield, Runeplate Belt, Exalted War Gloves, Skyweave Cloak, Charm of Ascendance, Runeplate Pauldrons, Ring of the Warlord, Ring of the Warlord</t>
        </is>
      </c>
    </row>
    <row r="300">
      <c r="A300" s="21" t="n">
        <v>47</v>
      </c>
      <c r="B300" s="21" t="inlineStr">
        <is>
          <t>Warrior</t>
        </is>
      </c>
      <c r="C300" s="21" t="n">
        <v>2</v>
      </c>
      <c r="D300" s="21" t="n">
        <v>40</v>
      </c>
      <c r="E300" s="21" t="n">
        <v>10</v>
      </c>
      <c r="F300" s="21" t="n">
        <v>74</v>
      </c>
      <c r="G300" s="21" t="n">
        <v>2585</v>
      </c>
      <c r="H300" s="21" t="n">
        <v>1135</v>
      </c>
      <c r="I300" s="21" t="n">
        <v>515</v>
      </c>
      <c r="J300" s="23" t="n">
        <v>0.13</v>
      </c>
      <c r="K300" s="23" t="n">
        <v>0</v>
      </c>
      <c r="L300" s="23" t="n">
        <v>0.09</v>
      </c>
      <c r="M300" s="23" t="n">
        <v>0.1</v>
      </c>
      <c r="N300" s="23" t="n">
        <v>0.05</v>
      </c>
      <c r="O300" s="23" t="n">
        <v>0.04</v>
      </c>
      <c r="P300" s="42" t="inlineStr">
        <is>
          <t>Steel Chestplate, Steel Helmet, Steel Legplates, Steel Boots, Bastard Sword, Firebrand Shield, Runeplate Belt, Exalted War Gloves, Skyweave Cloak, Charm of the Archon, Runeplate Pauldrons, Ring of the Warlord, Ring of the Warlord</t>
        </is>
      </c>
    </row>
    <row r="301">
      <c r="A301" s="21" t="n">
        <v>48</v>
      </c>
      <c r="B301" s="21" t="inlineStr">
        <is>
          <t>Warrior</t>
        </is>
      </c>
      <c r="C301" s="21" t="n">
        <v>2</v>
      </c>
      <c r="D301" s="21" t="n">
        <v>40</v>
      </c>
      <c r="E301" s="21" t="n">
        <v>10</v>
      </c>
      <c r="F301" s="21" t="n">
        <v>76</v>
      </c>
      <c r="G301" s="21" t="n">
        <v>2740</v>
      </c>
      <c r="H301" s="21" t="n">
        <v>1135</v>
      </c>
      <c r="I301" s="21" t="n">
        <v>533</v>
      </c>
      <c r="J301" s="23" t="n">
        <v>0.13</v>
      </c>
      <c r="K301" s="23" t="n">
        <v>0</v>
      </c>
      <c r="L301" s="23" t="n">
        <v>0.09</v>
      </c>
      <c r="M301" s="23" t="n">
        <v>0.1</v>
      </c>
      <c r="N301" s="23" t="n">
        <v>0.05</v>
      </c>
      <c r="O301" s="23" t="n">
        <v>0.05</v>
      </c>
      <c r="P301" s="42" t="inlineStr">
        <is>
          <t>Steel Chestplate, Steel Helmet, Steel Legplates, Steel Boots, Bastard Sword, Firebrand Shield, Runeplate Belt, Exalted War Gloves, Skyweave Cloak, Charm of the Archon, Bulwark Pauldrons, Ring of the Warlord, Ring of the Warlord</t>
        </is>
      </c>
    </row>
    <row r="302">
      <c r="A302" s="21" t="n">
        <v>49</v>
      </c>
      <c r="B302" s="21" t="inlineStr">
        <is>
          <t>Warrior</t>
        </is>
      </c>
      <c r="C302" s="21" t="n">
        <v>2</v>
      </c>
      <c r="D302" s="21" t="n">
        <v>40</v>
      </c>
      <c r="E302" s="21" t="n">
        <v>10</v>
      </c>
      <c r="F302" s="21" t="n">
        <v>78</v>
      </c>
      <c r="G302" s="21" t="n">
        <v>2950</v>
      </c>
      <c r="H302" s="21" t="n">
        <v>1135</v>
      </c>
      <c r="I302" s="21" t="n">
        <v>541</v>
      </c>
      <c r="J302" s="23" t="n">
        <v>0.14</v>
      </c>
      <c r="K302" s="23" t="n">
        <v>0</v>
      </c>
      <c r="L302" s="23" t="n">
        <v>0.1</v>
      </c>
      <c r="M302" s="23" t="n">
        <v>0.1</v>
      </c>
      <c r="N302" s="23" t="n">
        <v>0.05</v>
      </c>
      <c r="O302" s="23" t="n">
        <v>0.05</v>
      </c>
      <c r="P302" s="42" t="inlineStr">
        <is>
          <t>Steel Chestplate, Steel Helmet, Steel Legplates, Steel Boots, Bastard Sword, Firebrand Shield, Bulwark Belt, Exalted War Gloves, Skyweave Cloak, Charm of the Archon, Bulwark Pauldrons, Ring of the Warlord, Ring of the Warlord</t>
        </is>
      </c>
    </row>
    <row r="303">
      <c r="A303" s="21" t="n">
        <v>50</v>
      </c>
      <c r="B303" s="21" t="inlineStr">
        <is>
          <t>Warrior</t>
        </is>
      </c>
      <c r="C303" s="21" t="n">
        <v>2</v>
      </c>
      <c r="D303" s="21" t="n">
        <v>40</v>
      </c>
      <c r="E303" s="21" t="n">
        <v>10</v>
      </c>
      <c r="F303" s="21" t="n">
        <v>78</v>
      </c>
      <c r="G303" s="21" t="n">
        <v>2950</v>
      </c>
      <c r="H303" s="21" t="n">
        <v>1135</v>
      </c>
      <c r="I303" s="21" t="n">
        <v>541</v>
      </c>
      <c r="J303" s="23" t="n">
        <v>0.14</v>
      </c>
      <c r="K303" s="23" t="n">
        <v>0</v>
      </c>
      <c r="L303" s="23" t="n">
        <v>0.1</v>
      </c>
      <c r="M303" s="23" t="n">
        <v>0.1</v>
      </c>
      <c r="N303" s="23" t="n">
        <v>0.05</v>
      </c>
      <c r="O303" s="23" t="n">
        <v>0.05</v>
      </c>
      <c r="P303" s="42" t="inlineStr">
        <is>
          <t>Steel Chestplate, Steel Helmet, Steel Legplates, Steel Boots, Bastard Sword, Firebrand Shield, Bulwark Belt, Exalted War Gloves, Skyweave Cloak, Charm of the Archon, Bulwark Pauldrons, Ring of the Warlord, Ring of the Warlord</t>
        </is>
      </c>
    </row>
    <row r="304">
      <c r="A304" s="21" t="n">
        <v>1</v>
      </c>
      <c r="B304" s="21" t="inlineStr">
        <is>
          <t>Magus</t>
        </is>
      </c>
      <c r="C304" s="21" t="n">
        <v>2</v>
      </c>
      <c r="D304" s="21" t="n">
        <v>3</v>
      </c>
      <c r="E304" s="21" t="n">
        <v>10</v>
      </c>
      <c r="F304" s="21" t="n">
        <v>0</v>
      </c>
      <c r="G304" s="21" t="n">
        <v>0</v>
      </c>
      <c r="H304" s="21" t="n">
        <v>0</v>
      </c>
      <c r="I304" s="21" t="n">
        <v>25</v>
      </c>
      <c r="J304" s="23" t="n">
        <v>0</v>
      </c>
      <c r="K304" s="23" t="n">
        <v>0</v>
      </c>
      <c r="L304" s="23" t="n">
        <v>0</v>
      </c>
      <c r="M304" s="23" t="n">
        <v>0</v>
      </c>
      <c r="N304" s="23" t="n">
        <v>0</v>
      </c>
      <c r="O304" s="23" t="n">
        <v>0</v>
      </c>
      <c r="P304" s="42" t="inlineStr">
        <is>
          <t>Cloth Tunic, Cloth Cap, Cloth Leggings, Cloth Shoes, Stick</t>
        </is>
      </c>
    </row>
    <row r="305">
      <c r="A305" s="21" t="n">
        <v>2</v>
      </c>
      <c r="B305" s="21" t="inlineStr">
        <is>
          <t>Magus</t>
        </is>
      </c>
      <c r="C305" s="21" t="n">
        <v>2</v>
      </c>
      <c r="D305" s="21" t="n">
        <v>3</v>
      </c>
      <c r="E305" s="21" t="n">
        <v>10</v>
      </c>
      <c r="F305" s="21" t="n">
        <v>0</v>
      </c>
      <c r="G305" s="21" t="n">
        <v>0</v>
      </c>
      <c r="H305" s="21" t="n">
        <v>0</v>
      </c>
      <c r="I305" s="21" t="n">
        <v>25</v>
      </c>
      <c r="J305" s="23" t="n">
        <v>0</v>
      </c>
      <c r="K305" s="23" t="n">
        <v>0</v>
      </c>
      <c r="L305" s="23" t="n">
        <v>0</v>
      </c>
      <c r="M305" s="23" t="n">
        <v>0</v>
      </c>
      <c r="N305" s="23" t="n">
        <v>0</v>
      </c>
      <c r="O305" s="23" t="n">
        <v>0</v>
      </c>
      <c r="P305" s="42" t="inlineStr">
        <is>
          <t>Cloth Tunic, Cloth Cap, Cloth Leggings, Cloth Shoes, Stick</t>
        </is>
      </c>
    </row>
    <row r="306">
      <c r="A306" s="21" t="n">
        <v>3</v>
      </c>
      <c r="B306" s="21" t="inlineStr">
        <is>
          <t>Magus</t>
        </is>
      </c>
      <c r="C306" s="21" t="n">
        <v>2</v>
      </c>
      <c r="D306" s="21" t="n">
        <v>3</v>
      </c>
      <c r="E306" s="21" t="n">
        <v>10</v>
      </c>
      <c r="F306" s="21" t="n">
        <v>0</v>
      </c>
      <c r="G306" s="21" t="n">
        <v>0</v>
      </c>
      <c r="H306" s="21" t="n">
        <v>0</v>
      </c>
      <c r="I306" s="21" t="n">
        <v>25</v>
      </c>
      <c r="J306" s="23" t="n">
        <v>0</v>
      </c>
      <c r="K306" s="23" t="n">
        <v>0</v>
      </c>
      <c r="L306" s="23" t="n">
        <v>0</v>
      </c>
      <c r="M306" s="23" t="n">
        <v>0</v>
      </c>
      <c r="N306" s="23" t="n">
        <v>0</v>
      </c>
      <c r="O306" s="23" t="n">
        <v>0</v>
      </c>
      <c r="P306" s="42" t="inlineStr">
        <is>
          <t>Cloth Tunic, Cloth Cap, Cloth Leggings, Cloth Shoes, Stick</t>
        </is>
      </c>
    </row>
    <row r="307">
      <c r="A307" s="21" t="n">
        <v>4</v>
      </c>
      <c r="B307" s="21" t="inlineStr">
        <is>
          <t>Magus</t>
        </is>
      </c>
      <c r="C307" s="21" t="n">
        <v>2</v>
      </c>
      <c r="D307" s="21" t="n">
        <v>3</v>
      </c>
      <c r="E307" s="21" t="n">
        <v>10</v>
      </c>
      <c r="F307" s="21" t="n">
        <v>2</v>
      </c>
      <c r="G307" s="21" t="n">
        <v>70</v>
      </c>
      <c r="H307" s="21" t="n">
        <v>0</v>
      </c>
      <c r="I307" s="21" t="n">
        <v>30</v>
      </c>
      <c r="J307" s="23" t="n">
        <v>0</v>
      </c>
      <c r="K307" s="23" t="n">
        <v>0</v>
      </c>
      <c r="L307" s="23" t="n">
        <v>0</v>
      </c>
      <c r="M307" s="23" t="n">
        <v>0</v>
      </c>
      <c r="N307" s="23" t="n">
        <v>0</v>
      </c>
      <c r="O307" s="23" t="n">
        <v>0</v>
      </c>
      <c r="P307" s="42" t="inlineStr">
        <is>
          <t>Cloth Tunic, Cloth Cap, Cloth Leggings, Cloth Shoes, Stick, Worn Leather Gloves</t>
        </is>
      </c>
    </row>
    <row r="308">
      <c r="A308" s="21" t="n">
        <v>5</v>
      </c>
      <c r="B308" s="21" t="inlineStr">
        <is>
          <t>Magus</t>
        </is>
      </c>
      <c r="C308" s="21" t="n">
        <v>2</v>
      </c>
      <c r="D308" s="21" t="n">
        <v>9</v>
      </c>
      <c r="E308" s="21" t="n">
        <v>10</v>
      </c>
      <c r="F308" s="21" t="n">
        <v>3</v>
      </c>
      <c r="G308" s="21" t="n">
        <v>240</v>
      </c>
      <c r="H308" s="21" t="n">
        <v>160</v>
      </c>
      <c r="I308" s="21" t="n">
        <v>42</v>
      </c>
      <c r="J308" s="23" t="n">
        <v>0</v>
      </c>
      <c r="K308" s="23" t="n">
        <v>0</v>
      </c>
      <c r="L308" s="23" t="n">
        <v>0</v>
      </c>
      <c r="M308" s="23" t="n">
        <v>0</v>
      </c>
      <c r="N308" s="23" t="n">
        <v>0</v>
      </c>
      <c r="O308" s="23" t="n">
        <v>0</v>
      </c>
      <c r="P308" s="42" t="inlineStr">
        <is>
          <t>Cloth Tunic, Cloth Cap, Cloth Leggings, Cloth Shoes, Wooden Stave, Worn Leather Belt, Worn Leather Gloves, Beaded Bracelet, Beaded Bracelet</t>
        </is>
      </c>
    </row>
    <row r="309">
      <c r="A309" s="21" t="n">
        <v>6</v>
      </c>
      <c r="B309" s="21" t="inlineStr">
        <is>
          <t>Magus</t>
        </is>
      </c>
      <c r="C309" s="21" t="n">
        <v>2</v>
      </c>
      <c r="D309" s="21" t="n">
        <v>9</v>
      </c>
      <c r="E309" s="21" t="n">
        <v>10</v>
      </c>
      <c r="F309" s="21" t="n">
        <v>3</v>
      </c>
      <c r="G309" s="21" t="n">
        <v>260</v>
      </c>
      <c r="H309" s="21" t="n">
        <v>180</v>
      </c>
      <c r="I309" s="21" t="n">
        <v>50</v>
      </c>
      <c r="J309" s="23" t="n">
        <v>0</v>
      </c>
      <c r="K309" s="23" t="n">
        <v>0</v>
      </c>
      <c r="L309" s="23" t="n">
        <v>0</v>
      </c>
      <c r="M309" s="23" t="n">
        <v>0</v>
      </c>
      <c r="N309" s="23" t="n">
        <v>0</v>
      </c>
      <c r="O309" s="23" t="n">
        <v>0</v>
      </c>
      <c r="P309" s="42" t="inlineStr">
        <is>
          <t>Cloth Tunic, Cloth Cap, Cloth Leggings, Cloth Shoes, Wooden Stave, Worn Leather Belt, Worn Leather Gloves, Threadbare Cloak, Beaded Bracelet, Beaded Bracelet</t>
        </is>
      </c>
    </row>
    <row r="310">
      <c r="A310" s="21" t="n">
        <v>7</v>
      </c>
      <c r="B310" s="21" t="inlineStr">
        <is>
          <t>Magus</t>
        </is>
      </c>
      <c r="C310" s="21" t="n">
        <v>2</v>
      </c>
      <c r="D310" s="21" t="n">
        <v>9</v>
      </c>
      <c r="E310" s="21" t="n">
        <v>10</v>
      </c>
      <c r="F310" s="21" t="n">
        <v>3</v>
      </c>
      <c r="G310" s="21" t="n">
        <v>285</v>
      </c>
      <c r="H310" s="21" t="n">
        <v>320</v>
      </c>
      <c r="I310" s="21" t="n">
        <v>55</v>
      </c>
      <c r="J310" s="23" t="n">
        <v>0</v>
      </c>
      <c r="K310" s="23" t="n">
        <v>0</v>
      </c>
      <c r="L310" s="23" t="n">
        <v>0</v>
      </c>
      <c r="M310" s="23" t="n">
        <v>0</v>
      </c>
      <c r="N310" s="23" t="n">
        <v>0</v>
      </c>
      <c r="O310" s="23" t="n">
        <v>0</v>
      </c>
      <c r="P310" s="42" t="inlineStr">
        <is>
          <t>Cloth Tunic, Cloth Cap, Cloth Leggings, Cloth Shoes, Wooden Stave, Worn Leather Belt, Worn Leather Gloves, Threadbare Cloak, Simple Pendant, Beaded Bracelet, Beaded Bracelet</t>
        </is>
      </c>
    </row>
    <row r="311">
      <c r="A311" s="21" t="n">
        <v>8</v>
      </c>
      <c r="B311" s="21" t="inlineStr">
        <is>
          <t>Magus</t>
        </is>
      </c>
      <c r="C311" s="21" t="n">
        <v>2</v>
      </c>
      <c r="D311" s="21" t="n">
        <v>9</v>
      </c>
      <c r="E311" s="21" t="n">
        <v>10</v>
      </c>
      <c r="F311" s="21" t="n">
        <v>5</v>
      </c>
      <c r="G311" s="21" t="n">
        <v>375</v>
      </c>
      <c r="H311" s="21" t="n">
        <v>320</v>
      </c>
      <c r="I311" s="21" t="n">
        <v>67</v>
      </c>
      <c r="J311" s="23" t="n">
        <v>0</v>
      </c>
      <c r="K311" s="23" t="n">
        <v>0</v>
      </c>
      <c r="L311" s="23" t="n">
        <v>0</v>
      </c>
      <c r="M311" s="23" t="n">
        <v>0</v>
      </c>
      <c r="N311" s="23" t="n">
        <v>0</v>
      </c>
      <c r="O311" s="23" t="n">
        <v>0</v>
      </c>
      <c r="P311" s="42" t="inlineStr">
        <is>
          <t>Cloth Tunic, Cloth Cap, Cloth Leggings, Cloth Shoes, Wooden Stave, Worn Leather Belt, Worn Leather Gloves, Threadbare Cloak, Simple Pendant, Patchwork Pauldrons, Beaded Bracelet, Beaded Bracelet</t>
        </is>
      </c>
    </row>
    <row r="312">
      <c r="A312" s="21" t="n">
        <v>9</v>
      </c>
      <c r="B312" s="21" t="inlineStr">
        <is>
          <t>Magus</t>
        </is>
      </c>
      <c r="C312" s="21" t="n">
        <v>2</v>
      </c>
      <c r="D312" s="21" t="n">
        <v>9</v>
      </c>
      <c r="E312" s="21" t="n">
        <v>10</v>
      </c>
      <c r="F312" s="21" t="n">
        <v>5</v>
      </c>
      <c r="G312" s="21" t="n">
        <v>375</v>
      </c>
      <c r="H312" s="21" t="n">
        <v>320</v>
      </c>
      <c r="I312" s="21" t="n">
        <v>67</v>
      </c>
      <c r="J312" s="23" t="n">
        <v>0</v>
      </c>
      <c r="K312" s="23" t="n">
        <v>0</v>
      </c>
      <c r="L312" s="23" t="n">
        <v>0</v>
      </c>
      <c r="M312" s="23" t="n">
        <v>0</v>
      </c>
      <c r="N312" s="23" t="n">
        <v>0</v>
      </c>
      <c r="O312" s="23" t="n">
        <v>0</v>
      </c>
      <c r="P312" s="42" t="inlineStr">
        <is>
          <t>Cloth Tunic, Cloth Cap, Cloth Leggings, Cloth Shoes, Wooden Stave, Worn Leather Belt, Worn Leather Gloves, Threadbare Cloak, Simple Pendant, Patchwork Pauldrons, Beaded Bracelet, Beaded Bracelet</t>
        </is>
      </c>
    </row>
    <row r="313">
      <c r="A313" s="21" t="n">
        <v>10</v>
      </c>
      <c r="B313" s="21" t="inlineStr">
        <is>
          <t>Magus</t>
        </is>
      </c>
      <c r="C313" s="21" t="n">
        <v>2</v>
      </c>
      <c r="D313" s="21" t="n">
        <v>9</v>
      </c>
      <c r="E313" s="21" t="n">
        <v>10</v>
      </c>
      <c r="F313" s="21" t="n">
        <v>5</v>
      </c>
      <c r="G313" s="21" t="n">
        <v>375</v>
      </c>
      <c r="H313" s="21" t="n">
        <v>320</v>
      </c>
      <c r="I313" s="21" t="n">
        <v>67</v>
      </c>
      <c r="J313" s="23" t="n">
        <v>0</v>
      </c>
      <c r="K313" s="23" t="n">
        <v>0</v>
      </c>
      <c r="L313" s="23" t="n">
        <v>0</v>
      </c>
      <c r="M313" s="23" t="n">
        <v>0</v>
      </c>
      <c r="N313" s="23" t="n">
        <v>0</v>
      </c>
      <c r="O313" s="23" t="n">
        <v>0</v>
      </c>
      <c r="P313" s="42" t="inlineStr">
        <is>
          <t>Cloth Tunic, Cloth Cap, Cloth Leggings, Cloth Shoes, Wooden Stave, Worn Leather Belt, Worn Leather Gloves, Threadbare Cloak, Simple Pendant, Patchwork Pauldrons, Beaded Bracelet, Beaded Bracelet</t>
        </is>
      </c>
    </row>
    <row r="314">
      <c r="A314" s="21" t="n">
        <v>11</v>
      </c>
      <c r="B314" s="21" t="inlineStr">
        <is>
          <t>Magus</t>
        </is>
      </c>
      <c r="C314" s="21" t="n">
        <v>2</v>
      </c>
      <c r="D314" s="21" t="n">
        <v>9</v>
      </c>
      <c r="E314" s="21" t="n">
        <v>10</v>
      </c>
      <c r="F314" s="21" t="n">
        <v>5</v>
      </c>
      <c r="G314" s="21" t="n">
        <v>375</v>
      </c>
      <c r="H314" s="21" t="n">
        <v>320</v>
      </c>
      <c r="I314" s="21" t="n">
        <v>67</v>
      </c>
      <c r="J314" s="23" t="n">
        <v>0</v>
      </c>
      <c r="K314" s="23" t="n">
        <v>0</v>
      </c>
      <c r="L314" s="23" t="n">
        <v>0</v>
      </c>
      <c r="M314" s="23" t="n">
        <v>0</v>
      </c>
      <c r="N314" s="23" t="n">
        <v>0</v>
      </c>
      <c r="O314" s="23" t="n">
        <v>0</v>
      </c>
      <c r="P314" s="42" t="inlineStr">
        <is>
          <t>Cloth Tunic, Cloth Cap, Cloth Leggings, Cloth Shoes, Wooden Stave, Worn Leather Belt, Worn Leather Gloves, Threadbare Cloak, Simple Pendant, Patchwork Pauldrons, Beaded Bracelet, Beaded Bracelet</t>
        </is>
      </c>
    </row>
    <row r="315">
      <c r="A315" s="21" t="n">
        <v>12</v>
      </c>
      <c r="B315" s="21" t="inlineStr">
        <is>
          <t>Magus</t>
        </is>
      </c>
      <c r="C315" s="21" t="n">
        <v>2</v>
      </c>
      <c r="D315" s="21" t="n">
        <v>9</v>
      </c>
      <c r="E315" s="21" t="n">
        <v>10</v>
      </c>
      <c r="F315" s="21" t="n">
        <v>5</v>
      </c>
      <c r="G315" s="21" t="n">
        <v>375</v>
      </c>
      <c r="H315" s="21" t="n">
        <v>320</v>
      </c>
      <c r="I315" s="21" t="n">
        <v>67</v>
      </c>
      <c r="J315" s="23" t="n">
        <v>0</v>
      </c>
      <c r="K315" s="23" t="n">
        <v>0</v>
      </c>
      <c r="L315" s="23" t="n">
        <v>0</v>
      </c>
      <c r="M315" s="23" t="n">
        <v>0</v>
      </c>
      <c r="N315" s="23" t="n">
        <v>0</v>
      </c>
      <c r="O315" s="23" t="n">
        <v>0</v>
      </c>
      <c r="P315" s="42" t="inlineStr">
        <is>
          <t>Cloth Tunic, Cloth Cap, Cloth Leggings, Cloth Shoes, Wooden Stave, Worn Leather Belt, Worn Leather Gloves, Threadbare Cloak, Simple Pendant, Patchwork Pauldrons, Beaded Bracelet, Beaded Bracelet</t>
        </is>
      </c>
    </row>
    <row r="316">
      <c r="A316" s="21" t="n">
        <v>13</v>
      </c>
      <c r="B316" s="21" t="inlineStr">
        <is>
          <t>Magus</t>
        </is>
      </c>
      <c r="C316" s="21" t="n">
        <v>2</v>
      </c>
      <c r="D316" s="21" t="n">
        <v>9</v>
      </c>
      <c r="E316" s="21" t="n">
        <v>10</v>
      </c>
      <c r="F316" s="21" t="n">
        <v>5</v>
      </c>
      <c r="G316" s="21" t="n">
        <v>525</v>
      </c>
      <c r="H316" s="21" t="n">
        <v>610</v>
      </c>
      <c r="I316" s="21" t="n">
        <v>79</v>
      </c>
      <c r="J316" s="23" t="n">
        <v>0</v>
      </c>
      <c r="K316" s="23" t="n">
        <v>0.04</v>
      </c>
      <c r="L316" s="23" t="n">
        <v>0</v>
      </c>
      <c r="M316" s="23" t="n">
        <v>0</v>
      </c>
      <c r="N316" s="23" t="n">
        <v>0</v>
      </c>
      <c r="O316" s="23" t="n">
        <v>0</v>
      </c>
      <c r="P316" s="42" t="inlineStr">
        <is>
          <t>Cloth Tunic, Cloth Cap, Cloth Leggings, Cloth Shoes, Wooden Stave, Worn Leather Belt, Worn Leather Gloves, Threadbare Cloak, Simple Pendant, Patchwork Pauldrons, Bracelet of Embers, Bracelet of Embers</t>
        </is>
      </c>
    </row>
    <row r="317">
      <c r="A317" s="21" t="n">
        <v>14</v>
      </c>
      <c r="B317" s="21" t="inlineStr">
        <is>
          <t>Magus</t>
        </is>
      </c>
      <c r="C317" s="21" t="n">
        <v>2</v>
      </c>
      <c r="D317" s="21" t="n">
        <v>9</v>
      </c>
      <c r="E317" s="21" t="n">
        <v>10</v>
      </c>
      <c r="F317" s="21" t="n">
        <v>9</v>
      </c>
      <c r="G317" s="21" t="n">
        <v>590</v>
      </c>
      <c r="H317" s="21" t="n">
        <v>610</v>
      </c>
      <c r="I317" s="21" t="n">
        <v>89</v>
      </c>
      <c r="J317" s="23" t="n">
        <v>0</v>
      </c>
      <c r="K317" s="23" t="n">
        <v>0.04</v>
      </c>
      <c r="L317" s="23" t="n">
        <v>0.02</v>
      </c>
      <c r="M317" s="23" t="n">
        <v>0</v>
      </c>
      <c r="N317" s="23" t="n">
        <v>0</v>
      </c>
      <c r="O317" s="23" t="n">
        <v>0</v>
      </c>
      <c r="P317" s="42" t="inlineStr">
        <is>
          <t>Cloth Tunic, Cloth Cap, Cloth Leggings, Cloth Shoes, Wooden Stave, Worn Leather Belt, Scout's Gloves, Threadbare Cloak, Simple Pendant, Patchwork Pauldrons, Bracelet of Embers, Bracelet of Embers</t>
        </is>
      </c>
    </row>
    <row r="318">
      <c r="A318" s="21" t="n">
        <v>15</v>
      </c>
      <c r="B318" s="21" t="inlineStr">
        <is>
          <t>Magus</t>
        </is>
      </c>
      <c r="C318" s="21" t="n">
        <v>2</v>
      </c>
      <c r="D318" s="21" t="n">
        <v>15</v>
      </c>
      <c r="E318" s="21" t="n">
        <v>10</v>
      </c>
      <c r="F318" s="21" t="n">
        <v>9</v>
      </c>
      <c r="G318" s="21" t="n">
        <v>590</v>
      </c>
      <c r="H318" s="21" t="n">
        <v>610</v>
      </c>
      <c r="I318" s="21" t="n">
        <v>89</v>
      </c>
      <c r="J318" s="23" t="n">
        <v>0</v>
      </c>
      <c r="K318" s="23" t="n">
        <v>0.04</v>
      </c>
      <c r="L318" s="23" t="n">
        <v>0.02</v>
      </c>
      <c r="M318" s="23" t="n">
        <v>0</v>
      </c>
      <c r="N318" s="23" t="n">
        <v>0</v>
      </c>
      <c r="O318" s="23" t="n">
        <v>0</v>
      </c>
      <c r="P318" s="42" t="inlineStr">
        <is>
          <t>Cloth Tunic, Cloth Cap, Cloth Leggings, Cloth Shoes, Hardwood Stave, Worn Leather Belt, Scout's Gloves, Threadbare Cloak, Simple Pendant, Patchwork Pauldrons, Bracelet of Embers, Bracelet of Embers</t>
        </is>
      </c>
    </row>
    <row r="319">
      <c r="A319" s="21" t="n">
        <v>16</v>
      </c>
      <c r="B319" s="21" t="inlineStr">
        <is>
          <t>Magus</t>
        </is>
      </c>
      <c r="C319" s="21" t="n">
        <v>2</v>
      </c>
      <c r="D319" s="21" t="n">
        <v>15</v>
      </c>
      <c r="E319" s="21" t="n">
        <v>10</v>
      </c>
      <c r="F319" s="21" t="n">
        <v>9</v>
      </c>
      <c r="G319" s="21" t="n">
        <v>620</v>
      </c>
      <c r="H319" s="21" t="n">
        <v>640</v>
      </c>
      <c r="I319" s="21" t="n">
        <v>96</v>
      </c>
      <c r="J319" s="23" t="n">
        <v>0</v>
      </c>
      <c r="K319" s="23" t="n">
        <v>0.04</v>
      </c>
      <c r="L319" s="23" t="n">
        <v>0.02</v>
      </c>
      <c r="M319" s="23" t="n">
        <v>0</v>
      </c>
      <c r="N319" s="23" t="n">
        <v>0.02</v>
      </c>
      <c r="O319" s="23" t="n">
        <v>0</v>
      </c>
      <c r="P319" s="42" t="inlineStr">
        <is>
          <t>Cloth Tunic, Cloth Cap, Cloth Leggings, Cloth Shoes, Hardwood Stave, Worn Leather Belt, Scout's Gloves, Traveler's Cloak, Simple Pendant, Patchwork Pauldrons, Bracelet of Embers, Bracelet of Embers</t>
        </is>
      </c>
    </row>
    <row r="320">
      <c r="A320" s="21" t="n">
        <v>17</v>
      </c>
      <c r="B320" s="21" t="inlineStr">
        <is>
          <t>Magus</t>
        </is>
      </c>
      <c r="C320" s="21" t="n">
        <v>2</v>
      </c>
      <c r="D320" s="21" t="n">
        <v>15</v>
      </c>
      <c r="E320" s="21" t="n">
        <v>10</v>
      </c>
      <c r="F320" s="21" t="n">
        <v>9</v>
      </c>
      <c r="G320" s="21" t="n">
        <v>655</v>
      </c>
      <c r="H320" s="21" t="n">
        <v>780</v>
      </c>
      <c r="I320" s="21" t="n">
        <v>103</v>
      </c>
      <c r="J320" s="23" t="n">
        <v>0.03</v>
      </c>
      <c r="K320" s="23" t="n">
        <v>0.04</v>
      </c>
      <c r="L320" s="23" t="n">
        <v>0.02</v>
      </c>
      <c r="M320" s="23" t="n">
        <v>0</v>
      </c>
      <c r="N320" s="23" t="n">
        <v>0.02</v>
      </c>
      <c r="O320" s="23" t="n">
        <v>0</v>
      </c>
      <c r="P320" s="42" t="inlineStr">
        <is>
          <t>Cloth Tunic, Cloth Cap, Cloth Leggings, Cloth Shoes, Hardwood Stave, Worn Leather Belt, Scout's Gloves, Traveler's Cloak, Charm of Focus, Patchwork Pauldrons, Bracelet of Embers, Bracelet of Embers</t>
        </is>
      </c>
    </row>
    <row r="321">
      <c r="A321" s="21" t="n">
        <v>18</v>
      </c>
      <c r="B321" s="21" t="inlineStr">
        <is>
          <t>Magus</t>
        </is>
      </c>
      <c r="C321" s="21" t="n">
        <v>2</v>
      </c>
      <c r="D321" s="21" t="n">
        <v>15</v>
      </c>
      <c r="E321" s="21" t="n">
        <v>10</v>
      </c>
      <c r="F321" s="21" t="n">
        <v>12</v>
      </c>
      <c r="G321" s="21" t="n">
        <v>820</v>
      </c>
      <c r="H321" s="21" t="n">
        <v>780</v>
      </c>
      <c r="I321" s="21" t="n">
        <v>119</v>
      </c>
      <c r="J321" s="23" t="n">
        <v>0.03</v>
      </c>
      <c r="K321" s="23" t="n">
        <v>0.04</v>
      </c>
      <c r="L321" s="23" t="n">
        <v>0.02</v>
      </c>
      <c r="M321" s="23" t="n">
        <v>0</v>
      </c>
      <c r="N321" s="23" t="n">
        <v>0.02</v>
      </c>
      <c r="O321" s="23" t="n">
        <v>0.02</v>
      </c>
      <c r="P321" s="42" t="inlineStr">
        <is>
          <t>Cloth Tunic, Cloth Cap, Cloth Leggings, Cloth Shoes, Hardwood Stave, Worn Leather Belt, Scout's Gloves, Traveler's Cloak, Charm of Focus, Cold Iron Pauldrons, Bracelet of Embers, Bracelet of Embers</t>
        </is>
      </c>
    </row>
    <row r="322">
      <c r="A322" s="21" t="n">
        <v>19</v>
      </c>
      <c r="B322" s="21" t="inlineStr">
        <is>
          <t>Magus</t>
        </is>
      </c>
      <c r="C322" s="21" t="n">
        <v>2</v>
      </c>
      <c r="D322" s="21" t="n">
        <v>15</v>
      </c>
      <c r="E322" s="21" t="n">
        <v>10</v>
      </c>
      <c r="F322" s="21" t="n">
        <v>12</v>
      </c>
      <c r="G322" s="21" t="n">
        <v>820</v>
      </c>
      <c r="H322" s="21" t="n">
        <v>780</v>
      </c>
      <c r="I322" s="21" t="n">
        <v>119</v>
      </c>
      <c r="J322" s="23" t="n">
        <v>0.03</v>
      </c>
      <c r="K322" s="23" t="n">
        <v>0.04</v>
      </c>
      <c r="L322" s="23" t="n">
        <v>0.02</v>
      </c>
      <c r="M322" s="23" t="n">
        <v>0</v>
      </c>
      <c r="N322" s="23" t="n">
        <v>0.02</v>
      </c>
      <c r="O322" s="23" t="n">
        <v>0.02</v>
      </c>
      <c r="P322" s="42" t="inlineStr">
        <is>
          <t>Cloth Tunic, Cloth Cap, Cloth Leggings, Cloth Shoes, Hardwood Stave, Worn Leather Belt, Scout's Gloves, Traveler's Cloak, Charm of Focus, Cold Iron Pauldrons, Bracelet of Embers, Bracelet of Embers</t>
        </is>
      </c>
    </row>
    <row r="323">
      <c r="A323" s="21" t="n">
        <v>20</v>
      </c>
      <c r="B323" s="21" t="inlineStr">
        <is>
          <t>Magus</t>
        </is>
      </c>
      <c r="C323" s="21" t="n">
        <v>2</v>
      </c>
      <c r="D323" s="21" t="n">
        <v>15</v>
      </c>
      <c r="E323" s="21" t="n">
        <v>10</v>
      </c>
      <c r="F323" s="21" t="n">
        <v>16</v>
      </c>
      <c r="G323" s="21" t="n">
        <v>1105</v>
      </c>
      <c r="H323" s="21" t="n">
        <v>780</v>
      </c>
      <c r="I323" s="21" t="n">
        <v>155</v>
      </c>
      <c r="J323" s="23" t="n">
        <v>0.05</v>
      </c>
      <c r="K323" s="23" t="n">
        <v>0.04</v>
      </c>
      <c r="L323" s="23" t="n">
        <v>0.04</v>
      </c>
      <c r="M323" s="23" t="n">
        <v>0</v>
      </c>
      <c r="N323" s="23" t="n">
        <v>0.02</v>
      </c>
      <c r="O323" s="23" t="n">
        <v>0.02</v>
      </c>
      <c r="P323" s="42" t="inlineStr">
        <is>
          <t>Silk Tunic, Silk Cap, Silk Leggings, Silk Slippers, Hardwood Stave, Sturdy Belt, Scout's Gloves, Traveler's Cloak, Charm of Focus, Cold Iron Pauldrons, Bracelet of Embers, Bracelet of Embers</t>
        </is>
      </c>
    </row>
    <row r="324">
      <c r="A324" s="21" t="n">
        <v>21</v>
      </c>
      <c r="B324" s="21" t="inlineStr">
        <is>
          <t>Magus</t>
        </is>
      </c>
      <c r="C324" s="21" t="n">
        <v>2</v>
      </c>
      <c r="D324" s="21" t="n">
        <v>15</v>
      </c>
      <c r="E324" s="21" t="n">
        <v>10</v>
      </c>
      <c r="F324" s="21" t="n">
        <v>16</v>
      </c>
      <c r="G324" s="21" t="n">
        <v>1105</v>
      </c>
      <c r="H324" s="21" t="n">
        <v>780</v>
      </c>
      <c r="I324" s="21" t="n">
        <v>155</v>
      </c>
      <c r="J324" s="23" t="n">
        <v>0.05</v>
      </c>
      <c r="K324" s="23" t="n">
        <v>0.04</v>
      </c>
      <c r="L324" s="23" t="n">
        <v>0.04</v>
      </c>
      <c r="M324" s="23" t="n">
        <v>0</v>
      </c>
      <c r="N324" s="23" t="n">
        <v>0.02</v>
      </c>
      <c r="O324" s="23" t="n">
        <v>0.02</v>
      </c>
      <c r="P324" s="42" t="inlineStr">
        <is>
          <t>Silk Tunic, Silk Cap, Silk Leggings, Silk Slippers, Hardwood Stave, Sturdy Belt, Scout's Gloves, Traveler's Cloak, Charm of Focus, Cold Iron Pauldrons, Bracelet of Embers, Bracelet of Embers</t>
        </is>
      </c>
    </row>
    <row r="325">
      <c r="A325" s="21" t="n">
        <v>22</v>
      </c>
      <c r="B325" s="21" t="inlineStr">
        <is>
          <t>Magus</t>
        </is>
      </c>
      <c r="C325" s="21" t="n">
        <v>2</v>
      </c>
      <c r="D325" s="21" t="n">
        <v>15</v>
      </c>
      <c r="E325" s="21" t="n">
        <v>10</v>
      </c>
      <c r="F325" s="21" t="n">
        <v>16</v>
      </c>
      <c r="G325" s="21" t="n">
        <v>1105</v>
      </c>
      <c r="H325" s="21" t="n">
        <v>780</v>
      </c>
      <c r="I325" s="21" t="n">
        <v>155</v>
      </c>
      <c r="J325" s="23" t="n">
        <v>0.05</v>
      </c>
      <c r="K325" s="23" t="n">
        <v>0.04</v>
      </c>
      <c r="L325" s="23" t="n">
        <v>0.04</v>
      </c>
      <c r="M325" s="23" t="n">
        <v>0</v>
      </c>
      <c r="N325" s="23" t="n">
        <v>0.02</v>
      </c>
      <c r="O325" s="23" t="n">
        <v>0.02</v>
      </c>
      <c r="P325" s="42" t="inlineStr">
        <is>
          <t>Silk Tunic, Silk Cap, Silk Leggings, Silk Slippers, Hardwood Stave, Sturdy Belt, Scout's Gloves, Traveler's Cloak, Charm of Focus, Cold Iron Pauldrons, Bracelet of Embers, Bracelet of Embers</t>
        </is>
      </c>
    </row>
    <row r="326">
      <c r="A326" s="21" t="n">
        <v>23</v>
      </c>
      <c r="B326" s="21" t="inlineStr">
        <is>
          <t>Magus</t>
        </is>
      </c>
      <c r="C326" s="21" t="n">
        <v>2</v>
      </c>
      <c r="D326" s="21" t="n">
        <v>15</v>
      </c>
      <c r="E326" s="21" t="n">
        <v>10</v>
      </c>
      <c r="F326" s="21" t="n">
        <v>16</v>
      </c>
      <c r="G326" s="21" t="n">
        <v>1315</v>
      </c>
      <c r="H326" s="21" t="n">
        <v>1080</v>
      </c>
      <c r="I326" s="21" t="n">
        <v>165</v>
      </c>
      <c r="J326" s="23" t="n">
        <v>0.05</v>
      </c>
      <c r="K326" s="23" t="n">
        <v>0.06</v>
      </c>
      <c r="L326" s="23" t="n">
        <v>0.04</v>
      </c>
      <c r="M326" s="23" t="n">
        <v>0</v>
      </c>
      <c r="N326" s="23" t="n">
        <v>0.02</v>
      </c>
      <c r="O326" s="23" t="n">
        <v>0.02</v>
      </c>
      <c r="P326" s="42" t="inlineStr">
        <is>
          <t>Silk Tunic, Silk Cap, Silk Leggings, Silk Slippers, Hardwood Stave, Sturdy Belt, Scout's Gloves, Traveler's Cloak, Charm of Focus, Cold Iron Pauldrons, Bracelet of Cinders, Bracelet of Cinders</t>
        </is>
      </c>
    </row>
    <row r="327">
      <c r="A327" s="21" t="n">
        <v>24</v>
      </c>
      <c r="B327" s="21" t="inlineStr">
        <is>
          <t>Magus</t>
        </is>
      </c>
      <c r="C327" s="21" t="n">
        <v>2</v>
      </c>
      <c r="D327" s="21" t="n">
        <v>15</v>
      </c>
      <c r="E327" s="21" t="n">
        <v>10</v>
      </c>
      <c r="F327" s="21" t="n">
        <v>20</v>
      </c>
      <c r="G327" s="21" t="n">
        <v>1405</v>
      </c>
      <c r="H327" s="21" t="n">
        <v>1080</v>
      </c>
      <c r="I327" s="21" t="n">
        <v>175</v>
      </c>
      <c r="J327" s="23" t="n">
        <v>0.05</v>
      </c>
      <c r="K327" s="23" t="n">
        <v>0.06</v>
      </c>
      <c r="L327" s="23" t="n">
        <v>0.05</v>
      </c>
      <c r="M327" s="23" t="n">
        <v>0</v>
      </c>
      <c r="N327" s="23" t="n">
        <v>0.02</v>
      </c>
      <c r="O327" s="23" t="n">
        <v>0.02</v>
      </c>
      <c r="P327" s="42" t="inlineStr">
        <is>
          <t>Silk Tunic, Silk Cap, Silk Leggings, Silk Slippers, Hardwood Stave, Sturdy Belt, Reinforced War Gloves, Traveler's Cloak, Charm of Focus, Cold Iron Pauldrons, Bracelet of Cinders, Bracelet of Cinders</t>
        </is>
      </c>
    </row>
    <row r="328">
      <c r="A328" s="21" t="n">
        <v>25</v>
      </c>
      <c r="B328" s="21" t="inlineStr">
        <is>
          <t>Magus</t>
        </is>
      </c>
      <c r="C328" s="21" t="n">
        <v>2</v>
      </c>
      <c r="D328" s="21" t="n">
        <v>15</v>
      </c>
      <c r="E328" s="21" t="n">
        <v>10</v>
      </c>
      <c r="F328" s="21" t="n">
        <v>20</v>
      </c>
      <c r="G328" s="21" t="n">
        <v>1405</v>
      </c>
      <c r="H328" s="21" t="n">
        <v>1080</v>
      </c>
      <c r="I328" s="21" t="n">
        <v>175</v>
      </c>
      <c r="J328" s="23" t="n">
        <v>0.05</v>
      </c>
      <c r="K328" s="23" t="n">
        <v>0.06</v>
      </c>
      <c r="L328" s="23" t="n">
        <v>0.05</v>
      </c>
      <c r="M328" s="23" t="n">
        <v>0</v>
      </c>
      <c r="N328" s="23" t="n">
        <v>0.02</v>
      </c>
      <c r="O328" s="23" t="n">
        <v>0.02</v>
      </c>
      <c r="P328" s="42" t="inlineStr">
        <is>
          <t>Silk Tunic, Silk Cap, Silk Leggings, Silk Slippers, Hardwood Stave, Sturdy Belt, Reinforced War Gloves, Traveler's Cloak, Charm of Focus, Cold Iron Pauldrons, Bracelet of Cinders, Bracelet of Cinders</t>
        </is>
      </c>
    </row>
    <row r="329">
      <c r="A329" s="21" t="n">
        <v>26</v>
      </c>
      <c r="B329" s="21" t="inlineStr">
        <is>
          <t>Magus</t>
        </is>
      </c>
      <c r="C329" s="21" t="n">
        <v>2</v>
      </c>
      <c r="D329" s="21" t="n">
        <v>15</v>
      </c>
      <c r="E329" s="21" t="n">
        <v>10</v>
      </c>
      <c r="F329" s="21" t="n">
        <v>20</v>
      </c>
      <c r="G329" s="21" t="n">
        <v>1445</v>
      </c>
      <c r="H329" s="21" t="n">
        <v>1120</v>
      </c>
      <c r="I329" s="21" t="n">
        <v>184</v>
      </c>
      <c r="J329" s="23" t="n">
        <v>0.05</v>
      </c>
      <c r="K329" s="23" t="n">
        <v>0.06</v>
      </c>
      <c r="L329" s="23" t="n">
        <v>0.05</v>
      </c>
      <c r="M329" s="23" t="n">
        <v>0</v>
      </c>
      <c r="N329" s="23" t="n">
        <v>0.03</v>
      </c>
      <c r="O329" s="23" t="n">
        <v>0.02</v>
      </c>
      <c r="P329" s="42" t="inlineStr">
        <is>
          <t>Silk Tunic, Silk Cap, Silk Leggings, Silk Slippers, Hardwood Stave, Sturdy Belt, Reinforced War Gloves, Warden's Cloak, Charm of Focus, Cold Iron Pauldrons, Bracelet of Cinders, Bracelet of Cinders</t>
        </is>
      </c>
    </row>
    <row r="330">
      <c r="A330" s="21" t="n">
        <v>27</v>
      </c>
      <c r="B330" s="21" t="inlineStr">
        <is>
          <t>Magus</t>
        </is>
      </c>
      <c r="C330" s="21" t="n">
        <v>2</v>
      </c>
      <c r="D330" s="21" t="n">
        <v>21</v>
      </c>
      <c r="E330" s="21" t="n">
        <v>10</v>
      </c>
      <c r="F330" s="21" t="n">
        <v>20</v>
      </c>
      <c r="G330" s="21" t="n">
        <v>1485</v>
      </c>
      <c r="H330" s="21" t="n">
        <v>1420</v>
      </c>
      <c r="I330" s="21" t="n">
        <v>190</v>
      </c>
      <c r="J330" s="23" t="n">
        <v>0.07000000000000001</v>
      </c>
      <c r="K330" s="23" t="n">
        <v>0.06</v>
      </c>
      <c r="L330" s="23" t="n">
        <v>0.05</v>
      </c>
      <c r="M330" s="23" t="n">
        <v>0</v>
      </c>
      <c r="N330" s="23" t="n">
        <v>0.03</v>
      </c>
      <c r="O330" s="23" t="n">
        <v>0.02</v>
      </c>
      <c r="P330" s="42" t="inlineStr">
        <is>
          <t>Silk Tunic, Silk Cap, Silk Leggings, Silk Slippers, Thicket Stave, Sturdy Belt, Reinforced War Gloves, Warden's Cloak, Charm of Insight, Cold Iron Pauldrons, Bracelet of Cinders, Bracelet of Cinders</t>
        </is>
      </c>
    </row>
    <row r="331">
      <c r="A331" s="21" t="n">
        <v>28</v>
      </c>
      <c r="B331" s="21" t="inlineStr">
        <is>
          <t>Magus</t>
        </is>
      </c>
      <c r="C331" s="21" t="n">
        <v>2</v>
      </c>
      <c r="D331" s="21" t="n">
        <v>21</v>
      </c>
      <c r="E331" s="21" t="n">
        <v>10</v>
      </c>
      <c r="F331" s="21" t="n">
        <v>22</v>
      </c>
      <c r="G331" s="21" t="n">
        <v>1665</v>
      </c>
      <c r="H331" s="21" t="n">
        <v>1420</v>
      </c>
      <c r="I331" s="21" t="n">
        <v>207</v>
      </c>
      <c r="J331" s="23" t="n">
        <v>0.07000000000000001</v>
      </c>
      <c r="K331" s="23" t="n">
        <v>0.06</v>
      </c>
      <c r="L331" s="23" t="n">
        <v>0.05</v>
      </c>
      <c r="M331" s="23" t="n">
        <v>0</v>
      </c>
      <c r="N331" s="23" t="n">
        <v>0.03</v>
      </c>
      <c r="O331" s="23" t="n">
        <v>0.03</v>
      </c>
      <c r="P331" s="42" t="inlineStr">
        <is>
          <t>Silk Tunic, Silk Cap, Silk Leggings, Silk Slippers, Thicket Stave, Sturdy Belt, Reinforced War Gloves, Warden's Cloak, Charm of Insight, Tempered Pauldrons, Bracelet of Cinders, Bracelet of Cinders</t>
        </is>
      </c>
    </row>
    <row r="332">
      <c r="A332" s="21" t="n">
        <v>29</v>
      </c>
      <c r="B332" s="21" t="inlineStr">
        <is>
          <t>Magus</t>
        </is>
      </c>
      <c r="C332" s="21" t="n">
        <v>2</v>
      </c>
      <c r="D332" s="21" t="n">
        <v>21</v>
      </c>
      <c r="E332" s="21" t="n">
        <v>10</v>
      </c>
      <c r="F332" s="21" t="n">
        <v>22</v>
      </c>
      <c r="G332" s="21" t="n">
        <v>1665</v>
      </c>
      <c r="H332" s="21" t="n">
        <v>1420</v>
      </c>
      <c r="I332" s="21" t="n">
        <v>207</v>
      </c>
      <c r="J332" s="23" t="n">
        <v>0.07000000000000001</v>
      </c>
      <c r="K332" s="23" t="n">
        <v>0.06</v>
      </c>
      <c r="L332" s="23" t="n">
        <v>0.05</v>
      </c>
      <c r="M332" s="23" t="n">
        <v>0</v>
      </c>
      <c r="N332" s="23" t="n">
        <v>0.03</v>
      </c>
      <c r="O332" s="23" t="n">
        <v>0.03</v>
      </c>
      <c r="P332" s="42" t="inlineStr">
        <is>
          <t>Silk Tunic, Silk Cap, Silk Leggings, Silk Slippers, Thicket Stave, Sturdy Belt, Reinforced War Gloves, Warden's Cloak, Charm of Insight, Tempered Pauldrons, Bracelet of Cinders, Bracelet of Cinders</t>
        </is>
      </c>
    </row>
    <row r="333">
      <c r="A333" s="21" t="n">
        <v>30</v>
      </c>
      <c r="B333" s="21" t="inlineStr">
        <is>
          <t>Magus</t>
        </is>
      </c>
      <c r="C333" s="21" t="n">
        <v>2</v>
      </c>
      <c r="D333" s="21" t="n">
        <v>21</v>
      </c>
      <c r="E333" s="21" t="n">
        <v>10</v>
      </c>
      <c r="F333" s="21" t="n">
        <v>25</v>
      </c>
      <c r="G333" s="21" t="n">
        <v>1885</v>
      </c>
      <c r="H333" s="21" t="n">
        <v>1420</v>
      </c>
      <c r="I333" s="21" t="n">
        <v>216</v>
      </c>
      <c r="J333" s="23" t="n">
        <v>0.08</v>
      </c>
      <c r="K333" s="23" t="n">
        <v>0.06</v>
      </c>
      <c r="L333" s="23" t="n">
        <v>0.06</v>
      </c>
      <c r="M333" s="23" t="n">
        <v>0</v>
      </c>
      <c r="N333" s="23" t="n">
        <v>0.03</v>
      </c>
      <c r="O333" s="23" t="n">
        <v>0.03</v>
      </c>
      <c r="P333" s="42" t="inlineStr">
        <is>
          <t>Silk Tunic, Silk Cap, Silk Leggings, Silk Slippers, Thicket Stave, Ironbound Belt, Reinforced War Gloves, Warden's Cloak, Charm of Insight, Tempered Pauldrons, Bracelet of Cinders, Bracelet of Cinders</t>
        </is>
      </c>
    </row>
    <row r="334">
      <c r="A334" s="21" t="n">
        <v>31</v>
      </c>
      <c r="B334" s="21" t="inlineStr">
        <is>
          <t>Magus</t>
        </is>
      </c>
      <c r="C334" s="21" t="n">
        <v>2</v>
      </c>
      <c r="D334" s="21" t="n">
        <v>21</v>
      </c>
      <c r="E334" s="21" t="n">
        <v>10</v>
      </c>
      <c r="F334" s="21" t="n">
        <v>25</v>
      </c>
      <c r="G334" s="21" t="n">
        <v>1885</v>
      </c>
      <c r="H334" s="21" t="n">
        <v>1420</v>
      </c>
      <c r="I334" s="21" t="n">
        <v>216</v>
      </c>
      <c r="J334" s="23" t="n">
        <v>0.08</v>
      </c>
      <c r="K334" s="23" t="n">
        <v>0.06</v>
      </c>
      <c r="L334" s="23" t="n">
        <v>0.06</v>
      </c>
      <c r="M334" s="23" t="n">
        <v>0</v>
      </c>
      <c r="N334" s="23" t="n">
        <v>0.03</v>
      </c>
      <c r="O334" s="23" t="n">
        <v>0.03</v>
      </c>
      <c r="P334" s="42" t="inlineStr">
        <is>
          <t>Silk Tunic, Silk Cap, Silk Leggings, Silk Slippers, Thicket Stave, Ironbound Belt, Reinforced War Gloves, Warden's Cloak, Charm of Insight, Tempered Pauldrons, Bracelet of Cinders, Bracelet of Cinders</t>
        </is>
      </c>
    </row>
    <row r="335">
      <c r="A335" s="21" t="n">
        <v>32</v>
      </c>
      <c r="B335" s="21" t="inlineStr">
        <is>
          <t>Magus</t>
        </is>
      </c>
      <c r="C335" s="21" t="n">
        <v>2</v>
      </c>
      <c r="D335" s="21" t="n">
        <v>21</v>
      </c>
      <c r="E335" s="21" t="n">
        <v>10</v>
      </c>
      <c r="F335" s="21" t="n">
        <v>25</v>
      </c>
      <c r="G335" s="21" t="n">
        <v>1885</v>
      </c>
      <c r="H335" s="21" t="n">
        <v>1420</v>
      </c>
      <c r="I335" s="21" t="n">
        <v>216</v>
      </c>
      <c r="J335" s="23" t="n">
        <v>0.08</v>
      </c>
      <c r="K335" s="23" t="n">
        <v>0.06</v>
      </c>
      <c r="L335" s="23" t="n">
        <v>0.06</v>
      </c>
      <c r="M335" s="23" t="n">
        <v>0</v>
      </c>
      <c r="N335" s="23" t="n">
        <v>0.03</v>
      </c>
      <c r="O335" s="23" t="n">
        <v>0.03</v>
      </c>
      <c r="P335" s="42" t="inlineStr">
        <is>
          <t>Silk Tunic, Silk Cap, Silk Leggings, Silk Slippers, Thicket Stave, Ironbound Belt, Reinforced War Gloves, Warden's Cloak, Charm of Insight, Tempered Pauldrons, Bracelet of Cinders, Bracelet of Cinders</t>
        </is>
      </c>
    </row>
    <row r="336">
      <c r="A336" s="21" t="n">
        <v>33</v>
      </c>
      <c r="B336" s="21" t="inlineStr">
        <is>
          <t>Magus</t>
        </is>
      </c>
      <c r="C336" s="21" t="n">
        <v>2</v>
      </c>
      <c r="D336" s="21" t="n">
        <v>21</v>
      </c>
      <c r="E336" s="21" t="n">
        <v>10</v>
      </c>
      <c r="F336" s="21" t="n">
        <v>25</v>
      </c>
      <c r="G336" s="21" t="n">
        <v>2045</v>
      </c>
      <c r="H336" s="21" t="n">
        <v>1770</v>
      </c>
      <c r="I336" s="21" t="n">
        <v>226</v>
      </c>
      <c r="J336" s="23" t="n">
        <v>0.08</v>
      </c>
      <c r="K336" s="23" t="n">
        <v>0.08</v>
      </c>
      <c r="L336" s="23" t="n">
        <v>0.06</v>
      </c>
      <c r="M336" s="23" t="n">
        <v>0</v>
      </c>
      <c r="N336" s="23" t="n">
        <v>0.03</v>
      </c>
      <c r="O336" s="23" t="n">
        <v>0.03</v>
      </c>
      <c r="P336" s="42" t="inlineStr">
        <is>
          <t>Silk Tunic, Silk Cap, Silk Leggings, Silk Slippers, Thicket Stave, Ironbound Belt, Reinforced War Gloves, Warden's Cloak, Charm of Insight, Tempered Pauldrons, Bracelet of Flames, Bracelet of Flames</t>
        </is>
      </c>
    </row>
    <row r="337">
      <c r="A337" s="21" t="n">
        <v>34</v>
      </c>
      <c r="B337" s="21" t="inlineStr">
        <is>
          <t>Magus</t>
        </is>
      </c>
      <c r="C337" s="21" t="n">
        <v>2</v>
      </c>
      <c r="D337" s="21" t="n">
        <v>21</v>
      </c>
      <c r="E337" s="21" t="n">
        <v>10</v>
      </c>
      <c r="F337" s="21" t="n">
        <v>29</v>
      </c>
      <c r="G337" s="21" t="n">
        <v>2135</v>
      </c>
      <c r="H337" s="21" t="n">
        <v>1770</v>
      </c>
      <c r="I337" s="21" t="n">
        <v>236</v>
      </c>
      <c r="J337" s="23" t="n">
        <v>0.08</v>
      </c>
      <c r="K337" s="23" t="n">
        <v>0.08</v>
      </c>
      <c r="L337" s="23" t="n">
        <v>0.07000000000000001</v>
      </c>
      <c r="M337" s="23" t="n">
        <v>0</v>
      </c>
      <c r="N337" s="23" t="n">
        <v>0.03</v>
      </c>
      <c r="O337" s="23" t="n">
        <v>0.03</v>
      </c>
      <c r="P337" s="42" t="inlineStr">
        <is>
          <t>Silk Tunic, Silk Cap, Silk Leggings, Silk Slippers, Thicket Stave, Ironbound Belt, Runed War Gloves, Warden's Cloak, Charm of Insight, Tempered Pauldrons, Bracelet of Flames, Bracelet of Flames</t>
        </is>
      </c>
    </row>
    <row r="338">
      <c r="A338" s="21" t="n">
        <v>35</v>
      </c>
      <c r="B338" s="21" t="inlineStr">
        <is>
          <t>Magus</t>
        </is>
      </c>
      <c r="C338" s="21" t="n">
        <v>2</v>
      </c>
      <c r="D338" s="21" t="n">
        <v>21</v>
      </c>
      <c r="E338" s="21" t="n">
        <v>10</v>
      </c>
      <c r="F338" s="21" t="n">
        <v>29</v>
      </c>
      <c r="G338" s="21" t="n">
        <v>2135</v>
      </c>
      <c r="H338" s="21" t="n">
        <v>1770</v>
      </c>
      <c r="I338" s="21" t="n">
        <v>236</v>
      </c>
      <c r="J338" s="23" t="n">
        <v>0.08</v>
      </c>
      <c r="K338" s="23" t="n">
        <v>0.08</v>
      </c>
      <c r="L338" s="23" t="n">
        <v>0.07000000000000001</v>
      </c>
      <c r="M338" s="23" t="n">
        <v>0</v>
      </c>
      <c r="N338" s="23" t="n">
        <v>0.03</v>
      </c>
      <c r="O338" s="23" t="n">
        <v>0.03</v>
      </c>
      <c r="P338" s="42" t="inlineStr">
        <is>
          <t>Silk Tunic, Silk Cap, Silk Leggings, Silk Slippers, Thicket Stave, Ironbound Belt, Runed War Gloves, Warden's Cloak, Charm of Insight, Tempered Pauldrons, Bracelet of Flames, Bracelet of Flames</t>
        </is>
      </c>
    </row>
    <row r="339">
      <c r="A339" s="21" t="n">
        <v>36</v>
      </c>
      <c r="B339" s="21" t="inlineStr">
        <is>
          <t>Magus</t>
        </is>
      </c>
      <c r="C339" s="21" t="n">
        <v>2</v>
      </c>
      <c r="D339" s="21" t="n">
        <v>21</v>
      </c>
      <c r="E339" s="21" t="n">
        <v>10</v>
      </c>
      <c r="F339" s="21" t="n">
        <v>29</v>
      </c>
      <c r="G339" s="21" t="n">
        <v>2170</v>
      </c>
      <c r="H339" s="21" t="n">
        <v>1805</v>
      </c>
      <c r="I339" s="21" t="n">
        <v>246</v>
      </c>
      <c r="J339" s="23" t="n">
        <v>0.08</v>
      </c>
      <c r="K339" s="23" t="n">
        <v>0.08</v>
      </c>
      <c r="L339" s="23" t="n">
        <v>0.07000000000000001</v>
      </c>
      <c r="M339" s="23" t="n">
        <v>0</v>
      </c>
      <c r="N339" s="23" t="n">
        <v>0.04</v>
      </c>
      <c r="O339" s="23" t="n">
        <v>0.03</v>
      </c>
      <c r="P339" s="42" t="inlineStr">
        <is>
          <t>Silk Tunic, Silk Cap, Silk Leggings, Silk Slippers, Thicket Stave, Ironbound Belt, Runed War Gloves, Stormward Cloak, Charm of Insight, Tempered Pauldrons, Bracelet of Flames, Bracelet of Flames</t>
        </is>
      </c>
    </row>
    <row r="340">
      <c r="A340" s="21" t="n">
        <v>37</v>
      </c>
      <c r="B340" s="21" t="inlineStr">
        <is>
          <t>Magus</t>
        </is>
      </c>
      <c r="C340" s="21" t="n">
        <v>2</v>
      </c>
      <c r="D340" s="21" t="n">
        <v>21</v>
      </c>
      <c r="E340" s="21" t="n">
        <v>10</v>
      </c>
      <c r="F340" s="21" t="n">
        <v>29</v>
      </c>
      <c r="G340" s="21" t="n">
        <v>2200</v>
      </c>
      <c r="H340" s="21" t="n">
        <v>1965</v>
      </c>
      <c r="I340" s="21" t="n">
        <v>253</v>
      </c>
      <c r="J340" s="23" t="n">
        <v>0.1</v>
      </c>
      <c r="K340" s="23" t="n">
        <v>0.08</v>
      </c>
      <c r="L340" s="23" t="n">
        <v>0.07000000000000001</v>
      </c>
      <c r="M340" s="23" t="n">
        <v>0</v>
      </c>
      <c r="N340" s="23" t="n">
        <v>0.04</v>
      </c>
      <c r="O340" s="23" t="n">
        <v>0.03</v>
      </c>
      <c r="P340" s="42" t="inlineStr">
        <is>
          <t>Silk Tunic, Silk Cap, Silk Leggings, Silk Slippers, Thicket Stave, Ironbound Belt, Runed War Gloves, Stormward Cloak, Charm of Ascendance, Tempered Pauldrons, Bracelet of Flames, Bracelet of Flames</t>
        </is>
      </c>
    </row>
    <row r="341">
      <c r="A341" s="21" t="n">
        <v>38</v>
      </c>
      <c r="B341" s="21" t="inlineStr">
        <is>
          <t>Magus</t>
        </is>
      </c>
      <c r="C341" s="21" t="n">
        <v>2</v>
      </c>
      <c r="D341" s="21" t="n">
        <v>21</v>
      </c>
      <c r="E341" s="21" t="n">
        <v>10</v>
      </c>
      <c r="F341" s="21" t="n">
        <v>31</v>
      </c>
      <c r="G341" s="21" t="n">
        <v>2355</v>
      </c>
      <c r="H341" s="21" t="n">
        <v>1965</v>
      </c>
      <c r="I341" s="21" t="n">
        <v>268</v>
      </c>
      <c r="J341" s="23" t="n">
        <v>0.1</v>
      </c>
      <c r="K341" s="23" t="n">
        <v>0.08</v>
      </c>
      <c r="L341" s="23" t="n">
        <v>0.07000000000000001</v>
      </c>
      <c r="M341" s="23" t="n">
        <v>0</v>
      </c>
      <c r="N341" s="23" t="n">
        <v>0.04</v>
      </c>
      <c r="O341" s="23" t="n">
        <v>0.04</v>
      </c>
      <c r="P341" s="42" t="inlineStr">
        <is>
          <t>Silk Tunic, Silk Cap, Silk Leggings, Silk Slippers, Thicket Stave, Ironbound Belt, Runed War Gloves, Stormward Cloak, Charm of Ascendance, Runeplate Pauldrons, Bracelet of Flames, Bracelet of Flames</t>
        </is>
      </c>
    </row>
    <row r="342">
      <c r="A342" s="21" t="n">
        <v>39</v>
      </c>
      <c r="B342" s="21" t="inlineStr">
        <is>
          <t>Magus</t>
        </is>
      </c>
      <c r="C342" s="21" t="n">
        <v>2</v>
      </c>
      <c r="D342" s="21" t="n">
        <v>21</v>
      </c>
      <c r="E342" s="21" t="n">
        <v>10</v>
      </c>
      <c r="F342" s="21" t="n">
        <v>31</v>
      </c>
      <c r="G342" s="21" t="n">
        <v>2355</v>
      </c>
      <c r="H342" s="21" t="n">
        <v>1965</v>
      </c>
      <c r="I342" s="21" t="n">
        <v>268</v>
      </c>
      <c r="J342" s="23" t="n">
        <v>0.1</v>
      </c>
      <c r="K342" s="23" t="n">
        <v>0.08</v>
      </c>
      <c r="L342" s="23" t="n">
        <v>0.07000000000000001</v>
      </c>
      <c r="M342" s="23" t="n">
        <v>0</v>
      </c>
      <c r="N342" s="23" t="n">
        <v>0.04</v>
      </c>
      <c r="O342" s="23" t="n">
        <v>0.04</v>
      </c>
      <c r="P342" s="42" t="inlineStr">
        <is>
          <t>Silk Tunic, Silk Cap, Silk Leggings, Silk Slippers, Thicket Stave, Ironbound Belt, Runed War Gloves, Stormward Cloak, Charm of Ascendance, Runeplate Pauldrons, Bracelet of Flames, Bracelet of Flames</t>
        </is>
      </c>
    </row>
    <row r="343">
      <c r="A343" s="21" t="n">
        <v>40</v>
      </c>
      <c r="B343" s="21" t="inlineStr">
        <is>
          <t>Magus</t>
        </is>
      </c>
      <c r="C343" s="21" t="n">
        <v>2</v>
      </c>
      <c r="D343" s="21" t="n">
        <v>21</v>
      </c>
      <c r="E343" s="21" t="n">
        <v>10</v>
      </c>
      <c r="F343" s="21" t="n">
        <v>33</v>
      </c>
      <c r="G343" s="21" t="n">
        <v>2540</v>
      </c>
      <c r="H343" s="21" t="n">
        <v>1965</v>
      </c>
      <c r="I343" s="21" t="n">
        <v>276</v>
      </c>
      <c r="J343" s="23" t="n">
        <v>0.11</v>
      </c>
      <c r="K343" s="23" t="n">
        <v>0.08</v>
      </c>
      <c r="L343" s="23" t="n">
        <v>0.08</v>
      </c>
      <c r="M343" s="23" t="n">
        <v>0</v>
      </c>
      <c r="N343" s="23" t="n">
        <v>0.04</v>
      </c>
      <c r="O343" s="23" t="n">
        <v>0.04</v>
      </c>
      <c r="P343" s="42" t="inlineStr">
        <is>
          <t>Silk Tunic, Silk Cap, Silk Leggings, Silk Slippers, Thicket Stave, Runeplate Belt, Runed War Gloves, Stormward Cloak, Charm of Ascendance, Runeplate Pauldrons, Bracelet of Flames, Bracelet of Flames</t>
        </is>
      </c>
    </row>
    <row r="344">
      <c r="A344" s="21" t="n">
        <v>41</v>
      </c>
      <c r="B344" s="21" t="inlineStr">
        <is>
          <t>Magus</t>
        </is>
      </c>
      <c r="C344" s="21" t="n">
        <v>2</v>
      </c>
      <c r="D344" s="21" t="n">
        <v>21</v>
      </c>
      <c r="E344" s="21" t="n">
        <v>10</v>
      </c>
      <c r="F344" s="21" t="n">
        <v>33</v>
      </c>
      <c r="G344" s="21" t="n">
        <v>2540</v>
      </c>
      <c r="H344" s="21" t="n">
        <v>1965</v>
      </c>
      <c r="I344" s="21" t="n">
        <v>276</v>
      </c>
      <c r="J344" s="23" t="n">
        <v>0.11</v>
      </c>
      <c r="K344" s="23" t="n">
        <v>0.08</v>
      </c>
      <c r="L344" s="23" t="n">
        <v>0.08</v>
      </c>
      <c r="M344" s="23" t="n">
        <v>0</v>
      </c>
      <c r="N344" s="23" t="n">
        <v>0.04</v>
      </c>
      <c r="O344" s="23" t="n">
        <v>0.04</v>
      </c>
      <c r="P344" s="42" t="inlineStr">
        <is>
          <t>Silk Tunic, Silk Cap, Silk Leggings, Silk Slippers, Thicket Stave, Runeplate Belt, Runed War Gloves, Stormward Cloak, Charm of Ascendance, Runeplate Pauldrons, Bracelet of Flames, Bracelet of Flames</t>
        </is>
      </c>
    </row>
    <row r="345">
      <c r="A345" s="21" t="n">
        <v>42</v>
      </c>
      <c r="B345" s="21" t="inlineStr">
        <is>
          <t>Magus</t>
        </is>
      </c>
      <c r="C345" s="21" t="n">
        <v>2</v>
      </c>
      <c r="D345" s="21" t="n">
        <v>21</v>
      </c>
      <c r="E345" s="21" t="n">
        <v>10</v>
      </c>
      <c r="F345" s="21" t="n">
        <v>33</v>
      </c>
      <c r="G345" s="21" t="n">
        <v>2540</v>
      </c>
      <c r="H345" s="21" t="n">
        <v>1965</v>
      </c>
      <c r="I345" s="21" t="n">
        <v>276</v>
      </c>
      <c r="J345" s="23" t="n">
        <v>0.11</v>
      </c>
      <c r="K345" s="23" t="n">
        <v>0.08</v>
      </c>
      <c r="L345" s="23" t="n">
        <v>0.08</v>
      </c>
      <c r="M345" s="23" t="n">
        <v>0</v>
      </c>
      <c r="N345" s="23" t="n">
        <v>0.04</v>
      </c>
      <c r="O345" s="23" t="n">
        <v>0.04</v>
      </c>
      <c r="P345" s="42" t="inlineStr">
        <is>
          <t>Silk Tunic, Silk Cap, Silk Leggings, Silk Slippers, Thicket Stave, Runeplate Belt, Runed War Gloves, Stormward Cloak, Charm of Ascendance, Runeplate Pauldrons, Bracelet of Flames, Bracelet of Flames</t>
        </is>
      </c>
    </row>
    <row r="346">
      <c r="A346" s="21" t="n">
        <v>43</v>
      </c>
      <c r="B346" s="21" t="inlineStr">
        <is>
          <t>Magus</t>
        </is>
      </c>
      <c r="C346" s="21" t="n">
        <v>2</v>
      </c>
      <c r="D346" s="21" t="n">
        <v>21</v>
      </c>
      <c r="E346" s="21" t="n">
        <v>10</v>
      </c>
      <c r="F346" s="21" t="n">
        <v>33</v>
      </c>
      <c r="G346" s="21" t="n">
        <v>2800</v>
      </c>
      <c r="H346" s="21" t="n">
        <v>2325</v>
      </c>
      <c r="I346" s="21" t="n">
        <v>286</v>
      </c>
      <c r="J346" s="23" t="n">
        <v>0.11</v>
      </c>
      <c r="K346" s="23" t="n">
        <v>0.1</v>
      </c>
      <c r="L346" s="23" t="n">
        <v>0.08</v>
      </c>
      <c r="M346" s="23" t="n">
        <v>0</v>
      </c>
      <c r="N346" s="23" t="n">
        <v>0.04</v>
      </c>
      <c r="O346" s="23" t="n">
        <v>0.04</v>
      </c>
      <c r="P346" s="42" t="inlineStr">
        <is>
          <t>Silk Tunic, Silk Cap, Silk Leggings, Silk Slippers, Thicket Stave, Runeplate Belt, Runed War Gloves, Stormward Cloak, Charm of Ascendance, Runeplate Pauldrons, Bracelet of the Inferno, Bracelet of the Inferno</t>
        </is>
      </c>
    </row>
    <row r="347">
      <c r="A347" s="21" t="n">
        <v>44</v>
      </c>
      <c r="B347" s="21" t="inlineStr">
        <is>
          <t>Magus</t>
        </is>
      </c>
      <c r="C347" s="21" t="n">
        <v>2</v>
      </c>
      <c r="D347" s="21" t="n">
        <v>21</v>
      </c>
      <c r="E347" s="21" t="n">
        <v>10</v>
      </c>
      <c r="F347" s="21" t="n">
        <v>37</v>
      </c>
      <c r="G347" s="21" t="n">
        <v>2890</v>
      </c>
      <c r="H347" s="21" t="n">
        <v>2325</v>
      </c>
      <c r="I347" s="21" t="n">
        <v>296</v>
      </c>
      <c r="J347" s="23" t="n">
        <v>0.11</v>
      </c>
      <c r="K347" s="23" t="n">
        <v>0.1</v>
      </c>
      <c r="L347" s="23" t="n">
        <v>0.09</v>
      </c>
      <c r="M347" s="23" t="n">
        <v>0</v>
      </c>
      <c r="N347" s="23" t="n">
        <v>0.04</v>
      </c>
      <c r="O347" s="23" t="n">
        <v>0.04</v>
      </c>
      <c r="P347" s="42" t="inlineStr">
        <is>
          <t>Silk Tunic, Silk Cap, Silk Leggings, Silk Slippers, Thicket Stave, Runeplate Belt, Exalted War Gloves, Stormward Cloak, Charm of Ascendance, Runeplate Pauldrons, Bracelet of the Inferno, Bracelet of the Inferno</t>
        </is>
      </c>
    </row>
    <row r="348">
      <c r="A348" s="21" t="n">
        <v>45</v>
      </c>
      <c r="B348" s="21" t="inlineStr">
        <is>
          <t>Magus</t>
        </is>
      </c>
      <c r="C348" s="21" t="n">
        <v>2</v>
      </c>
      <c r="D348" s="21" t="n">
        <v>21</v>
      </c>
      <c r="E348" s="21" t="n">
        <v>10</v>
      </c>
      <c r="F348" s="21" t="n">
        <v>37</v>
      </c>
      <c r="G348" s="21" t="n">
        <v>2890</v>
      </c>
      <c r="H348" s="21" t="n">
        <v>2325</v>
      </c>
      <c r="I348" s="21" t="n">
        <v>296</v>
      </c>
      <c r="J348" s="23" t="n">
        <v>0.11</v>
      </c>
      <c r="K348" s="23" t="n">
        <v>0.1</v>
      </c>
      <c r="L348" s="23" t="n">
        <v>0.09</v>
      </c>
      <c r="M348" s="23" t="n">
        <v>0</v>
      </c>
      <c r="N348" s="23" t="n">
        <v>0.04</v>
      </c>
      <c r="O348" s="23" t="n">
        <v>0.04</v>
      </c>
      <c r="P348" s="42" t="inlineStr">
        <is>
          <t>Silk Tunic, Silk Cap, Silk Leggings, Silk Slippers, Thicket Stave, Runeplate Belt, Exalted War Gloves, Stormward Cloak, Charm of Ascendance, Runeplate Pauldrons, Bracelet of the Inferno, Bracelet of the Inferno</t>
        </is>
      </c>
    </row>
    <row r="349">
      <c r="A349" s="21" t="n">
        <v>46</v>
      </c>
      <c r="B349" s="21" t="inlineStr">
        <is>
          <t>Magus</t>
        </is>
      </c>
      <c r="C349" s="21" t="n">
        <v>2</v>
      </c>
      <c r="D349" s="21" t="n">
        <v>21</v>
      </c>
      <c r="E349" s="21" t="n">
        <v>10</v>
      </c>
      <c r="F349" s="21" t="n">
        <v>37</v>
      </c>
      <c r="G349" s="21" t="n">
        <v>2925</v>
      </c>
      <c r="H349" s="21" t="n">
        <v>2360</v>
      </c>
      <c r="I349" s="21" t="n">
        <v>304</v>
      </c>
      <c r="J349" s="23" t="n">
        <v>0.11</v>
      </c>
      <c r="K349" s="23" t="n">
        <v>0.1</v>
      </c>
      <c r="L349" s="23" t="n">
        <v>0.09</v>
      </c>
      <c r="M349" s="23" t="n">
        <v>0</v>
      </c>
      <c r="N349" s="23" t="n">
        <v>0.05</v>
      </c>
      <c r="O349" s="23" t="n">
        <v>0.04</v>
      </c>
      <c r="P349" s="42" t="inlineStr">
        <is>
          <t>Silk Tunic, Silk Cap, Silk Leggings, Silk Slippers, Thicket Stave, Runeplate Belt, Exalted War Gloves, Skyweave Cloak, Charm of Ascendance, Runeplate Pauldrons, Bracelet of the Inferno, Bracelet of the Inferno</t>
        </is>
      </c>
    </row>
    <row r="350">
      <c r="A350" s="21" t="n">
        <v>47</v>
      </c>
      <c r="B350" s="21" t="inlineStr">
        <is>
          <t>Magus</t>
        </is>
      </c>
      <c r="C350" s="21" t="n">
        <v>2</v>
      </c>
      <c r="D350" s="21" t="n">
        <v>21</v>
      </c>
      <c r="E350" s="21" t="n">
        <v>10</v>
      </c>
      <c r="F350" s="21" t="n">
        <v>37</v>
      </c>
      <c r="G350" s="21" t="n">
        <v>2955</v>
      </c>
      <c r="H350" s="21" t="n">
        <v>2440</v>
      </c>
      <c r="I350" s="21" t="n">
        <v>309</v>
      </c>
      <c r="J350" s="23" t="n">
        <v>0.13</v>
      </c>
      <c r="K350" s="23" t="n">
        <v>0.1</v>
      </c>
      <c r="L350" s="23" t="n">
        <v>0.09</v>
      </c>
      <c r="M350" s="23" t="n">
        <v>0</v>
      </c>
      <c r="N350" s="23" t="n">
        <v>0.05</v>
      </c>
      <c r="O350" s="23" t="n">
        <v>0.04</v>
      </c>
      <c r="P350" s="42" t="inlineStr">
        <is>
          <t>Silk Tunic, Silk Cap, Silk Leggings, Silk Slippers, Thicket Stave, Runeplate Belt, Exalted War Gloves, Skyweave Cloak, Charm of the Archon, Runeplate Pauldrons, Bracelet of the Inferno, Bracelet of the Inferno</t>
        </is>
      </c>
    </row>
    <row r="351">
      <c r="A351" s="21" t="n">
        <v>48</v>
      </c>
      <c r="B351" s="21" t="inlineStr">
        <is>
          <t>Magus</t>
        </is>
      </c>
      <c r="C351" s="21" t="n">
        <v>2</v>
      </c>
      <c r="D351" s="21" t="n">
        <v>21</v>
      </c>
      <c r="E351" s="21" t="n">
        <v>10</v>
      </c>
      <c r="F351" s="21" t="n">
        <v>39</v>
      </c>
      <c r="G351" s="21" t="n">
        <v>3110</v>
      </c>
      <c r="H351" s="21" t="n">
        <v>2440</v>
      </c>
      <c r="I351" s="21" t="n">
        <v>327</v>
      </c>
      <c r="J351" s="23" t="n">
        <v>0.13</v>
      </c>
      <c r="K351" s="23" t="n">
        <v>0.1</v>
      </c>
      <c r="L351" s="23" t="n">
        <v>0.09</v>
      </c>
      <c r="M351" s="23" t="n">
        <v>0</v>
      </c>
      <c r="N351" s="23" t="n">
        <v>0.05</v>
      </c>
      <c r="O351" s="23" t="n">
        <v>0.05</v>
      </c>
      <c r="P351" s="42" t="inlineStr">
        <is>
          <t>Silk Tunic, Silk Cap, Silk Leggings, Silk Slippers, Thicket Stave, Runeplate Belt, Exalted War Gloves, Skyweave Cloak, Charm of the Archon, Bulwark Pauldrons, Bracelet of the Inferno, Bracelet of the Inferno</t>
        </is>
      </c>
    </row>
    <row r="352">
      <c r="A352" s="21" t="n">
        <v>49</v>
      </c>
      <c r="B352" s="21" t="inlineStr">
        <is>
          <t>Magus</t>
        </is>
      </c>
      <c r="C352" s="21" t="n">
        <v>2</v>
      </c>
      <c r="D352" s="21" t="n">
        <v>21</v>
      </c>
      <c r="E352" s="21" t="n">
        <v>10</v>
      </c>
      <c r="F352" s="21" t="n">
        <v>41</v>
      </c>
      <c r="G352" s="21" t="n">
        <v>3320</v>
      </c>
      <c r="H352" s="21" t="n">
        <v>2440</v>
      </c>
      <c r="I352" s="21" t="n">
        <v>335</v>
      </c>
      <c r="J352" s="23" t="n">
        <v>0.14</v>
      </c>
      <c r="K352" s="23" t="n">
        <v>0.1</v>
      </c>
      <c r="L352" s="23" t="n">
        <v>0.1</v>
      </c>
      <c r="M352" s="23" t="n">
        <v>0</v>
      </c>
      <c r="N352" s="23" t="n">
        <v>0.05</v>
      </c>
      <c r="O352" s="23" t="n">
        <v>0.05</v>
      </c>
      <c r="P352" s="42" t="inlineStr">
        <is>
          <t>Silk Tunic, Silk Cap, Silk Leggings, Silk Slippers, Thicket Stave, Bulwark Belt, Exalted War Gloves, Skyweave Cloak, Charm of the Archon, Bulwark Pauldrons, Bracelet of the Inferno, Bracelet of the Inferno</t>
        </is>
      </c>
    </row>
    <row r="353">
      <c r="A353" s="21" t="n">
        <v>50</v>
      </c>
      <c r="B353" s="21" t="inlineStr">
        <is>
          <t>Magus</t>
        </is>
      </c>
      <c r="C353" s="21" t="n">
        <v>2</v>
      </c>
      <c r="D353" s="21" t="n">
        <v>21</v>
      </c>
      <c r="E353" s="21" t="n">
        <v>10</v>
      </c>
      <c r="F353" s="21" t="n">
        <v>41</v>
      </c>
      <c r="G353" s="21" t="n">
        <v>3320</v>
      </c>
      <c r="H353" s="21" t="n">
        <v>2440</v>
      </c>
      <c r="I353" s="21" t="n">
        <v>335</v>
      </c>
      <c r="J353" s="23" t="n">
        <v>0.14</v>
      </c>
      <c r="K353" s="23" t="n">
        <v>0.1</v>
      </c>
      <c r="L353" s="23" t="n">
        <v>0.1</v>
      </c>
      <c r="M353" s="23" t="n">
        <v>0</v>
      </c>
      <c r="N353" s="23" t="n">
        <v>0.05</v>
      </c>
      <c r="O353" s="23" t="n">
        <v>0.05</v>
      </c>
      <c r="P353" s="42" t="inlineStr">
        <is>
          <t>Silk Tunic, Silk Cap, Silk Leggings, Silk Slippers, Thicket Stave, Bulwark Belt, Exalted War Gloves, Skyweave Cloak, Charm of the Archon, Bulwark Pauldrons, Bracelet of the Inferno, Bracelet of the Inferno</t>
        </is>
      </c>
    </row>
    <row r="354">
      <c r="A354" s="21" t="n">
        <v>1</v>
      </c>
      <c r="B354" s="21" t="inlineStr">
        <is>
          <t>Priest</t>
        </is>
      </c>
      <c r="C354" s="21" t="n">
        <v>2</v>
      </c>
      <c r="D354" s="21" t="n">
        <v>3</v>
      </c>
      <c r="E354" s="21" t="n">
        <v>10</v>
      </c>
      <c r="F354" s="21" t="n">
        <v>0</v>
      </c>
      <c r="G354" s="21" t="n">
        <v>0</v>
      </c>
      <c r="H354" s="21" t="n">
        <v>0</v>
      </c>
      <c r="I354" s="21" t="n">
        <v>25</v>
      </c>
      <c r="J354" s="23" t="n">
        <v>0</v>
      </c>
      <c r="K354" s="23" t="n">
        <v>0</v>
      </c>
      <c r="L354" s="23" t="n">
        <v>0</v>
      </c>
      <c r="M354" s="23" t="n">
        <v>0</v>
      </c>
      <c r="N354" s="23" t="n">
        <v>0</v>
      </c>
      <c r="O354" s="23" t="n">
        <v>0</v>
      </c>
      <c r="P354" s="42" t="inlineStr">
        <is>
          <t>Cloth Tunic, Cloth Cap, Cloth Leggings, Cloth Shoes, Stick</t>
        </is>
      </c>
    </row>
    <row r="355">
      <c r="A355" s="21" t="n">
        <v>2</v>
      </c>
      <c r="B355" s="21" t="inlineStr">
        <is>
          <t>Priest</t>
        </is>
      </c>
      <c r="C355" s="21" t="n">
        <v>2</v>
      </c>
      <c r="D355" s="21" t="n">
        <v>3</v>
      </c>
      <c r="E355" s="21" t="n">
        <v>10</v>
      </c>
      <c r="F355" s="21" t="n">
        <v>0</v>
      </c>
      <c r="G355" s="21" t="n">
        <v>0</v>
      </c>
      <c r="H355" s="21" t="n">
        <v>0</v>
      </c>
      <c r="I355" s="21" t="n">
        <v>25</v>
      </c>
      <c r="J355" s="23" t="n">
        <v>0</v>
      </c>
      <c r="K355" s="23" t="n">
        <v>0</v>
      </c>
      <c r="L355" s="23" t="n">
        <v>0</v>
      </c>
      <c r="M355" s="23" t="n">
        <v>0</v>
      </c>
      <c r="N355" s="23" t="n">
        <v>0</v>
      </c>
      <c r="O355" s="23" t="n">
        <v>0</v>
      </c>
      <c r="P355" s="42" t="inlineStr">
        <is>
          <t>Cloth Tunic, Cloth Cap, Cloth Leggings, Cloth Shoes, Stick</t>
        </is>
      </c>
    </row>
    <row r="356">
      <c r="A356" s="21" t="n">
        <v>3</v>
      </c>
      <c r="B356" s="21" t="inlineStr">
        <is>
          <t>Priest</t>
        </is>
      </c>
      <c r="C356" s="21" t="n">
        <v>2</v>
      </c>
      <c r="D356" s="21" t="n">
        <v>3</v>
      </c>
      <c r="E356" s="21" t="n">
        <v>10</v>
      </c>
      <c r="F356" s="21" t="n">
        <v>0</v>
      </c>
      <c r="G356" s="21" t="n">
        <v>0</v>
      </c>
      <c r="H356" s="21" t="n">
        <v>0</v>
      </c>
      <c r="I356" s="21" t="n">
        <v>25</v>
      </c>
      <c r="J356" s="23" t="n">
        <v>0</v>
      </c>
      <c r="K356" s="23" t="n">
        <v>0</v>
      </c>
      <c r="L356" s="23" t="n">
        <v>0</v>
      </c>
      <c r="M356" s="23" t="n">
        <v>0</v>
      </c>
      <c r="N356" s="23" t="n">
        <v>0</v>
      </c>
      <c r="O356" s="23" t="n">
        <v>0</v>
      </c>
      <c r="P356" s="42" t="inlineStr">
        <is>
          <t>Cloth Tunic, Cloth Cap, Cloth Leggings, Cloth Shoes, Stick</t>
        </is>
      </c>
    </row>
    <row r="357">
      <c r="A357" s="21" t="n">
        <v>4</v>
      </c>
      <c r="B357" s="21" t="inlineStr">
        <is>
          <t>Priest</t>
        </is>
      </c>
      <c r="C357" s="21" t="n">
        <v>2</v>
      </c>
      <c r="D357" s="21" t="n">
        <v>3</v>
      </c>
      <c r="E357" s="21" t="n">
        <v>10</v>
      </c>
      <c r="F357" s="21" t="n">
        <v>2</v>
      </c>
      <c r="G357" s="21" t="n">
        <v>70</v>
      </c>
      <c r="H357" s="21" t="n">
        <v>0</v>
      </c>
      <c r="I357" s="21" t="n">
        <v>30</v>
      </c>
      <c r="J357" s="23" t="n">
        <v>0</v>
      </c>
      <c r="K357" s="23" t="n">
        <v>0</v>
      </c>
      <c r="L357" s="23" t="n">
        <v>0</v>
      </c>
      <c r="M357" s="23" t="n">
        <v>0</v>
      </c>
      <c r="N357" s="23" t="n">
        <v>0</v>
      </c>
      <c r="O357" s="23" t="n">
        <v>0</v>
      </c>
      <c r="P357" s="42" t="inlineStr">
        <is>
          <t>Cloth Tunic, Cloth Cap, Cloth Leggings, Cloth Shoes, Stick, Worn Leather Gloves</t>
        </is>
      </c>
    </row>
    <row r="358">
      <c r="A358" s="21" t="n">
        <v>5</v>
      </c>
      <c r="B358" s="21" t="inlineStr">
        <is>
          <t>Priest</t>
        </is>
      </c>
      <c r="C358" s="21" t="n">
        <v>2</v>
      </c>
      <c r="D358" s="21" t="n">
        <v>12</v>
      </c>
      <c r="E358" s="21" t="n">
        <v>10</v>
      </c>
      <c r="F358" s="21" t="n">
        <v>3</v>
      </c>
      <c r="G358" s="21" t="n">
        <v>240</v>
      </c>
      <c r="H358" s="21" t="n">
        <v>160</v>
      </c>
      <c r="I358" s="21" t="n">
        <v>52</v>
      </c>
      <c r="J358" s="23" t="n">
        <v>0</v>
      </c>
      <c r="K358" s="23" t="n">
        <v>0</v>
      </c>
      <c r="L358" s="23" t="n">
        <v>0</v>
      </c>
      <c r="M358" s="23" t="n">
        <v>0</v>
      </c>
      <c r="N358" s="23" t="n">
        <v>0</v>
      </c>
      <c r="O358" s="23" t="n">
        <v>0</v>
      </c>
      <c r="P358" s="42" t="inlineStr">
        <is>
          <t>Cloth Tunic, Cloth Cap, Cloth Leggings, Cloth Shoes, Small Hammer, Wooden Buckler, Worn Leather Belt, Worn Leather Gloves, Beaded Bracelet, Beaded Bracelet</t>
        </is>
      </c>
    </row>
    <row r="359">
      <c r="A359" s="21" t="n">
        <v>6</v>
      </c>
      <c r="B359" s="21" t="inlineStr">
        <is>
          <t>Priest</t>
        </is>
      </c>
      <c r="C359" s="21" t="n">
        <v>2</v>
      </c>
      <c r="D359" s="21" t="n">
        <v>12</v>
      </c>
      <c r="E359" s="21" t="n">
        <v>10</v>
      </c>
      <c r="F359" s="21" t="n">
        <v>3</v>
      </c>
      <c r="G359" s="21" t="n">
        <v>260</v>
      </c>
      <c r="H359" s="21" t="n">
        <v>180</v>
      </c>
      <c r="I359" s="21" t="n">
        <v>60</v>
      </c>
      <c r="J359" s="23" t="n">
        <v>0</v>
      </c>
      <c r="K359" s="23" t="n">
        <v>0</v>
      </c>
      <c r="L359" s="23" t="n">
        <v>0</v>
      </c>
      <c r="M359" s="23" t="n">
        <v>0</v>
      </c>
      <c r="N359" s="23" t="n">
        <v>0</v>
      </c>
      <c r="O359" s="23" t="n">
        <v>0</v>
      </c>
      <c r="P359" s="42" t="inlineStr">
        <is>
          <t>Cloth Tunic, Cloth Cap, Cloth Leggings, Cloth Shoes, Small Hammer, Wooden Buckler, Worn Leather Belt, Worn Leather Gloves, Threadbare Cloak, Beaded Bracelet, Beaded Bracelet</t>
        </is>
      </c>
    </row>
    <row r="360">
      <c r="A360" s="21" t="n">
        <v>7</v>
      </c>
      <c r="B360" s="21" t="inlineStr">
        <is>
          <t>Priest</t>
        </is>
      </c>
      <c r="C360" s="21" t="n">
        <v>2</v>
      </c>
      <c r="D360" s="21" t="n">
        <v>12</v>
      </c>
      <c r="E360" s="21" t="n">
        <v>10</v>
      </c>
      <c r="F360" s="21" t="n">
        <v>3</v>
      </c>
      <c r="G360" s="21" t="n">
        <v>285</v>
      </c>
      <c r="H360" s="21" t="n">
        <v>320</v>
      </c>
      <c r="I360" s="21" t="n">
        <v>65</v>
      </c>
      <c r="J360" s="23" t="n">
        <v>0</v>
      </c>
      <c r="K360" s="23" t="n">
        <v>0</v>
      </c>
      <c r="L360" s="23" t="n">
        <v>0</v>
      </c>
      <c r="M360" s="23" t="n">
        <v>0</v>
      </c>
      <c r="N360" s="23" t="n">
        <v>0</v>
      </c>
      <c r="O360" s="23" t="n">
        <v>0</v>
      </c>
      <c r="P360" s="42" t="inlineStr">
        <is>
          <t>Cloth Tunic, Cloth Cap, Cloth Leggings, Cloth Shoes, Small Hammer, Wooden Buckler, Worn Leather Belt, Worn Leather Gloves, Threadbare Cloak, Simple Pendant, Beaded Bracelet, Beaded Bracelet</t>
        </is>
      </c>
    </row>
    <row r="361">
      <c r="A361" s="21" t="n">
        <v>8</v>
      </c>
      <c r="B361" s="21" t="inlineStr">
        <is>
          <t>Priest</t>
        </is>
      </c>
      <c r="C361" s="21" t="n">
        <v>2</v>
      </c>
      <c r="D361" s="21" t="n">
        <v>12</v>
      </c>
      <c r="E361" s="21" t="n">
        <v>10</v>
      </c>
      <c r="F361" s="21" t="n">
        <v>5</v>
      </c>
      <c r="G361" s="21" t="n">
        <v>375</v>
      </c>
      <c r="H361" s="21" t="n">
        <v>320</v>
      </c>
      <c r="I361" s="21" t="n">
        <v>77</v>
      </c>
      <c r="J361" s="23" t="n">
        <v>0</v>
      </c>
      <c r="K361" s="23" t="n">
        <v>0</v>
      </c>
      <c r="L361" s="23" t="n">
        <v>0</v>
      </c>
      <c r="M361" s="23" t="n">
        <v>0</v>
      </c>
      <c r="N361" s="23" t="n">
        <v>0</v>
      </c>
      <c r="O361" s="23" t="n">
        <v>0</v>
      </c>
      <c r="P361" s="42" t="inlineStr">
        <is>
          <t>Cloth Tunic, Cloth Cap, Cloth Leggings, Cloth Shoes, Small Hammer, Wooden Buckler, Worn Leather Belt, Worn Leather Gloves, Threadbare Cloak, Simple Pendant, Patchwork Pauldrons, Beaded Bracelet, Beaded Bracelet</t>
        </is>
      </c>
    </row>
    <row r="362">
      <c r="A362" s="21" t="n">
        <v>9</v>
      </c>
      <c r="B362" s="21" t="inlineStr">
        <is>
          <t>Priest</t>
        </is>
      </c>
      <c r="C362" s="21" t="n">
        <v>2</v>
      </c>
      <c r="D362" s="21" t="n">
        <v>12</v>
      </c>
      <c r="E362" s="21" t="n">
        <v>10</v>
      </c>
      <c r="F362" s="21" t="n">
        <v>5</v>
      </c>
      <c r="G362" s="21" t="n">
        <v>375</v>
      </c>
      <c r="H362" s="21" t="n">
        <v>320</v>
      </c>
      <c r="I362" s="21" t="n">
        <v>77</v>
      </c>
      <c r="J362" s="23" t="n">
        <v>0</v>
      </c>
      <c r="K362" s="23" t="n">
        <v>0</v>
      </c>
      <c r="L362" s="23" t="n">
        <v>0</v>
      </c>
      <c r="M362" s="23" t="n">
        <v>0</v>
      </c>
      <c r="N362" s="23" t="n">
        <v>0</v>
      </c>
      <c r="O362" s="23" t="n">
        <v>0</v>
      </c>
      <c r="P362" s="42" t="inlineStr">
        <is>
          <t>Cloth Tunic, Cloth Cap, Cloth Leggings, Cloth Shoes, Small Hammer, Wooden Buckler, Worn Leather Belt, Worn Leather Gloves, Threadbare Cloak, Simple Pendant, Patchwork Pauldrons, Beaded Bracelet, Beaded Bracelet</t>
        </is>
      </c>
    </row>
    <row r="363">
      <c r="A363" s="21" t="n">
        <v>10</v>
      </c>
      <c r="B363" s="21" t="inlineStr">
        <is>
          <t>Priest</t>
        </is>
      </c>
      <c r="C363" s="21" t="n">
        <v>2</v>
      </c>
      <c r="D363" s="21" t="n">
        <v>12</v>
      </c>
      <c r="E363" s="21" t="n">
        <v>10</v>
      </c>
      <c r="F363" s="21" t="n">
        <v>5</v>
      </c>
      <c r="G363" s="21" t="n">
        <v>375</v>
      </c>
      <c r="H363" s="21" t="n">
        <v>320</v>
      </c>
      <c r="I363" s="21" t="n">
        <v>93</v>
      </c>
      <c r="J363" s="23" t="n">
        <v>0</v>
      </c>
      <c r="K363" s="23" t="n">
        <v>0</v>
      </c>
      <c r="L363" s="23" t="n">
        <v>0</v>
      </c>
      <c r="M363" s="23" t="n">
        <v>0</v>
      </c>
      <c r="N363" s="23" t="n">
        <v>0</v>
      </c>
      <c r="O363" s="23" t="n">
        <v>0</v>
      </c>
      <c r="P363" s="42" t="inlineStr">
        <is>
          <t>Leather Tunic, Leather Cap, Leather Leggings, Leather Boots, Small Hammer, Wooden Buckler, Worn Leather Belt, Worn Leather Gloves, Threadbare Cloak, Simple Pendant, Patchwork Pauldrons, Beaded Bracelet, Beaded Bracelet</t>
        </is>
      </c>
    </row>
    <row r="364">
      <c r="A364" s="21" t="n">
        <v>11</v>
      </c>
      <c r="B364" s="21" t="inlineStr">
        <is>
          <t>Priest</t>
        </is>
      </c>
      <c r="C364" s="21" t="n">
        <v>2</v>
      </c>
      <c r="D364" s="21" t="n">
        <v>12</v>
      </c>
      <c r="E364" s="21" t="n">
        <v>10</v>
      </c>
      <c r="F364" s="21" t="n">
        <v>5</v>
      </c>
      <c r="G364" s="21" t="n">
        <v>375</v>
      </c>
      <c r="H364" s="21" t="n">
        <v>320</v>
      </c>
      <c r="I364" s="21" t="n">
        <v>93</v>
      </c>
      <c r="J364" s="23" t="n">
        <v>0</v>
      </c>
      <c r="K364" s="23" t="n">
        <v>0</v>
      </c>
      <c r="L364" s="23" t="n">
        <v>0</v>
      </c>
      <c r="M364" s="23" t="n">
        <v>0</v>
      </c>
      <c r="N364" s="23" t="n">
        <v>0</v>
      </c>
      <c r="O364" s="23" t="n">
        <v>0</v>
      </c>
      <c r="P364" s="42" t="inlineStr">
        <is>
          <t>Leather Tunic, Leather Cap, Leather Leggings, Leather Boots, Small Hammer, Wooden Buckler, Worn Leather Belt, Worn Leather Gloves, Threadbare Cloak, Simple Pendant, Patchwork Pauldrons, Beaded Bracelet, Beaded Bracelet</t>
        </is>
      </c>
    </row>
    <row r="365">
      <c r="A365" s="21" t="n">
        <v>12</v>
      </c>
      <c r="B365" s="21" t="inlineStr">
        <is>
          <t>Priest</t>
        </is>
      </c>
      <c r="C365" s="21" t="n">
        <v>2</v>
      </c>
      <c r="D365" s="21" t="n">
        <v>12</v>
      </c>
      <c r="E365" s="21" t="n">
        <v>10</v>
      </c>
      <c r="F365" s="21" t="n">
        <v>5</v>
      </c>
      <c r="G365" s="21" t="n">
        <v>375</v>
      </c>
      <c r="H365" s="21" t="n">
        <v>320</v>
      </c>
      <c r="I365" s="21" t="n">
        <v>93</v>
      </c>
      <c r="J365" s="23" t="n">
        <v>0</v>
      </c>
      <c r="K365" s="23" t="n">
        <v>0</v>
      </c>
      <c r="L365" s="23" t="n">
        <v>0</v>
      </c>
      <c r="M365" s="23" t="n">
        <v>0</v>
      </c>
      <c r="N365" s="23" t="n">
        <v>0</v>
      </c>
      <c r="O365" s="23" t="n">
        <v>0</v>
      </c>
      <c r="P365" s="42" t="inlineStr">
        <is>
          <t>Leather Tunic, Leather Cap, Leather Leggings, Leather Boots, Small Hammer, Wooden Buckler, Worn Leather Belt, Worn Leather Gloves, Threadbare Cloak, Simple Pendant, Patchwork Pauldrons, Beaded Bracelet, Beaded Bracelet</t>
        </is>
      </c>
    </row>
    <row r="366">
      <c r="A366" s="21" t="n">
        <v>13</v>
      </c>
      <c r="B366" s="21" t="inlineStr">
        <is>
          <t>Priest</t>
        </is>
      </c>
      <c r="C366" s="21" t="n">
        <v>2</v>
      </c>
      <c r="D366" s="21" t="n">
        <v>12</v>
      </c>
      <c r="E366" s="21" t="n">
        <v>10</v>
      </c>
      <c r="F366" s="21" t="n">
        <v>5</v>
      </c>
      <c r="G366" s="21" t="n">
        <v>525</v>
      </c>
      <c r="H366" s="21" t="n">
        <v>610</v>
      </c>
      <c r="I366" s="21" t="n">
        <v>105</v>
      </c>
      <c r="J366" s="23" t="n">
        <v>0</v>
      </c>
      <c r="K366" s="23" t="n">
        <v>0.04</v>
      </c>
      <c r="L366" s="23" t="n">
        <v>0</v>
      </c>
      <c r="M366" s="23" t="n">
        <v>0</v>
      </c>
      <c r="N366" s="23" t="n">
        <v>0</v>
      </c>
      <c r="O366" s="23" t="n">
        <v>0</v>
      </c>
      <c r="P366" s="42" t="inlineStr">
        <is>
          <t>Leather Tunic, Leather Cap, Leather Leggings, Leather Boots, Small Hammer, Wooden Buckler, Worn Leather Belt, Worn Leather Gloves, Threadbare Cloak, Simple Pendant, Patchwork Pauldrons, Bracelet of Embers, Bracelet of Embers</t>
        </is>
      </c>
    </row>
    <row r="367">
      <c r="A367" s="21" t="n">
        <v>14</v>
      </c>
      <c r="B367" s="21" t="inlineStr">
        <is>
          <t>Priest</t>
        </is>
      </c>
      <c r="C367" s="21" t="n">
        <v>2</v>
      </c>
      <c r="D367" s="21" t="n">
        <v>12</v>
      </c>
      <c r="E367" s="21" t="n">
        <v>10</v>
      </c>
      <c r="F367" s="21" t="n">
        <v>9</v>
      </c>
      <c r="G367" s="21" t="n">
        <v>590</v>
      </c>
      <c r="H367" s="21" t="n">
        <v>610</v>
      </c>
      <c r="I367" s="21" t="n">
        <v>115</v>
      </c>
      <c r="J367" s="23" t="n">
        <v>0</v>
      </c>
      <c r="K367" s="23" t="n">
        <v>0.04</v>
      </c>
      <c r="L367" s="23" t="n">
        <v>0.02</v>
      </c>
      <c r="M367" s="23" t="n">
        <v>0</v>
      </c>
      <c r="N367" s="23" t="n">
        <v>0</v>
      </c>
      <c r="O367" s="23" t="n">
        <v>0</v>
      </c>
      <c r="P367" s="42" t="inlineStr">
        <is>
          <t>Leather Tunic, Leather Cap, Leather Leggings, Leather Boots, Small Hammer, Wooden Buckler, Worn Leather Belt, Scout's Gloves, Threadbare Cloak, Simple Pendant, Patchwork Pauldrons, Bracelet of Embers, Bracelet of Embers</t>
        </is>
      </c>
    </row>
    <row r="368">
      <c r="A368" s="21" t="n">
        <v>15</v>
      </c>
      <c r="B368" s="21" t="inlineStr">
        <is>
          <t>Priest</t>
        </is>
      </c>
      <c r="C368" s="21" t="n">
        <v>2</v>
      </c>
      <c r="D368" s="21" t="n">
        <v>15</v>
      </c>
      <c r="E368" s="21" t="n">
        <v>10</v>
      </c>
      <c r="F368" s="21" t="n">
        <v>9</v>
      </c>
      <c r="G368" s="21" t="n">
        <v>590</v>
      </c>
      <c r="H368" s="21" t="n">
        <v>610</v>
      </c>
      <c r="I368" s="21" t="n">
        <v>115</v>
      </c>
      <c r="J368" s="23" t="n">
        <v>0</v>
      </c>
      <c r="K368" s="23" t="n">
        <v>0.04</v>
      </c>
      <c r="L368" s="23" t="n">
        <v>0.02</v>
      </c>
      <c r="M368" s="23" t="n">
        <v>0</v>
      </c>
      <c r="N368" s="23" t="n">
        <v>0</v>
      </c>
      <c r="O368" s="23" t="n">
        <v>0</v>
      </c>
      <c r="P368" s="42" t="inlineStr">
        <is>
          <t>Leather Tunic, Leather Cap, Leather Leggings, Leather Boots, Stone Hammer, Wooden Buckler, Worn Leather Belt, Scout's Gloves, Threadbare Cloak, Simple Pendant, Patchwork Pauldrons, Bracelet of Embers, Bracelet of Embers</t>
        </is>
      </c>
    </row>
    <row r="369">
      <c r="A369" s="21" t="n">
        <v>16</v>
      </c>
      <c r="B369" s="21" t="inlineStr">
        <is>
          <t>Priest</t>
        </is>
      </c>
      <c r="C369" s="21" t="n">
        <v>2</v>
      </c>
      <c r="D369" s="21" t="n">
        <v>15</v>
      </c>
      <c r="E369" s="21" t="n">
        <v>10</v>
      </c>
      <c r="F369" s="21" t="n">
        <v>9</v>
      </c>
      <c r="G369" s="21" t="n">
        <v>620</v>
      </c>
      <c r="H369" s="21" t="n">
        <v>640</v>
      </c>
      <c r="I369" s="21" t="n">
        <v>122</v>
      </c>
      <c r="J369" s="23" t="n">
        <v>0</v>
      </c>
      <c r="K369" s="23" t="n">
        <v>0.04</v>
      </c>
      <c r="L369" s="23" t="n">
        <v>0.02</v>
      </c>
      <c r="M369" s="23" t="n">
        <v>0</v>
      </c>
      <c r="N369" s="23" t="n">
        <v>0.02</v>
      </c>
      <c r="O369" s="23" t="n">
        <v>0</v>
      </c>
      <c r="P369" s="42" t="inlineStr">
        <is>
          <t>Leather Tunic, Leather Cap, Leather Leggings, Leather Boots, Stone Hammer, Wooden Buckler, Worn Leather Belt, Scout's Gloves, Traveler's Cloak, Simple Pendant, Patchwork Pauldrons, Bracelet of Embers, Bracelet of Embers</t>
        </is>
      </c>
    </row>
    <row r="370">
      <c r="A370" s="21" t="n">
        <v>17</v>
      </c>
      <c r="B370" s="21" t="inlineStr">
        <is>
          <t>Priest</t>
        </is>
      </c>
      <c r="C370" s="21" t="n">
        <v>2</v>
      </c>
      <c r="D370" s="21" t="n">
        <v>15</v>
      </c>
      <c r="E370" s="21" t="n">
        <v>10</v>
      </c>
      <c r="F370" s="21" t="n">
        <v>9</v>
      </c>
      <c r="G370" s="21" t="n">
        <v>655</v>
      </c>
      <c r="H370" s="21" t="n">
        <v>780</v>
      </c>
      <c r="I370" s="21" t="n">
        <v>129</v>
      </c>
      <c r="J370" s="23" t="n">
        <v>0.03</v>
      </c>
      <c r="K370" s="23" t="n">
        <v>0.04</v>
      </c>
      <c r="L370" s="23" t="n">
        <v>0.02</v>
      </c>
      <c r="M370" s="23" t="n">
        <v>0</v>
      </c>
      <c r="N370" s="23" t="n">
        <v>0.02</v>
      </c>
      <c r="O370" s="23" t="n">
        <v>0</v>
      </c>
      <c r="P370" s="42" t="inlineStr">
        <is>
          <t>Leather Tunic, Leather Cap, Leather Leggings, Leather Boots, Stone Hammer, Wooden Buckler, Worn Leather Belt, Scout's Gloves, Traveler's Cloak, Charm of Focus, Patchwork Pauldrons, Bracelet of Embers, Bracelet of Embers</t>
        </is>
      </c>
    </row>
    <row r="371">
      <c r="A371" s="21" t="n">
        <v>18</v>
      </c>
      <c r="B371" s="21" t="inlineStr">
        <is>
          <t>Priest</t>
        </is>
      </c>
      <c r="C371" s="21" t="n">
        <v>2</v>
      </c>
      <c r="D371" s="21" t="n">
        <v>15</v>
      </c>
      <c r="E371" s="21" t="n">
        <v>10</v>
      </c>
      <c r="F371" s="21" t="n">
        <v>12</v>
      </c>
      <c r="G371" s="21" t="n">
        <v>820</v>
      </c>
      <c r="H371" s="21" t="n">
        <v>780</v>
      </c>
      <c r="I371" s="21" t="n">
        <v>145</v>
      </c>
      <c r="J371" s="23" t="n">
        <v>0.03</v>
      </c>
      <c r="K371" s="23" t="n">
        <v>0.04</v>
      </c>
      <c r="L371" s="23" t="n">
        <v>0.02</v>
      </c>
      <c r="M371" s="23" t="n">
        <v>0</v>
      </c>
      <c r="N371" s="23" t="n">
        <v>0.02</v>
      </c>
      <c r="O371" s="23" t="n">
        <v>0.02</v>
      </c>
      <c r="P371" s="42" t="inlineStr">
        <is>
          <t>Leather Tunic, Leather Cap, Leather Leggings, Leather Boots, Stone Hammer, Wooden Buckler, Worn Leather Belt, Scout's Gloves, Traveler's Cloak, Charm of Focus, Cold Iron Pauldrons, Bracelet of Embers, Bracelet of Embers</t>
        </is>
      </c>
    </row>
    <row r="372">
      <c r="A372" s="21" t="n">
        <v>19</v>
      </c>
      <c r="B372" s="21" t="inlineStr">
        <is>
          <t>Priest</t>
        </is>
      </c>
      <c r="C372" s="21" t="n">
        <v>2</v>
      </c>
      <c r="D372" s="21" t="n">
        <v>15</v>
      </c>
      <c r="E372" s="21" t="n">
        <v>10</v>
      </c>
      <c r="F372" s="21" t="n">
        <v>12</v>
      </c>
      <c r="G372" s="21" t="n">
        <v>820</v>
      </c>
      <c r="H372" s="21" t="n">
        <v>780</v>
      </c>
      <c r="I372" s="21" t="n">
        <v>145</v>
      </c>
      <c r="J372" s="23" t="n">
        <v>0.03</v>
      </c>
      <c r="K372" s="23" t="n">
        <v>0.04</v>
      </c>
      <c r="L372" s="23" t="n">
        <v>0.02</v>
      </c>
      <c r="M372" s="23" t="n">
        <v>0</v>
      </c>
      <c r="N372" s="23" t="n">
        <v>0.02</v>
      </c>
      <c r="O372" s="23" t="n">
        <v>0.02</v>
      </c>
      <c r="P372" s="42" t="inlineStr">
        <is>
          <t>Leather Tunic, Leather Cap, Leather Leggings, Leather Boots, Stone Hammer, Wooden Buckler, Worn Leather Belt, Scout's Gloves, Traveler's Cloak, Charm of Focus, Cold Iron Pauldrons, Bracelet of Embers, Bracelet of Embers</t>
        </is>
      </c>
    </row>
    <row r="373">
      <c r="A373" s="21" t="n">
        <v>20</v>
      </c>
      <c r="B373" s="21" t="inlineStr">
        <is>
          <t>Priest</t>
        </is>
      </c>
      <c r="C373" s="21" t="n">
        <v>2</v>
      </c>
      <c r="D373" s="21" t="n">
        <v>15</v>
      </c>
      <c r="E373" s="21" t="n">
        <v>10</v>
      </c>
      <c r="F373" s="21" t="n">
        <v>16</v>
      </c>
      <c r="G373" s="21" t="n">
        <v>1105</v>
      </c>
      <c r="H373" s="21" t="n">
        <v>800</v>
      </c>
      <c r="I373" s="21" t="n">
        <v>175</v>
      </c>
      <c r="J373" s="23" t="n">
        <v>0.05</v>
      </c>
      <c r="K373" s="23" t="n">
        <v>0.04</v>
      </c>
      <c r="L373" s="23" t="n">
        <v>0.04</v>
      </c>
      <c r="M373" s="23" t="n">
        <v>0</v>
      </c>
      <c r="N373" s="23" t="n">
        <v>0.02</v>
      </c>
      <c r="O373" s="23" t="n">
        <v>0.02</v>
      </c>
      <c r="P373" s="42" t="inlineStr">
        <is>
          <t>Silk Tunic, Silk Cap, Silk Leggings, Silk Slippers, Stone Hammer, Light Guard, Sturdy Belt, Scout's Gloves, Traveler's Cloak, Charm of Focus, Cold Iron Pauldrons, Bracelet of Embers, Bracelet of Embers</t>
        </is>
      </c>
    </row>
    <row r="374">
      <c r="A374" s="21" t="n">
        <v>21</v>
      </c>
      <c r="B374" s="21" t="inlineStr">
        <is>
          <t>Priest</t>
        </is>
      </c>
      <c r="C374" s="21" t="n">
        <v>2</v>
      </c>
      <c r="D374" s="21" t="n">
        <v>15</v>
      </c>
      <c r="E374" s="21" t="n">
        <v>10</v>
      </c>
      <c r="F374" s="21" t="n">
        <v>16</v>
      </c>
      <c r="G374" s="21" t="n">
        <v>1105</v>
      </c>
      <c r="H374" s="21" t="n">
        <v>800</v>
      </c>
      <c r="I374" s="21" t="n">
        <v>175</v>
      </c>
      <c r="J374" s="23" t="n">
        <v>0.05</v>
      </c>
      <c r="K374" s="23" t="n">
        <v>0.04</v>
      </c>
      <c r="L374" s="23" t="n">
        <v>0.04</v>
      </c>
      <c r="M374" s="23" t="n">
        <v>0</v>
      </c>
      <c r="N374" s="23" t="n">
        <v>0.02</v>
      </c>
      <c r="O374" s="23" t="n">
        <v>0.02</v>
      </c>
      <c r="P374" s="42" t="inlineStr">
        <is>
          <t>Silk Tunic, Silk Cap, Silk Leggings, Silk Slippers, Stone Hammer, Light Guard, Sturdy Belt, Scout's Gloves, Traveler's Cloak, Charm of Focus, Cold Iron Pauldrons, Bracelet of Embers, Bracelet of Embers</t>
        </is>
      </c>
    </row>
    <row r="375">
      <c r="A375" s="21" t="n">
        <v>22</v>
      </c>
      <c r="B375" s="21" t="inlineStr">
        <is>
          <t>Priest</t>
        </is>
      </c>
      <c r="C375" s="21" t="n">
        <v>2</v>
      </c>
      <c r="D375" s="21" t="n">
        <v>15</v>
      </c>
      <c r="E375" s="21" t="n">
        <v>10</v>
      </c>
      <c r="F375" s="21" t="n">
        <v>16</v>
      </c>
      <c r="G375" s="21" t="n">
        <v>1105</v>
      </c>
      <c r="H375" s="21" t="n">
        <v>800</v>
      </c>
      <c r="I375" s="21" t="n">
        <v>175</v>
      </c>
      <c r="J375" s="23" t="n">
        <v>0.05</v>
      </c>
      <c r="K375" s="23" t="n">
        <v>0.04</v>
      </c>
      <c r="L375" s="23" t="n">
        <v>0.04</v>
      </c>
      <c r="M375" s="23" t="n">
        <v>0</v>
      </c>
      <c r="N375" s="23" t="n">
        <v>0.02</v>
      </c>
      <c r="O375" s="23" t="n">
        <v>0.02</v>
      </c>
      <c r="P375" s="42" t="inlineStr">
        <is>
          <t>Silk Tunic, Silk Cap, Silk Leggings, Silk Slippers, Stone Hammer, Light Guard, Sturdy Belt, Scout's Gloves, Traveler's Cloak, Charm of Focus, Cold Iron Pauldrons, Bracelet of Embers, Bracelet of Embers</t>
        </is>
      </c>
    </row>
    <row r="376">
      <c r="A376" s="21" t="n">
        <v>23</v>
      </c>
      <c r="B376" s="21" t="inlineStr">
        <is>
          <t>Priest</t>
        </is>
      </c>
      <c r="C376" s="21" t="n">
        <v>2</v>
      </c>
      <c r="D376" s="21" t="n">
        <v>15</v>
      </c>
      <c r="E376" s="21" t="n">
        <v>10</v>
      </c>
      <c r="F376" s="21" t="n">
        <v>16</v>
      </c>
      <c r="G376" s="21" t="n">
        <v>1315</v>
      </c>
      <c r="H376" s="21" t="n">
        <v>1100</v>
      </c>
      <c r="I376" s="21" t="n">
        <v>185</v>
      </c>
      <c r="J376" s="23" t="n">
        <v>0.05</v>
      </c>
      <c r="K376" s="23" t="n">
        <v>0.06</v>
      </c>
      <c r="L376" s="23" t="n">
        <v>0.04</v>
      </c>
      <c r="M376" s="23" t="n">
        <v>0</v>
      </c>
      <c r="N376" s="23" t="n">
        <v>0.02</v>
      </c>
      <c r="O376" s="23" t="n">
        <v>0.02</v>
      </c>
      <c r="P376" s="42" t="inlineStr">
        <is>
          <t>Silk Tunic, Silk Cap, Silk Leggings, Silk Slippers, Stone Hammer, Light Guard, Sturdy Belt, Scout's Gloves, Traveler's Cloak, Charm of Focus, Cold Iron Pauldrons, Bracelet of Cinders, Bracelet of Cinders</t>
        </is>
      </c>
    </row>
    <row r="377">
      <c r="A377" s="21" t="n">
        <v>24</v>
      </c>
      <c r="B377" s="21" t="inlineStr">
        <is>
          <t>Priest</t>
        </is>
      </c>
      <c r="C377" s="21" t="n">
        <v>2</v>
      </c>
      <c r="D377" s="21" t="n">
        <v>15</v>
      </c>
      <c r="E377" s="21" t="n">
        <v>10</v>
      </c>
      <c r="F377" s="21" t="n">
        <v>20</v>
      </c>
      <c r="G377" s="21" t="n">
        <v>1405</v>
      </c>
      <c r="H377" s="21" t="n">
        <v>1100</v>
      </c>
      <c r="I377" s="21" t="n">
        <v>195</v>
      </c>
      <c r="J377" s="23" t="n">
        <v>0.05</v>
      </c>
      <c r="K377" s="23" t="n">
        <v>0.06</v>
      </c>
      <c r="L377" s="23" t="n">
        <v>0.05</v>
      </c>
      <c r="M377" s="23" t="n">
        <v>0</v>
      </c>
      <c r="N377" s="23" t="n">
        <v>0.02</v>
      </c>
      <c r="O377" s="23" t="n">
        <v>0.02</v>
      </c>
      <c r="P377" s="42" t="inlineStr">
        <is>
          <t>Silk Tunic, Silk Cap, Silk Leggings, Silk Slippers, Stone Hammer, Light Guard, Sturdy Belt, Reinforced War Gloves, Traveler's Cloak, Charm of Focus, Cold Iron Pauldrons, Bracelet of Cinders, Bracelet of Cinders</t>
        </is>
      </c>
    </row>
    <row r="378">
      <c r="A378" s="21" t="n">
        <v>25</v>
      </c>
      <c r="B378" s="21" t="inlineStr">
        <is>
          <t>Priest</t>
        </is>
      </c>
      <c r="C378" s="21" t="n">
        <v>2</v>
      </c>
      <c r="D378" s="21" t="n">
        <v>15</v>
      </c>
      <c r="E378" s="21" t="n">
        <v>10</v>
      </c>
      <c r="F378" s="21" t="n">
        <v>20</v>
      </c>
      <c r="G378" s="21" t="n">
        <v>1405</v>
      </c>
      <c r="H378" s="21" t="n">
        <v>1100</v>
      </c>
      <c r="I378" s="21" t="n">
        <v>195</v>
      </c>
      <c r="J378" s="23" t="n">
        <v>0.05</v>
      </c>
      <c r="K378" s="23" t="n">
        <v>0.06</v>
      </c>
      <c r="L378" s="23" t="n">
        <v>0.05</v>
      </c>
      <c r="M378" s="23" t="n">
        <v>0</v>
      </c>
      <c r="N378" s="23" t="n">
        <v>0.02</v>
      </c>
      <c r="O378" s="23" t="n">
        <v>0.02</v>
      </c>
      <c r="P378" s="42" t="inlineStr">
        <is>
          <t>Silk Tunic, Silk Cap, Silk Leggings, Silk Slippers, Stone Hammer, Light Guard, Sturdy Belt, Reinforced War Gloves, Traveler's Cloak, Charm of Focus, Cold Iron Pauldrons, Bracelet of Cinders, Bracelet of Cinders</t>
        </is>
      </c>
    </row>
    <row r="379">
      <c r="A379" s="21" t="n">
        <v>26</v>
      </c>
      <c r="B379" s="21" t="inlineStr">
        <is>
          <t>Priest</t>
        </is>
      </c>
      <c r="C379" s="21" t="n">
        <v>2</v>
      </c>
      <c r="D379" s="21" t="n">
        <v>15</v>
      </c>
      <c r="E379" s="21" t="n">
        <v>10</v>
      </c>
      <c r="F379" s="21" t="n">
        <v>20</v>
      </c>
      <c r="G379" s="21" t="n">
        <v>1445</v>
      </c>
      <c r="H379" s="21" t="n">
        <v>1140</v>
      </c>
      <c r="I379" s="21" t="n">
        <v>204</v>
      </c>
      <c r="J379" s="23" t="n">
        <v>0.05</v>
      </c>
      <c r="K379" s="23" t="n">
        <v>0.06</v>
      </c>
      <c r="L379" s="23" t="n">
        <v>0.05</v>
      </c>
      <c r="M379" s="23" t="n">
        <v>0</v>
      </c>
      <c r="N379" s="23" t="n">
        <v>0.03</v>
      </c>
      <c r="O379" s="23" t="n">
        <v>0.02</v>
      </c>
      <c r="P379" s="42" t="inlineStr">
        <is>
          <t>Silk Tunic, Silk Cap, Silk Leggings, Silk Slippers, Stone Hammer, Light Guard, Sturdy Belt, Reinforced War Gloves, Warden's Cloak, Charm of Focus, Cold Iron Pauldrons, Bracelet of Cinders, Bracelet of Cinders</t>
        </is>
      </c>
    </row>
    <row r="380">
      <c r="A380" s="21" t="n">
        <v>27</v>
      </c>
      <c r="B380" s="21" t="inlineStr">
        <is>
          <t>Priest</t>
        </is>
      </c>
      <c r="C380" s="21" t="n">
        <v>2</v>
      </c>
      <c r="D380" s="21" t="n">
        <v>19</v>
      </c>
      <c r="E380" s="21" t="n">
        <v>10</v>
      </c>
      <c r="F380" s="21" t="n">
        <v>20</v>
      </c>
      <c r="G380" s="21" t="n">
        <v>1535</v>
      </c>
      <c r="H380" s="21" t="n">
        <v>1440</v>
      </c>
      <c r="I380" s="21" t="n">
        <v>210</v>
      </c>
      <c r="J380" s="23" t="n">
        <v>0.07000000000000001</v>
      </c>
      <c r="K380" s="23" t="n">
        <v>0.06</v>
      </c>
      <c r="L380" s="23" t="n">
        <v>0.05</v>
      </c>
      <c r="M380" s="23" t="n">
        <v>0</v>
      </c>
      <c r="N380" s="23" t="n">
        <v>0.03</v>
      </c>
      <c r="O380" s="23" t="n">
        <v>0.02</v>
      </c>
      <c r="P380" s="42" t="inlineStr">
        <is>
          <t>Silk Tunic, Silk Cap, Silk Leggings, Silk Slippers, Brilliant Hammer, Light Guard, Sturdy Belt, Reinforced War Gloves, Warden's Cloak, Charm of Insight, Cold Iron Pauldrons, Bracelet of Cinders, Bracelet of Cinders</t>
        </is>
      </c>
    </row>
    <row r="381">
      <c r="A381" s="21" t="n">
        <v>28</v>
      </c>
      <c r="B381" s="21" t="inlineStr">
        <is>
          <t>Priest</t>
        </is>
      </c>
      <c r="C381" s="21" t="n">
        <v>2</v>
      </c>
      <c r="D381" s="21" t="n">
        <v>19</v>
      </c>
      <c r="E381" s="21" t="n">
        <v>10</v>
      </c>
      <c r="F381" s="21" t="n">
        <v>22</v>
      </c>
      <c r="G381" s="21" t="n">
        <v>1715</v>
      </c>
      <c r="H381" s="21" t="n">
        <v>1440</v>
      </c>
      <c r="I381" s="21" t="n">
        <v>227</v>
      </c>
      <c r="J381" s="23" t="n">
        <v>0.07000000000000001</v>
      </c>
      <c r="K381" s="23" t="n">
        <v>0.06</v>
      </c>
      <c r="L381" s="23" t="n">
        <v>0.05</v>
      </c>
      <c r="M381" s="23" t="n">
        <v>0</v>
      </c>
      <c r="N381" s="23" t="n">
        <v>0.03</v>
      </c>
      <c r="O381" s="23" t="n">
        <v>0.03</v>
      </c>
      <c r="P381" s="42" t="inlineStr">
        <is>
          <t>Silk Tunic, Silk Cap, Silk Leggings, Silk Slippers, Brilliant Hammer, Light Guard, Sturdy Belt, Reinforced War Gloves, Warden's Cloak, Charm of Insight, Tempered Pauldrons, Bracelet of Cinders, Bracelet of Cinders</t>
        </is>
      </c>
    </row>
    <row r="382">
      <c r="A382" s="21" t="n">
        <v>29</v>
      </c>
      <c r="B382" s="21" t="inlineStr">
        <is>
          <t>Priest</t>
        </is>
      </c>
      <c r="C382" s="21" t="n">
        <v>2</v>
      </c>
      <c r="D382" s="21" t="n">
        <v>19</v>
      </c>
      <c r="E382" s="21" t="n">
        <v>10</v>
      </c>
      <c r="F382" s="21" t="n">
        <v>22</v>
      </c>
      <c r="G382" s="21" t="n">
        <v>1715</v>
      </c>
      <c r="H382" s="21" t="n">
        <v>1440</v>
      </c>
      <c r="I382" s="21" t="n">
        <v>227</v>
      </c>
      <c r="J382" s="23" t="n">
        <v>0.07000000000000001</v>
      </c>
      <c r="K382" s="23" t="n">
        <v>0.06</v>
      </c>
      <c r="L382" s="23" t="n">
        <v>0.05</v>
      </c>
      <c r="M382" s="23" t="n">
        <v>0</v>
      </c>
      <c r="N382" s="23" t="n">
        <v>0.03</v>
      </c>
      <c r="O382" s="23" t="n">
        <v>0.03</v>
      </c>
      <c r="P382" s="42" t="inlineStr">
        <is>
          <t>Silk Tunic, Silk Cap, Silk Leggings, Silk Slippers, Brilliant Hammer, Light Guard, Sturdy Belt, Reinforced War Gloves, Warden's Cloak, Charm of Insight, Tempered Pauldrons, Bracelet of Cinders, Bracelet of Cinders</t>
        </is>
      </c>
    </row>
    <row r="383">
      <c r="A383" s="21" t="n">
        <v>30</v>
      </c>
      <c r="B383" s="21" t="inlineStr">
        <is>
          <t>Priest</t>
        </is>
      </c>
      <c r="C383" s="21" t="n">
        <v>2</v>
      </c>
      <c r="D383" s="21" t="n">
        <v>19</v>
      </c>
      <c r="E383" s="21" t="n">
        <v>10</v>
      </c>
      <c r="F383" s="21" t="n">
        <v>25</v>
      </c>
      <c r="G383" s="21" t="n">
        <v>1935</v>
      </c>
      <c r="H383" s="21" t="n">
        <v>1440</v>
      </c>
      <c r="I383" s="21" t="n">
        <v>236</v>
      </c>
      <c r="J383" s="23" t="n">
        <v>0.08</v>
      </c>
      <c r="K383" s="23" t="n">
        <v>0.06</v>
      </c>
      <c r="L383" s="23" t="n">
        <v>0.06</v>
      </c>
      <c r="M383" s="23" t="n">
        <v>0</v>
      </c>
      <c r="N383" s="23" t="n">
        <v>0.03</v>
      </c>
      <c r="O383" s="23" t="n">
        <v>0.03</v>
      </c>
      <c r="P383" s="42" t="inlineStr">
        <is>
          <t>Silk Tunic, Silk Cap, Silk Leggings, Silk Slippers, Brilliant Hammer, Light Guard, Ironbound Belt, Reinforced War Gloves, Warden's Cloak, Charm of Insight, Tempered Pauldrons, Bracelet of Cinders, Bracelet of Cinders</t>
        </is>
      </c>
    </row>
    <row r="384">
      <c r="A384" s="21" t="n">
        <v>31</v>
      </c>
      <c r="B384" s="21" t="inlineStr">
        <is>
          <t>Priest</t>
        </is>
      </c>
      <c r="C384" s="21" t="n">
        <v>2</v>
      </c>
      <c r="D384" s="21" t="n">
        <v>19</v>
      </c>
      <c r="E384" s="21" t="n">
        <v>10</v>
      </c>
      <c r="F384" s="21" t="n">
        <v>25</v>
      </c>
      <c r="G384" s="21" t="n">
        <v>1935</v>
      </c>
      <c r="H384" s="21" t="n">
        <v>1440</v>
      </c>
      <c r="I384" s="21" t="n">
        <v>236</v>
      </c>
      <c r="J384" s="23" t="n">
        <v>0.08</v>
      </c>
      <c r="K384" s="23" t="n">
        <v>0.06</v>
      </c>
      <c r="L384" s="23" t="n">
        <v>0.06</v>
      </c>
      <c r="M384" s="23" t="n">
        <v>0</v>
      </c>
      <c r="N384" s="23" t="n">
        <v>0.03</v>
      </c>
      <c r="O384" s="23" t="n">
        <v>0.03</v>
      </c>
      <c r="P384" s="42" t="inlineStr">
        <is>
          <t>Silk Tunic, Silk Cap, Silk Leggings, Silk Slippers, Brilliant Hammer, Light Guard, Ironbound Belt, Reinforced War Gloves, Warden's Cloak, Charm of Insight, Tempered Pauldrons, Bracelet of Cinders, Bracelet of Cinders</t>
        </is>
      </c>
    </row>
    <row r="385">
      <c r="A385" s="21" t="n">
        <v>32</v>
      </c>
      <c r="B385" s="21" t="inlineStr">
        <is>
          <t>Priest</t>
        </is>
      </c>
      <c r="C385" s="21" t="n">
        <v>2</v>
      </c>
      <c r="D385" s="21" t="n">
        <v>19</v>
      </c>
      <c r="E385" s="21" t="n">
        <v>10</v>
      </c>
      <c r="F385" s="21" t="n">
        <v>25</v>
      </c>
      <c r="G385" s="21" t="n">
        <v>1935</v>
      </c>
      <c r="H385" s="21" t="n">
        <v>1440</v>
      </c>
      <c r="I385" s="21" t="n">
        <v>236</v>
      </c>
      <c r="J385" s="23" t="n">
        <v>0.08</v>
      </c>
      <c r="K385" s="23" t="n">
        <v>0.06</v>
      </c>
      <c r="L385" s="23" t="n">
        <v>0.06</v>
      </c>
      <c r="M385" s="23" t="n">
        <v>0</v>
      </c>
      <c r="N385" s="23" t="n">
        <v>0.03</v>
      </c>
      <c r="O385" s="23" t="n">
        <v>0.03</v>
      </c>
      <c r="P385" s="42" t="inlineStr">
        <is>
          <t>Silk Tunic, Silk Cap, Silk Leggings, Silk Slippers, Brilliant Hammer, Light Guard, Ironbound Belt, Reinforced War Gloves, Warden's Cloak, Charm of Insight, Tempered Pauldrons, Bracelet of Cinders, Bracelet of Cinders</t>
        </is>
      </c>
    </row>
    <row r="386">
      <c r="A386" s="21" t="n">
        <v>33</v>
      </c>
      <c r="B386" s="21" t="inlineStr">
        <is>
          <t>Priest</t>
        </is>
      </c>
      <c r="C386" s="21" t="n">
        <v>2</v>
      </c>
      <c r="D386" s="21" t="n">
        <v>19</v>
      </c>
      <c r="E386" s="21" t="n">
        <v>10</v>
      </c>
      <c r="F386" s="21" t="n">
        <v>25</v>
      </c>
      <c r="G386" s="21" t="n">
        <v>2095</v>
      </c>
      <c r="H386" s="21" t="n">
        <v>1790</v>
      </c>
      <c r="I386" s="21" t="n">
        <v>246</v>
      </c>
      <c r="J386" s="23" t="n">
        <v>0.08</v>
      </c>
      <c r="K386" s="23" t="n">
        <v>0.08</v>
      </c>
      <c r="L386" s="23" t="n">
        <v>0.06</v>
      </c>
      <c r="M386" s="23" t="n">
        <v>0</v>
      </c>
      <c r="N386" s="23" t="n">
        <v>0.03</v>
      </c>
      <c r="O386" s="23" t="n">
        <v>0.03</v>
      </c>
      <c r="P386" s="42" t="inlineStr">
        <is>
          <t>Silk Tunic, Silk Cap, Silk Leggings, Silk Slippers, Brilliant Hammer, Light Guard, Ironbound Belt, Reinforced War Gloves, Warden's Cloak, Charm of Insight, Tempered Pauldrons, Bracelet of Flames, Bracelet of Flames</t>
        </is>
      </c>
    </row>
    <row r="387">
      <c r="A387" s="21" t="n">
        <v>34</v>
      </c>
      <c r="B387" s="21" t="inlineStr">
        <is>
          <t>Priest</t>
        </is>
      </c>
      <c r="C387" s="21" t="n">
        <v>2</v>
      </c>
      <c r="D387" s="21" t="n">
        <v>19</v>
      </c>
      <c r="E387" s="21" t="n">
        <v>10</v>
      </c>
      <c r="F387" s="21" t="n">
        <v>29</v>
      </c>
      <c r="G387" s="21" t="n">
        <v>2185</v>
      </c>
      <c r="H387" s="21" t="n">
        <v>1790</v>
      </c>
      <c r="I387" s="21" t="n">
        <v>256</v>
      </c>
      <c r="J387" s="23" t="n">
        <v>0.08</v>
      </c>
      <c r="K387" s="23" t="n">
        <v>0.08</v>
      </c>
      <c r="L387" s="23" t="n">
        <v>0.07000000000000001</v>
      </c>
      <c r="M387" s="23" t="n">
        <v>0</v>
      </c>
      <c r="N387" s="23" t="n">
        <v>0.03</v>
      </c>
      <c r="O387" s="23" t="n">
        <v>0.03</v>
      </c>
      <c r="P387" s="42" t="inlineStr">
        <is>
          <t>Silk Tunic, Silk Cap, Silk Leggings, Silk Slippers, Brilliant Hammer, Light Guard, Ironbound Belt, Runed War Gloves, Warden's Cloak, Charm of Insight, Tempered Pauldrons, Bracelet of Flames, Bracelet of Flames</t>
        </is>
      </c>
    </row>
    <row r="388">
      <c r="A388" s="21" t="n">
        <v>35</v>
      </c>
      <c r="B388" s="21" t="inlineStr">
        <is>
          <t>Priest</t>
        </is>
      </c>
      <c r="C388" s="21" t="n">
        <v>2</v>
      </c>
      <c r="D388" s="21" t="n">
        <v>19</v>
      </c>
      <c r="E388" s="21" t="n">
        <v>10</v>
      </c>
      <c r="F388" s="21" t="n">
        <v>29</v>
      </c>
      <c r="G388" s="21" t="n">
        <v>2185</v>
      </c>
      <c r="H388" s="21" t="n">
        <v>1810</v>
      </c>
      <c r="I388" s="21" t="n">
        <v>276</v>
      </c>
      <c r="J388" s="23" t="n">
        <v>0.08</v>
      </c>
      <c r="K388" s="23" t="n">
        <v>0.08</v>
      </c>
      <c r="L388" s="23" t="n">
        <v>0.07000000000000001</v>
      </c>
      <c r="M388" s="23" t="n">
        <v>0</v>
      </c>
      <c r="N388" s="23" t="n">
        <v>0.03</v>
      </c>
      <c r="O388" s="23" t="n">
        <v>0.03</v>
      </c>
      <c r="P388" s="42" t="inlineStr">
        <is>
          <t>Silk Tunic, Silk Cap, Silk Leggings, Silk Slippers, Brilliant Hammer, Firebrand Guard, Ironbound Belt, Runed War Gloves, Warden's Cloak, Charm of Insight, Tempered Pauldrons, Bracelet of Flames, Bracelet of Flames</t>
        </is>
      </c>
    </row>
    <row r="389">
      <c r="A389" s="21" t="n">
        <v>36</v>
      </c>
      <c r="B389" s="21" t="inlineStr">
        <is>
          <t>Priest</t>
        </is>
      </c>
      <c r="C389" s="21" t="n">
        <v>2</v>
      </c>
      <c r="D389" s="21" t="n">
        <v>19</v>
      </c>
      <c r="E389" s="21" t="n">
        <v>10</v>
      </c>
      <c r="F389" s="21" t="n">
        <v>29</v>
      </c>
      <c r="G389" s="21" t="n">
        <v>2220</v>
      </c>
      <c r="H389" s="21" t="n">
        <v>1845</v>
      </c>
      <c r="I389" s="21" t="n">
        <v>286</v>
      </c>
      <c r="J389" s="23" t="n">
        <v>0.08</v>
      </c>
      <c r="K389" s="23" t="n">
        <v>0.08</v>
      </c>
      <c r="L389" s="23" t="n">
        <v>0.07000000000000001</v>
      </c>
      <c r="M389" s="23" t="n">
        <v>0</v>
      </c>
      <c r="N389" s="23" t="n">
        <v>0.04</v>
      </c>
      <c r="O389" s="23" t="n">
        <v>0.03</v>
      </c>
      <c r="P389" s="42" t="inlineStr">
        <is>
          <t>Silk Tunic, Silk Cap, Silk Leggings, Silk Slippers, Brilliant Hammer, Firebrand Guard, Ironbound Belt, Runed War Gloves, Stormward Cloak, Charm of Insight, Tempered Pauldrons, Bracelet of Flames, Bracelet of Flames</t>
        </is>
      </c>
    </row>
    <row r="390">
      <c r="A390" s="21" t="n">
        <v>37</v>
      </c>
      <c r="B390" s="21" t="inlineStr">
        <is>
          <t>Priest</t>
        </is>
      </c>
      <c r="C390" s="21" t="n">
        <v>2</v>
      </c>
      <c r="D390" s="21" t="n">
        <v>19</v>
      </c>
      <c r="E390" s="21" t="n">
        <v>10</v>
      </c>
      <c r="F390" s="21" t="n">
        <v>29</v>
      </c>
      <c r="G390" s="21" t="n">
        <v>2250</v>
      </c>
      <c r="H390" s="21" t="n">
        <v>2005</v>
      </c>
      <c r="I390" s="21" t="n">
        <v>293</v>
      </c>
      <c r="J390" s="23" t="n">
        <v>0.1</v>
      </c>
      <c r="K390" s="23" t="n">
        <v>0.08</v>
      </c>
      <c r="L390" s="23" t="n">
        <v>0.07000000000000001</v>
      </c>
      <c r="M390" s="23" t="n">
        <v>0</v>
      </c>
      <c r="N390" s="23" t="n">
        <v>0.04</v>
      </c>
      <c r="O390" s="23" t="n">
        <v>0.03</v>
      </c>
      <c r="P390" s="42" t="inlineStr">
        <is>
          <t>Silk Tunic, Silk Cap, Silk Leggings, Silk Slippers, Brilliant Hammer, Firebrand Guard, Ironbound Belt, Runed War Gloves, Stormward Cloak, Charm of Ascendance, Tempered Pauldrons, Bracelet of Flames, Bracelet of Flames</t>
        </is>
      </c>
    </row>
    <row r="391">
      <c r="A391" s="21" t="n">
        <v>38</v>
      </c>
      <c r="B391" s="21" t="inlineStr">
        <is>
          <t>Priest</t>
        </is>
      </c>
      <c r="C391" s="21" t="n">
        <v>2</v>
      </c>
      <c r="D391" s="21" t="n">
        <v>19</v>
      </c>
      <c r="E391" s="21" t="n">
        <v>10</v>
      </c>
      <c r="F391" s="21" t="n">
        <v>31</v>
      </c>
      <c r="G391" s="21" t="n">
        <v>2405</v>
      </c>
      <c r="H391" s="21" t="n">
        <v>2005</v>
      </c>
      <c r="I391" s="21" t="n">
        <v>308</v>
      </c>
      <c r="J391" s="23" t="n">
        <v>0.1</v>
      </c>
      <c r="K391" s="23" t="n">
        <v>0.08</v>
      </c>
      <c r="L391" s="23" t="n">
        <v>0.07000000000000001</v>
      </c>
      <c r="M391" s="23" t="n">
        <v>0</v>
      </c>
      <c r="N391" s="23" t="n">
        <v>0.04</v>
      </c>
      <c r="O391" s="23" t="n">
        <v>0.04</v>
      </c>
      <c r="P391" s="42" t="inlineStr">
        <is>
          <t>Silk Tunic, Silk Cap, Silk Leggings, Silk Slippers, Brilliant Hammer, Firebrand Guard, Ironbound Belt, Runed War Gloves, Stormward Cloak, Charm of Ascendance, Runeplate Pauldrons, Bracelet of Flames, Bracelet of Flames</t>
        </is>
      </c>
    </row>
    <row r="392">
      <c r="A392" s="21" t="n">
        <v>39</v>
      </c>
      <c r="B392" s="21" t="inlineStr">
        <is>
          <t>Priest</t>
        </is>
      </c>
      <c r="C392" s="21" t="n">
        <v>2</v>
      </c>
      <c r="D392" s="21" t="n">
        <v>19</v>
      </c>
      <c r="E392" s="21" t="n">
        <v>10</v>
      </c>
      <c r="F392" s="21" t="n">
        <v>31</v>
      </c>
      <c r="G392" s="21" t="n">
        <v>2405</v>
      </c>
      <c r="H392" s="21" t="n">
        <v>2005</v>
      </c>
      <c r="I392" s="21" t="n">
        <v>308</v>
      </c>
      <c r="J392" s="23" t="n">
        <v>0.1</v>
      </c>
      <c r="K392" s="23" t="n">
        <v>0.08</v>
      </c>
      <c r="L392" s="23" t="n">
        <v>0.07000000000000001</v>
      </c>
      <c r="M392" s="23" t="n">
        <v>0</v>
      </c>
      <c r="N392" s="23" t="n">
        <v>0.04</v>
      </c>
      <c r="O392" s="23" t="n">
        <v>0.04</v>
      </c>
      <c r="P392" s="42" t="inlineStr">
        <is>
          <t>Silk Tunic, Silk Cap, Silk Leggings, Silk Slippers, Brilliant Hammer, Firebrand Guard, Ironbound Belt, Runed War Gloves, Stormward Cloak, Charm of Ascendance, Runeplate Pauldrons, Bracelet of Flames, Bracelet of Flames</t>
        </is>
      </c>
    </row>
    <row r="393">
      <c r="A393" s="21" t="n">
        <v>40</v>
      </c>
      <c r="B393" s="21" t="inlineStr">
        <is>
          <t>Priest</t>
        </is>
      </c>
      <c r="C393" s="21" t="n">
        <v>2</v>
      </c>
      <c r="D393" s="21" t="n">
        <v>19</v>
      </c>
      <c r="E393" s="21" t="n">
        <v>10</v>
      </c>
      <c r="F393" s="21" t="n">
        <v>33</v>
      </c>
      <c r="G393" s="21" t="n">
        <v>2590</v>
      </c>
      <c r="H393" s="21" t="n">
        <v>2005</v>
      </c>
      <c r="I393" s="21" t="n">
        <v>316</v>
      </c>
      <c r="J393" s="23" t="n">
        <v>0.11</v>
      </c>
      <c r="K393" s="23" t="n">
        <v>0.08</v>
      </c>
      <c r="L393" s="23" t="n">
        <v>0.08</v>
      </c>
      <c r="M393" s="23" t="n">
        <v>0</v>
      </c>
      <c r="N393" s="23" t="n">
        <v>0.04</v>
      </c>
      <c r="O393" s="23" t="n">
        <v>0.04</v>
      </c>
      <c r="P393" s="42" t="inlineStr">
        <is>
          <t>Silk Tunic, Silk Cap, Silk Leggings, Silk Slippers, Brilliant Hammer, Firebrand Guard, Runeplate Belt, Runed War Gloves, Stormward Cloak, Charm of Ascendance, Runeplate Pauldrons, Bracelet of Flames, Bracelet of Flames</t>
        </is>
      </c>
    </row>
    <row r="394">
      <c r="A394" s="21" t="n">
        <v>41</v>
      </c>
      <c r="B394" s="21" t="inlineStr">
        <is>
          <t>Priest</t>
        </is>
      </c>
      <c r="C394" s="21" t="n">
        <v>2</v>
      </c>
      <c r="D394" s="21" t="n">
        <v>19</v>
      </c>
      <c r="E394" s="21" t="n">
        <v>10</v>
      </c>
      <c r="F394" s="21" t="n">
        <v>33</v>
      </c>
      <c r="G394" s="21" t="n">
        <v>2590</v>
      </c>
      <c r="H394" s="21" t="n">
        <v>2005</v>
      </c>
      <c r="I394" s="21" t="n">
        <v>316</v>
      </c>
      <c r="J394" s="23" t="n">
        <v>0.11</v>
      </c>
      <c r="K394" s="23" t="n">
        <v>0.08</v>
      </c>
      <c r="L394" s="23" t="n">
        <v>0.08</v>
      </c>
      <c r="M394" s="23" t="n">
        <v>0</v>
      </c>
      <c r="N394" s="23" t="n">
        <v>0.04</v>
      </c>
      <c r="O394" s="23" t="n">
        <v>0.04</v>
      </c>
      <c r="P394" s="42" t="inlineStr">
        <is>
          <t>Silk Tunic, Silk Cap, Silk Leggings, Silk Slippers, Brilliant Hammer, Firebrand Guard, Runeplate Belt, Runed War Gloves, Stormward Cloak, Charm of Ascendance, Runeplate Pauldrons, Bracelet of Flames, Bracelet of Flames</t>
        </is>
      </c>
    </row>
    <row r="395">
      <c r="A395" s="21" t="n">
        <v>42</v>
      </c>
      <c r="B395" s="21" t="inlineStr">
        <is>
          <t>Priest</t>
        </is>
      </c>
      <c r="C395" s="21" t="n">
        <v>2</v>
      </c>
      <c r="D395" s="21" t="n">
        <v>19</v>
      </c>
      <c r="E395" s="21" t="n">
        <v>10</v>
      </c>
      <c r="F395" s="21" t="n">
        <v>33</v>
      </c>
      <c r="G395" s="21" t="n">
        <v>2590</v>
      </c>
      <c r="H395" s="21" t="n">
        <v>2005</v>
      </c>
      <c r="I395" s="21" t="n">
        <v>316</v>
      </c>
      <c r="J395" s="23" t="n">
        <v>0.11</v>
      </c>
      <c r="K395" s="23" t="n">
        <v>0.08</v>
      </c>
      <c r="L395" s="23" t="n">
        <v>0.08</v>
      </c>
      <c r="M395" s="23" t="n">
        <v>0</v>
      </c>
      <c r="N395" s="23" t="n">
        <v>0.04</v>
      </c>
      <c r="O395" s="23" t="n">
        <v>0.04</v>
      </c>
      <c r="P395" s="42" t="inlineStr">
        <is>
          <t>Silk Tunic, Silk Cap, Silk Leggings, Silk Slippers, Brilliant Hammer, Firebrand Guard, Runeplate Belt, Runed War Gloves, Stormward Cloak, Charm of Ascendance, Runeplate Pauldrons, Bracelet of Flames, Bracelet of Flames</t>
        </is>
      </c>
    </row>
    <row r="396">
      <c r="A396" s="21" t="n">
        <v>43</v>
      </c>
      <c r="B396" s="21" t="inlineStr">
        <is>
          <t>Priest</t>
        </is>
      </c>
      <c r="C396" s="21" t="n">
        <v>2</v>
      </c>
      <c r="D396" s="21" t="n">
        <v>19</v>
      </c>
      <c r="E396" s="21" t="n">
        <v>10</v>
      </c>
      <c r="F396" s="21" t="n">
        <v>33</v>
      </c>
      <c r="G396" s="21" t="n">
        <v>2850</v>
      </c>
      <c r="H396" s="21" t="n">
        <v>2365</v>
      </c>
      <c r="I396" s="21" t="n">
        <v>326</v>
      </c>
      <c r="J396" s="23" t="n">
        <v>0.11</v>
      </c>
      <c r="K396" s="23" t="n">
        <v>0.1</v>
      </c>
      <c r="L396" s="23" t="n">
        <v>0.08</v>
      </c>
      <c r="M396" s="23" t="n">
        <v>0</v>
      </c>
      <c r="N396" s="23" t="n">
        <v>0.04</v>
      </c>
      <c r="O396" s="23" t="n">
        <v>0.04</v>
      </c>
      <c r="P396" s="42" t="inlineStr">
        <is>
          <t>Silk Tunic, Silk Cap, Silk Leggings, Silk Slippers, Brilliant Hammer, Firebrand Guard, Runeplate Belt, Runed War Gloves, Stormward Cloak, Charm of Ascendance, Runeplate Pauldrons, Bracelet of the Inferno, Bracelet of the Inferno</t>
        </is>
      </c>
    </row>
    <row r="397">
      <c r="A397" s="21" t="n">
        <v>44</v>
      </c>
      <c r="B397" s="21" t="inlineStr">
        <is>
          <t>Priest</t>
        </is>
      </c>
      <c r="C397" s="21" t="n">
        <v>2</v>
      </c>
      <c r="D397" s="21" t="n">
        <v>19</v>
      </c>
      <c r="E397" s="21" t="n">
        <v>10</v>
      </c>
      <c r="F397" s="21" t="n">
        <v>37</v>
      </c>
      <c r="G397" s="21" t="n">
        <v>2940</v>
      </c>
      <c r="H397" s="21" t="n">
        <v>2365</v>
      </c>
      <c r="I397" s="21" t="n">
        <v>336</v>
      </c>
      <c r="J397" s="23" t="n">
        <v>0.11</v>
      </c>
      <c r="K397" s="23" t="n">
        <v>0.1</v>
      </c>
      <c r="L397" s="23" t="n">
        <v>0.09</v>
      </c>
      <c r="M397" s="23" t="n">
        <v>0</v>
      </c>
      <c r="N397" s="23" t="n">
        <v>0.04</v>
      </c>
      <c r="O397" s="23" t="n">
        <v>0.04</v>
      </c>
      <c r="P397" s="42" t="inlineStr">
        <is>
          <t>Silk Tunic, Silk Cap, Silk Leggings, Silk Slippers, Brilliant Hammer, Firebrand Guard, Runeplate Belt, Exalted War Gloves, Stormward Cloak, Charm of Ascendance, Runeplate Pauldrons, Bracelet of the Inferno, Bracelet of the Inferno</t>
        </is>
      </c>
    </row>
    <row r="398">
      <c r="A398" s="21" t="n">
        <v>45</v>
      </c>
      <c r="B398" s="21" t="inlineStr">
        <is>
          <t>Priest</t>
        </is>
      </c>
      <c r="C398" s="21" t="n">
        <v>2</v>
      </c>
      <c r="D398" s="21" t="n">
        <v>19</v>
      </c>
      <c r="E398" s="21" t="n">
        <v>10</v>
      </c>
      <c r="F398" s="21" t="n">
        <v>37</v>
      </c>
      <c r="G398" s="21" t="n">
        <v>2940</v>
      </c>
      <c r="H398" s="21" t="n">
        <v>2365</v>
      </c>
      <c r="I398" s="21" t="n">
        <v>336</v>
      </c>
      <c r="J398" s="23" t="n">
        <v>0.11</v>
      </c>
      <c r="K398" s="23" t="n">
        <v>0.1</v>
      </c>
      <c r="L398" s="23" t="n">
        <v>0.09</v>
      </c>
      <c r="M398" s="23" t="n">
        <v>0</v>
      </c>
      <c r="N398" s="23" t="n">
        <v>0.04</v>
      </c>
      <c r="O398" s="23" t="n">
        <v>0.04</v>
      </c>
      <c r="P398" s="42" t="inlineStr">
        <is>
          <t>Silk Tunic, Silk Cap, Silk Leggings, Silk Slippers, Brilliant Hammer, Firebrand Guard, Runeplate Belt, Exalted War Gloves, Stormward Cloak, Charm of Ascendance, Runeplate Pauldrons, Bracelet of the Inferno, Bracelet of the Inferno</t>
        </is>
      </c>
    </row>
    <row r="399">
      <c r="A399" s="21" t="n">
        <v>46</v>
      </c>
      <c r="B399" s="21" t="inlineStr">
        <is>
          <t>Priest</t>
        </is>
      </c>
      <c r="C399" s="21" t="n">
        <v>2</v>
      </c>
      <c r="D399" s="21" t="n">
        <v>19</v>
      </c>
      <c r="E399" s="21" t="n">
        <v>10</v>
      </c>
      <c r="F399" s="21" t="n">
        <v>37</v>
      </c>
      <c r="G399" s="21" t="n">
        <v>2975</v>
      </c>
      <c r="H399" s="21" t="n">
        <v>2400</v>
      </c>
      <c r="I399" s="21" t="n">
        <v>344</v>
      </c>
      <c r="J399" s="23" t="n">
        <v>0.11</v>
      </c>
      <c r="K399" s="23" t="n">
        <v>0.1</v>
      </c>
      <c r="L399" s="23" t="n">
        <v>0.09</v>
      </c>
      <c r="M399" s="23" t="n">
        <v>0</v>
      </c>
      <c r="N399" s="23" t="n">
        <v>0.05</v>
      </c>
      <c r="O399" s="23" t="n">
        <v>0.04</v>
      </c>
      <c r="P399" s="42" t="inlineStr">
        <is>
          <t>Silk Tunic, Silk Cap, Silk Leggings, Silk Slippers, Brilliant Hammer, Firebrand Guard, Runeplate Belt, Exalted War Gloves, Skyweave Cloak, Charm of Ascendance, Runeplate Pauldrons, Bracelet of the Inferno, Bracelet of the Inferno</t>
        </is>
      </c>
    </row>
    <row r="400">
      <c r="A400" s="21" t="n">
        <v>47</v>
      </c>
      <c r="B400" s="21" t="inlineStr">
        <is>
          <t>Priest</t>
        </is>
      </c>
      <c r="C400" s="21" t="n">
        <v>2</v>
      </c>
      <c r="D400" s="21" t="n">
        <v>19</v>
      </c>
      <c r="E400" s="21" t="n">
        <v>10</v>
      </c>
      <c r="F400" s="21" t="n">
        <v>37</v>
      </c>
      <c r="G400" s="21" t="n">
        <v>3005</v>
      </c>
      <c r="H400" s="21" t="n">
        <v>2480</v>
      </c>
      <c r="I400" s="21" t="n">
        <v>349</v>
      </c>
      <c r="J400" s="23" t="n">
        <v>0.13</v>
      </c>
      <c r="K400" s="23" t="n">
        <v>0.1</v>
      </c>
      <c r="L400" s="23" t="n">
        <v>0.09</v>
      </c>
      <c r="M400" s="23" t="n">
        <v>0</v>
      </c>
      <c r="N400" s="23" t="n">
        <v>0.05</v>
      </c>
      <c r="O400" s="23" t="n">
        <v>0.04</v>
      </c>
      <c r="P400" s="42" t="inlineStr">
        <is>
          <t>Silk Tunic, Silk Cap, Silk Leggings, Silk Slippers, Brilliant Hammer, Firebrand Guard, Runeplate Belt, Exalted War Gloves, Skyweave Cloak, Charm of the Archon, Runeplate Pauldrons, Bracelet of the Inferno, Bracelet of the Inferno</t>
        </is>
      </c>
    </row>
    <row r="401">
      <c r="A401" s="21" t="n">
        <v>48</v>
      </c>
      <c r="B401" s="21" t="inlineStr">
        <is>
          <t>Priest</t>
        </is>
      </c>
      <c r="C401" s="21" t="n">
        <v>2</v>
      </c>
      <c r="D401" s="21" t="n">
        <v>19</v>
      </c>
      <c r="E401" s="21" t="n">
        <v>10</v>
      </c>
      <c r="F401" s="21" t="n">
        <v>39</v>
      </c>
      <c r="G401" s="21" t="n">
        <v>3160</v>
      </c>
      <c r="H401" s="21" t="n">
        <v>2480</v>
      </c>
      <c r="I401" s="21" t="n">
        <v>367</v>
      </c>
      <c r="J401" s="23" t="n">
        <v>0.13</v>
      </c>
      <c r="K401" s="23" t="n">
        <v>0.1</v>
      </c>
      <c r="L401" s="23" t="n">
        <v>0.09</v>
      </c>
      <c r="M401" s="23" t="n">
        <v>0</v>
      </c>
      <c r="N401" s="23" t="n">
        <v>0.05</v>
      </c>
      <c r="O401" s="23" t="n">
        <v>0.05</v>
      </c>
      <c r="P401" s="42" t="inlineStr">
        <is>
          <t>Silk Tunic, Silk Cap, Silk Leggings, Silk Slippers, Brilliant Hammer, Firebrand Guard, Runeplate Belt, Exalted War Gloves, Skyweave Cloak, Charm of the Archon, Bulwark Pauldrons, Bracelet of the Inferno, Bracelet of the Inferno</t>
        </is>
      </c>
    </row>
    <row r="402">
      <c r="A402" s="21" t="n">
        <v>49</v>
      </c>
      <c r="B402" s="21" t="inlineStr">
        <is>
          <t>Priest</t>
        </is>
      </c>
      <c r="C402" s="21" t="n">
        <v>2</v>
      </c>
      <c r="D402" s="21" t="n">
        <v>19</v>
      </c>
      <c r="E402" s="21" t="n">
        <v>10</v>
      </c>
      <c r="F402" s="21" t="n">
        <v>41</v>
      </c>
      <c r="G402" s="21" t="n">
        <v>3370</v>
      </c>
      <c r="H402" s="21" t="n">
        <v>2480</v>
      </c>
      <c r="I402" s="21" t="n">
        <v>375</v>
      </c>
      <c r="J402" s="23" t="n">
        <v>0.14</v>
      </c>
      <c r="K402" s="23" t="n">
        <v>0.1</v>
      </c>
      <c r="L402" s="23" t="n">
        <v>0.1</v>
      </c>
      <c r="M402" s="23" t="n">
        <v>0</v>
      </c>
      <c r="N402" s="23" t="n">
        <v>0.05</v>
      </c>
      <c r="O402" s="23" t="n">
        <v>0.05</v>
      </c>
      <c r="P402" s="42" t="inlineStr">
        <is>
          <t>Silk Tunic, Silk Cap, Silk Leggings, Silk Slippers, Brilliant Hammer, Firebrand Guard, Bulwark Belt, Exalted War Gloves, Skyweave Cloak, Charm of the Archon, Bulwark Pauldrons, Bracelet of the Inferno, Bracelet of the Inferno</t>
        </is>
      </c>
    </row>
    <row r="403">
      <c r="A403" s="21" t="n">
        <v>50</v>
      </c>
      <c r="B403" s="21" t="inlineStr">
        <is>
          <t>Priest</t>
        </is>
      </c>
      <c r="C403" s="21" t="n">
        <v>2</v>
      </c>
      <c r="D403" s="21" t="n">
        <v>19</v>
      </c>
      <c r="E403" s="21" t="n">
        <v>10</v>
      </c>
      <c r="F403" s="21" t="n">
        <v>41</v>
      </c>
      <c r="G403" s="21" t="n">
        <v>3370</v>
      </c>
      <c r="H403" s="21" t="n">
        <v>2480</v>
      </c>
      <c r="I403" s="21" t="n">
        <v>375</v>
      </c>
      <c r="J403" s="23" t="n">
        <v>0.14</v>
      </c>
      <c r="K403" s="23" t="n">
        <v>0.1</v>
      </c>
      <c r="L403" s="23" t="n">
        <v>0.1</v>
      </c>
      <c r="M403" s="23" t="n">
        <v>0</v>
      </c>
      <c r="N403" s="23" t="n">
        <v>0.05</v>
      </c>
      <c r="O403" s="23" t="n">
        <v>0.05</v>
      </c>
      <c r="P403" s="42" t="inlineStr">
        <is>
          <t>Silk Tunic, Silk Cap, Silk Leggings, Silk Slippers, Brilliant Hammer, Firebrand Guard, Bulwark Belt, Exalted War Gloves, Skyweave Cloak, Charm of the Archon, Bulwark Pauldrons, Bracelet of the Inferno, Bracelet of the Inferno</t>
        </is>
      </c>
    </row>
    <row r="404">
      <c r="A404" s="21" t="n">
        <v>1</v>
      </c>
      <c r="B404" s="21" t="inlineStr">
        <is>
          <t>Rogue</t>
        </is>
      </c>
      <c r="C404" s="21" t="n">
        <v>3</v>
      </c>
      <c r="D404" s="21" t="n">
        <v>3</v>
      </c>
      <c r="E404" s="21" t="n">
        <v>10</v>
      </c>
      <c r="F404" s="21" t="n">
        <v>0</v>
      </c>
      <c r="G404" s="21" t="n">
        <v>0</v>
      </c>
      <c r="H404" s="21" t="n">
        <v>0</v>
      </c>
      <c r="I404" s="21" t="n">
        <v>25</v>
      </c>
      <c r="J404" s="23" t="n">
        <v>0</v>
      </c>
      <c r="K404" s="23" t="n">
        <v>0</v>
      </c>
      <c r="L404" s="23" t="n">
        <v>0</v>
      </c>
      <c r="M404" s="23" t="n">
        <v>0</v>
      </c>
      <c r="N404" s="23" t="n">
        <v>0</v>
      </c>
      <c r="O404" s="23" t="n">
        <v>0</v>
      </c>
      <c r="P404" s="42" t="inlineStr">
        <is>
          <t>Cloth Tunic, Cloth Cap, Cloth Leggings, Cloth Shoes, Stick</t>
        </is>
      </c>
    </row>
    <row r="405">
      <c r="A405" s="21" t="n">
        <v>2</v>
      </c>
      <c r="B405" s="21" t="inlineStr">
        <is>
          <t>Rogue</t>
        </is>
      </c>
      <c r="C405" s="21" t="n">
        <v>3</v>
      </c>
      <c r="D405" s="21" t="n">
        <v>3</v>
      </c>
      <c r="E405" s="21" t="n">
        <v>10</v>
      </c>
      <c r="F405" s="21" t="n">
        <v>0</v>
      </c>
      <c r="G405" s="21" t="n">
        <v>0</v>
      </c>
      <c r="H405" s="21" t="n">
        <v>0</v>
      </c>
      <c r="I405" s="21" t="n">
        <v>25</v>
      </c>
      <c r="J405" s="23" t="n">
        <v>0</v>
      </c>
      <c r="K405" s="23" t="n">
        <v>0</v>
      </c>
      <c r="L405" s="23" t="n">
        <v>0</v>
      </c>
      <c r="M405" s="23" t="n">
        <v>0</v>
      </c>
      <c r="N405" s="23" t="n">
        <v>0</v>
      </c>
      <c r="O405" s="23" t="n">
        <v>0</v>
      </c>
      <c r="P405" s="42" t="inlineStr">
        <is>
          <t>Cloth Tunic, Cloth Cap, Cloth Leggings, Cloth Shoes, Stick</t>
        </is>
      </c>
    </row>
    <row r="406">
      <c r="A406" s="21" t="n">
        <v>3</v>
      </c>
      <c r="B406" s="21" t="inlineStr">
        <is>
          <t>Rogue</t>
        </is>
      </c>
      <c r="C406" s="21" t="n">
        <v>3</v>
      </c>
      <c r="D406" s="21" t="n">
        <v>3</v>
      </c>
      <c r="E406" s="21" t="n">
        <v>10</v>
      </c>
      <c r="F406" s="21" t="n">
        <v>0</v>
      </c>
      <c r="G406" s="21" t="n">
        <v>0</v>
      </c>
      <c r="H406" s="21" t="n">
        <v>0</v>
      </c>
      <c r="I406" s="21" t="n">
        <v>25</v>
      </c>
      <c r="J406" s="23" t="n">
        <v>0</v>
      </c>
      <c r="K406" s="23" t="n">
        <v>0</v>
      </c>
      <c r="L406" s="23" t="n">
        <v>0</v>
      </c>
      <c r="M406" s="23" t="n">
        <v>0</v>
      </c>
      <c r="N406" s="23" t="n">
        <v>0</v>
      </c>
      <c r="O406" s="23" t="n">
        <v>0</v>
      </c>
      <c r="P406" s="42" t="inlineStr">
        <is>
          <t>Cloth Tunic, Cloth Cap, Cloth Leggings, Cloth Shoes, Stick</t>
        </is>
      </c>
    </row>
    <row r="407">
      <c r="A407" s="21" t="n">
        <v>4</v>
      </c>
      <c r="B407" s="21" t="inlineStr">
        <is>
          <t>Rogue</t>
        </is>
      </c>
      <c r="C407" s="21" t="n">
        <v>3</v>
      </c>
      <c r="D407" s="21" t="n">
        <v>3</v>
      </c>
      <c r="E407" s="21" t="n">
        <v>10</v>
      </c>
      <c r="F407" s="21" t="n">
        <v>2</v>
      </c>
      <c r="G407" s="21" t="n">
        <v>70</v>
      </c>
      <c r="H407" s="21" t="n">
        <v>0</v>
      </c>
      <c r="I407" s="21" t="n">
        <v>30</v>
      </c>
      <c r="J407" s="23" t="n">
        <v>0</v>
      </c>
      <c r="K407" s="23" t="n">
        <v>0</v>
      </c>
      <c r="L407" s="23" t="n">
        <v>0</v>
      </c>
      <c r="M407" s="23" t="n">
        <v>0</v>
      </c>
      <c r="N407" s="23" t="n">
        <v>0</v>
      </c>
      <c r="O407" s="23" t="n">
        <v>0</v>
      </c>
      <c r="P407" s="42" t="inlineStr">
        <is>
          <t>Cloth Tunic, Cloth Cap, Cloth Leggings, Cloth Shoes, Stick, Worn Leather Gloves</t>
        </is>
      </c>
    </row>
    <row r="408">
      <c r="A408" s="21" t="n">
        <v>5</v>
      </c>
      <c r="B408" s="21" t="inlineStr">
        <is>
          <t>Rogue</t>
        </is>
      </c>
      <c r="C408" s="21" t="n">
        <v>3</v>
      </c>
      <c r="D408" s="21" t="n">
        <v>12</v>
      </c>
      <c r="E408" s="21" t="n">
        <v>10</v>
      </c>
      <c r="F408" s="21" t="n">
        <v>7</v>
      </c>
      <c r="G408" s="21" t="n">
        <v>210</v>
      </c>
      <c r="H408" s="21" t="n">
        <v>30</v>
      </c>
      <c r="I408" s="21" t="n">
        <v>52</v>
      </c>
      <c r="J408" s="23" t="n">
        <v>0</v>
      </c>
      <c r="K408" s="23" t="n">
        <v>0</v>
      </c>
      <c r="L408" s="23" t="n">
        <v>0</v>
      </c>
      <c r="M408" s="23" t="n">
        <v>0</v>
      </c>
      <c r="N408" s="23" t="n">
        <v>0</v>
      </c>
      <c r="O408" s="23" t="n">
        <v>0</v>
      </c>
      <c r="P408" s="42" t="inlineStr">
        <is>
          <t>Cloth Tunic, Cloth Cap, Cloth Leggings, Cloth Shoes, Small Dagger, Wooden Buckler, Worn Leather Belt, Worn Leather Gloves, Copper Band, Copper Band</t>
        </is>
      </c>
    </row>
    <row r="409">
      <c r="A409" s="21" t="n">
        <v>6</v>
      </c>
      <c r="B409" s="21" t="inlineStr">
        <is>
          <t>Rogue</t>
        </is>
      </c>
      <c r="C409" s="21" t="n">
        <v>3</v>
      </c>
      <c r="D409" s="21" t="n">
        <v>12</v>
      </c>
      <c r="E409" s="21" t="n">
        <v>10</v>
      </c>
      <c r="F409" s="21" t="n">
        <v>7</v>
      </c>
      <c r="G409" s="21" t="n">
        <v>230</v>
      </c>
      <c r="H409" s="21" t="n">
        <v>50</v>
      </c>
      <c r="I409" s="21" t="n">
        <v>60</v>
      </c>
      <c r="J409" s="23" t="n">
        <v>0</v>
      </c>
      <c r="K409" s="23" t="n">
        <v>0</v>
      </c>
      <c r="L409" s="23" t="n">
        <v>0</v>
      </c>
      <c r="M409" s="23" t="n">
        <v>0</v>
      </c>
      <c r="N409" s="23" t="n">
        <v>0</v>
      </c>
      <c r="O409" s="23" t="n">
        <v>0</v>
      </c>
      <c r="P409" s="42" t="inlineStr">
        <is>
          <t>Cloth Tunic, Cloth Cap, Cloth Leggings, Cloth Shoes, Small Dagger, Wooden Buckler, Worn Leather Belt, Worn Leather Gloves, Threadbare Cloak, Copper Band, Copper Band</t>
        </is>
      </c>
    </row>
    <row r="410">
      <c r="A410" s="21" t="n">
        <v>7</v>
      </c>
      <c r="B410" s="21" t="inlineStr">
        <is>
          <t>Rogue</t>
        </is>
      </c>
      <c r="C410" s="21" t="n">
        <v>3</v>
      </c>
      <c r="D410" s="21" t="n">
        <v>12</v>
      </c>
      <c r="E410" s="21" t="n">
        <v>10</v>
      </c>
      <c r="F410" s="21" t="n">
        <v>7</v>
      </c>
      <c r="G410" s="21" t="n">
        <v>255</v>
      </c>
      <c r="H410" s="21" t="n">
        <v>190</v>
      </c>
      <c r="I410" s="21" t="n">
        <v>65</v>
      </c>
      <c r="J410" s="23" t="n">
        <v>0</v>
      </c>
      <c r="K410" s="23" t="n">
        <v>0</v>
      </c>
      <c r="L410" s="23" t="n">
        <v>0</v>
      </c>
      <c r="M410" s="23" t="n">
        <v>0</v>
      </c>
      <c r="N410" s="23" t="n">
        <v>0</v>
      </c>
      <c r="O410" s="23" t="n">
        <v>0</v>
      </c>
      <c r="P410" s="42" t="inlineStr">
        <is>
          <t>Cloth Tunic, Cloth Cap, Cloth Leggings, Cloth Shoes, Small Dagger, Wooden Buckler, Worn Leather Belt, Worn Leather Gloves, Threadbare Cloak, Simple Pendant, Copper Band, Copper Band</t>
        </is>
      </c>
    </row>
    <row r="411">
      <c r="A411" s="21" t="n">
        <v>8</v>
      </c>
      <c r="B411" s="21" t="inlineStr">
        <is>
          <t>Rogue</t>
        </is>
      </c>
      <c r="C411" s="21" t="n">
        <v>3</v>
      </c>
      <c r="D411" s="21" t="n">
        <v>12</v>
      </c>
      <c r="E411" s="21" t="n">
        <v>10</v>
      </c>
      <c r="F411" s="21" t="n">
        <v>9</v>
      </c>
      <c r="G411" s="21" t="n">
        <v>345</v>
      </c>
      <c r="H411" s="21" t="n">
        <v>190</v>
      </c>
      <c r="I411" s="21" t="n">
        <v>77</v>
      </c>
      <c r="J411" s="23" t="n">
        <v>0</v>
      </c>
      <c r="K411" s="23" t="n">
        <v>0</v>
      </c>
      <c r="L411" s="23" t="n">
        <v>0</v>
      </c>
      <c r="M411" s="23" t="n">
        <v>0</v>
      </c>
      <c r="N411" s="23" t="n">
        <v>0</v>
      </c>
      <c r="O411" s="23" t="n">
        <v>0</v>
      </c>
      <c r="P411" s="42" t="inlineStr">
        <is>
          <t>Cloth Tunic, Cloth Cap, Cloth Leggings, Cloth Shoes, Small Dagger, Wooden Buckler, Worn Leather Belt, Worn Leather Gloves, Threadbare Cloak, Simple Pendant, Patchwork Pauldrons, Copper Band, Copper Band</t>
        </is>
      </c>
    </row>
    <row r="412">
      <c r="A412" s="21" t="n">
        <v>9</v>
      </c>
      <c r="B412" s="21" t="inlineStr">
        <is>
          <t>Rogue</t>
        </is>
      </c>
      <c r="C412" s="21" t="n">
        <v>3</v>
      </c>
      <c r="D412" s="21" t="n">
        <v>12</v>
      </c>
      <c r="E412" s="21" t="n">
        <v>10</v>
      </c>
      <c r="F412" s="21" t="n">
        <v>9</v>
      </c>
      <c r="G412" s="21" t="n">
        <v>345</v>
      </c>
      <c r="H412" s="21" t="n">
        <v>190</v>
      </c>
      <c r="I412" s="21" t="n">
        <v>77</v>
      </c>
      <c r="J412" s="23" t="n">
        <v>0</v>
      </c>
      <c r="K412" s="23" t="n">
        <v>0</v>
      </c>
      <c r="L412" s="23" t="n">
        <v>0</v>
      </c>
      <c r="M412" s="23" t="n">
        <v>0</v>
      </c>
      <c r="N412" s="23" t="n">
        <v>0</v>
      </c>
      <c r="O412" s="23" t="n">
        <v>0</v>
      </c>
      <c r="P412" s="42" t="inlineStr">
        <is>
          <t>Cloth Tunic, Cloth Cap, Cloth Leggings, Cloth Shoes, Small Dagger, Wooden Buckler, Worn Leather Belt, Worn Leather Gloves, Threadbare Cloak, Simple Pendant, Patchwork Pauldrons, Copper Band, Copper Band</t>
        </is>
      </c>
    </row>
    <row r="413">
      <c r="A413" s="21" t="n">
        <v>10</v>
      </c>
      <c r="B413" s="21" t="inlineStr">
        <is>
          <t>Rogue</t>
        </is>
      </c>
      <c r="C413" s="21" t="n">
        <v>3</v>
      </c>
      <c r="D413" s="21" t="n">
        <v>12</v>
      </c>
      <c r="E413" s="21" t="n">
        <v>10</v>
      </c>
      <c r="F413" s="21" t="n">
        <v>9</v>
      </c>
      <c r="G413" s="21" t="n">
        <v>345</v>
      </c>
      <c r="H413" s="21" t="n">
        <v>190</v>
      </c>
      <c r="I413" s="21" t="n">
        <v>93</v>
      </c>
      <c r="J413" s="23" t="n">
        <v>0</v>
      </c>
      <c r="K413" s="23" t="n">
        <v>0</v>
      </c>
      <c r="L413" s="23" t="n">
        <v>0</v>
      </c>
      <c r="M413" s="23" t="n">
        <v>0</v>
      </c>
      <c r="N413" s="23" t="n">
        <v>0</v>
      </c>
      <c r="O413" s="23" t="n">
        <v>0</v>
      </c>
      <c r="P413" s="42" t="inlineStr">
        <is>
          <t>Leather Tunic, Leather Cap, Leather Leggings, Leather Boots, Small Dagger, Wooden Buckler, Worn Leather Belt, Worn Leather Gloves, Threadbare Cloak, Simple Pendant, Patchwork Pauldrons, Copper Band, Copper Band</t>
        </is>
      </c>
    </row>
    <row r="414">
      <c r="A414" s="21" t="n">
        <v>11</v>
      </c>
      <c r="B414" s="21" t="inlineStr">
        <is>
          <t>Rogue</t>
        </is>
      </c>
      <c r="C414" s="21" t="n">
        <v>3</v>
      </c>
      <c r="D414" s="21" t="n">
        <v>12</v>
      </c>
      <c r="E414" s="21" t="n">
        <v>10</v>
      </c>
      <c r="F414" s="21" t="n">
        <v>9</v>
      </c>
      <c r="G414" s="21" t="n">
        <v>345</v>
      </c>
      <c r="H414" s="21" t="n">
        <v>190</v>
      </c>
      <c r="I414" s="21" t="n">
        <v>93</v>
      </c>
      <c r="J414" s="23" t="n">
        <v>0</v>
      </c>
      <c r="K414" s="23" t="n">
        <v>0</v>
      </c>
      <c r="L414" s="23" t="n">
        <v>0</v>
      </c>
      <c r="M414" s="23" t="n">
        <v>0</v>
      </c>
      <c r="N414" s="23" t="n">
        <v>0</v>
      </c>
      <c r="O414" s="23" t="n">
        <v>0</v>
      </c>
      <c r="P414" s="42" t="inlineStr">
        <is>
          <t>Leather Tunic, Leather Cap, Leather Leggings, Leather Boots, Small Dagger, Wooden Buckler, Worn Leather Belt, Worn Leather Gloves, Threadbare Cloak, Simple Pendant, Patchwork Pauldrons, Copper Band, Copper Band</t>
        </is>
      </c>
    </row>
    <row r="415">
      <c r="A415" s="21" t="n">
        <v>12</v>
      </c>
      <c r="B415" s="21" t="inlineStr">
        <is>
          <t>Rogue</t>
        </is>
      </c>
      <c r="C415" s="21" t="n">
        <v>3</v>
      </c>
      <c r="D415" s="21" t="n">
        <v>12</v>
      </c>
      <c r="E415" s="21" t="n">
        <v>10</v>
      </c>
      <c r="F415" s="21" t="n">
        <v>9</v>
      </c>
      <c r="G415" s="21" t="n">
        <v>345</v>
      </c>
      <c r="H415" s="21" t="n">
        <v>190</v>
      </c>
      <c r="I415" s="21" t="n">
        <v>93</v>
      </c>
      <c r="J415" s="23" t="n">
        <v>0</v>
      </c>
      <c r="K415" s="23" t="n">
        <v>0</v>
      </c>
      <c r="L415" s="23" t="n">
        <v>0</v>
      </c>
      <c r="M415" s="23" t="n">
        <v>0</v>
      </c>
      <c r="N415" s="23" t="n">
        <v>0</v>
      </c>
      <c r="O415" s="23" t="n">
        <v>0</v>
      </c>
      <c r="P415" s="42" t="inlineStr">
        <is>
          <t>Leather Tunic, Leather Cap, Leather Leggings, Leather Boots, Small Dagger, Wooden Buckler, Worn Leather Belt, Worn Leather Gloves, Threadbare Cloak, Simple Pendant, Patchwork Pauldrons, Copper Band, Copper Band</t>
        </is>
      </c>
    </row>
    <row r="416">
      <c r="A416" s="21" t="n">
        <v>13</v>
      </c>
      <c r="B416" s="21" t="inlineStr">
        <is>
          <t>Rogue</t>
        </is>
      </c>
      <c r="C416" s="21" t="n">
        <v>3</v>
      </c>
      <c r="D416" s="21" t="n">
        <v>12</v>
      </c>
      <c r="E416" s="21" t="n">
        <v>10</v>
      </c>
      <c r="F416" s="21" t="n">
        <v>15</v>
      </c>
      <c r="G416" s="21" t="n">
        <v>415</v>
      </c>
      <c r="H416" s="21" t="n">
        <v>240</v>
      </c>
      <c r="I416" s="21" t="n">
        <v>105</v>
      </c>
      <c r="J416" s="23" t="n">
        <v>0</v>
      </c>
      <c r="K416" s="23" t="n">
        <v>0</v>
      </c>
      <c r="L416" s="23" t="n">
        <v>0</v>
      </c>
      <c r="M416" s="23" t="n">
        <v>0.04</v>
      </c>
      <c r="N416" s="23" t="n">
        <v>0</v>
      </c>
      <c r="O416" s="23" t="n">
        <v>0</v>
      </c>
      <c r="P416" s="42" t="inlineStr">
        <is>
          <t>Leather Tunic, Leather Cap, Leather Leggings, Leather Boots, Small Dagger, Wooden Buckler, Worn Leather Belt, Worn Leather Gloves, Threadbare Cloak, Simple Pendant, Patchwork Pauldrons, Ring of the Trail, Ring of the Trail</t>
        </is>
      </c>
    </row>
    <row r="417">
      <c r="A417" s="21" t="n">
        <v>14</v>
      </c>
      <c r="B417" s="21" t="inlineStr">
        <is>
          <t>Rogue</t>
        </is>
      </c>
      <c r="C417" s="21" t="n">
        <v>3</v>
      </c>
      <c r="D417" s="21" t="n">
        <v>12</v>
      </c>
      <c r="E417" s="21" t="n">
        <v>10</v>
      </c>
      <c r="F417" s="21" t="n">
        <v>19</v>
      </c>
      <c r="G417" s="21" t="n">
        <v>480</v>
      </c>
      <c r="H417" s="21" t="n">
        <v>240</v>
      </c>
      <c r="I417" s="21" t="n">
        <v>115</v>
      </c>
      <c r="J417" s="23" t="n">
        <v>0</v>
      </c>
      <c r="K417" s="23" t="n">
        <v>0</v>
      </c>
      <c r="L417" s="23" t="n">
        <v>0.02</v>
      </c>
      <c r="M417" s="23" t="n">
        <v>0.04</v>
      </c>
      <c r="N417" s="23" t="n">
        <v>0</v>
      </c>
      <c r="O417" s="23" t="n">
        <v>0</v>
      </c>
      <c r="P417" s="42" t="inlineStr">
        <is>
          <t>Leather Tunic, Leather Cap, Leather Leggings, Leather Boots, Small Dagger, Wooden Buckler, Worn Leather Belt, Scout's Gloves, Threadbare Cloak, Simple Pendant, Patchwork Pauldrons, Ring of the Trail, Ring of the Trail</t>
        </is>
      </c>
    </row>
    <row r="418">
      <c r="A418" s="21" t="n">
        <v>15</v>
      </c>
      <c r="B418" s="21" t="inlineStr">
        <is>
          <t>Rogue</t>
        </is>
      </c>
      <c r="C418" s="21" t="n">
        <v>3</v>
      </c>
      <c r="D418" s="21" t="n">
        <v>19</v>
      </c>
      <c r="E418" s="21" t="n">
        <v>10</v>
      </c>
      <c r="F418" s="21" t="n">
        <v>19</v>
      </c>
      <c r="G418" s="21" t="n">
        <v>480</v>
      </c>
      <c r="H418" s="21" t="n">
        <v>240</v>
      </c>
      <c r="I418" s="21" t="n">
        <v>115</v>
      </c>
      <c r="J418" s="23" t="n">
        <v>0</v>
      </c>
      <c r="K418" s="23" t="n">
        <v>0</v>
      </c>
      <c r="L418" s="23" t="n">
        <v>0.02</v>
      </c>
      <c r="M418" s="23" t="n">
        <v>0.04</v>
      </c>
      <c r="N418" s="23" t="n">
        <v>0</v>
      </c>
      <c r="O418" s="23" t="n">
        <v>0</v>
      </c>
      <c r="P418" s="42" t="inlineStr">
        <is>
          <t>Leather Tunic, Leather Cap, Leather Leggings, Leather Boots, Grim Dagger, Wooden Buckler, Worn Leather Belt, Scout's Gloves, Threadbare Cloak, Simple Pendant, Patchwork Pauldrons, Ring of the Trail, Ring of the Trail</t>
        </is>
      </c>
    </row>
    <row r="419">
      <c r="A419" s="21" t="n">
        <v>16</v>
      </c>
      <c r="B419" s="21" t="inlineStr">
        <is>
          <t>Rogue</t>
        </is>
      </c>
      <c r="C419" s="21" t="n">
        <v>3</v>
      </c>
      <c r="D419" s="21" t="n">
        <v>19</v>
      </c>
      <c r="E419" s="21" t="n">
        <v>10</v>
      </c>
      <c r="F419" s="21" t="n">
        <v>19</v>
      </c>
      <c r="G419" s="21" t="n">
        <v>510</v>
      </c>
      <c r="H419" s="21" t="n">
        <v>270</v>
      </c>
      <c r="I419" s="21" t="n">
        <v>122</v>
      </c>
      <c r="J419" s="23" t="n">
        <v>0</v>
      </c>
      <c r="K419" s="23" t="n">
        <v>0</v>
      </c>
      <c r="L419" s="23" t="n">
        <v>0.02</v>
      </c>
      <c r="M419" s="23" t="n">
        <v>0.04</v>
      </c>
      <c r="N419" s="23" t="n">
        <v>0.02</v>
      </c>
      <c r="O419" s="23" t="n">
        <v>0</v>
      </c>
      <c r="P419" s="42" t="inlineStr">
        <is>
          <t>Leather Tunic, Leather Cap, Leather Leggings, Leather Boots, Grim Dagger, Wooden Buckler, Worn Leather Belt, Scout's Gloves, Traveler's Cloak, Simple Pendant, Patchwork Pauldrons, Ring of the Trail, Ring of the Trail</t>
        </is>
      </c>
    </row>
    <row r="420">
      <c r="A420" s="21" t="n">
        <v>17</v>
      </c>
      <c r="B420" s="21" t="inlineStr">
        <is>
          <t>Rogue</t>
        </is>
      </c>
      <c r="C420" s="21" t="n">
        <v>3</v>
      </c>
      <c r="D420" s="21" t="n">
        <v>19</v>
      </c>
      <c r="E420" s="21" t="n">
        <v>10</v>
      </c>
      <c r="F420" s="21" t="n">
        <v>19</v>
      </c>
      <c r="G420" s="21" t="n">
        <v>545</v>
      </c>
      <c r="H420" s="21" t="n">
        <v>410</v>
      </c>
      <c r="I420" s="21" t="n">
        <v>129</v>
      </c>
      <c r="J420" s="23" t="n">
        <v>0.03</v>
      </c>
      <c r="K420" s="23" t="n">
        <v>0</v>
      </c>
      <c r="L420" s="23" t="n">
        <v>0.02</v>
      </c>
      <c r="M420" s="23" t="n">
        <v>0.04</v>
      </c>
      <c r="N420" s="23" t="n">
        <v>0.02</v>
      </c>
      <c r="O420" s="23" t="n">
        <v>0</v>
      </c>
      <c r="P420" s="42" t="inlineStr">
        <is>
          <t>Leather Tunic, Leather Cap, Leather Leggings, Leather Boots, Grim Dagger, Wooden Buckler, Worn Leather Belt, Scout's Gloves, Traveler's Cloak, Charm of Focus, Patchwork Pauldrons, Ring of the Trail, Ring of the Trail</t>
        </is>
      </c>
    </row>
    <row r="421">
      <c r="A421" s="21" t="n">
        <v>18</v>
      </c>
      <c r="B421" s="21" t="inlineStr">
        <is>
          <t>Rogue</t>
        </is>
      </c>
      <c r="C421" s="21" t="n">
        <v>3</v>
      </c>
      <c r="D421" s="21" t="n">
        <v>19</v>
      </c>
      <c r="E421" s="21" t="n">
        <v>10</v>
      </c>
      <c r="F421" s="21" t="n">
        <v>22</v>
      </c>
      <c r="G421" s="21" t="n">
        <v>710</v>
      </c>
      <c r="H421" s="21" t="n">
        <v>410</v>
      </c>
      <c r="I421" s="21" t="n">
        <v>184</v>
      </c>
      <c r="J421" s="23" t="n">
        <v>0.03</v>
      </c>
      <c r="K421" s="23" t="n">
        <v>0</v>
      </c>
      <c r="L421" s="23" t="n">
        <v>0.02</v>
      </c>
      <c r="M421" s="23" t="n">
        <v>0.04</v>
      </c>
      <c r="N421" s="23" t="n">
        <v>0.02</v>
      </c>
      <c r="O421" s="23" t="n">
        <v>0.02</v>
      </c>
      <c r="P421" s="42" t="inlineStr">
        <is>
          <t>Bronze Chestplate, Bronze Helmet, Bronze Legplates, Bronze Boots, Grim Dagger, Wooden Buckler, Worn Leather Belt, Scout's Gloves, Traveler's Cloak, Charm of Focus, Cold Iron Pauldrons, Ring of the Trail, Ring of the Trail</t>
        </is>
      </c>
    </row>
    <row r="422">
      <c r="A422" s="21" t="n">
        <v>19</v>
      </c>
      <c r="B422" s="21" t="inlineStr">
        <is>
          <t>Rogue</t>
        </is>
      </c>
      <c r="C422" s="21" t="n">
        <v>3</v>
      </c>
      <c r="D422" s="21" t="n">
        <v>19</v>
      </c>
      <c r="E422" s="21" t="n">
        <v>10</v>
      </c>
      <c r="F422" s="21" t="n">
        <v>22</v>
      </c>
      <c r="G422" s="21" t="n">
        <v>710</v>
      </c>
      <c r="H422" s="21" t="n">
        <v>410</v>
      </c>
      <c r="I422" s="21" t="n">
        <v>184</v>
      </c>
      <c r="J422" s="23" t="n">
        <v>0.03</v>
      </c>
      <c r="K422" s="23" t="n">
        <v>0</v>
      </c>
      <c r="L422" s="23" t="n">
        <v>0.02</v>
      </c>
      <c r="M422" s="23" t="n">
        <v>0.04</v>
      </c>
      <c r="N422" s="23" t="n">
        <v>0.02</v>
      </c>
      <c r="O422" s="23" t="n">
        <v>0.02</v>
      </c>
      <c r="P422" s="42" t="inlineStr">
        <is>
          <t>Bronze Chestplate, Bronze Helmet, Bronze Legplates, Bronze Boots, Grim Dagger, Wooden Buckler, Worn Leather Belt, Scout's Gloves, Traveler's Cloak, Charm of Focus, Cold Iron Pauldrons, Ring of the Trail, Ring of the Trail</t>
        </is>
      </c>
    </row>
    <row r="423">
      <c r="A423" s="21" t="n">
        <v>20</v>
      </c>
      <c r="B423" s="21" t="inlineStr">
        <is>
          <t>Rogue</t>
        </is>
      </c>
      <c r="C423" s="21" t="n">
        <v>3</v>
      </c>
      <c r="D423" s="21" t="n">
        <v>19</v>
      </c>
      <c r="E423" s="21" t="n">
        <v>10</v>
      </c>
      <c r="F423" s="21" t="n">
        <v>26</v>
      </c>
      <c r="G423" s="21" t="n">
        <v>995</v>
      </c>
      <c r="H423" s="21" t="n">
        <v>410</v>
      </c>
      <c r="I423" s="21" t="n">
        <v>215</v>
      </c>
      <c r="J423" s="23" t="n">
        <v>0.05</v>
      </c>
      <c r="K423" s="23" t="n">
        <v>0</v>
      </c>
      <c r="L423" s="23" t="n">
        <v>0.04</v>
      </c>
      <c r="M423" s="23" t="n">
        <v>0.04</v>
      </c>
      <c r="N423" s="23" t="n">
        <v>0.02</v>
      </c>
      <c r="O423" s="23" t="n">
        <v>0.02</v>
      </c>
      <c r="P423" s="42" t="inlineStr">
        <is>
          <t>Bronze Chestplate, Bronze Helmet, Bronze Legplates, Bronze Boots, Grim Dagger, Fiber Buckler, Sturdy Belt, Scout's Gloves, Traveler's Cloak, Charm of Focus, Cold Iron Pauldrons, Ring of the Trail, Ring of the Trail</t>
        </is>
      </c>
    </row>
    <row r="424">
      <c r="A424" s="21" t="n">
        <v>21</v>
      </c>
      <c r="B424" s="21" t="inlineStr">
        <is>
          <t>Rogue</t>
        </is>
      </c>
      <c r="C424" s="21" t="n">
        <v>3</v>
      </c>
      <c r="D424" s="21" t="n">
        <v>19</v>
      </c>
      <c r="E424" s="21" t="n">
        <v>10</v>
      </c>
      <c r="F424" s="21" t="n">
        <v>26</v>
      </c>
      <c r="G424" s="21" t="n">
        <v>995</v>
      </c>
      <c r="H424" s="21" t="n">
        <v>410</v>
      </c>
      <c r="I424" s="21" t="n">
        <v>215</v>
      </c>
      <c r="J424" s="23" t="n">
        <v>0.05</v>
      </c>
      <c r="K424" s="23" t="n">
        <v>0</v>
      </c>
      <c r="L424" s="23" t="n">
        <v>0.04</v>
      </c>
      <c r="M424" s="23" t="n">
        <v>0.04</v>
      </c>
      <c r="N424" s="23" t="n">
        <v>0.02</v>
      </c>
      <c r="O424" s="23" t="n">
        <v>0.02</v>
      </c>
      <c r="P424" s="42" t="inlineStr">
        <is>
          <t>Bronze Chestplate, Bronze Helmet, Bronze Legplates, Bronze Boots, Grim Dagger, Fiber Buckler, Sturdy Belt, Scout's Gloves, Traveler's Cloak, Charm of Focus, Cold Iron Pauldrons, Ring of the Trail, Ring of the Trail</t>
        </is>
      </c>
    </row>
    <row r="425">
      <c r="A425" s="21" t="n">
        <v>22</v>
      </c>
      <c r="B425" s="21" t="inlineStr">
        <is>
          <t>Rogue</t>
        </is>
      </c>
      <c r="C425" s="21" t="n">
        <v>3</v>
      </c>
      <c r="D425" s="21" t="n">
        <v>19</v>
      </c>
      <c r="E425" s="21" t="n">
        <v>10</v>
      </c>
      <c r="F425" s="21" t="n">
        <v>26</v>
      </c>
      <c r="G425" s="21" t="n">
        <v>995</v>
      </c>
      <c r="H425" s="21" t="n">
        <v>410</v>
      </c>
      <c r="I425" s="21" t="n">
        <v>215</v>
      </c>
      <c r="J425" s="23" t="n">
        <v>0.05</v>
      </c>
      <c r="K425" s="23" t="n">
        <v>0</v>
      </c>
      <c r="L425" s="23" t="n">
        <v>0.04</v>
      </c>
      <c r="M425" s="23" t="n">
        <v>0.04</v>
      </c>
      <c r="N425" s="23" t="n">
        <v>0.02</v>
      </c>
      <c r="O425" s="23" t="n">
        <v>0.02</v>
      </c>
      <c r="P425" s="42" t="inlineStr">
        <is>
          <t>Bronze Chestplate, Bronze Helmet, Bronze Legplates, Bronze Boots, Grim Dagger, Fiber Buckler, Sturdy Belt, Scout's Gloves, Traveler's Cloak, Charm of Focus, Cold Iron Pauldrons, Ring of the Trail, Ring of the Trail</t>
        </is>
      </c>
    </row>
    <row r="426">
      <c r="A426" s="21" t="n">
        <v>23</v>
      </c>
      <c r="B426" s="21" t="inlineStr">
        <is>
          <t>Rogue</t>
        </is>
      </c>
      <c r="C426" s="21" t="n">
        <v>3</v>
      </c>
      <c r="D426" s="21" t="n">
        <v>19</v>
      </c>
      <c r="E426" s="21" t="n">
        <v>10</v>
      </c>
      <c r="F426" s="21" t="n">
        <v>32</v>
      </c>
      <c r="G426" s="21" t="n">
        <v>1095</v>
      </c>
      <c r="H426" s="21" t="n">
        <v>470</v>
      </c>
      <c r="I426" s="21" t="n">
        <v>225</v>
      </c>
      <c r="J426" s="23" t="n">
        <v>0.05</v>
      </c>
      <c r="K426" s="23" t="n">
        <v>0</v>
      </c>
      <c r="L426" s="23" t="n">
        <v>0.04</v>
      </c>
      <c r="M426" s="23" t="n">
        <v>0.06</v>
      </c>
      <c r="N426" s="23" t="n">
        <v>0.02</v>
      </c>
      <c r="O426" s="23" t="n">
        <v>0.02</v>
      </c>
      <c r="P426" s="42" t="inlineStr">
        <is>
          <t>Bronze Chestplate, Bronze Helmet, Bronze Legplates, Bronze Boots, Grim Dagger, Fiber Buckler, Sturdy Belt, Scout's Gloves, Traveler's Cloak, Charm of Focus, Cold Iron Pauldrons, Ring of the Hunt, Ring of the Hunt</t>
        </is>
      </c>
    </row>
    <row r="427">
      <c r="A427" s="21" t="n">
        <v>24</v>
      </c>
      <c r="B427" s="21" t="inlineStr">
        <is>
          <t>Rogue</t>
        </is>
      </c>
      <c r="C427" s="21" t="n">
        <v>3</v>
      </c>
      <c r="D427" s="21" t="n">
        <v>19</v>
      </c>
      <c r="E427" s="21" t="n">
        <v>10</v>
      </c>
      <c r="F427" s="21" t="n">
        <v>36</v>
      </c>
      <c r="G427" s="21" t="n">
        <v>1185</v>
      </c>
      <c r="H427" s="21" t="n">
        <v>470</v>
      </c>
      <c r="I427" s="21" t="n">
        <v>235</v>
      </c>
      <c r="J427" s="23" t="n">
        <v>0.05</v>
      </c>
      <c r="K427" s="23" t="n">
        <v>0</v>
      </c>
      <c r="L427" s="23" t="n">
        <v>0.05</v>
      </c>
      <c r="M427" s="23" t="n">
        <v>0.06</v>
      </c>
      <c r="N427" s="23" t="n">
        <v>0.02</v>
      </c>
      <c r="O427" s="23" t="n">
        <v>0.02</v>
      </c>
      <c r="P427" s="42" t="inlineStr">
        <is>
          <t>Bronze Chestplate, Bronze Helmet, Bronze Legplates, Bronze Boots, Grim Dagger, Fiber Buckler, Sturdy Belt, Reinforced War Gloves, Traveler's Cloak, Charm of Focus, Cold Iron Pauldrons, Ring of the Hunt, Ring of the Hunt</t>
        </is>
      </c>
    </row>
    <row r="428">
      <c r="A428" s="21" t="n">
        <v>25</v>
      </c>
      <c r="B428" s="21" t="inlineStr">
        <is>
          <t>Rogue</t>
        </is>
      </c>
      <c r="C428" s="21" t="n">
        <v>3</v>
      </c>
      <c r="D428" s="21" t="n">
        <v>19</v>
      </c>
      <c r="E428" s="21" t="n">
        <v>10</v>
      </c>
      <c r="F428" s="21" t="n">
        <v>36</v>
      </c>
      <c r="G428" s="21" t="n">
        <v>1185</v>
      </c>
      <c r="H428" s="21" t="n">
        <v>470</v>
      </c>
      <c r="I428" s="21" t="n">
        <v>235</v>
      </c>
      <c r="J428" s="23" t="n">
        <v>0.05</v>
      </c>
      <c r="K428" s="23" t="n">
        <v>0</v>
      </c>
      <c r="L428" s="23" t="n">
        <v>0.05</v>
      </c>
      <c r="M428" s="23" t="n">
        <v>0.06</v>
      </c>
      <c r="N428" s="23" t="n">
        <v>0.02</v>
      </c>
      <c r="O428" s="23" t="n">
        <v>0.02</v>
      </c>
      <c r="P428" s="42" t="inlineStr">
        <is>
          <t>Bronze Chestplate, Bronze Helmet, Bronze Legplates, Bronze Boots, Grim Dagger, Fiber Buckler, Sturdy Belt, Reinforced War Gloves, Traveler's Cloak, Charm of Focus, Cold Iron Pauldrons, Ring of the Hunt, Ring of the Hunt</t>
        </is>
      </c>
    </row>
    <row r="429">
      <c r="A429" s="21" t="n">
        <v>26</v>
      </c>
      <c r="B429" s="21" t="inlineStr">
        <is>
          <t>Rogue</t>
        </is>
      </c>
      <c r="C429" s="21" t="n">
        <v>3</v>
      </c>
      <c r="D429" s="21" t="n">
        <v>19</v>
      </c>
      <c r="E429" s="21" t="n">
        <v>10</v>
      </c>
      <c r="F429" s="21" t="n">
        <v>36</v>
      </c>
      <c r="G429" s="21" t="n">
        <v>1225</v>
      </c>
      <c r="H429" s="21" t="n">
        <v>510</v>
      </c>
      <c r="I429" s="21" t="n">
        <v>271</v>
      </c>
      <c r="J429" s="23" t="n">
        <v>0.05</v>
      </c>
      <c r="K429" s="23" t="n">
        <v>0</v>
      </c>
      <c r="L429" s="23" t="n">
        <v>0.05</v>
      </c>
      <c r="M429" s="23" t="n">
        <v>0.06</v>
      </c>
      <c r="N429" s="23" t="n">
        <v>0.03</v>
      </c>
      <c r="O429" s="23" t="n">
        <v>0.02</v>
      </c>
      <c r="P429" s="42" t="inlineStr">
        <is>
          <t>Iron Chestplate, Iron Helmet, Iron Legplates, Iron Boots, Grim Dagger, Fiber Buckler, Sturdy Belt, Reinforced War Gloves, Warden's Cloak, Charm of Focus, Cold Iron Pauldrons, Ring of the Hunt, Ring of the Hunt</t>
        </is>
      </c>
    </row>
    <row r="430">
      <c r="A430" s="21" t="n">
        <v>27</v>
      </c>
      <c r="B430" s="21" t="inlineStr">
        <is>
          <t>Rogue</t>
        </is>
      </c>
      <c r="C430" s="21" t="n">
        <v>3</v>
      </c>
      <c r="D430" s="21" t="n">
        <v>34</v>
      </c>
      <c r="E430" s="21" t="n">
        <v>10</v>
      </c>
      <c r="F430" s="21" t="n">
        <v>38</v>
      </c>
      <c r="G430" s="21" t="n">
        <v>1265</v>
      </c>
      <c r="H430" s="21" t="n">
        <v>685</v>
      </c>
      <c r="I430" s="21" t="n">
        <v>277</v>
      </c>
      <c r="J430" s="23" t="n">
        <v>0.07000000000000001</v>
      </c>
      <c r="K430" s="23" t="n">
        <v>0</v>
      </c>
      <c r="L430" s="23" t="n">
        <v>0.05</v>
      </c>
      <c r="M430" s="23" t="n">
        <v>0.06</v>
      </c>
      <c r="N430" s="23" t="n">
        <v>0.03</v>
      </c>
      <c r="O430" s="23" t="n">
        <v>0.02</v>
      </c>
      <c r="P430" s="42" t="inlineStr">
        <is>
          <t>Iron Chestplate, Iron Helmet, Iron Legplates, Iron Boots, Malignant Dagger, Fiber Buckler, Sturdy Belt, Reinforced War Gloves, Warden's Cloak, Charm of Insight, Cold Iron Pauldrons, Ring of the Hunt, Ring of the Hunt</t>
        </is>
      </c>
    </row>
    <row r="431">
      <c r="A431" s="21" t="n">
        <v>28</v>
      </c>
      <c r="B431" s="21" t="inlineStr">
        <is>
          <t>Rogue</t>
        </is>
      </c>
      <c r="C431" s="21" t="n">
        <v>3</v>
      </c>
      <c r="D431" s="21" t="n">
        <v>34</v>
      </c>
      <c r="E431" s="21" t="n">
        <v>10</v>
      </c>
      <c r="F431" s="21" t="n">
        <v>40</v>
      </c>
      <c r="G431" s="21" t="n">
        <v>1445</v>
      </c>
      <c r="H431" s="21" t="n">
        <v>685</v>
      </c>
      <c r="I431" s="21" t="n">
        <v>294</v>
      </c>
      <c r="J431" s="23" t="n">
        <v>0.07000000000000001</v>
      </c>
      <c r="K431" s="23" t="n">
        <v>0</v>
      </c>
      <c r="L431" s="23" t="n">
        <v>0.05</v>
      </c>
      <c r="M431" s="23" t="n">
        <v>0.06</v>
      </c>
      <c r="N431" s="23" t="n">
        <v>0.03</v>
      </c>
      <c r="O431" s="23" t="n">
        <v>0.03</v>
      </c>
      <c r="P431" s="42" t="inlineStr">
        <is>
          <t>Iron Chestplate, Iron Helmet, Iron Legplates, Iron Boots, Malignant Dagger, Fiber Buckler, Sturdy Belt, Reinforced War Gloves, Warden's Cloak, Charm of Insight, Tempered Pauldrons, Ring of the Hunt, Ring of the Hunt</t>
        </is>
      </c>
    </row>
    <row r="432">
      <c r="A432" s="21" t="n">
        <v>29</v>
      </c>
      <c r="B432" s="21" t="inlineStr">
        <is>
          <t>Rogue</t>
        </is>
      </c>
      <c r="C432" s="21" t="n">
        <v>3</v>
      </c>
      <c r="D432" s="21" t="n">
        <v>34</v>
      </c>
      <c r="E432" s="21" t="n">
        <v>10</v>
      </c>
      <c r="F432" s="21" t="n">
        <v>40</v>
      </c>
      <c r="G432" s="21" t="n">
        <v>1445</v>
      </c>
      <c r="H432" s="21" t="n">
        <v>685</v>
      </c>
      <c r="I432" s="21" t="n">
        <v>294</v>
      </c>
      <c r="J432" s="23" t="n">
        <v>0.07000000000000001</v>
      </c>
      <c r="K432" s="23" t="n">
        <v>0</v>
      </c>
      <c r="L432" s="23" t="n">
        <v>0.05</v>
      </c>
      <c r="M432" s="23" t="n">
        <v>0.06</v>
      </c>
      <c r="N432" s="23" t="n">
        <v>0.03</v>
      </c>
      <c r="O432" s="23" t="n">
        <v>0.03</v>
      </c>
      <c r="P432" s="42" t="inlineStr">
        <is>
          <t>Iron Chestplate, Iron Helmet, Iron Legplates, Iron Boots, Malignant Dagger, Fiber Buckler, Sturdy Belt, Reinforced War Gloves, Warden's Cloak, Charm of Insight, Tempered Pauldrons, Ring of the Hunt, Ring of the Hunt</t>
        </is>
      </c>
    </row>
    <row r="433">
      <c r="A433" s="21" t="n">
        <v>30</v>
      </c>
      <c r="B433" s="21" t="inlineStr">
        <is>
          <t>Rogue</t>
        </is>
      </c>
      <c r="C433" s="21" t="n">
        <v>3</v>
      </c>
      <c r="D433" s="21" t="n">
        <v>34</v>
      </c>
      <c r="E433" s="21" t="n">
        <v>10</v>
      </c>
      <c r="F433" s="21" t="n">
        <v>43</v>
      </c>
      <c r="G433" s="21" t="n">
        <v>1665</v>
      </c>
      <c r="H433" s="21" t="n">
        <v>685</v>
      </c>
      <c r="I433" s="21" t="n">
        <v>303</v>
      </c>
      <c r="J433" s="23" t="n">
        <v>0.08</v>
      </c>
      <c r="K433" s="23" t="n">
        <v>0</v>
      </c>
      <c r="L433" s="23" t="n">
        <v>0.06</v>
      </c>
      <c r="M433" s="23" t="n">
        <v>0.06</v>
      </c>
      <c r="N433" s="23" t="n">
        <v>0.03</v>
      </c>
      <c r="O433" s="23" t="n">
        <v>0.03</v>
      </c>
      <c r="P433" s="42" t="inlineStr">
        <is>
          <t>Iron Chestplate, Iron Helmet, Iron Legplates, Iron Boots, Malignant Dagger, Fiber Buckler, Ironbound Belt, Reinforced War Gloves, Warden's Cloak, Charm of Insight, Tempered Pauldrons, Ring of the Hunt, Ring of the Hunt</t>
        </is>
      </c>
    </row>
    <row r="434">
      <c r="A434" s="21" t="n">
        <v>31</v>
      </c>
      <c r="B434" s="21" t="inlineStr">
        <is>
          <t>Rogue</t>
        </is>
      </c>
      <c r="C434" s="21" t="n">
        <v>3</v>
      </c>
      <c r="D434" s="21" t="n">
        <v>34</v>
      </c>
      <c r="E434" s="21" t="n">
        <v>10</v>
      </c>
      <c r="F434" s="21" t="n">
        <v>43</v>
      </c>
      <c r="G434" s="21" t="n">
        <v>1665</v>
      </c>
      <c r="H434" s="21" t="n">
        <v>685</v>
      </c>
      <c r="I434" s="21" t="n">
        <v>303</v>
      </c>
      <c r="J434" s="23" t="n">
        <v>0.08</v>
      </c>
      <c r="K434" s="23" t="n">
        <v>0</v>
      </c>
      <c r="L434" s="23" t="n">
        <v>0.06</v>
      </c>
      <c r="M434" s="23" t="n">
        <v>0.06</v>
      </c>
      <c r="N434" s="23" t="n">
        <v>0.03</v>
      </c>
      <c r="O434" s="23" t="n">
        <v>0.03</v>
      </c>
      <c r="P434" s="42" t="inlineStr">
        <is>
          <t>Iron Chestplate, Iron Helmet, Iron Legplates, Iron Boots, Malignant Dagger, Fiber Buckler, Ironbound Belt, Reinforced War Gloves, Warden's Cloak, Charm of Insight, Tempered Pauldrons, Ring of the Hunt, Ring of the Hunt</t>
        </is>
      </c>
    </row>
    <row r="435">
      <c r="A435" s="21" t="n">
        <v>32</v>
      </c>
      <c r="B435" s="21" t="inlineStr">
        <is>
          <t>Rogue</t>
        </is>
      </c>
      <c r="C435" s="21" t="n">
        <v>3</v>
      </c>
      <c r="D435" s="21" t="n">
        <v>34</v>
      </c>
      <c r="E435" s="21" t="n">
        <v>10</v>
      </c>
      <c r="F435" s="21" t="n">
        <v>43</v>
      </c>
      <c r="G435" s="21" t="n">
        <v>1665</v>
      </c>
      <c r="H435" s="21" t="n">
        <v>685</v>
      </c>
      <c r="I435" s="21" t="n">
        <v>303</v>
      </c>
      <c r="J435" s="23" t="n">
        <v>0.08</v>
      </c>
      <c r="K435" s="23" t="n">
        <v>0</v>
      </c>
      <c r="L435" s="23" t="n">
        <v>0.06</v>
      </c>
      <c r="M435" s="23" t="n">
        <v>0.06</v>
      </c>
      <c r="N435" s="23" t="n">
        <v>0.03</v>
      </c>
      <c r="O435" s="23" t="n">
        <v>0.03</v>
      </c>
      <c r="P435" s="42" t="inlineStr">
        <is>
          <t>Iron Chestplate, Iron Helmet, Iron Legplates, Iron Boots, Malignant Dagger, Fiber Buckler, Ironbound Belt, Reinforced War Gloves, Warden's Cloak, Charm of Insight, Tempered Pauldrons, Ring of the Hunt, Ring of the Hunt</t>
        </is>
      </c>
    </row>
    <row r="436">
      <c r="A436" s="21" t="n">
        <v>33</v>
      </c>
      <c r="B436" s="21" t="inlineStr">
        <is>
          <t>Rogue</t>
        </is>
      </c>
      <c r="C436" s="21" t="n">
        <v>3</v>
      </c>
      <c r="D436" s="21" t="n">
        <v>34</v>
      </c>
      <c r="E436" s="21" t="n">
        <v>10</v>
      </c>
      <c r="F436" s="21" t="n">
        <v>51</v>
      </c>
      <c r="G436" s="21" t="n">
        <v>1785</v>
      </c>
      <c r="H436" s="21" t="n">
        <v>765</v>
      </c>
      <c r="I436" s="21" t="n">
        <v>313</v>
      </c>
      <c r="J436" s="23" t="n">
        <v>0.08</v>
      </c>
      <c r="K436" s="23" t="n">
        <v>0</v>
      </c>
      <c r="L436" s="23" t="n">
        <v>0.06</v>
      </c>
      <c r="M436" s="23" t="n">
        <v>0.08</v>
      </c>
      <c r="N436" s="23" t="n">
        <v>0.03</v>
      </c>
      <c r="O436" s="23" t="n">
        <v>0.03</v>
      </c>
      <c r="P436" s="42" t="inlineStr">
        <is>
          <t>Iron Chestplate, Iron Helmet, Iron Legplates, Iron Boots, Malignant Dagger, Fiber Buckler, Ironbound Belt, Reinforced War Gloves, Warden's Cloak, Charm of Insight, Tempered Pauldrons, Ring of the Vanguard, Ring of the Vanguard</t>
        </is>
      </c>
    </row>
    <row r="437">
      <c r="A437" s="21" t="n">
        <v>34</v>
      </c>
      <c r="B437" s="21" t="inlineStr">
        <is>
          <t>Rogue</t>
        </is>
      </c>
      <c r="C437" s="21" t="n">
        <v>3</v>
      </c>
      <c r="D437" s="21" t="n">
        <v>34</v>
      </c>
      <c r="E437" s="21" t="n">
        <v>10</v>
      </c>
      <c r="F437" s="21" t="n">
        <v>55</v>
      </c>
      <c r="G437" s="21" t="n">
        <v>1875</v>
      </c>
      <c r="H437" s="21" t="n">
        <v>765</v>
      </c>
      <c r="I437" s="21" t="n">
        <v>323</v>
      </c>
      <c r="J437" s="23" t="n">
        <v>0.08</v>
      </c>
      <c r="K437" s="23" t="n">
        <v>0</v>
      </c>
      <c r="L437" s="23" t="n">
        <v>0.07000000000000001</v>
      </c>
      <c r="M437" s="23" t="n">
        <v>0.08</v>
      </c>
      <c r="N437" s="23" t="n">
        <v>0.03</v>
      </c>
      <c r="O437" s="23" t="n">
        <v>0.03</v>
      </c>
      <c r="P437" s="42" t="inlineStr">
        <is>
          <t>Iron Chestplate, Iron Helmet, Iron Legplates, Iron Boots, Malignant Dagger, Fiber Buckler, Ironbound Belt, Runed War Gloves, Warden's Cloak, Charm of Insight, Tempered Pauldrons, Ring of the Vanguard, Ring of the Vanguard</t>
        </is>
      </c>
    </row>
    <row r="438">
      <c r="A438" s="21" t="n">
        <v>35</v>
      </c>
      <c r="B438" s="21" t="inlineStr">
        <is>
          <t>Rogue</t>
        </is>
      </c>
      <c r="C438" s="21" t="n">
        <v>3</v>
      </c>
      <c r="D438" s="21" t="n">
        <v>34</v>
      </c>
      <c r="E438" s="21" t="n">
        <v>10</v>
      </c>
      <c r="F438" s="21" t="n">
        <v>55</v>
      </c>
      <c r="G438" s="21" t="n">
        <v>1875</v>
      </c>
      <c r="H438" s="21" t="n">
        <v>765</v>
      </c>
      <c r="I438" s="21" t="n">
        <v>353</v>
      </c>
      <c r="J438" s="23" t="n">
        <v>0.08</v>
      </c>
      <c r="K438" s="23" t="n">
        <v>0</v>
      </c>
      <c r="L438" s="23" t="n">
        <v>0.07000000000000001</v>
      </c>
      <c r="M438" s="23" t="n">
        <v>0.08</v>
      </c>
      <c r="N438" s="23" t="n">
        <v>0.03</v>
      </c>
      <c r="O438" s="23" t="n">
        <v>0.03</v>
      </c>
      <c r="P438" s="42" t="inlineStr">
        <is>
          <t>Iron Chestplate, Iron Helmet, Iron Legplates, Iron Boots, Malignant Dagger, Firebrand Buckler, Ironbound Belt, Runed War Gloves, Warden's Cloak, Charm of Insight, Tempered Pauldrons, Ring of the Vanguard, Ring of the Vanguard</t>
        </is>
      </c>
    </row>
    <row r="439">
      <c r="A439" s="21" t="n">
        <v>36</v>
      </c>
      <c r="B439" s="21" t="inlineStr">
        <is>
          <t>Rogue</t>
        </is>
      </c>
      <c r="C439" s="21" t="n">
        <v>3</v>
      </c>
      <c r="D439" s="21" t="n">
        <v>34</v>
      </c>
      <c r="E439" s="21" t="n">
        <v>10</v>
      </c>
      <c r="F439" s="21" t="n">
        <v>55</v>
      </c>
      <c r="G439" s="21" t="n">
        <v>1910</v>
      </c>
      <c r="H439" s="21" t="n">
        <v>800</v>
      </c>
      <c r="I439" s="21" t="n">
        <v>363</v>
      </c>
      <c r="J439" s="23" t="n">
        <v>0.08</v>
      </c>
      <c r="K439" s="23" t="n">
        <v>0</v>
      </c>
      <c r="L439" s="23" t="n">
        <v>0.07000000000000001</v>
      </c>
      <c r="M439" s="23" t="n">
        <v>0.08</v>
      </c>
      <c r="N439" s="23" t="n">
        <v>0.04</v>
      </c>
      <c r="O439" s="23" t="n">
        <v>0.03</v>
      </c>
      <c r="P439" s="42" t="inlineStr">
        <is>
          <t>Iron Chestplate, Iron Helmet, Iron Legplates, Iron Boots, Malignant Dagger, Firebrand Buckler, Ironbound Belt, Runed War Gloves, Stormward Cloak, Charm of Insight, Tempered Pauldrons, Ring of the Vanguard, Ring of the Vanguard</t>
        </is>
      </c>
    </row>
    <row r="440">
      <c r="A440" s="21" t="n">
        <v>37</v>
      </c>
      <c r="B440" s="21" t="inlineStr">
        <is>
          <t>Rogue</t>
        </is>
      </c>
      <c r="C440" s="21" t="n">
        <v>3</v>
      </c>
      <c r="D440" s="21" t="n">
        <v>34</v>
      </c>
      <c r="E440" s="21" t="n">
        <v>10</v>
      </c>
      <c r="F440" s="21" t="n">
        <v>55</v>
      </c>
      <c r="G440" s="21" t="n">
        <v>1940</v>
      </c>
      <c r="H440" s="21" t="n">
        <v>960</v>
      </c>
      <c r="I440" s="21" t="n">
        <v>370</v>
      </c>
      <c r="J440" s="23" t="n">
        <v>0.1</v>
      </c>
      <c r="K440" s="23" t="n">
        <v>0</v>
      </c>
      <c r="L440" s="23" t="n">
        <v>0.07000000000000001</v>
      </c>
      <c r="M440" s="23" t="n">
        <v>0.08</v>
      </c>
      <c r="N440" s="23" t="n">
        <v>0.04</v>
      </c>
      <c r="O440" s="23" t="n">
        <v>0.03</v>
      </c>
      <c r="P440" s="42" t="inlineStr">
        <is>
          <t>Iron Chestplate, Iron Helmet, Iron Legplates, Iron Boots, Malignant Dagger, Firebrand Buckler, Ironbound Belt, Runed War Gloves, Stormward Cloak, Charm of Ascendance, Tempered Pauldrons, Ring of the Vanguard, Ring of the Vanguard</t>
        </is>
      </c>
    </row>
    <row r="441">
      <c r="A441" s="21" t="n">
        <v>38</v>
      </c>
      <c r="B441" s="21" t="inlineStr">
        <is>
          <t>Rogue</t>
        </is>
      </c>
      <c r="C441" s="21" t="n">
        <v>3</v>
      </c>
      <c r="D441" s="21" t="n">
        <v>34</v>
      </c>
      <c r="E441" s="21" t="n">
        <v>10</v>
      </c>
      <c r="F441" s="21" t="n">
        <v>57</v>
      </c>
      <c r="G441" s="21" t="n">
        <v>2095</v>
      </c>
      <c r="H441" s="21" t="n">
        <v>960</v>
      </c>
      <c r="I441" s="21" t="n">
        <v>385</v>
      </c>
      <c r="J441" s="23" t="n">
        <v>0.1</v>
      </c>
      <c r="K441" s="23" t="n">
        <v>0</v>
      </c>
      <c r="L441" s="23" t="n">
        <v>0.07000000000000001</v>
      </c>
      <c r="M441" s="23" t="n">
        <v>0.08</v>
      </c>
      <c r="N441" s="23" t="n">
        <v>0.04</v>
      </c>
      <c r="O441" s="23" t="n">
        <v>0.04</v>
      </c>
      <c r="P441" s="42" t="inlineStr">
        <is>
          <t>Iron Chestplate, Iron Helmet, Iron Legplates, Iron Boots, Malignant Dagger, Firebrand Buckler, Ironbound Belt, Runed War Gloves, Stormward Cloak, Charm of Ascendance, Runeplate Pauldrons, Ring of the Vanguard, Ring of the Vanguard</t>
        </is>
      </c>
    </row>
    <row r="442">
      <c r="A442" s="21" t="n">
        <v>39</v>
      </c>
      <c r="B442" s="21" t="inlineStr">
        <is>
          <t>Rogue</t>
        </is>
      </c>
      <c r="C442" s="21" t="n">
        <v>3</v>
      </c>
      <c r="D442" s="21" t="n">
        <v>34</v>
      </c>
      <c r="E442" s="21" t="n">
        <v>10</v>
      </c>
      <c r="F442" s="21" t="n">
        <v>57</v>
      </c>
      <c r="G442" s="21" t="n">
        <v>2095</v>
      </c>
      <c r="H442" s="21" t="n">
        <v>960</v>
      </c>
      <c r="I442" s="21" t="n">
        <v>385</v>
      </c>
      <c r="J442" s="23" t="n">
        <v>0.1</v>
      </c>
      <c r="K442" s="23" t="n">
        <v>0</v>
      </c>
      <c r="L442" s="23" t="n">
        <v>0.07000000000000001</v>
      </c>
      <c r="M442" s="23" t="n">
        <v>0.08</v>
      </c>
      <c r="N442" s="23" t="n">
        <v>0.04</v>
      </c>
      <c r="O442" s="23" t="n">
        <v>0.04</v>
      </c>
      <c r="P442" s="42" t="inlineStr">
        <is>
          <t>Iron Chestplate, Iron Helmet, Iron Legplates, Iron Boots, Malignant Dagger, Firebrand Buckler, Ironbound Belt, Runed War Gloves, Stormward Cloak, Charm of Ascendance, Runeplate Pauldrons, Ring of the Vanguard, Ring of the Vanguard</t>
        </is>
      </c>
    </row>
    <row r="443">
      <c r="A443" s="21" t="n">
        <v>40</v>
      </c>
      <c r="B443" s="21" t="inlineStr">
        <is>
          <t>Rogue</t>
        </is>
      </c>
      <c r="C443" s="21" t="n">
        <v>3</v>
      </c>
      <c r="D443" s="21" t="n">
        <v>34</v>
      </c>
      <c r="E443" s="21" t="n">
        <v>10</v>
      </c>
      <c r="F443" s="21" t="n">
        <v>59</v>
      </c>
      <c r="G443" s="21" t="n">
        <v>2280</v>
      </c>
      <c r="H443" s="21" t="n">
        <v>960</v>
      </c>
      <c r="I443" s="21" t="n">
        <v>393</v>
      </c>
      <c r="J443" s="23" t="n">
        <v>0.11</v>
      </c>
      <c r="K443" s="23" t="n">
        <v>0</v>
      </c>
      <c r="L443" s="23" t="n">
        <v>0.08</v>
      </c>
      <c r="M443" s="23" t="n">
        <v>0.08</v>
      </c>
      <c r="N443" s="23" t="n">
        <v>0.04</v>
      </c>
      <c r="O443" s="23" t="n">
        <v>0.04</v>
      </c>
      <c r="P443" s="42" t="inlineStr">
        <is>
          <t>Iron Chestplate, Iron Helmet, Iron Legplates, Iron Boots, Malignant Dagger, Firebrand Buckler, Runeplate Belt, Runed War Gloves, Stormward Cloak, Charm of Ascendance, Runeplate Pauldrons, Ring of the Vanguard, Ring of the Vanguard</t>
        </is>
      </c>
    </row>
    <row r="444">
      <c r="A444" s="21" t="n">
        <v>41</v>
      </c>
      <c r="B444" s="21" t="inlineStr">
        <is>
          <t>Rogue</t>
        </is>
      </c>
      <c r="C444" s="21" t="n">
        <v>3</v>
      </c>
      <c r="D444" s="21" t="n">
        <v>34</v>
      </c>
      <c r="E444" s="21" t="n">
        <v>10</v>
      </c>
      <c r="F444" s="21" t="n">
        <v>59</v>
      </c>
      <c r="G444" s="21" t="n">
        <v>2280</v>
      </c>
      <c r="H444" s="21" t="n">
        <v>960</v>
      </c>
      <c r="I444" s="21" t="n">
        <v>393</v>
      </c>
      <c r="J444" s="23" t="n">
        <v>0.11</v>
      </c>
      <c r="K444" s="23" t="n">
        <v>0</v>
      </c>
      <c r="L444" s="23" t="n">
        <v>0.08</v>
      </c>
      <c r="M444" s="23" t="n">
        <v>0.08</v>
      </c>
      <c r="N444" s="23" t="n">
        <v>0.04</v>
      </c>
      <c r="O444" s="23" t="n">
        <v>0.04</v>
      </c>
      <c r="P444" s="42" t="inlineStr">
        <is>
          <t>Iron Chestplate, Iron Helmet, Iron Legplates, Iron Boots, Malignant Dagger, Firebrand Buckler, Runeplate Belt, Runed War Gloves, Stormward Cloak, Charm of Ascendance, Runeplate Pauldrons, Ring of the Vanguard, Ring of the Vanguard</t>
        </is>
      </c>
    </row>
    <row r="445">
      <c r="A445" s="21" t="n">
        <v>42</v>
      </c>
      <c r="B445" s="21" t="inlineStr">
        <is>
          <t>Rogue</t>
        </is>
      </c>
      <c r="C445" s="21" t="n">
        <v>3</v>
      </c>
      <c r="D445" s="21" t="n">
        <v>34</v>
      </c>
      <c r="E445" s="21" t="n">
        <v>10</v>
      </c>
      <c r="F445" s="21" t="n">
        <v>59</v>
      </c>
      <c r="G445" s="21" t="n">
        <v>2280</v>
      </c>
      <c r="H445" s="21" t="n">
        <v>960</v>
      </c>
      <c r="I445" s="21" t="n">
        <v>393</v>
      </c>
      <c r="J445" s="23" t="n">
        <v>0.11</v>
      </c>
      <c r="K445" s="23" t="n">
        <v>0</v>
      </c>
      <c r="L445" s="23" t="n">
        <v>0.08</v>
      </c>
      <c r="M445" s="23" t="n">
        <v>0.08</v>
      </c>
      <c r="N445" s="23" t="n">
        <v>0.04</v>
      </c>
      <c r="O445" s="23" t="n">
        <v>0.04</v>
      </c>
      <c r="P445" s="42" t="inlineStr">
        <is>
          <t>Iron Chestplate, Iron Helmet, Iron Legplates, Iron Boots, Malignant Dagger, Firebrand Buckler, Runeplate Belt, Runed War Gloves, Stormward Cloak, Charm of Ascendance, Runeplate Pauldrons, Ring of the Vanguard, Ring of the Vanguard</t>
        </is>
      </c>
    </row>
    <row r="446">
      <c r="A446" s="21" t="n">
        <v>43</v>
      </c>
      <c r="B446" s="21" t="inlineStr">
        <is>
          <t>Rogue</t>
        </is>
      </c>
      <c r="C446" s="21" t="n">
        <v>3</v>
      </c>
      <c r="D446" s="21" t="n">
        <v>34</v>
      </c>
      <c r="E446" s="21" t="n">
        <v>10</v>
      </c>
      <c r="F446" s="21" t="n">
        <v>67</v>
      </c>
      <c r="G446" s="21" t="n">
        <v>2380</v>
      </c>
      <c r="H446" s="21" t="n">
        <v>1020</v>
      </c>
      <c r="I446" s="21" t="n">
        <v>409</v>
      </c>
      <c r="J446" s="23" t="n">
        <v>0.11</v>
      </c>
      <c r="K446" s="23" t="n">
        <v>0</v>
      </c>
      <c r="L446" s="23" t="n">
        <v>0.08</v>
      </c>
      <c r="M446" s="23" t="n">
        <v>0.1</v>
      </c>
      <c r="N446" s="23" t="n">
        <v>0.04</v>
      </c>
      <c r="O446" s="23" t="n">
        <v>0.04</v>
      </c>
      <c r="P446" s="42" t="inlineStr">
        <is>
          <t>Iron Chestplate, Iron Helmet, Iron Legplates, Iron Boots, Malignant Dagger, Firebrand Buckler, Runeplate Belt, Runed War Gloves, Stormward Cloak, Charm of Ascendance, Runeplate Pauldrons, Ring of the Warlord, Ring of the Warlord</t>
        </is>
      </c>
    </row>
    <row r="447">
      <c r="A447" s="21" t="n">
        <v>44</v>
      </c>
      <c r="B447" s="21" t="inlineStr">
        <is>
          <t>Rogue</t>
        </is>
      </c>
      <c r="C447" s="21" t="n">
        <v>3</v>
      </c>
      <c r="D447" s="21" t="n">
        <v>34</v>
      </c>
      <c r="E447" s="21" t="n">
        <v>10</v>
      </c>
      <c r="F447" s="21" t="n">
        <v>71</v>
      </c>
      <c r="G447" s="21" t="n">
        <v>2470</v>
      </c>
      <c r="H447" s="21" t="n">
        <v>1020</v>
      </c>
      <c r="I447" s="21" t="n">
        <v>419</v>
      </c>
      <c r="J447" s="23" t="n">
        <v>0.11</v>
      </c>
      <c r="K447" s="23" t="n">
        <v>0</v>
      </c>
      <c r="L447" s="23" t="n">
        <v>0.09</v>
      </c>
      <c r="M447" s="23" t="n">
        <v>0.1</v>
      </c>
      <c r="N447" s="23" t="n">
        <v>0.04</v>
      </c>
      <c r="O447" s="23" t="n">
        <v>0.04</v>
      </c>
      <c r="P447" s="42" t="inlineStr">
        <is>
          <t>Iron Chestplate, Iron Helmet, Iron Legplates, Iron Boots, Malignant Dagger, Firebrand Buckler, Runeplate Belt, Exalted War Gloves, Stormward Cloak, Charm of Ascendance, Runeplate Pauldrons, Ring of the Warlord, Ring of the Warlord</t>
        </is>
      </c>
    </row>
    <row r="448">
      <c r="A448" s="21" t="n">
        <v>45</v>
      </c>
      <c r="B448" s="21" t="inlineStr">
        <is>
          <t>Rogue</t>
        </is>
      </c>
      <c r="C448" s="21" t="n">
        <v>3</v>
      </c>
      <c r="D448" s="21" t="n">
        <v>34</v>
      </c>
      <c r="E448" s="21" t="n">
        <v>10</v>
      </c>
      <c r="F448" s="21" t="n">
        <v>71</v>
      </c>
      <c r="G448" s="21" t="n">
        <v>2470</v>
      </c>
      <c r="H448" s="21" t="n">
        <v>1020</v>
      </c>
      <c r="I448" s="21" t="n">
        <v>419</v>
      </c>
      <c r="J448" s="23" t="n">
        <v>0.11</v>
      </c>
      <c r="K448" s="23" t="n">
        <v>0</v>
      </c>
      <c r="L448" s="23" t="n">
        <v>0.09</v>
      </c>
      <c r="M448" s="23" t="n">
        <v>0.1</v>
      </c>
      <c r="N448" s="23" t="n">
        <v>0.04</v>
      </c>
      <c r="O448" s="23" t="n">
        <v>0.04</v>
      </c>
      <c r="P448" s="42" t="inlineStr">
        <is>
          <t>Iron Chestplate, Iron Helmet, Iron Legplates, Iron Boots, Malignant Dagger, Firebrand Buckler, Runeplate Belt, Exalted War Gloves, Stormward Cloak, Charm of Ascendance, Runeplate Pauldrons, Ring of the Warlord, Ring of the Warlord</t>
        </is>
      </c>
    </row>
    <row r="449">
      <c r="A449" s="21" t="n">
        <v>46</v>
      </c>
      <c r="B449" s="21" t="inlineStr">
        <is>
          <t>Rogue</t>
        </is>
      </c>
      <c r="C449" s="21" t="n">
        <v>3</v>
      </c>
      <c r="D449" s="21" t="n">
        <v>34</v>
      </c>
      <c r="E449" s="21" t="n">
        <v>10</v>
      </c>
      <c r="F449" s="21" t="n">
        <v>71</v>
      </c>
      <c r="G449" s="21" t="n">
        <v>2505</v>
      </c>
      <c r="H449" s="21" t="n">
        <v>1055</v>
      </c>
      <c r="I449" s="21" t="n">
        <v>427</v>
      </c>
      <c r="J449" s="23" t="n">
        <v>0.11</v>
      </c>
      <c r="K449" s="23" t="n">
        <v>0</v>
      </c>
      <c r="L449" s="23" t="n">
        <v>0.09</v>
      </c>
      <c r="M449" s="23" t="n">
        <v>0.1</v>
      </c>
      <c r="N449" s="23" t="n">
        <v>0.05</v>
      </c>
      <c r="O449" s="23" t="n">
        <v>0.04</v>
      </c>
      <c r="P449" s="42" t="inlineStr">
        <is>
          <t>Iron Chestplate, Iron Helmet, Iron Legplates, Iron Boots, Malignant Dagger, Firebrand Buckler, Runeplate Belt, Exalted War Gloves, Skyweave Cloak, Charm of Ascendance, Runeplate Pauldrons, Ring of the Warlord, Ring of the Warlord</t>
        </is>
      </c>
    </row>
    <row r="450">
      <c r="A450" s="21" t="n">
        <v>47</v>
      </c>
      <c r="B450" s="21" t="inlineStr">
        <is>
          <t>Rogue</t>
        </is>
      </c>
      <c r="C450" s="21" t="n">
        <v>3</v>
      </c>
      <c r="D450" s="21" t="n">
        <v>34</v>
      </c>
      <c r="E450" s="21" t="n">
        <v>10</v>
      </c>
      <c r="F450" s="21" t="n">
        <v>71</v>
      </c>
      <c r="G450" s="21" t="n">
        <v>2535</v>
      </c>
      <c r="H450" s="21" t="n">
        <v>1135</v>
      </c>
      <c r="I450" s="21" t="n">
        <v>432</v>
      </c>
      <c r="J450" s="23" t="n">
        <v>0.13</v>
      </c>
      <c r="K450" s="23" t="n">
        <v>0</v>
      </c>
      <c r="L450" s="23" t="n">
        <v>0.09</v>
      </c>
      <c r="M450" s="23" t="n">
        <v>0.1</v>
      </c>
      <c r="N450" s="23" t="n">
        <v>0.05</v>
      </c>
      <c r="O450" s="23" t="n">
        <v>0.04</v>
      </c>
      <c r="P450" s="42" t="inlineStr">
        <is>
          <t>Iron Chestplate, Iron Helmet, Iron Legplates, Iron Boots, Malignant Dagger, Firebrand Buckler, Runeplate Belt, Exalted War Gloves, Skyweave Cloak, Charm of the Archon, Runeplate Pauldrons, Ring of the Warlord, Ring of the Warlord</t>
        </is>
      </c>
    </row>
    <row r="451">
      <c r="A451" s="21" t="n">
        <v>48</v>
      </c>
      <c r="B451" s="21" t="inlineStr">
        <is>
          <t>Rogue</t>
        </is>
      </c>
      <c r="C451" s="21" t="n">
        <v>3</v>
      </c>
      <c r="D451" s="21" t="n">
        <v>34</v>
      </c>
      <c r="E451" s="21" t="n">
        <v>10</v>
      </c>
      <c r="F451" s="21" t="n">
        <v>73</v>
      </c>
      <c r="G451" s="21" t="n">
        <v>2690</v>
      </c>
      <c r="H451" s="21" t="n">
        <v>1135</v>
      </c>
      <c r="I451" s="21" t="n">
        <v>450</v>
      </c>
      <c r="J451" s="23" t="n">
        <v>0.13</v>
      </c>
      <c r="K451" s="23" t="n">
        <v>0</v>
      </c>
      <c r="L451" s="23" t="n">
        <v>0.09</v>
      </c>
      <c r="M451" s="23" t="n">
        <v>0.1</v>
      </c>
      <c r="N451" s="23" t="n">
        <v>0.05</v>
      </c>
      <c r="O451" s="23" t="n">
        <v>0.05</v>
      </c>
      <c r="P451" s="42" t="inlineStr">
        <is>
          <t>Iron Chestplate, Iron Helmet, Iron Legplates, Iron Boots, Malignant Dagger, Firebrand Buckler, Runeplate Belt, Exalted War Gloves, Skyweave Cloak, Charm of the Archon, Bulwark Pauldrons, Ring of the Warlord, Ring of the Warlord</t>
        </is>
      </c>
    </row>
    <row r="452">
      <c r="A452" s="21" t="n">
        <v>49</v>
      </c>
      <c r="B452" s="21" t="inlineStr">
        <is>
          <t>Rogue</t>
        </is>
      </c>
      <c r="C452" s="21" t="n">
        <v>3</v>
      </c>
      <c r="D452" s="21" t="n">
        <v>34</v>
      </c>
      <c r="E452" s="21" t="n">
        <v>10</v>
      </c>
      <c r="F452" s="21" t="n">
        <v>75</v>
      </c>
      <c r="G452" s="21" t="n">
        <v>2900</v>
      </c>
      <c r="H452" s="21" t="n">
        <v>1135</v>
      </c>
      <c r="I452" s="21" t="n">
        <v>458</v>
      </c>
      <c r="J452" s="23" t="n">
        <v>0.14</v>
      </c>
      <c r="K452" s="23" t="n">
        <v>0</v>
      </c>
      <c r="L452" s="23" t="n">
        <v>0.1</v>
      </c>
      <c r="M452" s="23" t="n">
        <v>0.1</v>
      </c>
      <c r="N452" s="23" t="n">
        <v>0.05</v>
      </c>
      <c r="O452" s="23" t="n">
        <v>0.05</v>
      </c>
      <c r="P452" s="42" t="inlineStr">
        <is>
          <t>Iron Chestplate, Iron Helmet, Iron Legplates, Iron Boots, Malignant Dagger, Firebrand Buckler, Bulwark Belt, Exalted War Gloves, Skyweave Cloak, Charm of the Archon, Bulwark Pauldrons, Ring of the Warlord, Ring of the Warlord</t>
        </is>
      </c>
    </row>
    <row r="453">
      <c r="A453" s="21" t="n">
        <v>50</v>
      </c>
      <c r="B453" s="21" t="inlineStr">
        <is>
          <t>Rogue</t>
        </is>
      </c>
      <c r="C453" s="21" t="n">
        <v>3</v>
      </c>
      <c r="D453" s="21" t="n">
        <v>34</v>
      </c>
      <c r="E453" s="21" t="n">
        <v>10</v>
      </c>
      <c r="F453" s="21" t="n">
        <v>75</v>
      </c>
      <c r="G453" s="21" t="n">
        <v>2900</v>
      </c>
      <c r="H453" s="21" t="n">
        <v>1135</v>
      </c>
      <c r="I453" s="21" t="n">
        <v>458</v>
      </c>
      <c r="J453" s="23" t="n">
        <v>0.14</v>
      </c>
      <c r="K453" s="23" t="n">
        <v>0</v>
      </c>
      <c r="L453" s="23" t="n">
        <v>0.1</v>
      </c>
      <c r="M453" s="23" t="n">
        <v>0.1</v>
      </c>
      <c r="N453" s="23" t="n">
        <v>0.05</v>
      </c>
      <c r="O453" s="23" t="n">
        <v>0.05</v>
      </c>
      <c r="P453" s="42" t="inlineStr">
        <is>
          <t>Iron Chestplate, Iron Helmet, Iron Legplates, Iron Boots, Malignant Dagger, Firebrand Buckler, Bulwark Belt, Exalted War Gloves, Skyweave Cloak, Charm of the Archon, Bulwark Pauldrons, Ring of the Warlord, Ring of the Warlord</t>
        </is>
      </c>
    </row>
    <row r="454">
      <c r="A454" s="21" t="n">
        <v>1</v>
      </c>
      <c r="B454" s="21" t="inlineStr">
        <is>
          <t>Warrior</t>
        </is>
      </c>
      <c r="C454" s="21" t="n">
        <v>3</v>
      </c>
      <c r="D454" s="21" t="n">
        <v>3</v>
      </c>
      <c r="E454" s="21" t="n">
        <v>10</v>
      </c>
      <c r="F454" s="21" t="n">
        <v>0</v>
      </c>
      <c r="G454" s="21" t="n">
        <v>0</v>
      </c>
      <c r="H454" s="21" t="n">
        <v>0</v>
      </c>
      <c r="I454" s="21" t="n">
        <v>25</v>
      </c>
      <c r="J454" s="23" t="n">
        <v>0</v>
      </c>
      <c r="K454" s="23" t="n">
        <v>0</v>
      </c>
      <c r="L454" s="23" t="n">
        <v>0</v>
      </c>
      <c r="M454" s="23" t="n">
        <v>0</v>
      </c>
      <c r="N454" s="23" t="n">
        <v>0</v>
      </c>
      <c r="O454" s="23" t="n">
        <v>0</v>
      </c>
      <c r="P454" s="42" t="inlineStr">
        <is>
          <t>Cloth Tunic, Cloth Cap, Cloth Leggings, Cloth Shoes, Stick</t>
        </is>
      </c>
    </row>
    <row r="455">
      <c r="A455" s="21" t="n">
        <v>2</v>
      </c>
      <c r="B455" s="21" t="inlineStr">
        <is>
          <t>Warrior</t>
        </is>
      </c>
      <c r="C455" s="21" t="n">
        <v>3</v>
      </c>
      <c r="D455" s="21" t="n">
        <v>3</v>
      </c>
      <c r="E455" s="21" t="n">
        <v>10</v>
      </c>
      <c r="F455" s="21" t="n">
        <v>0</v>
      </c>
      <c r="G455" s="21" t="n">
        <v>0</v>
      </c>
      <c r="H455" s="21" t="n">
        <v>0</v>
      </c>
      <c r="I455" s="21" t="n">
        <v>25</v>
      </c>
      <c r="J455" s="23" t="n">
        <v>0</v>
      </c>
      <c r="K455" s="23" t="n">
        <v>0</v>
      </c>
      <c r="L455" s="23" t="n">
        <v>0</v>
      </c>
      <c r="M455" s="23" t="n">
        <v>0</v>
      </c>
      <c r="N455" s="23" t="n">
        <v>0</v>
      </c>
      <c r="O455" s="23" t="n">
        <v>0</v>
      </c>
      <c r="P455" s="42" t="inlineStr">
        <is>
          <t>Cloth Tunic, Cloth Cap, Cloth Leggings, Cloth Shoes, Stick</t>
        </is>
      </c>
    </row>
    <row r="456">
      <c r="A456" s="21" t="n">
        <v>3</v>
      </c>
      <c r="B456" s="21" t="inlineStr">
        <is>
          <t>Warrior</t>
        </is>
      </c>
      <c r="C456" s="21" t="n">
        <v>3</v>
      </c>
      <c r="D456" s="21" t="n">
        <v>3</v>
      </c>
      <c r="E456" s="21" t="n">
        <v>10</v>
      </c>
      <c r="F456" s="21" t="n">
        <v>0</v>
      </c>
      <c r="G456" s="21" t="n">
        <v>0</v>
      </c>
      <c r="H456" s="21" t="n">
        <v>0</v>
      </c>
      <c r="I456" s="21" t="n">
        <v>25</v>
      </c>
      <c r="J456" s="23" t="n">
        <v>0</v>
      </c>
      <c r="K456" s="23" t="n">
        <v>0</v>
      </c>
      <c r="L456" s="23" t="n">
        <v>0</v>
      </c>
      <c r="M456" s="23" t="n">
        <v>0</v>
      </c>
      <c r="N456" s="23" t="n">
        <v>0</v>
      </c>
      <c r="O456" s="23" t="n">
        <v>0</v>
      </c>
      <c r="P456" s="42" t="inlineStr">
        <is>
          <t>Cloth Tunic, Cloth Cap, Cloth Leggings, Cloth Shoes, Stick</t>
        </is>
      </c>
    </row>
    <row r="457">
      <c r="A457" s="21" t="n">
        <v>4</v>
      </c>
      <c r="B457" s="21" t="inlineStr">
        <is>
          <t>Warrior</t>
        </is>
      </c>
      <c r="C457" s="21" t="n">
        <v>3</v>
      </c>
      <c r="D457" s="21" t="n">
        <v>3</v>
      </c>
      <c r="E457" s="21" t="n">
        <v>10</v>
      </c>
      <c r="F457" s="21" t="n">
        <v>2</v>
      </c>
      <c r="G457" s="21" t="n">
        <v>70</v>
      </c>
      <c r="H457" s="21" t="n">
        <v>0</v>
      </c>
      <c r="I457" s="21" t="n">
        <v>30</v>
      </c>
      <c r="J457" s="23" t="n">
        <v>0</v>
      </c>
      <c r="K457" s="23" t="n">
        <v>0</v>
      </c>
      <c r="L457" s="23" t="n">
        <v>0</v>
      </c>
      <c r="M457" s="23" t="n">
        <v>0</v>
      </c>
      <c r="N457" s="23" t="n">
        <v>0</v>
      </c>
      <c r="O457" s="23" t="n">
        <v>0</v>
      </c>
      <c r="P457" s="42" t="inlineStr">
        <is>
          <t>Cloth Tunic, Cloth Cap, Cloth Leggings, Cloth Shoes, Stick, Worn Leather Gloves</t>
        </is>
      </c>
    </row>
    <row r="458">
      <c r="A458" s="21" t="n">
        <v>5</v>
      </c>
      <c r="B458" s="21" t="inlineStr">
        <is>
          <t>Warrior</t>
        </is>
      </c>
      <c r="C458" s="21" t="n">
        <v>3</v>
      </c>
      <c r="D458" s="21" t="n">
        <v>14</v>
      </c>
      <c r="E458" s="21" t="n">
        <v>10</v>
      </c>
      <c r="F458" s="21" t="n">
        <v>7</v>
      </c>
      <c r="G458" s="21" t="n">
        <v>210</v>
      </c>
      <c r="H458" s="21" t="n">
        <v>30</v>
      </c>
      <c r="I458" s="21" t="n">
        <v>52</v>
      </c>
      <c r="J458" s="23" t="n">
        <v>0</v>
      </c>
      <c r="K458" s="23" t="n">
        <v>0</v>
      </c>
      <c r="L458" s="23" t="n">
        <v>0</v>
      </c>
      <c r="M458" s="23" t="n">
        <v>0</v>
      </c>
      <c r="N458" s="23" t="n">
        <v>0</v>
      </c>
      <c r="O458" s="23" t="n">
        <v>0</v>
      </c>
      <c r="P458" s="42" t="inlineStr">
        <is>
          <t>Cloth Tunic, Cloth Cap, Cloth Leggings, Cloth Shoes, Small Sword, Wooden Buckler, Worn Leather Belt, Worn Leather Gloves, Copper Band, Copper Band</t>
        </is>
      </c>
    </row>
    <row r="459">
      <c r="A459" s="21" t="n">
        <v>6</v>
      </c>
      <c r="B459" s="21" t="inlineStr">
        <is>
          <t>Warrior</t>
        </is>
      </c>
      <c r="C459" s="21" t="n">
        <v>3</v>
      </c>
      <c r="D459" s="21" t="n">
        <v>14</v>
      </c>
      <c r="E459" s="21" t="n">
        <v>10</v>
      </c>
      <c r="F459" s="21" t="n">
        <v>7</v>
      </c>
      <c r="G459" s="21" t="n">
        <v>230</v>
      </c>
      <c r="H459" s="21" t="n">
        <v>50</v>
      </c>
      <c r="I459" s="21" t="n">
        <v>60</v>
      </c>
      <c r="J459" s="23" t="n">
        <v>0</v>
      </c>
      <c r="K459" s="23" t="n">
        <v>0</v>
      </c>
      <c r="L459" s="23" t="n">
        <v>0</v>
      </c>
      <c r="M459" s="23" t="n">
        <v>0</v>
      </c>
      <c r="N459" s="23" t="n">
        <v>0</v>
      </c>
      <c r="O459" s="23" t="n">
        <v>0</v>
      </c>
      <c r="P459" s="42" t="inlineStr">
        <is>
          <t>Cloth Tunic, Cloth Cap, Cloth Leggings, Cloth Shoes, Small Sword, Wooden Buckler, Worn Leather Belt, Worn Leather Gloves, Threadbare Cloak, Copper Band, Copper Band</t>
        </is>
      </c>
    </row>
    <row r="460">
      <c r="A460" s="21" t="n">
        <v>7</v>
      </c>
      <c r="B460" s="21" t="inlineStr">
        <is>
          <t>Warrior</t>
        </is>
      </c>
      <c r="C460" s="21" t="n">
        <v>3</v>
      </c>
      <c r="D460" s="21" t="n">
        <v>14</v>
      </c>
      <c r="E460" s="21" t="n">
        <v>10</v>
      </c>
      <c r="F460" s="21" t="n">
        <v>7</v>
      </c>
      <c r="G460" s="21" t="n">
        <v>255</v>
      </c>
      <c r="H460" s="21" t="n">
        <v>190</v>
      </c>
      <c r="I460" s="21" t="n">
        <v>65</v>
      </c>
      <c r="J460" s="23" t="n">
        <v>0</v>
      </c>
      <c r="K460" s="23" t="n">
        <v>0</v>
      </c>
      <c r="L460" s="23" t="n">
        <v>0</v>
      </c>
      <c r="M460" s="23" t="n">
        <v>0</v>
      </c>
      <c r="N460" s="23" t="n">
        <v>0</v>
      </c>
      <c r="O460" s="23" t="n">
        <v>0</v>
      </c>
      <c r="P460" s="42" t="inlineStr">
        <is>
          <t>Cloth Tunic, Cloth Cap, Cloth Leggings, Cloth Shoes, Small Sword, Wooden Buckler, Worn Leather Belt, Worn Leather Gloves, Threadbare Cloak, Simple Pendant, Copper Band, Copper Band</t>
        </is>
      </c>
    </row>
    <row r="461">
      <c r="A461" s="21" t="n">
        <v>8</v>
      </c>
      <c r="B461" s="21" t="inlineStr">
        <is>
          <t>Warrior</t>
        </is>
      </c>
      <c r="C461" s="21" t="n">
        <v>3</v>
      </c>
      <c r="D461" s="21" t="n">
        <v>14</v>
      </c>
      <c r="E461" s="21" t="n">
        <v>10</v>
      </c>
      <c r="F461" s="21" t="n">
        <v>9</v>
      </c>
      <c r="G461" s="21" t="n">
        <v>345</v>
      </c>
      <c r="H461" s="21" t="n">
        <v>190</v>
      </c>
      <c r="I461" s="21" t="n">
        <v>77</v>
      </c>
      <c r="J461" s="23" t="n">
        <v>0</v>
      </c>
      <c r="K461" s="23" t="n">
        <v>0</v>
      </c>
      <c r="L461" s="23" t="n">
        <v>0</v>
      </c>
      <c r="M461" s="23" t="n">
        <v>0</v>
      </c>
      <c r="N461" s="23" t="n">
        <v>0</v>
      </c>
      <c r="O461" s="23" t="n">
        <v>0</v>
      </c>
      <c r="P461" s="42" t="inlineStr">
        <is>
          <t>Cloth Tunic, Cloth Cap, Cloth Leggings, Cloth Shoes, Small Sword, Wooden Buckler, Worn Leather Belt, Worn Leather Gloves, Threadbare Cloak, Simple Pendant, Patchwork Pauldrons, Copper Band, Copper Band</t>
        </is>
      </c>
    </row>
    <row r="462">
      <c r="A462" s="21" t="n">
        <v>9</v>
      </c>
      <c r="B462" s="21" t="inlineStr">
        <is>
          <t>Warrior</t>
        </is>
      </c>
      <c r="C462" s="21" t="n">
        <v>3</v>
      </c>
      <c r="D462" s="21" t="n">
        <v>14</v>
      </c>
      <c r="E462" s="21" t="n">
        <v>10</v>
      </c>
      <c r="F462" s="21" t="n">
        <v>9</v>
      </c>
      <c r="G462" s="21" t="n">
        <v>345</v>
      </c>
      <c r="H462" s="21" t="n">
        <v>190</v>
      </c>
      <c r="I462" s="21" t="n">
        <v>77</v>
      </c>
      <c r="J462" s="23" t="n">
        <v>0</v>
      </c>
      <c r="K462" s="23" t="n">
        <v>0</v>
      </c>
      <c r="L462" s="23" t="n">
        <v>0</v>
      </c>
      <c r="M462" s="23" t="n">
        <v>0</v>
      </c>
      <c r="N462" s="23" t="n">
        <v>0</v>
      </c>
      <c r="O462" s="23" t="n">
        <v>0</v>
      </c>
      <c r="P462" s="42" t="inlineStr">
        <is>
          <t>Cloth Tunic, Cloth Cap, Cloth Leggings, Cloth Shoes, Small Sword, Wooden Buckler, Worn Leather Belt, Worn Leather Gloves, Threadbare Cloak, Simple Pendant, Patchwork Pauldrons, Copper Band, Copper Band</t>
        </is>
      </c>
    </row>
    <row r="463">
      <c r="A463" s="21" t="n">
        <v>10</v>
      </c>
      <c r="B463" s="21" t="inlineStr">
        <is>
          <t>Warrior</t>
        </is>
      </c>
      <c r="C463" s="21" t="n">
        <v>3</v>
      </c>
      <c r="D463" s="21" t="n">
        <v>14</v>
      </c>
      <c r="E463" s="21" t="n">
        <v>10</v>
      </c>
      <c r="F463" s="21" t="n">
        <v>9</v>
      </c>
      <c r="G463" s="21" t="n">
        <v>345</v>
      </c>
      <c r="H463" s="21" t="n">
        <v>190</v>
      </c>
      <c r="I463" s="21" t="n">
        <v>93</v>
      </c>
      <c r="J463" s="23" t="n">
        <v>0</v>
      </c>
      <c r="K463" s="23" t="n">
        <v>0</v>
      </c>
      <c r="L463" s="23" t="n">
        <v>0</v>
      </c>
      <c r="M463" s="23" t="n">
        <v>0</v>
      </c>
      <c r="N463" s="23" t="n">
        <v>0</v>
      </c>
      <c r="O463" s="23" t="n">
        <v>0</v>
      </c>
      <c r="P463" s="42" t="inlineStr">
        <is>
          <t>Leather Tunic, Leather Cap, Leather Leggings, Leather Boots, Small Sword, Wooden Buckler, Worn Leather Belt, Worn Leather Gloves, Threadbare Cloak, Simple Pendant, Patchwork Pauldrons, Copper Band, Copper Band</t>
        </is>
      </c>
    </row>
    <row r="464">
      <c r="A464" s="21" t="n">
        <v>11</v>
      </c>
      <c r="B464" s="21" t="inlineStr">
        <is>
          <t>Warrior</t>
        </is>
      </c>
      <c r="C464" s="21" t="n">
        <v>3</v>
      </c>
      <c r="D464" s="21" t="n">
        <v>14</v>
      </c>
      <c r="E464" s="21" t="n">
        <v>10</v>
      </c>
      <c r="F464" s="21" t="n">
        <v>9</v>
      </c>
      <c r="G464" s="21" t="n">
        <v>345</v>
      </c>
      <c r="H464" s="21" t="n">
        <v>190</v>
      </c>
      <c r="I464" s="21" t="n">
        <v>93</v>
      </c>
      <c r="J464" s="23" t="n">
        <v>0</v>
      </c>
      <c r="K464" s="23" t="n">
        <v>0</v>
      </c>
      <c r="L464" s="23" t="n">
        <v>0</v>
      </c>
      <c r="M464" s="23" t="n">
        <v>0</v>
      </c>
      <c r="N464" s="23" t="n">
        <v>0</v>
      </c>
      <c r="O464" s="23" t="n">
        <v>0</v>
      </c>
      <c r="P464" s="42" t="inlineStr">
        <is>
          <t>Leather Tunic, Leather Cap, Leather Leggings, Leather Boots, Small Sword, Wooden Buckler, Worn Leather Belt, Worn Leather Gloves, Threadbare Cloak, Simple Pendant, Patchwork Pauldrons, Copper Band, Copper Band</t>
        </is>
      </c>
    </row>
    <row r="465">
      <c r="A465" s="21" t="n">
        <v>12</v>
      </c>
      <c r="B465" s="21" t="inlineStr">
        <is>
          <t>Warrior</t>
        </is>
      </c>
      <c r="C465" s="21" t="n">
        <v>3</v>
      </c>
      <c r="D465" s="21" t="n">
        <v>14</v>
      </c>
      <c r="E465" s="21" t="n">
        <v>10</v>
      </c>
      <c r="F465" s="21" t="n">
        <v>9</v>
      </c>
      <c r="G465" s="21" t="n">
        <v>345</v>
      </c>
      <c r="H465" s="21" t="n">
        <v>190</v>
      </c>
      <c r="I465" s="21" t="n">
        <v>93</v>
      </c>
      <c r="J465" s="23" t="n">
        <v>0</v>
      </c>
      <c r="K465" s="23" t="n">
        <v>0</v>
      </c>
      <c r="L465" s="23" t="n">
        <v>0</v>
      </c>
      <c r="M465" s="23" t="n">
        <v>0</v>
      </c>
      <c r="N465" s="23" t="n">
        <v>0</v>
      </c>
      <c r="O465" s="23" t="n">
        <v>0</v>
      </c>
      <c r="P465" s="42" t="inlineStr">
        <is>
          <t>Leather Tunic, Leather Cap, Leather Leggings, Leather Boots, Small Sword, Wooden Buckler, Worn Leather Belt, Worn Leather Gloves, Threadbare Cloak, Simple Pendant, Patchwork Pauldrons, Copper Band, Copper Band</t>
        </is>
      </c>
    </row>
    <row r="466">
      <c r="A466" s="21" t="n">
        <v>13</v>
      </c>
      <c r="B466" s="21" t="inlineStr">
        <is>
          <t>Warrior</t>
        </is>
      </c>
      <c r="C466" s="21" t="n">
        <v>3</v>
      </c>
      <c r="D466" s="21" t="n">
        <v>14</v>
      </c>
      <c r="E466" s="21" t="n">
        <v>10</v>
      </c>
      <c r="F466" s="21" t="n">
        <v>15</v>
      </c>
      <c r="G466" s="21" t="n">
        <v>415</v>
      </c>
      <c r="H466" s="21" t="n">
        <v>240</v>
      </c>
      <c r="I466" s="21" t="n">
        <v>105</v>
      </c>
      <c r="J466" s="23" t="n">
        <v>0</v>
      </c>
      <c r="K466" s="23" t="n">
        <v>0</v>
      </c>
      <c r="L466" s="23" t="n">
        <v>0</v>
      </c>
      <c r="M466" s="23" t="n">
        <v>0.04</v>
      </c>
      <c r="N466" s="23" t="n">
        <v>0</v>
      </c>
      <c r="O466" s="23" t="n">
        <v>0</v>
      </c>
      <c r="P466" s="42" t="inlineStr">
        <is>
          <t>Leather Tunic, Leather Cap, Leather Leggings, Leather Boots, Small Sword, Wooden Buckler, Worn Leather Belt, Worn Leather Gloves, Threadbare Cloak, Simple Pendant, Patchwork Pauldrons, Ring of the Trail, Ring of the Trail</t>
        </is>
      </c>
    </row>
    <row r="467">
      <c r="A467" s="21" t="n">
        <v>14</v>
      </c>
      <c r="B467" s="21" t="inlineStr">
        <is>
          <t>Warrior</t>
        </is>
      </c>
      <c r="C467" s="21" t="n">
        <v>3</v>
      </c>
      <c r="D467" s="21" t="n">
        <v>14</v>
      </c>
      <c r="E467" s="21" t="n">
        <v>10</v>
      </c>
      <c r="F467" s="21" t="n">
        <v>19</v>
      </c>
      <c r="G467" s="21" t="n">
        <v>480</v>
      </c>
      <c r="H467" s="21" t="n">
        <v>240</v>
      </c>
      <c r="I467" s="21" t="n">
        <v>115</v>
      </c>
      <c r="J467" s="23" t="n">
        <v>0</v>
      </c>
      <c r="K467" s="23" t="n">
        <v>0</v>
      </c>
      <c r="L467" s="23" t="n">
        <v>0.02</v>
      </c>
      <c r="M467" s="23" t="n">
        <v>0.04</v>
      </c>
      <c r="N467" s="23" t="n">
        <v>0</v>
      </c>
      <c r="O467" s="23" t="n">
        <v>0</v>
      </c>
      <c r="P467" s="42" t="inlineStr">
        <is>
          <t>Leather Tunic, Leather Cap, Leather Leggings, Leather Boots, Small Sword, Wooden Buckler, Worn Leather Belt, Scout's Gloves, Threadbare Cloak, Simple Pendant, Patchwork Pauldrons, Ring of the Trail, Ring of the Trail</t>
        </is>
      </c>
    </row>
    <row r="468">
      <c r="A468" s="21" t="n">
        <v>15</v>
      </c>
      <c r="B468" s="21" t="inlineStr">
        <is>
          <t>Warrior</t>
        </is>
      </c>
      <c r="C468" s="21" t="n">
        <v>3</v>
      </c>
      <c r="D468" s="21" t="n">
        <v>24</v>
      </c>
      <c r="E468" s="21" t="n">
        <v>10</v>
      </c>
      <c r="F468" s="21" t="n">
        <v>19</v>
      </c>
      <c r="G468" s="21" t="n">
        <v>480</v>
      </c>
      <c r="H468" s="21" t="n">
        <v>240</v>
      </c>
      <c r="I468" s="21" t="n">
        <v>115</v>
      </c>
      <c r="J468" s="23" t="n">
        <v>0</v>
      </c>
      <c r="K468" s="23" t="n">
        <v>0</v>
      </c>
      <c r="L468" s="23" t="n">
        <v>0.02</v>
      </c>
      <c r="M468" s="23" t="n">
        <v>0.04</v>
      </c>
      <c r="N468" s="23" t="n">
        <v>0</v>
      </c>
      <c r="O468" s="23" t="n">
        <v>0</v>
      </c>
      <c r="P468" s="42" t="inlineStr">
        <is>
          <t>Leather Tunic, Leather Cap, Leather Leggings, Leather Boots, Long Sword, Wooden Buckler, Worn Leather Belt, Scout's Gloves, Threadbare Cloak, Simple Pendant, Patchwork Pauldrons, Ring of the Trail, Ring of the Trail</t>
        </is>
      </c>
    </row>
    <row r="469">
      <c r="A469" s="21" t="n">
        <v>16</v>
      </c>
      <c r="B469" s="21" t="inlineStr">
        <is>
          <t>Warrior</t>
        </is>
      </c>
      <c r="C469" s="21" t="n">
        <v>3</v>
      </c>
      <c r="D469" s="21" t="n">
        <v>24</v>
      </c>
      <c r="E469" s="21" t="n">
        <v>10</v>
      </c>
      <c r="F469" s="21" t="n">
        <v>19</v>
      </c>
      <c r="G469" s="21" t="n">
        <v>510</v>
      </c>
      <c r="H469" s="21" t="n">
        <v>270</v>
      </c>
      <c r="I469" s="21" t="n">
        <v>122</v>
      </c>
      <c r="J469" s="23" t="n">
        <v>0</v>
      </c>
      <c r="K469" s="23" t="n">
        <v>0</v>
      </c>
      <c r="L469" s="23" t="n">
        <v>0.02</v>
      </c>
      <c r="M469" s="23" t="n">
        <v>0.04</v>
      </c>
      <c r="N469" s="23" t="n">
        <v>0.02</v>
      </c>
      <c r="O469" s="23" t="n">
        <v>0</v>
      </c>
      <c r="P469" s="42" t="inlineStr">
        <is>
          <t>Leather Tunic, Leather Cap, Leather Leggings, Leather Boots, Long Sword, Wooden Buckler, Worn Leather Belt, Scout's Gloves, Traveler's Cloak, Simple Pendant, Patchwork Pauldrons, Ring of the Trail, Ring of the Trail</t>
        </is>
      </c>
    </row>
    <row r="470">
      <c r="A470" s="21" t="n">
        <v>17</v>
      </c>
      <c r="B470" s="21" t="inlineStr">
        <is>
          <t>Warrior</t>
        </is>
      </c>
      <c r="C470" s="21" t="n">
        <v>3</v>
      </c>
      <c r="D470" s="21" t="n">
        <v>24</v>
      </c>
      <c r="E470" s="21" t="n">
        <v>10</v>
      </c>
      <c r="F470" s="21" t="n">
        <v>19</v>
      </c>
      <c r="G470" s="21" t="n">
        <v>545</v>
      </c>
      <c r="H470" s="21" t="n">
        <v>410</v>
      </c>
      <c r="I470" s="21" t="n">
        <v>129</v>
      </c>
      <c r="J470" s="23" t="n">
        <v>0.03</v>
      </c>
      <c r="K470" s="23" t="n">
        <v>0</v>
      </c>
      <c r="L470" s="23" t="n">
        <v>0.02</v>
      </c>
      <c r="M470" s="23" t="n">
        <v>0.04</v>
      </c>
      <c r="N470" s="23" t="n">
        <v>0.02</v>
      </c>
      <c r="O470" s="23" t="n">
        <v>0</v>
      </c>
      <c r="P470" s="42" t="inlineStr">
        <is>
          <t>Leather Tunic, Leather Cap, Leather Leggings, Leather Boots, Long Sword, Wooden Buckler, Worn Leather Belt, Scout's Gloves, Traveler's Cloak, Charm of Focus, Patchwork Pauldrons, Ring of the Trail, Ring of the Trail</t>
        </is>
      </c>
    </row>
    <row r="471">
      <c r="A471" s="21" t="n">
        <v>18</v>
      </c>
      <c r="B471" s="21" t="inlineStr">
        <is>
          <t>Warrior</t>
        </is>
      </c>
      <c r="C471" s="21" t="n">
        <v>3</v>
      </c>
      <c r="D471" s="21" t="n">
        <v>24</v>
      </c>
      <c r="E471" s="21" t="n">
        <v>10</v>
      </c>
      <c r="F471" s="21" t="n">
        <v>22</v>
      </c>
      <c r="G471" s="21" t="n">
        <v>710</v>
      </c>
      <c r="H471" s="21" t="n">
        <v>410</v>
      </c>
      <c r="I471" s="21" t="n">
        <v>184</v>
      </c>
      <c r="J471" s="23" t="n">
        <v>0.03</v>
      </c>
      <c r="K471" s="23" t="n">
        <v>0</v>
      </c>
      <c r="L471" s="23" t="n">
        <v>0.02</v>
      </c>
      <c r="M471" s="23" t="n">
        <v>0.04</v>
      </c>
      <c r="N471" s="23" t="n">
        <v>0.02</v>
      </c>
      <c r="O471" s="23" t="n">
        <v>0.02</v>
      </c>
      <c r="P471" s="42" t="inlineStr">
        <is>
          <t>Bronze Chestplate, Bronze Helmet, Bronze Legplates, Bronze Boots, Long Sword, Wooden Buckler, Worn Leather Belt, Scout's Gloves, Traveler's Cloak, Charm of Focus, Cold Iron Pauldrons, Ring of the Trail, Ring of the Trail</t>
        </is>
      </c>
    </row>
    <row r="472">
      <c r="A472" s="21" t="n">
        <v>19</v>
      </c>
      <c r="B472" s="21" t="inlineStr">
        <is>
          <t>Warrior</t>
        </is>
      </c>
      <c r="C472" s="21" t="n">
        <v>3</v>
      </c>
      <c r="D472" s="21" t="n">
        <v>24</v>
      </c>
      <c r="E472" s="21" t="n">
        <v>10</v>
      </c>
      <c r="F472" s="21" t="n">
        <v>22</v>
      </c>
      <c r="G472" s="21" t="n">
        <v>710</v>
      </c>
      <c r="H472" s="21" t="n">
        <v>410</v>
      </c>
      <c r="I472" s="21" t="n">
        <v>184</v>
      </c>
      <c r="J472" s="23" t="n">
        <v>0.03</v>
      </c>
      <c r="K472" s="23" t="n">
        <v>0</v>
      </c>
      <c r="L472" s="23" t="n">
        <v>0.02</v>
      </c>
      <c r="M472" s="23" t="n">
        <v>0.04</v>
      </c>
      <c r="N472" s="23" t="n">
        <v>0.02</v>
      </c>
      <c r="O472" s="23" t="n">
        <v>0.02</v>
      </c>
      <c r="P472" s="42" t="inlineStr">
        <is>
          <t>Bronze Chestplate, Bronze Helmet, Bronze Legplates, Bronze Boots, Long Sword, Wooden Buckler, Worn Leather Belt, Scout's Gloves, Traveler's Cloak, Charm of Focus, Cold Iron Pauldrons, Ring of the Trail, Ring of the Trail</t>
        </is>
      </c>
    </row>
    <row r="473">
      <c r="A473" s="21" t="n">
        <v>20</v>
      </c>
      <c r="B473" s="21" t="inlineStr">
        <is>
          <t>Warrior</t>
        </is>
      </c>
      <c r="C473" s="21" t="n">
        <v>3</v>
      </c>
      <c r="D473" s="21" t="n">
        <v>24</v>
      </c>
      <c r="E473" s="21" t="n">
        <v>10</v>
      </c>
      <c r="F473" s="21" t="n">
        <v>26</v>
      </c>
      <c r="G473" s="21" t="n">
        <v>995</v>
      </c>
      <c r="H473" s="21" t="n">
        <v>410</v>
      </c>
      <c r="I473" s="21" t="n">
        <v>235</v>
      </c>
      <c r="J473" s="23" t="n">
        <v>0.05</v>
      </c>
      <c r="K473" s="23" t="n">
        <v>0</v>
      </c>
      <c r="L473" s="23" t="n">
        <v>0.04</v>
      </c>
      <c r="M473" s="23" t="n">
        <v>0.04</v>
      </c>
      <c r="N473" s="23" t="n">
        <v>0.02</v>
      </c>
      <c r="O473" s="23" t="n">
        <v>0.02</v>
      </c>
      <c r="P473" s="42" t="inlineStr">
        <is>
          <t>Bronze Chestplate, Bronze Helmet, Bronze Legplates, Bronze Boots, Long Sword, Kite Shield, Sturdy Belt, Scout's Gloves, Traveler's Cloak, Charm of Focus, Cold Iron Pauldrons, Ring of the Trail, Ring of the Trail</t>
        </is>
      </c>
    </row>
    <row r="474">
      <c r="A474" s="21" t="n">
        <v>21</v>
      </c>
      <c r="B474" s="21" t="inlineStr">
        <is>
          <t>Warrior</t>
        </is>
      </c>
      <c r="C474" s="21" t="n">
        <v>3</v>
      </c>
      <c r="D474" s="21" t="n">
        <v>24</v>
      </c>
      <c r="E474" s="21" t="n">
        <v>10</v>
      </c>
      <c r="F474" s="21" t="n">
        <v>26</v>
      </c>
      <c r="G474" s="21" t="n">
        <v>995</v>
      </c>
      <c r="H474" s="21" t="n">
        <v>410</v>
      </c>
      <c r="I474" s="21" t="n">
        <v>235</v>
      </c>
      <c r="J474" s="23" t="n">
        <v>0.05</v>
      </c>
      <c r="K474" s="23" t="n">
        <v>0</v>
      </c>
      <c r="L474" s="23" t="n">
        <v>0.04</v>
      </c>
      <c r="M474" s="23" t="n">
        <v>0.04</v>
      </c>
      <c r="N474" s="23" t="n">
        <v>0.02</v>
      </c>
      <c r="O474" s="23" t="n">
        <v>0.02</v>
      </c>
      <c r="P474" s="42" t="inlineStr">
        <is>
          <t>Bronze Chestplate, Bronze Helmet, Bronze Legplates, Bronze Boots, Long Sword, Kite Shield, Sturdy Belt, Scout's Gloves, Traveler's Cloak, Charm of Focus, Cold Iron Pauldrons, Ring of the Trail, Ring of the Trail</t>
        </is>
      </c>
    </row>
    <row r="475">
      <c r="A475" s="21" t="n">
        <v>22</v>
      </c>
      <c r="B475" s="21" t="inlineStr">
        <is>
          <t>Warrior</t>
        </is>
      </c>
      <c r="C475" s="21" t="n">
        <v>3</v>
      </c>
      <c r="D475" s="21" t="n">
        <v>24</v>
      </c>
      <c r="E475" s="21" t="n">
        <v>10</v>
      </c>
      <c r="F475" s="21" t="n">
        <v>26</v>
      </c>
      <c r="G475" s="21" t="n">
        <v>995</v>
      </c>
      <c r="H475" s="21" t="n">
        <v>410</v>
      </c>
      <c r="I475" s="21" t="n">
        <v>235</v>
      </c>
      <c r="J475" s="23" t="n">
        <v>0.05</v>
      </c>
      <c r="K475" s="23" t="n">
        <v>0</v>
      </c>
      <c r="L475" s="23" t="n">
        <v>0.04</v>
      </c>
      <c r="M475" s="23" t="n">
        <v>0.04</v>
      </c>
      <c r="N475" s="23" t="n">
        <v>0.02</v>
      </c>
      <c r="O475" s="23" t="n">
        <v>0.02</v>
      </c>
      <c r="P475" s="42" t="inlineStr">
        <is>
          <t>Bronze Chestplate, Bronze Helmet, Bronze Legplates, Bronze Boots, Long Sword, Kite Shield, Sturdy Belt, Scout's Gloves, Traveler's Cloak, Charm of Focus, Cold Iron Pauldrons, Ring of the Trail, Ring of the Trail</t>
        </is>
      </c>
    </row>
    <row r="476">
      <c r="A476" s="21" t="n">
        <v>23</v>
      </c>
      <c r="B476" s="21" t="inlineStr">
        <is>
          <t>Warrior</t>
        </is>
      </c>
      <c r="C476" s="21" t="n">
        <v>3</v>
      </c>
      <c r="D476" s="21" t="n">
        <v>24</v>
      </c>
      <c r="E476" s="21" t="n">
        <v>10</v>
      </c>
      <c r="F476" s="21" t="n">
        <v>32</v>
      </c>
      <c r="G476" s="21" t="n">
        <v>1095</v>
      </c>
      <c r="H476" s="21" t="n">
        <v>470</v>
      </c>
      <c r="I476" s="21" t="n">
        <v>245</v>
      </c>
      <c r="J476" s="23" t="n">
        <v>0.05</v>
      </c>
      <c r="K476" s="23" t="n">
        <v>0</v>
      </c>
      <c r="L476" s="23" t="n">
        <v>0.04</v>
      </c>
      <c r="M476" s="23" t="n">
        <v>0.06</v>
      </c>
      <c r="N476" s="23" t="n">
        <v>0.02</v>
      </c>
      <c r="O476" s="23" t="n">
        <v>0.02</v>
      </c>
      <c r="P476" s="42" t="inlineStr">
        <is>
          <t>Bronze Chestplate, Bronze Helmet, Bronze Legplates, Bronze Boots, Long Sword, Kite Shield, Sturdy Belt, Scout's Gloves, Traveler's Cloak, Charm of Focus, Cold Iron Pauldrons, Ring of the Hunt, Ring of the Hunt</t>
        </is>
      </c>
    </row>
    <row r="477">
      <c r="A477" s="21" t="n">
        <v>24</v>
      </c>
      <c r="B477" s="21" t="inlineStr">
        <is>
          <t>Warrior</t>
        </is>
      </c>
      <c r="C477" s="21" t="n">
        <v>3</v>
      </c>
      <c r="D477" s="21" t="n">
        <v>24</v>
      </c>
      <c r="E477" s="21" t="n">
        <v>10</v>
      </c>
      <c r="F477" s="21" t="n">
        <v>36</v>
      </c>
      <c r="G477" s="21" t="n">
        <v>1185</v>
      </c>
      <c r="H477" s="21" t="n">
        <v>470</v>
      </c>
      <c r="I477" s="21" t="n">
        <v>255</v>
      </c>
      <c r="J477" s="23" t="n">
        <v>0.05</v>
      </c>
      <c r="K477" s="23" t="n">
        <v>0</v>
      </c>
      <c r="L477" s="23" t="n">
        <v>0.05</v>
      </c>
      <c r="M477" s="23" t="n">
        <v>0.06</v>
      </c>
      <c r="N477" s="23" t="n">
        <v>0.02</v>
      </c>
      <c r="O477" s="23" t="n">
        <v>0.02</v>
      </c>
      <c r="P477" s="42" t="inlineStr">
        <is>
          <t>Bronze Chestplate, Bronze Helmet, Bronze Legplates, Bronze Boots, Long Sword, Kite Shield, Sturdy Belt, Reinforced War Gloves, Traveler's Cloak, Charm of Focus, Cold Iron Pauldrons, Ring of the Hunt, Ring of the Hunt</t>
        </is>
      </c>
    </row>
    <row r="478">
      <c r="A478" s="21" t="n">
        <v>25</v>
      </c>
      <c r="B478" s="21" t="inlineStr">
        <is>
          <t>Warrior</t>
        </is>
      </c>
      <c r="C478" s="21" t="n">
        <v>3</v>
      </c>
      <c r="D478" s="21" t="n">
        <v>24</v>
      </c>
      <c r="E478" s="21" t="n">
        <v>10</v>
      </c>
      <c r="F478" s="21" t="n">
        <v>36</v>
      </c>
      <c r="G478" s="21" t="n">
        <v>1185</v>
      </c>
      <c r="H478" s="21" t="n">
        <v>470</v>
      </c>
      <c r="I478" s="21" t="n">
        <v>255</v>
      </c>
      <c r="J478" s="23" t="n">
        <v>0.05</v>
      </c>
      <c r="K478" s="23" t="n">
        <v>0</v>
      </c>
      <c r="L478" s="23" t="n">
        <v>0.05</v>
      </c>
      <c r="M478" s="23" t="n">
        <v>0.06</v>
      </c>
      <c r="N478" s="23" t="n">
        <v>0.02</v>
      </c>
      <c r="O478" s="23" t="n">
        <v>0.02</v>
      </c>
      <c r="P478" s="42" t="inlineStr">
        <is>
          <t>Bronze Chestplate, Bronze Helmet, Bronze Legplates, Bronze Boots, Long Sword, Kite Shield, Sturdy Belt, Reinforced War Gloves, Traveler's Cloak, Charm of Focus, Cold Iron Pauldrons, Ring of the Hunt, Ring of the Hunt</t>
        </is>
      </c>
    </row>
    <row r="479">
      <c r="A479" s="21" t="n">
        <v>26</v>
      </c>
      <c r="B479" s="21" t="inlineStr">
        <is>
          <t>Warrior</t>
        </is>
      </c>
      <c r="C479" s="21" t="n">
        <v>3</v>
      </c>
      <c r="D479" s="21" t="n">
        <v>24</v>
      </c>
      <c r="E479" s="21" t="n">
        <v>10</v>
      </c>
      <c r="F479" s="21" t="n">
        <v>36</v>
      </c>
      <c r="G479" s="21" t="n">
        <v>1225</v>
      </c>
      <c r="H479" s="21" t="n">
        <v>510</v>
      </c>
      <c r="I479" s="21" t="n">
        <v>291</v>
      </c>
      <c r="J479" s="23" t="n">
        <v>0.05</v>
      </c>
      <c r="K479" s="23" t="n">
        <v>0</v>
      </c>
      <c r="L479" s="23" t="n">
        <v>0.05</v>
      </c>
      <c r="M479" s="23" t="n">
        <v>0.06</v>
      </c>
      <c r="N479" s="23" t="n">
        <v>0.03</v>
      </c>
      <c r="O479" s="23" t="n">
        <v>0.02</v>
      </c>
      <c r="P479" s="42" t="inlineStr">
        <is>
          <t>Iron Chestplate, Iron Helmet, Iron Legplates, Iron Boots, Long Sword, Kite Shield, Sturdy Belt, Reinforced War Gloves, Warden's Cloak, Charm of Focus, Cold Iron Pauldrons, Ring of the Hunt, Ring of the Hunt</t>
        </is>
      </c>
    </row>
    <row r="480">
      <c r="A480" s="21" t="n">
        <v>27</v>
      </c>
      <c r="B480" s="21" t="inlineStr">
        <is>
          <t>Warrior</t>
        </is>
      </c>
      <c r="C480" s="21" t="n">
        <v>3</v>
      </c>
      <c r="D480" s="21" t="n">
        <v>40</v>
      </c>
      <c r="E480" s="21" t="n">
        <v>10</v>
      </c>
      <c r="F480" s="21" t="n">
        <v>41</v>
      </c>
      <c r="G480" s="21" t="n">
        <v>1315</v>
      </c>
      <c r="H480" s="21" t="n">
        <v>685</v>
      </c>
      <c r="I480" s="21" t="n">
        <v>297</v>
      </c>
      <c r="J480" s="23" t="n">
        <v>0.07000000000000001</v>
      </c>
      <c r="K480" s="23" t="n">
        <v>0</v>
      </c>
      <c r="L480" s="23" t="n">
        <v>0.05</v>
      </c>
      <c r="M480" s="23" t="n">
        <v>0.06</v>
      </c>
      <c r="N480" s="23" t="n">
        <v>0.03</v>
      </c>
      <c r="O480" s="23" t="n">
        <v>0.02</v>
      </c>
      <c r="P480" s="42" t="inlineStr">
        <is>
          <t>Iron Chestplate, Iron Helmet, Iron Legplates, Iron Boots, Bastard Sword, Kite Shield, Sturdy Belt, Reinforced War Gloves, Warden's Cloak, Charm of Insight, Cold Iron Pauldrons, Ring of the Hunt, Ring of the Hunt</t>
        </is>
      </c>
    </row>
    <row r="481">
      <c r="A481" s="21" t="n">
        <v>28</v>
      </c>
      <c r="B481" s="21" t="inlineStr">
        <is>
          <t>Warrior</t>
        </is>
      </c>
      <c r="C481" s="21" t="n">
        <v>3</v>
      </c>
      <c r="D481" s="21" t="n">
        <v>40</v>
      </c>
      <c r="E481" s="21" t="n">
        <v>10</v>
      </c>
      <c r="F481" s="21" t="n">
        <v>43</v>
      </c>
      <c r="G481" s="21" t="n">
        <v>1495</v>
      </c>
      <c r="H481" s="21" t="n">
        <v>685</v>
      </c>
      <c r="I481" s="21" t="n">
        <v>314</v>
      </c>
      <c r="J481" s="23" t="n">
        <v>0.07000000000000001</v>
      </c>
      <c r="K481" s="23" t="n">
        <v>0</v>
      </c>
      <c r="L481" s="23" t="n">
        <v>0.05</v>
      </c>
      <c r="M481" s="23" t="n">
        <v>0.06</v>
      </c>
      <c r="N481" s="23" t="n">
        <v>0.03</v>
      </c>
      <c r="O481" s="23" t="n">
        <v>0.03</v>
      </c>
      <c r="P481" s="42" t="inlineStr">
        <is>
          <t>Iron Chestplate, Iron Helmet, Iron Legplates, Iron Boots, Bastard Sword, Kite Shield, Sturdy Belt, Reinforced War Gloves, Warden's Cloak, Charm of Insight, Tempered Pauldrons, Ring of the Hunt, Ring of the Hunt</t>
        </is>
      </c>
    </row>
    <row r="482">
      <c r="A482" s="21" t="n">
        <v>29</v>
      </c>
      <c r="B482" s="21" t="inlineStr">
        <is>
          <t>Warrior</t>
        </is>
      </c>
      <c r="C482" s="21" t="n">
        <v>3</v>
      </c>
      <c r="D482" s="21" t="n">
        <v>40</v>
      </c>
      <c r="E482" s="21" t="n">
        <v>10</v>
      </c>
      <c r="F482" s="21" t="n">
        <v>43</v>
      </c>
      <c r="G482" s="21" t="n">
        <v>1495</v>
      </c>
      <c r="H482" s="21" t="n">
        <v>685</v>
      </c>
      <c r="I482" s="21" t="n">
        <v>314</v>
      </c>
      <c r="J482" s="23" t="n">
        <v>0.07000000000000001</v>
      </c>
      <c r="K482" s="23" t="n">
        <v>0</v>
      </c>
      <c r="L482" s="23" t="n">
        <v>0.05</v>
      </c>
      <c r="M482" s="23" t="n">
        <v>0.06</v>
      </c>
      <c r="N482" s="23" t="n">
        <v>0.03</v>
      </c>
      <c r="O482" s="23" t="n">
        <v>0.03</v>
      </c>
      <c r="P482" s="42" t="inlineStr">
        <is>
          <t>Iron Chestplate, Iron Helmet, Iron Legplates, Iron Boots, Bastard Sword, Kite Shield, Sturdy Belt, Reinforced War Gloves, Warden's Cloak, Charm of Insight, Tempered Pauldrons, Ring of the Hunt, Ring of the Hunt</t>
        </is>
      </c>
    </row>
    <row r="483">
      <c r="A483" s="21" t="n">
        <v>30</v>
      </c>
      <c r="B483" s="21" t="inlineStr">
        <is>
          <t>Warrior</t>
        </is>
      </c>
      <c r="C483" s="21" t="n">
        <v>3</v>
      </c>
      <c r="D483" s="21" t="n">
        <v>40</v>
      </c>
      <c r="E483" s="21" t="n">
        <v>10</v>
      </c>
      <c r="F483" s="21" t="n">
        <v>46</v>
      </c>
      <c r="G483" s="21" t="n">
        <v>1715</v>
      </c>
      <c r="H483" s="21" t="n">
        <v>685</v>
      </c>
      <c r="I483" s="21" t="n">
        <v>323</v>
      </c>
      <c r="J483" s="23" t="n">
        <v>0.08</v>
      </c>
      <c r="K483" s="23" t="n">
        <v>0</v>
      </c>
      <c r="L483" s="23" t="n">
        <v>0.06</v>
      </c>
      <c r="M483" s="23" t="n">
        <v>0.06</v>
      </c>
      <c r="N483" s="23" t="n">
        <v>0.03</v>
      </c>
      <c r="O483" s="23" t="n">
        <v>0.03</v>
      </c>
      <c r="P483" s="42" t="inlineStr">
        <is>
          <t>Iron Chestplate, Iron Helmet, Iron Legplates, Iron Boots, Bastard Sword, Kite Shield, Ironbound Belt, Reinforced War Gloves, Warden's Cloak, Charm of Insight, Tempered Pauldrons, Ring of the Hunt, Ring of the Hunt</t>
        </is>
      </c>
    </row>
    <row r="484">
      <c r="A484" s="21" t="n">
        <v>31</v>
      </c>
      <c r="B484" s="21" t="inlineStr">
        <is>
          <t>Warrior</t>
        </is>
      </c>
      <c r="C484" s="21" t="n">
        <v>3</v>
      </c>
      <c r="D484" s="21" t="n">
        <v>40</v>
      </c>
      <c r="E484" s="21" t="n">
        <v>10</v>
      </c>
      <c r="F484" s="21" t="n">
        <v>46</v>
      </c>
      <c r="G484" s="21" t="n">
        <v>1715</v>
      </c>
      <c r="H484" s="21" t="n">
        <v>685</v>
      </c>
      <c r="I484" s="21" t="n">
        <v>323</v>
      </c>
      <c r="J484" s="23" t="n">
        <v>0.08</v>
      </c>
      <c r="K484" s="23" t="n">
        <v>0</v>
      </c>
      <c r="L484" s="23" t="n">
        <v>0.06</v>
      </c>
      <c r="M484" s="23" t="n">
        <v>0.06</v>
      </c>
      <c r="N484" s="23" t="n">
        <v>0.03</v>
      </c>
      <c r="O484" s="23" t="n">
        <v>0.03</v>
      </c>
      <c r="P484" s="42" t="inlineStr">
        <is>
          <t>Iron Chestplate, Iron Helmet, Iron Legplates, Iron Boots, Bastard Sword, Kite Shield, Ironbound Belt, Reinforced War Gloves, Warden's Cloak, Charm of Insight, Tempered Pauldrons, Ring of the Hunt, Ring of the Hunt</t>
        </is>
      </c>
    </row>
    <row r="485">
      <c r="A485" s="21" t="n">
        <v>32</v>
      </c>
      <c r="B485" s="21" t="inlineStr">
        <is>
          <t>Warrior</t>
        </is>
      </c>
      <c r="C485" s="21" t="n">
        <v>3</v>
      </c>
      <c r="D485" s="21" t="n">
        <v>40</v>
      </c>
      <c r="E485" s="21" t="n">
        <v>10</v>
      </c>
      <c r="F485" s="21" t="n">
        <v>46</v>
      </c>
      <c r="G485" s="21" t="n">
        <v>1715</v>
      </c>
      <c r="H485" s="21" t="n">
        <v>685</v>
      </c>
      <c r="I485" s="21" t="n">
        <v>323</v>
      </c>
      <c r="J485" s="23" t="n">
        <v>0.08</v>
      </c>
      <c r="K485" s="23" t="n">
        <v>0</v>
      </c>
      <c r="L485" s="23" t="n">
        <v>0.06</v>
      </c>
      <c r="M485" s="23" t="n">
        <v>0.06</v>
      </c>
      <c r="N485" s="23" t="n">
        <v>0.03</v>
      </c>
      <c r="O485" s="23" t="n">
        <v>0.03</v>
      </c>
      <c r="P485" s="42" t="inlineStr">
        <is>
          <t>Iron Chestplate, Iron Helmet, Iron Legplates, Iron Boots, Bastard Sword, Kite Shield, Ironbound Belt, Reinforced War Gloves, Warden's Cloak, Charm of Insight, Tempered Pauldrons, Ring of the Hunt, Ring of the Hunt</t>
        </is>
      </c>
    </row>
    <row r="486">
      <c r="A486" s="21" t="n">
        <v>33</v>
      </c>
      <c r="B486" s="21" t="inlineStr">
        <is>
          <t>Warrior</t>
        </is>
      </c>
      <c r="C486" s="21" t="n">
        <v>3</v>
      </c>
      <c r="D486" s="21" t="n">
        <v>40</v>
      </c>
      <c r="E486" s="21" t="n">
        <v>10</v>
      </c>
      <c r="F486" s="21" t="n">
        <v>54</v>
      </c>
      <c r="G486" s="21" t="n">
        <v>1835</v>
      </c>
      <c r="H486" s="21" t="n">
        <v>765</v>
      </c>
      <c r="I486" s="21" t="n">
        <v>333</v>
      </c>
      <c r="J486" s="23" t="n">
        <v>0.08</v>
      </c>
      <c r="K486" s="23" t="n">
        <v>0</v>
      </c>
      <c r="L486" s="23" t="n">
        <v>0.06</v>
      </c>
      <c r="M486" s="23" t="n">
        <v>0.08</v>
      </c>
      <c r="N486" s="23" t="n">
        <v>0.03</v>
      </c>
      <c r="O486" s="23" t="n">
        <v>0.03</v>
      </c>
      <c r="P486" s="42" t="inlineStr">
        <is>
          <t>Iron Chestplate, Iron Helmet, Iron Legplates, Iron Boots, Bastard Sword, Kite Shield, Ironbound Belt, Reinforced War Gloves, Warden's Cloak, Charm of Insight, Tempered Pauldrons, Ring of the Vanguard, Ring of the Vanguard</t>
        </is>
      </c>
    </row>
    <row r="487">
      <c r="A487" s="21" t="n">
        <v>34</v>
      </c>
      <c r="B487" s="21" t="inlineStr">
        <is>
          <t>Warrior</t>
        </is>
      </c>
      <c r="C487" s="21" t="n">
        <v>3</v>
      </c>
      <c r="D487" s="21" t="n">
        <v>40</v>
      </c>
      <c r="E487" s="21" t="n">
        <v>10</v>
      </c>
      <c r="F487" s="21" t="n">
        <v>58</v>
      </c>
      <c r="G487" s="21" t="n">
        <v>1925</v>
      </c>
      <c r="H487" s="21" t="n">
        <v>765</v>
      </c>
      <c r="I487" s="21" t="n">
        <v>386</v>
      </c>
      <c r="J487" s="23" t="n">
        <v>0.08</v>
      </c>
      <c r="K487" s="23" t="n">
        <v>0</v>
      </c>
      <c r="L487" s="23" t="n">
        <v>0.07000000000000001</v>
      </c>
      <c r="M487" s="23" t="n">
        <v>0.08</v>
      </c>
      <c r="N487" s="23" t="n">
        <v>0.03</v>
      </c>
      <c r="O487" s="23" t="n">
        <v>0.03</v>
      </c>
      <c r="P487" s="42" t="inlineStr">
        <is>
          <t>Steel Chestplate, Steel Helmet, Steel Legplates, Steel Boots, Bastard Sword, Kite Shield, Ironbound Belt, Runed War Gloves, Warden's Cloak, Charm of Insight, Tempered Pauldrons, Ring of the Vanguard, Ring of the Vanguard</t>
        </is>
      </c>
    </row>
    <row r="488">
      <c r="A488" s="21" t="n">
        <v>35</v>
      </c>
      <c r="B488" s="21" t="inlineStr">
        <is>
          <t>Warrior</t>
        </is>
      </c>
      <c r="C488" s="21" t="n">
        <v>3</v>
      </c>
      <c r="D488" s="21" t="n">
        <v>40</v>
      </c>
      <c r="E488" s="21" t="n">
        <v>10</v>
      </c>
      <c r="F488" s="21" t="n">
        <v>58</v>
      </c>
      <c r="G488" s="21" t="n">
        <v>1925</v>
      </c>
      <c r="H488" s="21" t="n">
        <v>765</v>
      </c>
      <c r="I488" s="21" t="n">
        <v>436</v>
      </c>
      <c r="J488" s="23" t="n">
        <v>0.08</v>
      </c>
      <c r="K488" s="23" t="n">
        <v>0</v>
      </c>
      <c r="L488" s="23" t="n">
        <v>0.07000000000000001</v>
      </c>
      <c r="M488" s="23" t="n">
        <v>0.08</v>
      </c>
      <c r="N488" s="23" t="n">
        <v>0.03</v>
      </c>
      <c r="O488" s="23" t="n">
        <v>0.03</v>
      </c>
      <c r="P488" s="42" t="inlineStr">
        <is>
          <t>Steel Chestplate, Steel Helmet, Steel Legplates, Steel Boots, Bastard Sword, Firebrand Shield, Ironbound Belt, Runed War Gloves, Warden's Cloak, Charm of Insight, Tempered Pauldrons, Ring of the Vanguard, Ring of the Vanguard</t>
        </is>
      </c>
    </row>
    <row r="489">
      <c r="A489" s="21" t="n">
        <v>36</v>
      </c>
      <c r="B489" s="21" t="inlineStr">
        <is>
          <t>Warrior</t>
        </is>
      </c>
      <c r="C489" s="21" t="n">
        <v>3</v>
      </c>
      <c r="D489" s="21" t="n">
        <v>40</v>
      </c>
      <c r="E489" s="21" t="n">
        <v>10</v>
      </c>
      <c r="F489" s="21" t="n">
        <v>58</v>
      </c>
      <c r="G489" s="21" t="n">
        <v>1960</v>
      </c>
      <c r="H489" s="21" t="n">
        <v>800</v>
      </c>
      <c r="I489" s="21" t="n">
        <v>446</v>
      </c>
      <c r="J489" s="23" t="n">
        <v>0.08</v>
      </c>
      <c r="K489" s="23" t="n">
        <v>0</v>
      </c>
      <c r="L489" s="23" t="n">
        <v>0.07000000000000001</v>
      </c>
      <c r="M489" s="23" t="n">
        <v>0.08</v>
      </c>
      <c r="N489" s="23" t="n">
        <v>0.04</v>
      </c>
      <c r="O489" s="23" t="n">
        <v>0.03</v>
      </c>
      <c r="P489" s="42" t="inlineStr">
        <is>
          <t>Steel Chestplate, Steel Helmet, Steel Legplates, Steel Boots, Bastard Sword, Firebrand Shield, Ironbound Belt, Runed War Gloves, Stormward Cloak, Charm of Insight, Tempered Pauldrons, Ring of the Vanguard, Ring of the Vanguard</t>
        </is>
      </c>
    </row>
    <row r="490">
      <c r="A490" s="21" t="n">
        <v>37</v>
      </c>
      <c r="B490" s="21" t="inlineStr">
        <is>
          <t>Warrior</t>
        </is>
      </c>
      <c r="C490" s="21" t="n">
        <v>3</v>
      </c>
      <c r="D490" s="21" t="n">
        <v>40</v>
      </c>
      <c r="E490" s="21" t="n">
        <v>10</v>
      </c>
      <c r="F490" s="21" t="n">
        <v>58</v>
      </c>
      <c r="G490" s="21" t="n">
        <v>1990</v>
      </c>
      <c r="H490" s="21" t="n">
        <v>960</v>
      </c>
      <c r="I490" s="21" t="n">
        <v>453</v>
      </c>
      <c r="J490" s="23" t="n">
        <v>0.1</v>
      </c>
      <c r="K490" s="23" t="n">
        <v>0</v>
      </c>
      <c r="L490" s="23" t="n">
        <v>0.07000000000000001</v>
      </c>
      <c r="M490" s="23" t="n">
        <v>0.08</v>
      </c>
      <c r="N490" s="23" t="n">
        <v>0.04</v>
      </c>
      <c r="O490" s="23" t="n">
        <v>0.03</v>
      </c>
      <c r="P490" s="42" t="inlineStr">
        <is>
          <t>Steel Chestplate, Steel Helmet, Steel Legplates, Steel Boots, Bastard Sword, Firebrand Shield, Ironbound Belt, Runed War Gloves, Stormward Cloak, Charm of Ascendance, Tempered Pauldrons, Ring of the Vanguard, Ring of the Vanguard</t>
        </is>
      </c>
    </row>
    <row r="491">
      <c r="A491" s="21" t="n">
        <v>38</v>
      </c>
      <c r="B491" s="21" t="inlineStr">
        <is>
          <t>Warrior</t>
        </is>
      </c>
      <c r="C491" s="21" t="n">
        <v>3</v>
      </c>
      <c r="D491" s="21" t="n">
        <v>40</v>
      </c>
      <c r="E491" s="21" t="n">
        <v>10</v>
      </c>
      <c r="F491" s="21" t="n">
        <v>60</v>
      </c>
      <c r="G491" s="21" t="n">
        <v>2145</v>
      </c>
      <c r="H491" s="21" t="n">
        <v>960</v>
      </c>
      <c r="I491" s="21" t="n">
        <v>468</v>
      </c>
      <c r="J491" s="23" t="n">
        <v>0.1</v>
      </c>
      <c r="K491" s="23" t="n">
        <v>0</v>
      </c>
      <c r="L491" s="23" t="n">
        <v>0.07000000000000001</v>
      </c>
      <c r="M491" s="23" t="n">
        <v>0.08</v>
      </c>
      <c r="N491" s="23" t="n">
        <v>0.04</v>
      </c>
      <c r="O491" s="23" t="n">
        <v>0.04</v>
      </c>
      <c r="P491" s="42" t="inlineStr">
        <is>
          <t>Steel Chestplate, Steel Helmet, Steel Legplates, Steel Boots, Bastard Sword, Firebrand Shield, Ironbound Belt, Runed War Gloves, Stormward Cloak, Charm of Ascendance, Runeplate Pauldrons, Ring of the Vanguard, Ring of the Vanguard</t>
        </is>
      </c>
    </row>
    <row r="492">
      <c r="A492" s="21" t="n">
        <v>39</v>
      </c>
      <c r="B492" s="21" t="inlineStr">
        <is>
          <t>Warrior</t>
        </is>
      </c>
      <c r="C492" s="21" t="n">
        <v>3</v>
      </c>
      <c r="D492" s="21" t="n">
        <v>40</v>
      </c>
      <c r="E492" s="21" t="n">
        <v>10</v>
      </c>
      <c r="F492" s="21" t="n">
        <v>60</v>
      </c>
      <c r="G492" s="21" t="n">
        <v>2145</v>
      </c>
      <c r="H492" s="21" t="n">
        <v>960</v>
      </c>
      <c r="I492" s="21" t="n">
        <v>468</v>
      </c>
      <c r="J492" s="23" t="n">
        <v>0.1</v>
      </c>
      <c r="K492" s="23" t="n">
        <v>0</v>
      </c>
      <c r="L492" s="23" t="n">
        <v>0.07000000000000001</v>
      </c>
      <c r="M492" s="23" t="n">
        <v>0.08</v>
      </c>
      <c r="N492" s="23" t="n">
        <v>0.04</v>
      </c>
      <c r="O492" s="23" t="n">
        <v>0.04</v>
      </c>
      <c r="P492" s="42" t="inlineStr">
        <is>
          <t>Steel Chestplate, Steel Helmet, Steel Legplates, Steel Boots, Bastard Sword, Firebrand Shield, Ironbound Belt, Runed War Gloves, Stormward Cloak, Charm of Ascendance, Runeplate Pauldrons, Ring of the Vanguard, Ring of the Vanguard</t>
        </is>
      </c>
    </row>
    <row r="493">
      <c r="A493" s="21" t="n">
        <v>40</v>
      </c>
      <c r="B493" s="21" t="inlineStr">
        <is>
          <t>Warrior</t>
        </is>
      </c>
      <c r="C493" s="21" t="n">
        <v>3</v>
      </c>
      <c r="D493" s="21" t="n">
        <v>40</v>
      </c>
      <c r="E493" s="21" t="n">
        <v>10</v>
      </c>
      <c r="F493" s="21" t="n">
        <v>62</v>
      </c>
      <c r="G493" s="21" t="n">
        <v>2330</v>
      </c>
      <c r="H493" s="21" t="n">
        <v>960</v>
      </c>
      <c r="I493" s="21" t="n">
        <v>476</v>
      </c>
      <c r="J493" s="23" t="n">
        <v>0.11</v>
      </c>
      <c r="K493" s="23" t="n">
        <v>0</v>
      </c>
      <c r="L493" s="23" t="n">
        <v>0.08</v>
      </c>
      <c r="M493" s="23" t="n">
        <v>0.08</v>
      </c>
      <c r="N493" s="23" t="n">
        <v>0.04</v>
      </c>
      <c r="O493" s="23" t="n">
        <v>0.04</v>
      </c>
      <c r="P493" s="42" t="inlineStr">
        <is>
          <t>Steel Chestplate, Steel Helmet, Steel Legplates, Steel Boots, Bastard Sword, Firebrand Shield, Runeplate Belt, Runed War Gloves, Stormward Cloak, Charm of Ascendance, Runeplate Pauldrons, Ring of the Vanguard, Ring of the Vanguard</t>
        </is>
      </c>
    </row>
    <row r="494">
      <c r="A494" s="21" t="n">
        <v>41</v>
      </c>
      <c r="B494" s="21" t="inlineStr">
        <is>
          <t>Warrior</t>
        </is>
      </c>
      <c r="C494" s="21" t="n">
        <v>3</v>
      </c>
      <c r="D494" s="21" t="n">
        <v>40</v>
      </c>
      <c r="E494" s="21" t="n">
        <v>10</v>
      </c>
      <c r="F494" s="21" t="n">
        <v>62</v>
      </c>
      <c r="G494" s="21" t="n">
        <v>2330</v>
      </c>
      <c r="H494" s="21" t="n">
        <v>960</v>
      </c>
      <c r="I494" s="21" t="n">
        <v>476</v>
      </c>
      <c r="J494" s="23" t="n">
        <v>0.11</v>
      </c>
      <c r="K494" s="23" t="n">
        <v>0</v>
      </c>
      <c r="L494" s="23" t="n">
        <v>0.08</v>
      </c>
      <c r="M494" s="23" t="n">
        <v>0.08</v>
      </c>
      <c r="N494" s="23" t="n">
        <v>0.04</v>
      </c>
      <c r="O494" s="23" t="n">
        <v>0.04</v>
      </c>
      <c r="P494" s="42" t="inlineStr">
        <is>
          <t>Steel Chestplate, Steel Helmet, Steel Legplates, Steel Boots, Bastard Sword, Firebrand Shield, Runeplate Belt, Runed War Gloves, Stormward Cloak, Charm of Ascendance, Runeplate Pauldrons, Ring of the Vanguard, Ring of the Vanguard</t>
        </is>
      </c>
    </row>
    <row r="495">
      <c r="A495" s="21" t="n">
        <v>42</v>
      </c>
      <c r="B495" s="21" t="inlineStr">
        <is>
          <t>Warrior</t>
        </is>
      </c>
      <c r="C495" s="21" t="n">
        <v>3</v>
      </c>
      <c r="D495" s="21" t="n">
        <v>40</v>
      </c>
      <c r="E495" s="21" t="n">
        <v>10</v>
      </c>
      <c r="F495" s="21" t="n">
        <v>62</v>
      </c>
      <c r="G495" s="21" t="n">
        <v>2330</v>
      </c>
      <c r="H495" s="21" t="n">
        <v>960</v>
      </c>
      <c r="I495" s="21" t="n">
        <v>476</v>
      </c>
      <c r="J495" s="23" t="n">
        <v>0.11</v>
      </c>
      <c r="K495" s="23" t="n">
        <v>0</v>
      </c>
      <c r="L495" s="23" t="n">
        <v>0.08</v>
      </c>
      <c r="M495" s="23" t="n">
        <v>0.08</v>
      </c>
      <c r="N495" s="23" t="n">
        <v>0.04</v>
      </c>
      <c r="O495" s="23" t="n">
        <v>0.04</v>
      </c>
      <c r="P495" s="42" t="inlineStr">
        <is>
          <t>Steel Chestplate, Steel Helmet, Steel Legplates, Steel Boots, Bastard Sword, Firebrand Shield, Runeplate Belt, Runed War Gloves, Stormward Cloak, Charm of Ascendance, Runeplate Pauldrons, Ring of the Vanguard, Ring of the Vanguard</t>
        </is>
      </c>
    </row>
    <row r="496">
      <c r="A496" s="21" t="n">
        <v>43</v>
      </c>
      <c r="B496" s="21" t="inlineStr">
        <is>
          <t>Warrior</t>
        </is>
      </c>
      <c r="C496" s="21" t="n">
        <v>3</v>
      </c>
      <c r="D496" s="21" t="n">
        <v>40</v>
      </c>
      <c r="E496" s="21" t="n">
        <v>10</v>
      </c>
      <c r="F496" s="21" t="n">
        <v>70</v>
      </c>
      <c r="G496" s="21" t="n">
        <v>2430</v>
      </c>
      <c r="H496" s="21" t="n">
        <v>1020</v>
      </c>
      <c r="I496" s="21" t="n">
        <v>492</v>
      </c>
      <c r="J496" s="23" t="n">
        <v>0.11</v>
      </c>
      <c r="K496" s="23" t="n">
        <v>0</v>
      </c>
      <c r="L496" s="23" t="n">
        <v>0.08</v>
      </c>
      <c r="M496" s="23" t="n">
        <v>0.1</v>
      </c>
      <c r="N496" s="23" t="n">
        <v>0.04</v>
      </c>
      <c r="O496" s="23" t="n">
        <v>0.04</v>
      </c>
      <c r="P496" s="42" t="inlineStr">
        <is>
          <t>Steel Chestplate, Steel Helmet, Steel Legplates, Steel Boots, Bastard Sword, Firebrand Shield, Runeplate Belt, Runed War Gloves, Stormward Cloak, Charm of Ascendance, Runeplate Pauldrons, Ring of the Warlord, Ring of the Warlord</t>
        </is>
      </c>
    </row>
    <row r="497">
      <c r="A497" s="21" t="n">
        <v>44</v>
      </c>
      <c r="B497" s="21" t="inlineStr">
        <is>
          <t>Warrior</t>
        </is>
      </c>
      <c r="C497" s="21" t="n">
        <v>3</v>
      </c>
      <c r="D497" s="21" t="n">
        <v>40</v>
      </c>
      <c r="E497" s="21" t="n">
        <v>10</v>
      </c>
      <c r="F497" s="21" t="n">
        <v>74</v>
      </c>
      <c r="G497" s="21" t="n">
        <v>2520</v>
      </c>
      <c r="H497" s="21" t="n">
        <v>1020</v>
      </c>
      <c r="I497" s="21" t="n">
        <v>502</v>
      </c>
      <c r="J497" s="23" t="n">
        <v>0.11</v>
      </c>
      <c r="K497" s="23" t="n">
        <v>0</v>
      </c>
      <c r="L497" s="23" t="n">
        <v>0.09</v>
      </c>
      <c r="M497" s="23" t="n">
        <v>0.1</v>
      </c>
      <c r="N497" s="23" t="n">
        <v>0.04</v>
      </c>
      <c r="O497" s="23" t="n">
        <v>0.04</v>
      </c>
      <c r="P497" s="42" t="inlineStr">
        <is>
          <t>Steel Chestplate, Steel Helmet, Steel Legplates, Steel Boots, Bastard Sword, Firebrand Shield, Runeplate Belt, Exalted War Gloves, Stormward Cloak, Charm of Ascendance, Runeplate Pauldrons, Ring of the Warlord, Ring of the Warlord</t>
        </is>
      </c>
    </row>
    <row r="498">
      <c r="A498" s="21" t="n">
        <v>45</v>
      </c>
      <c r="B498" s="21" t="inlineStr">
        <is>
          <t>Warrior</t>
        </is>
      </c>
      <c r="C498" s="21" t="n">
        <v>3</v>
      </c>
      <c r="D498" s="21" t="n">
        <v>40</v>
      </c>
      <c r="E498" s="21" t="n">
        <v>10</v>
      </c>
      <c r="F498" s="21" t="n">
        <v>74</v>
      </c>
      <c r="G498" s="21" t="n">
        <v>2520</v>
      </c>
      <c r="H498" s="21" t="n">
        <v>1020</v>
      </c>
      <c r="I498" s="21" t="n">
        <v>502</v>
      </c>
      <c r="J498" s="23" t="n">
        <v>0.11</v>
      </c>
      <c r="K498" s="23" t="n">
        <v>0</v>
      </c>
      <c r="L498" s="23" t="n">
        <v>0.09</v>
      </c>
      <c r="M498" s="23" t="n">
        <v>0.1</v>
      </c>
      <c r="N498" s="23" t="n">
        <v>0.04</v>
      </c>
      <c r="O498" s="23" t="n">
        <v>0.04</v>
      </c>
      <c r="P498" s="42" t="inlineStr">
        <is>
          <t>Steel Chestplate, Steel Helmet, Steel Legplates, Steel Boots, Bastard Sword, Firebrand Shield, Runeplate Belt, Exalted War Gloves, Stormward Cloak, Charm of Ascendance, Runeplate Pauldrons, Ring of the Warlord, Ring of the Warlord</t>
        </is>
      </c>
    </row>
    <row r="499">
      <c r="A499" s="21" t="n">
        <v>46</v>
      </c>
      <c r="B499" s="21" t="inlineStr">
        <is>
          <t>Warrior</t>
        </is>
      </c>
      <c r="C499" s="21" t="n">
        <v>3</v>
      </c>
      <c r="D499" s="21" t="n">
        <v>40</v>
      </c>
      <c r="E499" s="21" t="n">
        <v>10</v>
      </c>
      <c r="F499" s="21" t="n">
        <v>74</v>
      </c>
      <c r="G499" s="21" t="n">
        <v>2555</v>
      </c>
      <c r="H499" s="21" t="n">
        <v>1055</v>
      </c>
      <c r="I499" s="21" t="n">
        <v>510</v>
      </c>
      <c r="J499" s="23" t="n">
        <v>0.11</v>
      </c>
      <c r="K499" s="23" t="n">
        <v>0</v>
      </c>
      <c r="L499" s="23" t="n">
        <v>0.09</v>
      </c>
      <c r="M499" s="23" t="n">
        <v>0.1</v>
      </c>
      <c r="N499" s="23" t="n">
        <v>0.05</v>
      </c>
      <c r="O499" s="23" t="n">
        <v>0.04</v>
      </c>
      <c r="P499" s="42" t="inlineStr">
        <is>
          <t>Steel Chestplate, Steel Helmet, Steel Legplates, Steel Boots, Bastard Sword, Firebrand Shield, Runeplate Belt, Exalted War Gloves, Skyweave Cloak, Charm of Ascendance, Runeplate Pauldrons, Ring of the Warlord, Ring of the Warlord</t>
        </is>
      </c>
    </row>
    <row r="500">
      <c r="A500" s="21" t="n">
        <v>47</v>
      </c>
      <c r="B500" s="21" t="inlineStr">
        <is>
          <t>Warrior</t>
        </is>
      </c>
      <c r="C500" s="21" t="n">
        <v>3</v>
      </c>
      <c r="D500" s="21" t="n">
        <v>40</v>
      </c>
      <c r="E500" s="21" t="n">
        <v>10</v>
      </c>
      <c r="F500" s="21" t="n">
        <v>74</v>
      </c>
      <c r="G500" s="21" t="n">
        <v>2585</v>
      </c>
      <c r="H500" s="21" t="n">
        <v>1135</v>
      </c>
      <c r="I500" s="21" t="n">
        <v>515</v>
      </c>
      <c r="J500" s="23" t="n">
        <v>0.13</v>
      </c>
      <c r="K500" s="23" t="n">
        <v>0</v>
      </c>
      <c r="L500" s="23" t="n">
        <v>0.09</v>
      </c>
      <c r="M500" s="23" t="n">
        <v>0.1</v>
      </c>
      <c r="N500" s="23" t="n">
        <v>0.05</v>
      </c>
      <c r="O500" s="23" t="n">
        <v>0.04</v>
      </c>
      <c r="P500" s="42" t="inlineStr">
        <is>
          <t>Steel Chestplate, Steel Helmet, Steel Legplates, Steel Boots, Bastard Sword, Firebrand Shield, Runeplate Belt, Exalted War Gloves, Skyweave Cloak, Charm of the Archon, Runeplate Pauldrons, Ring of the Warlord, Ring of the Warlord</t>
        </is>
      </c>
    </row>
    <row r="501">
      <c r="A501" s="21" t="n">
        <v>48</v>
      </c>
      <c r="B501" s="21" t="inlineStr">
        <is>
          <t>Warrior</t>
        </is>
      </c>
      <c r="C501" s="21" t="n">
        <v>3</v>
      </c>
      <c r="D501" s="21" t="n">
        <v>40</v>
      </c>
      <c r="E501" s="21" t="n">
        <v>10</v>
      </c>
      <c r="F501" s="21" t="n">
        <v>76</v>
      </c>
      <c r="G501" s="21" t="n">
        <v>2740</v>
      </c>
      <c r="H501" s="21" t="n">
        <v>1135</v>
      </c>
      <c r="I501" s="21" t="n">
        <v>533</v>
      </c>
      <c r="J501" s="23" t="n">
        <v>0.13</v>
      </c>
      <c r="K501" s="23" t="n">
        <v>0</v>
      </c>
      <c r="L501" s="23" t="n">
        <v>0.09</v>
      </c>
      <c r="M501" s="23" t="n">
        <v>0.1</v>
      </c>
      <c r="N501" s="23" t="n">
        <v>0.05</v>
      </c>
      <c r="O501" s="23" t="n">
        <v>0.05</v>
      </c>
      <c r="P501" s="42" t="inlineStr">
        <is>
          <t>Steel Chestplate, Steel Helmet, Steel Legplates, Steel Boots, Bastard Sword, Firebrand Shield, Runeplate Belt, Exalted War Gloves, Skyweave Cloak, Charm of the Archon, Bulwark Pauldrons, Ring of the Warlord, Ring of the Warlord</t>
        </is>
      </c>
    </row>
    <row r="502">
      <c r="A502" s="21" t="n">
        <v>49</v>
      </c>
      <c r="B502" s="21" t="inlineStr">
        <is>
          <t>Warrior</t>
        </is>
      </c>
      <c r="C502" s="21" t="n">
        <v>3</v>
      </c>
      <c r="D502" s="21" t="n">
        <v>40</v>
      </c>
      <c r="E502" s="21" t="n">
        <v>10</v>
      </c>
      <c r="F502" s="21" t="n">
        <v>78</v>
      </c>
      <c r="G502" s="21" t="n">
        <v>2950</v>
      </c>
      <c r="H502" s="21" t="n">
        <v>1135</v>
      </c>
      <c r="I502" s="21" t="n">
        <v>541</v>
      </c>
      <c r="J502" s="23" t="n">
        <v>0.14</v>
      </c>
      <c r="K502" s="23" t="n">
        <v>0</v>
      </c>
      <c r="L502" s="23" t="n">
        <v>0.1</v>
      </c>
      <c r="M502" s="23" t="n">
        <v>0.1</v>
      </c>
      <c r="N502" s="23" t="n">
        <v>0.05</v>
      </c>
      <c r="O502" s="23" t="n">
        <v>0.05</v>
      </c>
      <c r="P502" s="42" t="inlineStr">
        <is>
          <t>Steel Chestplate, Steel Helmet, Steel Legplates, Steel Boots, Bastard Sword, Firebrand Shield, Bulwark Belt, Exalted War Gloves, Skyweave Cloak, Charm of the Archon, Bulwark Pauldrons, Ring of the Warlord, Ring of the Warlord</t>
        </is>
      </c>
    </row>
    <row r="503">
      <c r="A503" s="21" t="n">
        <v>50</v>
      </c>
      <c r="B503" s="21" t="inlineStr">
        <is>
          <t>Warrior</t>
        </is>
      </c>
      <c r="C503" s="21" t="n">
        <v>3</v>
      </c>
      <c r="D503" s="21" t="n">
        <v>40</v>
      </c>
      <c r="E503" s="21" t="n">
        <v>10</v>
      </c>
      <c r="F503" s="21" t="n">
        <v>78</v>
      </c>
      <c r="G503" s="21" t="n">
        <v>2950</v>
      </c>
      <c r="H503" s="21" t="n">
        <v>1135</v>
      </c>
      <c r="I503" s="21" t="n">
        <v>541</v>
      </c>
      <c r="J503" s="23" t="n">
        <v>0.14</v>
      </c>
      <c r="K503" s="23" t="n">
        <v>0</v>
      </c>
      <c r="L503" s="23" t="n">
        <v>0.1</v>
      </c>
      <c r="M503" s="23" t="n">
        <v>0.1</v>
      </c>
      <c r="N503" s="23" t="n">
        <v>0.05</v>
      </c>
      <c r="O503" s="23" t="n">
        <v>0.05</v>
      </c>
      <c r="P503" s="42" t="inlineStr">
        <is>
          <t>Steel Chestplate, Steel Helmet, Steel Legplates, Steel Boots, Bastard Sword, Firebrand Shield, Bulwark Belt, Exalted War Gloves, Skyweave Cloak, Charm of the Archon, Bulwark Pauldrons, Ring of the Warlord, Ring of the Warlord</t>
        </is>
      </c>
    </row>
    <row r="504">
      <c r="A504" s="21" t="n">
        <v>1</v>
      </c>
      <c r="B504" s="21" t="inlineStr">
        <is>
          <t>Magus</t>
        </is>
      </c>
      <c r="C504" s="21" t="n">
        <v>3</v>
      </c>
      <c r="D504" s="21" t="n">
        <v>3</v>
      </c>
      <c r="E504" s="21" t="n">
        <v>10</v>
      </c>
      <c r="F504" s="21" t="n">
        <v>0</v>
      </c>
      <c r="G504" s="21" t="n">
        <v>0</v>
      </c>
      <c r="H504" s="21" t="n">
        <v>0</v>
      </c>
      <c r="I504" s="21" t="n">
        <v>25</v>
      </c>
      <c r="J504" s="23" t="n">
        <v>0</v>
      </c>
      <c r="K504" s="23" t="n">
        <v>0</v>
      </c>
      <c r="L504" s="23" t="n">
        <v>0</v>
      </c>
      <c r="M504" s="23" t="n">
        <v>0</v>
      </c>
      <c r="N504" s="23" t="n">
        <v>0</v>
      </c>
      <c r="O504" s="23" t="n">
        <v>0</v>
      </c>
      <c r="P504" s="42" t="inlineStr">
        <is>
          <t>Cloth Tunic, Cloth Cap, Cloth Leggings, Cloth Shoes, Stick</t>
        </is>
      </c>
    </row>
    <row r="505">
      <c r="A505" s="21" t="n">
        <v>2</v>
      </c>
      <c r="B505" s="21" t="inlineStr">
        <is>
          <t>Magus</t>
        </is>
      </c>
      <c r="C505" s="21" t="n">
        <v>3</v>
      </c>
      <c r="D505" s="21" t="n">
        <v>3</v>
      </c>
      <c r="E505" s="21" t="n">
        <v>10</v>
      </c>
      <c r="F505" s="21" t="n">
        <v>0</v>
      </c>
      <c r="G505" s="21" t="n">
        <v>0</v>
      </c>
      <c r="H505" s="21" t="n">
        <v>0</v>
      </c>
      <c r="I505" s="21" t="n">
        <v>25</v>
      </c>
      <c r="J505" s="23" t="n">
        <v>0</v>
      </c>
      <c r="K505" s="23" t="n">
        <v>0</v>
      </c>
      <c r="L505" s="23" t="n">
        <v>0</v>
      </c>
      <c r="M505" s="23" t="n">
        <v>0</v>
      </c>
      <c r="N505" s="23" t="n">
        <v>0</v>
      </c>
      <c r="O505" s="23" t="n">
        <v>0</v>
      </c>
      <c r="P505" s="42" t="inlineStr">
        <is>
          <t>Cloth Tunic, Cloth Cap, Cloth Leggings, Cloth Shoes, Stick</t>
        </is>
      </c>
    </row>
    <row r="506">
      <c r="A506" s="21" t="n">
        <v>3</v>
      </c>
      <c r="B506" s="21" t="inlineStr">
        <is>
          <t>Magus</t>
        </is>
      </c>
      <c r="C506" s="21" t="n">
        <v>3</v>
      </c>
      <c r="D506" s="21" t="n">
        <v>3</v>
      </c>
      <c r="E506" s="21" t="n">
        <v>10</v>
      </c>
      <c r="F506" s="21" t="n">
        <v>0</v>
      </c>
      <c r="G506" s="21" t="n">
        <v>0</v>
      </c>
      <c r="H506" s="21" t="n">
        <v>0</v>
      </c>
      <c r="I506" s="21" t="n">
        <v>25</v>
      </c>
      <c r="J506" s="23" t="n">
        <v>0</v>
      </c>
      <c r="K506" s="23" t="n">
        <v>0</v>
      </c>
      <c r="L506" s="23" t="n">
        <v>0</v>
      </c>
      <c r="M506" s="23" t="n">
        <v>0</v>
      </c>
      <c r="N506" s="23" t="n">
        <v>0</v>
      </c>
      <c r="O506" s="23" t="n">
        <v>0</v>
      </c>
      <c r="P506" s="42" t="inlineStr">
        <is>
          <t>Cloth Tunic, Cloth Cap, Cloth Leggings, Cloth Shoes, Stick</t>
        </is>
      </c>
    </row>
    <row r="507">
      <c r="A507" s="21" t="n">
        <v>4</v>
      </c>
      <c r="B507" s="21" t="inlineStr">
        <is>
          <t>Magus</t>
        </is>
      </c>
      <c r="C507" s="21" t="n">
        <v>3</v>
      </c>
      <c r="D507" s="21" t="n">
        <v>3</v>
      </c>
      <c r="E507" s="21" t="n">
        <v>10</v>
      </c>
      <c r="F507" s="21" t="n">
        <v>2</v>
      </c>
      <c r="G507" s="21" t="n">
        <v>70</v>
      </c>
      <c r="H507" s="21" t="n">
        <v>0</v>
      </c>
      <c r="I507" s="21" t="n">
        <v>30</v>
      </c>
      <c r="J507" s="23" t="n">
        <v>0</v>
      </c>
      <c r="K507" s="23" t="n">
        <v>0</v>
      </c>
      <c r="L507" s="23" t="n">
        <v>0</v>
      </c>
      <c r="M507" s="23" t="n">
        <v>0</v>
      </c>
      <c r="N507" s="23" t="n">
        <v>0</v>
      </c>
      <c r="O507" s="23" t="n">
        <v>0</v>
      </c>
      <c r="P507" s="42" t="inlineStr">
        <is>
          <t>Cloth Tunic, Cloth Cap, Cloth Leggings, Cloth Shoes, Stick, Worn Leather Gloves</t>
        </is>
      </c>
    </row>
    <row r="508">
      <c r="A508" s="21" t="n">
        <v>5</v>
      </c>
      <c r="B508" s="21" t="inlineStr">
        <is>
          <t>Magus</t>
        </is>
      </c>
      <c r="C508" s="21" t="n">
        <v>3</v>
      </c>
      <c r="D508" s="21" t="n">
        <v>9</v>
      </c>
      <c r="E508" s="21" t="n">
        <v>10</v>
      </c>
      <c r="F508" s="21" t="n">
        <v>3</v>
      </c>
      <c r="G508" s="21" t="n">
        <v>240</v>
      </c>
      <c r="H508" s="21" t="n">
        <v>160</v>
      </c>
      <c r="I508" s="21" t="n">
        <v>42</v>
      </c>
      <c r="J508" s="23" t="n">
        <v>0</v>
      </c>
      <c r="K508" s="23" t="n">
        <v>0</v>
      </c>
      <c r="L508" s="23" t="n">
        <v>0</v>
      </c>
      <c r="M508" s="23" t="n">
        <v>0</v>
      </c>
      <c r="N508" s="23" t="n">
        <v>0</v>
      </c>
      <c r="O508" s="23" t="n">
        <v>0</v>
      </c>
      <c r="P508" s="42" t="inlineStr">
        <is>
          <t>Cloth Tunic, Cloth Cap, Cloth Leggings, Cloth Shoes, Wooden Stave, Worn Leather Belt, Worn Leather Gloves, Beaded Bracelet, Beaded Bracelet</t>
        </is>
      </c>
    </row>
    <row r="509">
      <c r="A509" s="21" t="n">
        <v>6</v>
      </c>
      <c r="B509" s="21" t="inlineStr">
        <is>
          <t>Magus</t>
        </is>
      </c>
      <c r="C509" s="21" t="n">
        <v>3</v>
      </c>
      <c r="D509" s="21" t="n">
        <v>9</v>
      </c>
      <c r="E509" s="21" t="n">
        <v>10</v>
      </c>
      <c r="F509" s="21" t="n">
        <v>3</v>
      </c>
      <c r="G509" s="21" t="n">
        <v>260</v>
      </c>
      <c r="H509" s="21" t="n">
        <v>180</v>
      </c>
      <c r="I509" s="21" t="n">
        <v>50</v>
      </c>
      <c r="J509" s="23" t="n">
        <v>0</v>
      </c>
      <c r="K509" s="23" t="n">
        <v>0</v>
      </c>
      <c r="L509" s="23" t="n">
        <v>0</v>
      </c>
      <c r="M509" s="23" t="n">
        <v>0</v>
      </c>
      <c r="N509" s="23" t="n">
        <v>0</v>
      </c>
      <c r="O509" s="23" t="n">
        <v>0</v>
      </c>
      <c r="P509" s="42" t="inlineStr">
        <is>
          <t>Cloth Tunic, Cloth Cap, Cloth Leggings, Cloth Shoes, Wooden Stave, Worn Leather Belt, Worn Leather Gloves, Threadbare Cloak, Beaded Bracelet, Beaded Bracelet</t>
        </is>
      </c>
    </row>
    <row r="510">
      <c r="A510" s="21" t="n">
        <v>7</v>
      </c>
      <c r="B510" s="21" t="inlineStr">
        <is>
          <t>Magus</t>
        </is>
      </c>
      <c r="C510" s="21" t="n">
        <v>3</v>
      </c>
      <c r="D510" s="21" t="n">
        <v>9</v>
      </c>
      <c r="E510" s="21" t="n">
        <v>10</v>
      </c>
      <c r="F510" s="21" t="n">
        <v>3</v>
      </c>
      <c r="G510" s="21" t="n">
        <v>285</v>
      </c>
      <c r="H510" s="21" t="n">
        <v>320</v>
      </c>
      <c r="I510" s="21" t="n">
        <v>55</v>
      </c>
      <c r="J510" s="23" t="n">
        <v>0</v>
      </c>
      <c r="K510" s="23" t="n">
        <v>0</v>
      </c>
      <c r="L510" s="23" t="n">
        <v>0</v>
      </c>
      <c r="M510" s="23" t="n">
        <v>0</v>
      </c>
      <c r="N510" s="23" t="n">
        <v>0</v>
      </c>
      <c r="O510" s="23" t="n">
        <v>0</v>
      </c>
      <c r="P510" s="42" t="inlineStr">
        <is>
          <t>Cloth Tunic, Cloth Cap, Cloth Leggings, Cloth Shoes, Wooden Stave, Worn Leather Belt, Worn Leather Gloves, Threadbare Cloak, Simple Pendant, Beaded Bracelet, Beaded Bracelet</t>
        </is>
      </c>
    </row>
    <row r="511">
      <c r="A511" s="21" t="n">
        <v>8</v>
      </c>
      <c r="B511" s="21" t="inlineStr">
        <is>
          <t>Magus</t>
        </is>
      </c>
      <c r="C511" s="21" t="n">
        <v>3</v>
      </c>
      <c r="D511" s="21" t="n">
        <v>9</v>
      </c>
      <c r="E511" s="21" t="n">
        <v>10</v>
      </c>
      <c r="F511" s="21" t="n">
        <v>5</v>
      </c>
      <c r="G511" s="21" t="n">
        <v>375</v>
      </c>
      <c r="H511" s="21" t="n">
        <v>320</v>
      </c>
      <c r="I511" s="21" t="n">
        <v>67</v>
      </c>
      <c r="J511" s="23" t="n">
        <v>0</v>
      </c>
      <c r="K511" s="23" t="n">
        <v>0</v>
      </c>
      <c r="L511" s="23" t="n">
        <v>0</v>
      </c>
      <c r="M511" s="23" t="n">
        <v>0</v>
      </c>
      <c r="N511" s="23" t="n">
        <v>0</v>
      </c>
      <c r="O511" s="23" t="n">
        <v>0</v>
      </c>
      <c r="P511" s="42" t="inlineStr">
        <is>
          <t>Cloth Tunic, Cloth Cap, Cloth Leggings, Cloth Shoes, Wooden Stave, Worn Leather Belt, Worn Leather Gloves, Threadbare Cloak, Simple Pendant, Patchwork Pauldrons, Beaded Bracelet, Beaded Bracelet</t>
        </is>
      </c>
    </row>
    <row r="512">
      <c r="A512" s="21" t="n">
        <v>9</v>
      </c>
      <c r="B512" s="21" t="inlineStr">
        <is>
          <t>Magus</t>
        </is>
      </c>
      <c r="C512" s="21" t="n">
        <v>3</v>
      </c>
      <c r="D512" s="21" t="n">
        <v>9</v>
      </c>
      <c r="E512" s="21" t="n">
        <v>10</v>
      </c>
      <c r="F512" s="21" t="n">
        <v>5</v>
      </c>
      <c r="G512" s="21" t="n">
        <v>375</v>
      </c>
      <c r="H512" s="21" t="n">
        <v>320</v>
      </c>
      <c r="I512" s="21" t="n">
        <v>67</v>
      </c>
      <c r="J512" s="23" t="n">
        <v>0</v>
      </c>
      <c r="K512" s="23" t="n">
        <v>0</v>
      </c>
      <c r="L512" s="23" t="n">
        <v>0</v>
      </c>
      <c r="M512" s="23" t="n">
        <v>0</v>
      </c>
      <c r="N512" s="23" t="n">
        <v>0</v>
      </c>
      <c r="O512" s="23" t="n">
        <v>0</v>
      </c>
      <c r="P512" s="42" t="inlineStr">
        <is>
          <t>Cloth Tunic, Cloth Cap, Cloth Leggings, Cloth Shoes, Wooden Stave, Worn Leather Belt, Worn Leather Gloves, Threadbare Cloak, Simple Pendant, Patchwork Pauldrons, Beaded Bracelet, Beaded Bracelet</t>
        </is>
      </c>
    </row>
    <row r="513">
      <c r="A513" s="21" t="n">
        <v>10</v>
      </c>
      <c r="B513" s="21" t="inlineStr">
        <is>
          <t>Magus</t>
        </is>
      </c>
      <c r="C513" s="21" t="n">
        <v>3</v>
      </c>
      <c r="D513" s="21" t="n">
        <v>9</v>
      </c>
      <c r="E513" s="21" t="n">
        <v>10</v>
      </c>
      <c r="F513" s="21" t="n">
        <v>5</v>
      </c>
      <c r="G513" s="21" t="n">
        <v>375</v>
      </c>
      <c r="H513" s="21" t="n">
        <v>320</v>
      </c>
      <c r="I513" s="21" t="n">
        <v>67</v>
      </c>
      <c r="J513" s="23" t="n">
        <v>0</v>
      </c>
      <c r="K513" s="23" t="n">
        <v>0</v>
      </c>
      <c r="L513" s="23" t="n">
        <v>0</v>
      </c>
      <c r="M513" s="23" t="n">
        <v>0</v>
      </c>
      <c r="N513" s="23" t="n">
        <v>0</v>
      </c>
      <c r="O513" s="23" t="n">
        <v>0</v>
      </c>
      <c r="P513" s="42" t="inlineStr">
        <is>
          <t>Cloth Tunic, Cloth Cap, Cloth Leggings, Cloth Shoes, Wooden Stave, Worn Leather Belt, Worn Leather Gloves, Threadbare Cloak, Simple Pendant, Patchwork Pauldrons, Beaded Bracelet, Beaded Bracelet</t>
        </is>
      </c>
    </row>
    <row r="514">
      <c r="A514" s="21" t="n">
        <v>11</v>
      </c>
      <c r="B514" s="21" t="inlineStr">
        <is>
          <t>Magus</t>
        </is>
      </c>
      <c r="C514" s="21" t="n">
        <v>3</v>
      </c>
      <c r="D514" s="21" t="n">
        <v>9</v>
      </c>
      <c r="E514" s="21" t="n">
        <v>10</v>
      </c>
      <c r="F514" s="21" t="n">
        <v>5</v>
      </c>
      <c r="G514" s="21" t="n">
        <v>375</v>
      </c>
      <c r="H514" s="21" t="n">
        <v>320</v>
      </c>
      <c r="I514" s="21" t="n">
        <v>67</v>
      </c>
      <c r="J514" s="23" t="n">
        <v>0</v>
      </c>
      <c r="K514" s="23" t="n">
        <v>0</v>
      </c>
      <c r="L514" s="23" t="n">
        <v>0</v>
      </c>
      <c r="M514" s="23" t="n">
        <v>0</v>
      </c>
      <c r="N514" s="23" t="n">
        <v>0</v>
      </c>
      <c r="O514" s="23" t="n">
        <v>0</v>
      </c>
      <c r="P514" s="42" t="inlineStr">
        <is>
          <t>Cloth Tunic, Cloth Cap, Cloth Leggings, Cloth Shoes, Wooden Stave, Worn Leather Belt, Worn Leather Gloves, Threadbare Cloak, Simple Pendant, Patchwork Pauldrons, Beaded Bracelet, Beaded Bracelet</t>
        </is>
      </c>
    </row>
    <row r="515">
      <c r="A515" s="21" t="n">
        <v>12</v>
      </c>
      <c r="B515" s="21" t="inlineStr">
        <is>
          <t>Magus</t>
        </is>
      </c>
      <c r="C515" s="21" t="n">
        <v>3</v>
      </c>
      <c r="D515" s="21" t="n">
        <v>9</v>
      </c>
      <c r="E515" s="21" t="n">
        <v>10</v>
      </c>
      <c r="F515" s="21" t="n">
        <v>5</v>
      </c>
      <c r="G515" s="21" t="n">
        <v>375</v>
      </c>
      <c r="H515" s="21" t="n">
        <v>320</v>
      </c>
      <c r="I515" s="21" t="n">
        <v>67</v>
      </c>
      <c r="J515" s="23" t="n">
        <v>0</v>
      </c>
      <c r="K515" s="23" t="n">
        <v>0</v>
      </c>
      <c r="L515" s="23" t="n">
        <v>0</v>
      </c>
      <c r="M515" s="23" t="n">
        <v>0</v>
      </c>
      <c r="N515" s="23" t="n">
        <v>0</v>
      </c>
      <c r="O515" s="23" t="n">
        <v>0</v>
      </c>
      <c r="P515" s="42" t="inlineStr">
        <is>
          <t>Cloth Tunic, Cloth Cap, Cloth Leggings, Cloth Shoes, Wooden Stave, Worn Leather Belt, Worn Leather Gloves, Threadbare Cloak, Simple Pendant, Patchwork Pauldrons, Beaded Bracelet, Beaded Bracelet</t>
        </is>
      </c>
    </row>
    <row r="516">
      <c r="A516" s="21" t="n">
        <v>13</v>
      </c>
      <c r="B516" s="21" t="inlineStr">
        <is>
          <t>Magus</t>
        </is>
      </c>
      <c r="C516" s="21" t="n">
        <v>3</v>
      </c>
      <c r="D516" s="21" t="n">
        <v>9</v>
      </c>
      <c r="E516" s="21" t="n">
        <v>10</v>
      </c>
      <c r="F516" s="21" t="n">
        <v>5</v>
      </c>
      <c r="G516" s="21" t="n">
        <v>525</v>
      </c>
      <c r="H516" s="21" t="n">
        <v>610</v>
      </c>
      <c r="I516" s="21" t="n">
        <v>79</v>
      </c>
      <c r="J516" s="23" t="n">
        <v>0</v>
      </c>
      <c r="K516" s="23" t="n">
        <v>0.04</v>
      </c>
      <c r="L516" s="23" t="n">
        <v>0</v>
      </c>
      <c r="M516" s="23" t="n">
        <v>0</v>
      </c>
      <c r="N516" s="23" t="n">
        <v>0</v>
      </c>
      <c r="O516" s="23" t="n">
        <v>0</v>
      </c>
      <c r="P516" s="42" t="inlineStr">
        <is>
          <t>Cloth Tunic, Cloth Cap, Cloth Leggings, Cloth Shoes, Wooden Stave, Worn Leather Belt, Worn Leather Gloves, Threadbare Cloak, Simple Pendant, Patchwork Pauldrons, Bracelet of Embers, Bracelet of Embers</t>
        </is>
      </c>
    </row>
    <row r="517">
      <c r="A517" s="21" t="n">
        <v>14</v>
      </c>
      <c r="B517" s="21" t="inlineStr">
        <is>
          <t>Magus</t>
        </is>
      </c>
      <c r="C517" s="21" t="n">
        <v>3</v>
      </c>
      <c r="D517" s="21" t="n">
        <v>9</v>
      </c>
      <c r="E517" s="21" t="n">
        <v>10</v>
      </c>
      <c r="F517" s="21" t="n">
        <v>9</v>
      </c>
      <c r="G517" s="21" t="n">
        <v>590</v>
      </c>
      <c r="H517" s="21" t="n">
        <v>610</v>
      </c>
      <c r="I517" s="21" t="n">
        <v>89</v>
      </c>
      <c r="J517" s="23" t="n">
        <v>0</v>
      </c>
      <c r="K517" s="23" t="n">
        <v>0.04</v>
      </c>
      <c r="L517" s="23" t="n">
        <v>0.02</v>
      </c>
      <c r="M517" s="23" t="n">
        <v>0</v>
      </c>
      <c r="N517" s="23" t="n">
        <v>0</v>
      </c>
      <c r="O517" s="23" t="n">
        <v>0</v>
      </c>
      <c r="P517" s="42" t="inlineStr">
        <is>
          <t>Cloth Tunic, Cloth Cap, Cloth Leggings, Cloth Shoes, Wooden Stave, Worn Leather Belt, Scout's Gloves, Threadbare Cloak, Simple Pendant, Patchwork Pauldrons, Bracelet of Embers, Bracelet of Embers</t>
        </is>
      </c>
    </row>
    <row r="518">
      <c r="A518" s="21" t="n">
        <v>15</v>
      </c>
      <c r="B518" s="21" t="inlineStr">
        <is>
          <t>Magus</t>
        </is>
      </c>
      <c r="C518" s="21" t="n">
        <v>3</v>
      </c>
      <c r="D518" s="21" t="n">
        <v>15</v>
      </c>
      <c r="E518" s="21" t="n">
        <v>10</v>
      </c>
      <c r="F518" s="21" t="n">
        <v>9</v>
      </c>
      <c r="G518" s="21" t="n">
        <v>590</v>
      </c>
      <c r="H518" s="21" t="n">
        <v>610</v>
      </c>
      <c r="I518" s="21" t="n">
        <v>89</v>
      </c>
      <c r="J518" s="23" t="n">
        <v>0</v>
      </c>
      <c r="K518" s="23" t="n">
        <v>0.04</v>
      </c>
      <c r="L518" s="23" t="n">
        <v>0.02</v>
      </c>
      <c r="M518" s="23" t="n">
        <v>0</v>
      </c>
      <c r="N518" s="23" t="n">
        <v>0</v>
      </c>
      <c r="O518" s="23" t="n">
        <v>0</v>
      </c>
      <c r="P518" s="42" t="inlineStr">
        <is>
          <t>Cloth Tunic, Cloth Cap, Cloth Leggings, Cloth Shoes, Hardwood Stave, Worn Leather Belt, Scout's Gloves, Threadbare Cloak, Simple Pendant, Patchwork Pauldrons, Bracelet of Embers, Bracelet of Embers</t>
        </is>
      </c>
    </row>
    <row r="519">
      <c r="A519" s="21" t="n">
        <v>16</v>
      </c>
      <c r="B519" s="21" t="inlineStr">
        <is>
          <t>Magus</t>
        </is>
      </c>
      <c r="C519" s="21" t="n">
        <v>3</v>
      </c>
      <c r="D519" s="21" t="n">
        <v>15</v>
      </c>
      <c r="E519" s="21" t="n">
        <v>10</v>
      </c>
      <c r="F519" s="21" t="n">
        <v>9</v>
      </c>
      <c r="G519" s="21" t="n">
        <v>620</v>
      </c>
      <c r="H519" s="21" t="n">
        <v>640</v>
      </c>
      <c r="I519" s="21" t="n">
        <v>96</v>
      </c>
      <c r="J519" s="23" t="n">
        <v>0</v>
      </c>
      <c r="K519" s="23" t="n">
        <v>0.04</v>
      </c>
      <c r="L519" s="23" t="n">
        <v>0.02</v>
      </c>
      <c r="M519" s="23" t="n">
        <v>0</v>
      </c>
      <c r="N519" s="23" t="n">
        <v>0.02</v>
      </c>
      <c r="O519" s="23" t="n">
        <v>0</v>
      </c>
      <c r="P519" s="42" t="inlineStr">
        <is>
          <t>Cloth Tunic, Cloth Cap, Cloth Leggings, Cloth Shoes, Hardwood Stave, Worn Leather Belt, Scout's Gloves, Traveler's Cloak, Simple Pendant, Patchwork Pauldrons, Bracelet of Embers, Bracelet of Embers</t>
        </is>
      </c>
    </row>
    <row r="520">
      <c r="A520" s="21" t="n">
        <v>17</v>
      </c>
      <c r="B520" s="21" t="inlineStr">
        <is>
          <t>Magus</t>
        </is>
      </c>
      <c r="C520" s="21" t="n">
        <v>3</v>
      </c>
      <c r="D520" s="21" t="n">
        <v>15</v>
      </c>
      <c r="E520" s="21" t="n">
        <v>10</v>
      </c>
      <c r="F520" s="21" t="n">
        <v>9</v>
      </c>
      <c r="G520" s="21" t="n">
        <v>655</v>
      </c>
      <c r="H520" s="21" t="n">
        <v>780</v>
      </c>
      <c r="I520" s="21" t="n">
        <v>103</v>
      </c>
      <c r="J520" s="23" t="n">
        <v>0.03</v>
      </c>
      <c r="K520" s="23" t="n">
        <v>0.04</v>
      </c>
      <c r="L520" s="23" t="n">
        <v>0.02</v>
      </c>
      <c r="M520" s="23" t="n">
        <v>0</v>
      </c>
      <c r="N520" s="23" t="n">
        <v>0.02</v>
      </c>
      <c r="O520" s="23" t="n">
        <v>0</v>
      </c>
      <c r="P520" s="42" t="inlineStr">
        <is>
          <t>Cloth Tunic, Cloth Cap, Cloth Leggings, Cloth Shoes, Hardwood Stave, Worn Leather Belt, Scout's Gloves, Traveler's Cloak, Charm of Focus, Patchwork Pauldrons, Bracelet of Embers, Bracelet of Embers</t>
        </is>
      </c>
    </row>
    <row r="521">
      <c r="A521" s="21" t="n">
        <v>18</v>
      </c>
      <c r="B521" s="21" t="inlineStr">
        <is>
          <t>Magus</t>
        </is>
      </c>
      <c r="C521" s="21" t="n">
        <v>3</v>
      </c>
      <c r="D521" s="21" t="n">
        <v>15</v>
      </c>
      <c r="E521" s="21" t="n">
        <v>10</v>
      </c>
      <c r="F521" s="21" t="n">
        <v>12</v>
      </c>
      <c r="G521" s="21" t="n">
        <v>820</v>
      </c>
      <c r="H521" s="21" t="n">
        <v>780</v>
      </c>
      <c r="I521" s="21" t="n">
        <v>119</v>
      </c>
      <c r="J521" s="23" t="n">
        <v>0.03</v>
      </c>
      <c r="K521" s="23" t="n">
        <v>0.04</v>
      </c>
      <c r="L521" s="23" t="n">
        <v>0.02</v>
      </c>
      <c r="M521" s="23" t="n">
        <v>0</v>
      </c>
      <c r="N521" s="23" t="n">
        <v>0.02</v>
      </c>
      <c r="O521" s="23" t="n">
        <v>0.02</v>
      </c>
      <c r="P521" s="42" t="inlineStr">
        <is>
          <t>Cloth Tunic, Cloth Cap, Cloth Leggings, Cloth Shoes, Hardwood Stave, Worn Leather Belt, Scout's Gloves, Traveler's Cloak, Charm of Focus, Cold Iron Pauldrons, Bracelet of Embers, Bracelet of Embers</t>
        </is>
      </c>
    </row>
    <row r="522">
      <c r="A522" s="21" t="n">
        <v>19</v>
      </c>
      <c r="B522" s="21" t="inlineStr">
        <is>
          <t>Magus</t>
        </is>
      </c>
      <c r="C522" s="21" t="n">
        <v>3</v>
      </c>
      <c r="D522" s="21" t="n">
        <v>15</v>
      </c>
      <c r="E522" s="21" t="n">
        <v>10</v>
      </c>
      <c r="F522" s="21" t="n">
        <v>12</v>
      </c>
      <c r="G522" s="21" t="n">
        <v>820</v>
      </c>
      <c r="H522" s="21" t="n">
        <v>780</v>
      </c>
      <c r="I522" s="21" t="n">
        <v>119</v>
      </c>
      <c r="J522" s="23" t="n">
        <v>0.03</v>
      </c>
      <c r="K522" s="23" t="n">
        <v>0.04</v>
      </c>
      <c r="L522" s="23" t="n">
        <v>0.02</v>
      </c>
      <c r="M522" s="23" t="n">
        <v>0</v>
      </c>
      <c r="N522" s="23" t="n">
        <v>0.02</v>
      </c>
      <c r="O522" s="23" t="n">
        <v>0.02</v>
      </c>
      <c r="P522" s="42" t="inlineStr">
        <is>
          <t>Cloth Tunic, Cloth Cap, Cloth Leggings, Cloth Shoes, Hardwood Stave, Worn Leather Belt, Scout's Gloves, Traveler's Cloak, Charm of Focus, Cold Iron Pauldrons, Bracelet of Embers, Bracelet of Embers</t>
        </is>
      </c>
    </row>
    <row r="523">
      <c r="A523" s="21" t="n">
        <v>20</v>
      </c>
      <c r="B523" s="21" t="inlineStr">
        <is>
          <t>Magus</t>
        </is>
      </c>
      <c r="C523" s="21" t="n">
        <v>3</v>
      </c>
      <c r="D523" s="21" t="n">
        <v>15</v>
      </c>
      <c r="E523" s="21" t="n">
        <v>10</v>
      </c>
      <c r="F523" s="21" t="n">
        <v>16</v>
      </c>
      <c r="G523" s="21" t="n">
        <v>1105</v>
      </c>
      <c r="H523" s="21" t="n">
        <v>780</v>
      </c>
      <c r="I523" s="21" t="n">
        <v>155</v>
      </c>
      <c r="J523" s="23" t="n">
        <v>0.05</v>
      </c>
      <c r="K523" s="23" t="n">
        <v>0.04</v>
      </c>
      <c r="L523" s="23" t="n">
        <v>0.04</v>
      </c>
      <c r="M523" s="23" t="n">
        <v>0</v>
      </c>
      <c r="N523" s="23" t="n">
        <v>0.02</v>
      </c>
      <c r="O523" s="23" t="n">
        <v>0.02</v>
      </c>
      <c r="P523" s="42" t="inlineStr">
        <is>
          <t>Silk Tunic, Silk Cap, Silk Leggings, Silk Slippers, Hardwood Stave, Sturdy Belt, Scout's Gloves, Traveler's Cloak, Charm of Focus, Cold Iron Pauldrons, Bracelet of Embers, Bracelet of Embers</t>
        </is>
      </c>
    </row>
    <row r="524">
      <c r="A524" s="21" t="n">
        <v>21</v>
      </c>
      <c r="B524" s="21" t="inlineStr">
        <is>
          <t>Magus</t>
        </is>
      </c>
      <c r="C524" s="21" t="n">
        <v>3</v>
      </c>
      <c r="D524" s="21" t="n">
        <v>15</v>
      </c>
      <c r="E524" s="21" t="n">
        <v>10</v>
      </c>
      <c r="F524" s="21" t="n">
        <v>16</v>
      </c>
      <c r="G524" s="21" t="n">
        <v>1105</v>
      </c>
      <c r="H524" s="21" t="n">
        <v>780</v>
      </c>
      <c r="I524" s="21" t="n">
        <v>155</v>
      </c>
      <c r="J524" s="23" t="n">
        <v>0.05</v>
      </c>
      <c r="K524" s="23" t="n">
        <v>0.04</v>
      </c>
      <c r="L524" s="23" t="n">
        <v>0.04</v>
      </c>
      <c r="M524" s="23" t="n">
        <v>0</v>
      </c>
      <c r="N524" s="23" t="n">
        <v>0.02</v>
      </c>
      <c r="O524" s="23" t="n">
        <v>0.02</v>
      </c>
      <c r="P524" s="42" t="inlineStr">
        <is>
          <t>Silk Tunic, Silk Cap, Silk Leggings, Silk Slippers, Hardwood Stave, Sturdy Belt, Scout's Gloves, Traveler's Cloak, Charm of Focus, Cold Iron Pauldrons, Bracelet of Embers, Bracelet of Embers</t>
        </is>
      </c>
    </row>
    <row r="525">
      <c r="A525" s="21" t="n">
        <v>22</v>
      </c>
      <c r="B525" s="21" t="inlineStr">
        <is>
          <t>Magus</t>
        </is>
      </c>
      <c r="C525" s="21" t="n">
        <v>3</v>
      </c>
      <c r="D525" s="21" t="n">
        <v>15</v>
      </c>
      <c r="E525" s="21" t="n">
        <v>10</v>
      </c>
      <c r="F525" s="21" t="n">
        <v>16</v>
      </c>
      <c r="G525" s="21" t="n">
        <v>1105</v>
      </c>
      <c r="H525" s="21" t="n">
        <v>780</v>
      </c>
      <c r="I525" s="21" t="n">
        <v>155</v>
      </c>
      <c r="J525" s="23" t="n">
        <v>0.05</v>
      </c>
      <c r="K525" s="23" t="n">
        <v>0.04</v>
      </c>
      <c r="L525" s="23" t="n">
        <v>0.04</v>
      </c>
      <c r="M525" s="23" t="n">
        <v>0</v>
      </c>
      <c r="N525" s="23" t="n">
        <v>0.02</v>
      </c>
      <c r="O525" s="23" t="n">
        <v>0.02</v>
      </c>
      <c r="P525" s="42" t="inlineStr">
        <is>
          <t>Silk Tunic, Silk Cap, Silk Leggings, Silk Slippers, Hardwood Stave, Sturdy Belt, Scout's Gloves, Traveler's Cloak, Charm of Focus, Cold Iron Pauldrons, Bracelet of Embers, Bracelet of Embers</t>
        </is>
      </c>
    </row>
    <row r="526">
      <c r="A526" s="21" t="n">
        <v>23</v>
      </c>
      <c r="B526" s="21" t="inlineStr">
        <is>
          <t>Magus</t>
        </is>
      </c>
      <c r="C526" s="21" t="n">
        <v>3</v>
      </c>
      <c r="D526" s="21" t="n">
        <v>15</v>
      </c>
      <c r="E526" s="21" t="n">
        <v>10</v>
      </c>
      <c r="F526" s="21" t="n">
        <v>16</v>
      </c>
      <c r="G526" s="21" t="n">
        <v>1315</v>
      </c>
      <c r="H526" s="21" t="n">
        <v>1080</v>
      </c>
      <c r="I526" s="21" t="n">
        <v>165</v>
      </c>
      <c r="J526" s="23" t="n">
        <v>0.05</v>
      </c>
      <c r="K526" s="23" t="n">
        <v>0.06</v>
      </c>
      <c r="L526" s="23" t="n">
        <v>0.04</v>
      </c>
      <c r="M526" s="23" t="n">
        <v>0</v>
      </c>
      <c r="N526" s="23" t="n">
        <v>0.02</v>
      </c>
      <c r="O526" s="23" t="n">
        <v>0.02</v>
      </c>
      <c r="P526" s="42" t="inlineStr">
        <is>
          <t>Silk Tunic, Silk Cap, Silk Leggings, Silk Slippers, Hardwood Stave, Sturdy Belt, Scout's Gloves, Traveler's Cloak, Charm of Focus, Cold Iron Pauldrons, Bracelet of Cinders, Bracelet of Cinders</t>
        </is>
      </c>
    </row>
    <row r="527">
      <c r="A527" s="21" t="n">
        <v>24</v>
      </c>
      <c r="B527" s="21" t="inlineStr">
        <is>
          <t>Magus</t>
        </is>
      </c>
      <c r="C527" s="21" t="n">
        <v>3</v>
      </c>
      <c r="D527" s="21" t="n">
        <v>15</v>
      </c>
      <c r="E527" s="21" t="n">
        <v>10</v>
      </c>
      <c r="F527" s="21" t="n">
        <v>20</v>
      </c>
      <c r="G527" s="21" t="n">
        <v>1405</v>
      </c>
      <c r="H527" s="21" t="n">
        <v>1080</v>
      </c>
      <c r="I527" s="21" t="n">
        <v>175</v>
      </c>
      <c r="J527" s="23" t="n">
        <v>0.05</v>
      </c>
      <c r="K527" s="23" t="n">
        <v>0.06</v>
      </c>
      <c r="L527" s="23" t="n">
        <v>0.05</v>
      </c>
      <c r="M527" s="23" t="n">
        <v>0</v>
      </c>
      <c r="N527" s="23" t="n">
        <v>0.02</v>
      </c>
      <c r="O527" s="23" t="n">
        <v>0.02</v>
      </c>
      <c r="P527" s="42" t="inlineStr">
        <is>
          <t>Silk Tunic, Silk Cap, Silk Leggings, Silk Slippers, Hardwood Stave, Sturdy Belt, Reinforced War Gloves, Traveler's Cloak, Charm of Focus, Cold Iron Pauldrons, Bracelet of Cinders, Bracelet of Cinders</t>
        </is>
      </c>
    </row>
    <row r="528">
      <c r="A528" s="21" t="n">
        <v>25</v>
      </c>
      <c r="B528" s="21" t="inlineStr">
        <is>
          <t>Magus</t>
        </is>
      </c>
      <c r="C528" s="21" t="n">
        <v>3</v>
      </c>
      <c r="D528" s="21" t="n">
        <v>15</v>
      </c>
      <c r="E528" s="21" t="n">
        <v>10</v>
      </c>
      <c r="F528" s="21" t="n">
        <v>20</v>
      </c>
      <c r="G528" s="21" t="n">
        <v>1405</v>
      </c>
      <c r="H528" s="21" t="n">
        <v>1080</v>
      </c>
      <c r="I528" s="21" t="n">
        <v>175</v>
      </c>
      <c r="J528" s="23" t="n">
        <v>0.05</v>
      </c>
      <c r="K528" s="23" t="n">
        <v>0.06</v>
      </c>
      <c r="L528" s="23" t="n">
        <v>0.05</v>
      </c>
      <c r="M528" s="23" t="n">
        <v>0</v>
      </c>
      <c r="N528" s="23" t="n">
        <v>0.02</v>
      </c>
      <c r="O528" s="23" t="n">
        <v>0.02</v>
      </c>
      <c r="P528" s="42" t="inlineStr">
        <is>
          <t>Silk Tunic, Silk Cap, Silk Leggings, Silk Slippers, Hardwood Stave, Sturdy Belt, Reinforced War Gloves, Traveler's Cloak, Charm of Focus, Cold Iron Pauldrons, Bracelet of Cinders, Bracelet of Cinders</t>
        </is>
      </c>
    </row>
    <row r="529">
      <c r="A529" s="21" t="n">
        <v>26</v>
      </c>
      <c r="B529" s="21" t="inlineStr">
        <is>
          <t>Magus</t>
        </is>
      </c>
      <c r="C529" s="21" t="n">
        <v>3</v>
      </c>
      <c r="D529" s="21" t="n">
        <v>15</v>
      </c>
      <c r="E529" s="21" t="n">
        <v>10</v>
      </c>
      <c r="F529" s="21" t="n">
        <v>20</v>
      </c>
      <c r="G529" s="21" t="n">
        <v>1445</v>
      </c>
      <c r="H529" s="21" t="n">
        <v>1120</v>
      </c>
      <c r="I529" s="21" t="n">
        <v>184</v>
      </c>
      <c r="J529" s="23" t="n">
        <v>0.05</v>
      </c>
      <c r="K529" s="23" t="n">
        <v>0.06</v>
      </c>
      <c r="L529" s="23" t="n">
        <v>0.05</v>
      </c>
      <c r="M529" s="23" t="n">
        <v>0</v>
      </c>
      <c r="N529" s="23" t="n">
        <v>0.03</v>
      </c>
      <c r="O529" s="23" t="n">
        <v>0.02</v>
      </c>
      <c r="P529" s="42" t="inlineStr">
        <is>
          <t>Silk Tunic, Silk Cap, Silk Leggings, Silk Slippers, Hardwood Stave, Sturdy Belt, Reinforced War Gloves, Warden's Cloak, Charm of Focus, Cold Iron Pauldrons, Bracelet of Cinders, Bracelet of Cinders</t>
        </is>
      </c>
    </row>
    <row r="530">
      <c r="A530" s="21" t="n">
        <v>27</v>
      </c>
      <c r="B530" s="21" t="inlineStr">
        <is>
          <t>Magus</t>
        </is>
      </c>
      <c r="C530" s="21" t="n">
        <v>3</v>
      </c>
      <c r="D530" s="21" t="n">
        <v>21</v>
      </c>
      <c r="E530" s="21" t="n">
        <v>10</v>
      </c>
      <c r="F530" s="21" t="n">
        <v>20</v>
      </c>
      <c r="G530" s="21" t="n">
        <v>1485</v>
      </c>
      <c r="H530" s="21" t="n">
        <v>1420</v>
      </c>
      <c r="I530" s="21" t="n">
        <v>190</v>
      </c>
      <c r="J530" s="23" t="n">
        <v>0.07000000000000001</v>
      </c>
      <c r="K530" s="23" t="n">
        <v>0.06</v>
      </c>
      <c r="L530" s="23" t="n">
        <v>0.05</v>
      </c>
      <c r="M530" s="23" t="n">
        <v>0</v>
      </c>
      <c r="N530" s="23" t="n">
        <v>0.03</v>
      </c>
      <c r="O530" s="23" t="n">
        <v>0.02</v>
      </c>
      <c r="P530" s="42" t="inlineStr">
        <is>
          <t>Silk Tunic, Silk Cap, Silk Leggings, Silk Slippers, Thicket Stave, Sturdy Belt, Reinforced War Gloves, Warden's Cloak, Charm of Insight, Cold Iron Pauldrons, Bracelet of Cinders, Bracelet of Cinders</t>
        </is>
      </c>
    </row>
    <row r="531">
      <c r="A531" s="21" t="n">
        <v>28</v>
      </c>
      <c r="B531" s="21" t="inlineStr">
        <is>
          <t>Magus</t>
        </is>
      </c>
      <c r="C531" s="21" t="n">
        <v>3</v>
      </c>
      <c r="D531" s="21" t="n">
        <v>21</v>
      </c>
      <c r="E531" s="21" t="n">
        <v>10</v>
      </c>
      <c r="F531" s="21" t="n">
        <v>22</v>
      </c>
      <c r="G531" s="21" t="n">
        <v>1665</v>
      </c>
      <c r="H531" s="21" t="n">
        <v>1420</v>
      </c>
      <c r="I531" s="21" t="n">
        <v>207</v>
      </c>
      <c r="J531" s="23" t="n">
        <v>0.07000000000000001</v>
      </c>
      <c r="K531" s="23" t="n">
        <v>0.06</v>
      </c>
      <c r="L531" s="23" t="n">
        <v>0.05</v>
      </c>
      <c r="M531" s="23" t="n">
        <v>0</v>
      </c>
      <c r="N531" s="23" t="n">
        <v>0.03</v>
      </c>
      <c r="O531" s="23" t="n">
        <v>0.03</v>
      </c>
      <c r="P531" s="42" t="inlineStr">
        <is>
          <t>Silk Tunic, Silk Cap, Silk Leggings, Silk Slippers, Thicket Stave, Sturdy Belt, Reinforced War Gloves, Warden's Cloak, Charm of Insight, Tempered Pauldrons, Bracelet of Cinders, Bracelet of Cinders</t>
        </is>
      </c>
    </row>
    <row r="532">
      <c r="A532" s="21" t="n">
        <v>29</v>
      </c>
      <c r="B532" s="21" t="inlineStr">
        <is>
          <t>Magus</t>
        </is>
      </c>
      <c r="C532" s="21" t="n">
        <v>3</v>
      </c>
      <c r="D532" s="21" t="n">
        <v>21</v>
      </c>
      <c r="E532" s="21" t="n">
        <v>10</v>
      </c>
      <c r="F532" s="21" t="n">
        <v>22</v>
      </c>
      <c r="G532" s="21" t="n">
        <v>1665</v>
      </c>
      <c r="H532" s="21" t="n">
        <v>1420</v>
      </c>
      <c r="I532" s="21" t="n">
        <v>207</v>
      </c>
      <c r="J532" s="23" t="n">
        <v>0.07000000000000001</v>
      </c>
      <c r="K532" s="23" t="n">
        <v>0.06</v>
      </c>
      <c r="L532" s="23" t="n">
        <v>0.05</v>
      </c>
      <c r="M532" s="23" t="n">
        <v>0</v>
      </c>
      <c r="N532" s="23" t="n">
        <v>0.03</v>
      </c>
      <c r="O532" s="23" t="n">
        <v>0.03</v>
      </c>
      <c r="P532" s="42" t="inlineStr">
        <is>
          <t>Silk Tunic, Silk Cap, Silk Leggings, Silk Slippers, Thicket Stave, Sturdy Belt, Reinforced War Gloves, Warden's Cloak, Charm of Insight, Tempered Pauldrons, Bracelet of Cinders, Bracelet of Cinders</t>
        </is>
      </c>
    </row>
    <row r="533">
      <c r="A533" s="21" t="n">
        <v>30</v>
      </c>
      <c r="B533" s="21" t="inlineStr">
        <is>
          <t>Magus</t>
        </is>
      </c>
      <c r="C533" s="21" t="n">
        <v>3</v>
      </c>
      <c r="D533" s="21" t="n">
        <v>21</v>
      </c>
      <c r="E533" s="21" t="n">
        <v>10</v>
      </c>
      <c r="F533" s="21" t="n">
        <v>25</v>
      </c>
      <c r="G533" s="21" t="n">
        <v>1885</v>
      </c>
      <c r="H533" s="21" t="n">
        <v>1420</v>
      </c>
      <c r="I533" s="21" t="n">
        <v>216</v>
      </c>
      <c r="J533" s="23" t="n">
        <v>0.08</v>
      </c>
      <c r="K533" s="23" t="n">
        <v>0.06</v>
      </c>
      <c r="L533" s="23" t="n">
        <v>0.06</v>
      </c>
      <c r="M533" s="23" t="n">
        <v>0</v>
      </c>
      <c r="N533" s="23" t="n">
        <v>0.03</v>
      </c>
      <c r="O533" s="23" t="n">
        <v>0.03</v>
      </c>
      <c r="P533" s="42" t="inlineStr">
        <is>
          <t>Silk Tunic, Silk Cap, Silk Leggings, Silk Slippers, Thicket Stave, Ironbound Belt, Reinforced War Gloves, Warden's Cloak, Charm of Insight, Tempered Pauldrons, Bracelet of Cinders, Bracelet of Cinders</t>
        </is>
      </c>
    </row>
    <row r="534">
      <c r="A534" s="21" t="n">
        <v>31</v>
      </c>
      <c r="B534" s="21" t="inlineStr">
        <is>
          <t>Magus</t>
        </is>
      </c>
      <c r="C534" s="21" t="n">
        <v>3</v>
      </c>
      <c r="D534" s="21" t="n">
        <v>21</v>
      </c>
      <c r="E534" s="21" t="n">
        <v>10</v>
      </c>
      <c r="F534" s="21" t="n">
        <v>25</v>
      </c>
      <c r="G534" s="21" t="n">
        <v>1885</v>
      </c>
      <c r="H534" s="21" t="n">
        <v>1420</v>
      </c>
      <c r="I534" s="21" t="n">
        <v>216</v>
      </c>
      <c r="J534" s="23" t="n">
        <v>0.08</v>
      </c>
      <c r="K534" s="23" t="n">
        <v>0.06</v>
      </c>
      <c r="L534" s="23" t="n">
        <v>0.06</v>
      </c>
      <c r="M534" s="23" t="n">
        <v>0</v>
      </c>
      <c r="N534" s="23" t="n">
        <v>0.03</v>
      </c>
      <c r="O534" s="23" t="n">
        <v>0.03</v>
      </c>
      <c r="P534" s="42" t="inlineStr">
        <is>
          <t>Silk Tunic, Silk Cap, Silk Leggings, Silk Slippers, Thicket Stave, Ironbound Belt, Reinforced War Gloves, Warden's Cloak, Charm of Insight, Tempered Pauldrons, Bracelet of Cinders, Bracelet of Cinders</t>
        </is>
      </c>
    </row>
    <row r="535">
      <c r="A535" s="21" t="n">
        <v>32</v>
      </c>
      <c r="B535" s="21" t="inlineStr">
        <is>
          <t>Magus</t>
        </is>
      </c>
      <c r="C535" s="21" t="n">
        <v>3</v>
      </c>
      <c r="D535" s="21" t="n">
        <v>21</v>
      </c>
      <c r="E535" s="21" t="n">
        <v>10</v>
      </c>
      <c r="F535" s="21" t="n">
        <v>25</v>
      </c>
      <c r="G535" s="21" t="n">
        <v>1885</v>
      </c>
      <c r="H535" s="21" t="n">
        <v>1420</v>
      </c>
      <c r="I535" s="21" t="n">
        <v>216</v>
      </c>
      <c r="J535" s="23" t="n">
        <v>0.08</v>
      </c>
      <c r="K535" s="23" t="n">
        <v>0.06</v>
      </c>
      <c r="L535" s="23" t="n">
        <v>0.06</v>
      </c>
      <c r="M535" s="23" t="n">
        <v>0</v>
      </c>
      <c r="N535" s="23" t="n">
        <v>0.03</v>
      </c>
      <c r="O535" s="23" t="n">
        <v>0.03</v>
      </c>
      <c r="P535" s="42" t="inlineStr">
        <is>
          <t>Silk Tunic, Silk Cap, Silk Leggings, Silk Slippers, Thicket Stave, Ironbound Belt, Reinforced War Gloves, Warden's Cloak, Charm of Insight, Tempered Pauldrons, Bracelet of Cinders, Bracelet of Cinders</t>
        </is>
      </c>
    </row>
    <row r="536">
      <c r="A536" s="21" t="n">
        <v>33</v>
      </c>
      <c r="B536" s="21" t="inlineStr">
        <is>
          <t>Magus</t>
        </is>
      </c>
      <c r="C536" s="21" t="n">
        <v>3</v>
      </c>
      <c r="D536" s="21" t="n">
        <v>21</v>
      </c>
      <c r="E536" s="21" t="n">
        <v>10</v>
      </c>
      <c r="F536" s="21" t="n">
        <v>25</v>
      </c>
      <c r="G536" s="21" t="n">
        <v>2045</v>
      </c>
      <c r="H536" s="21" t="n">
        <v>1770</v>
      </c>
      <c r="I536" s="21" t="n">
        <v>226</v>
      </c>
      <c r="J536" s="23" t="n">
        <v>0.08</v>
      </c>
      <c r="K536" s="23" t="n">
        <v>0.08</v>
      </c>
      <c r="L536" s="23" t="n">
        <v>0.06</v>
      </c>
      <c r="M536" s="23" t="n">
        <v>0</v>
      </c>
      <c r="N536" s="23" t="n">
        <v>0.03</v>
      </c>
      <c r="O536" s="23" t="n">
        <v>0.03</v>
      </c>
      <c r="P536" s="42" t="inlineStr">
        <is>
          <t>Silk Tunic, Silk Cap, Silk Leggings, Silk Slippers, Thicket Stave, Ironbound Belt, Reinforced War Gloves, Warden's Cloak, Charm of Insight, Tempered Pauldrons, Bracelet of Flames, Bracelet of Flames</t>
        </is>
      </c>
    </row>
    <row r="537">
      <c r="A537" s="21" t="n">
        <v>34</v>
      </c>
      <c r="B537" s="21" t="inlineStr">
        <is>
          <t>Magus</t>
        </is>
      </c>
      <c r="C537" s="21" t="n">
        <v>3</v>
      </c>
      <c r="D537" s="21" t="n">
        <v>21</v>
      </c>
      <c r="E537" s="21" t="n">
        <v>10</v>
      </c>
      <c r="F537" s="21" t="n">
        <v>29</v>
      </c>
      <c r="G537" s="21" t="n">
        <v>2135</v>
      </c>
      <c r="H537" s="21" t="n">
        <v>1770</v>
      </c>
      <c r="I537" s="21" t="n">
        <v>236</v>
      </c>
      <c r="J537" s="23" t="n">
        <v>0.08</v>
      </c>
      <c r="K537" s="23" t="n">
        <v>0.08</v>
      </c>
      <c r="L537" s="23" t="n">
        <v>0.07000000000000001</v>
      </c>
      <c r="M537" s="23" t="n">
        <v>0</v>
      </c>
      <c r="N537" s="23" t="n">
        <v>0.03</v>
      </c>
      <c r="O537" s="23" t="n">
        <v>0.03</v>
      </c>
      <c r="P537" s="42" t="inlineStr">
        <is>
          <t>Silk Tunic, Silk Cap, Silk Leggings, Silk Slippers, Thicket Stave, Ironbound Belt, Runed War Gloves, Warden's Cloak, Charm of Insight, Tempered Pauldrons, Bracelet of Flames, Bracelet of Flames</t>
        </is>
      </c>
    </row>
    <row r="538">
      <c r="A538" s="21" t="n">
        <v>35</v>
      </c>
      <c r="B538" s="21" t="inlineStr">
        <is>
          <t>Magus</t>
        </is>
      </c>
      <c r="C538" s="21" t="n">
        <v>3</v>
      </c>
      <c r="D538" s="21" t="n">
        <v>21</v>
      </c>
      <c r="E538" s="21" t="n">
        <v>10</v>
      </c>
      <c r="F538" s="21" t="n">
        <v>29</v>
      </c>
      <c r="G538" s="21" t="n">
        <v>2135</v>
      </c>
      <c r="H538" s="21" t="n">
        <v>1770</v>
      </c>
      <c r="I538" s="21" t="n">
        <v>236</v>
      </c>
      <c r="J538" s="23" t="n">
        <v>0.08</v>
      </c>
      <c r="K538" s="23" t="n">
        <v>0.08</v>
      </c>
      <c r="L538" s="23" t="n">
        <v>0.07000000000000001</v>
      </c>
      <c r="M538" s="23" t="n">
        <v>0</v>
      </c>
      <c r="N538" s="23" t="n">
        <v>0.03</v>
      </c>
      <c r="O538" s="23" t="n">
        <v>0.03</v>
      </c>
      <c r="P538" s="42" t="inlineStr">
        <is>
          <t>Silk Tunic, Silk Cap, Silk Leggings, Silk Slippers, Thicket Stave, Ironbound Belt, Runed War Gloves, Warden's Cloak, Charm of Insight, Tempered Pauldrons, Bracelet of Flames, Bracelet of Flames</t>
        </is>
      </c>
    </row>
    <row r="539">
      <c r="A539" s="21" t="n">
        <v>36</v>
      </c>
      <c r="B539" s="21" t="inlineStr">
        <is>
          <t>Magus</t>
        </is>
      </c>
      <c r="C539" s="21" t="n">
        <v>3</v>
      </c>
      <c r="D539" s="21" t="n">
        <v>21</v>
      </c>
      <c r="E539" s="21" t="n">
        <v>10</v>
      </c>
      <c r="F539" s="21" t="n">
        <v>29</v>
      </c>
      <c r="G539" s="21" t="n">
        <v>2170</v>
      </c>
      <c r="H539" s="21" t="n">
        <v>1805</v>
      </c>
      <c r="I539" s="21" t="n">
        <v>246</v>
      </c>
      <c r="J539" s="23" t="n">
        <v>0.08</v>
      </c>
      <c r="K539" s="23" t="n">
        <v>0.08</v>
      </c>
      <c r="L539" s="23" t="n">
        <v>0.07000000000000001</v>
      </c>
      <c r="M539" s="23" t="n">
        <v>0</v>
      </c>
      <c r="N539" s="23" t="n">
        <v>0.04</v>
      </c>
      <c r="O539" s="23" t="n">
        <v>0.03</v>
      </c>
      <c r="P539" s="42" t="inlineStr">
        <is>
          <t>Silk Tunic, Silk Cap, Silk Leggings, Silk Slippers, Thicket Stave, Ironbound Belt, Runed War Gloves, Stormward Cloak, Charm of Insight, Tempered Pauldrons, Bracelet of Flames, Bracelet of Flames</t>
        </is>
      </c>
    </row>
    <row r="540">
      <c r="A540" s="21" t="n">
        <v>37</v>
      </c>
      <c r="B540" s="21" t="inlineStr">
        <is>
          <t>Magus</t>
        </is>
      </c>
      <c r="C540" s="21" t="n">
        <v>3</v>
      </c>
      <c r="D540" s="21" t="n">
        <v>21</v>
      </c>
      <c r="E540" s="21" t="n">
        <v>10</v>
      </c>
      <c r="F540" s="21" t="n">
        <v>29</v>
      </c>
      <c r="G540" s="21" t="n">
        <v>2200</v>
      </c>
      <c r="H540" s="21" t="n">
        <v>1965</v>
      </c>
      <c r="I540" s="21" t="n">
        <v>253</v>
      </c>
      <c r="J540" s="23" t="n">
        <v>0.1</v>
      </c>
      <c r="K540" s="23" t="n">
        <v>0.08</v>
      </c>
      <c r="L540" s="23" t="n">
        <v>0.07000000000000001</v>
      </c>
      <c r="M540" s="23" t="n">
        <v>0</v>
      </c>
      <c r="N540" s="23" t="n">
        <v>0.04</v>
      </c>
      <c r="O540" s="23" t="n">
        <v>0.03</v>
      </c>
      <c r="P540" s="42" t="inlineStr">
        <is>
          <t>Silk Tunic, Silk Cap, Silk Leggings, Silk Slippers, Thicket Stave, Ironbound Belt, Runed War Gloves, Stormward Cloak, Charm of Ascendance, Tempered Pauldrons, Bracelet of Flames, Bracelet of Flames</t>
        </is>
      </c>
    </row>
    <row r="541">
      <c r="A541" s="21" t="n">
        <v>38</v>
      </c>
      <c r="B541" s="21" t="inlineStr">
        <is>
          <t>Magus</t>
        </is>
      </c>
      <c r="C541" s="21" t="n">
        <v>3</v>
      </c>
      <c r="D541" s="21" t="n">
        <v>21</v>
      </c>
      <c r="E541" s="21" t="n">
        <v>10</v>
      </c>
      <c r="F541" s="21" t="n">
        <v>31</v>
      </c>
      <c r="G541" s="21" t="n">
        <v>2355</v>
      </c>
      <c r="H541" s="21" t="n">
        <v>1965</v>
      </c>
      <c r="I541" s="21" t="n">
        <v>268</v>
      </c>
      <c r="J541" s="23" t="n">
        <v>0.1</v>
      </c>
      <c r="K541" s="23" t="n">
        <v>0.08</v>
      </c>
      <c r="L541" s="23" t="n">
        <v>0.07000000000000001</v>
      </c>
      <c r="M541" s="23" t="n">
        <v>0</v>
      </c>
      <c r="N541" s="23" t="n">
        <v>0.04</v>
      </c>
      <c r="O541" s="23" t="n">
        <v>0.04</v>
      </c>
      <c r="P541" s="42" t="inlineStr">
        <is>
          <t>Silk Tunic, Silk Cap, Silk Leggings, Silk Slippers, Thicket Stave, Ironbound Belt, Runed War Gloves, Stormward Cloak, Charm of Ascendance, Runeplate Pauldrons, Bracelet of Flames, Bracelet of Flames</t>
        </is>
      </c>
    </row>
    <row r="542">
      <c r="A542" s="21" t="n">
        <v>39</v>
      </c>
      <c r="B542" s="21" t="inlineStr">
        <is>
          <t>Magus</t>
        </is>
      </c>
      <c r="C542" s="21" t="n">
        <v>3</v>
      </c>
      <c r="D542" s="21" t="n">
        <v>21</v>
      </c>
      <c r="E542" s="21" t="n">
        <v>10</v>
      </c>
      <c r="F542" s="21" t="n">
        <v>31</v>
      </c>
      <c r="G542" s="21" t="n">
        <v>2355</v>
      </c>
      <c r="H542" s="21" t="n">
        <v>1965</v>
      </c>
      <c r="I542" s="21" t="n">
        <v>268</v>
      </c>
      <c r="J542" s="23" t="n">
        <v>0.1</v>
      </c>
      <c r="K542" s="23" t="n">
        <v>0.08</v>
      </c>
      <c r="L542" s="23" t="n">
        <v>0.07000000000000001</v>
      </c>
      <c r="M542" s="23" t="n">
        <v>0</v>
      </c>
      <c r="N542" s="23" t="n">
        <v>0.04</v>
      </c>
      <c r="O542" s="23" t="n">
        <v>0.04</v>
      </c>
      <c r="P542" s="42" t="inlineStr">
        <is>
          <t>Silk Tunic, Silk Cap, Silk Leggings, Silk Slippers, Thicket Stave, Ironbound Belt, Runed War Gloves, Stormward Cloak, Charm of Ascendance, Runeplate Pauldrons, Bracelet of Flames, Bracelet of Flames</t>
        </is>
      </c>
    </row>
    <row r="543">
      <c r="A543" s="21" t="n">
        <v>40</v>
      </c>
      <c r="B543" s="21" t="inlineStr">
        <is>
          <t>Magus</t>
        </is>
      </c>
      <c r="C543" s="21" t="n">
        <v>3</v>
      </c>
      <c r="D543" s="21" t="n">
        <v>21</v>
      </c>
      <c r="E543" s="21" t="n">
        <v>10</v>
      </c>
      <c r="F543" s="21" t="n">
        <v>33</v>
      </c>
      <c r="G543" s="21" t="n">
        <v>2540</v>
      </c>
      <c r="H543" s="21" t="n">
        <v>1965</v>
      </c>
      <c r="I543" s="21" t="n">
        <v>276</v>
      </c>
      <c r="J543" s="23" t="n">
        <v>0.11</v>
      </c>
      <c r="K543" s="23" t="n">
        <v>0.08</v>
      </c>
      <c r="L543" s="23" t="n">
        <v>0.08</v>
      </c>
      <c r="M543" s="23" t="n">
        <v>0</v>
      </c>
      <c r="N543" s="23" t="n">
        <v>0.04</v>
      </c>
      <c r="O543" s="23" t="n">
        <v>0.04</v>
      </c>
      <c r="P543" s="42" t="inlineStr">
        <is>
          <t>Silk Tunic, Silk Cap, Silk Leggings, Silk Slippers, Thicket Stave, Runeplate Belt, Runed War Gloves, Stormward Cloak, Charm of Ascendance, Runeplate Pauldrons, Bracelet of Flames, Bracelet of Flames</t>
        </is>
      </c>
    </row>
    <row r="544">
      <c r="A544" s="21" t="n">
        <v>41</v>
      </c>
      <c r="B544" s="21" t="inlineStr">
        <is>
          <t>Magus</t>
        </is>
      </c>
      <c r="C544" s="21" t="n">
        <v>3</v>
      </c>
      <c r="D544" s="21" t="n">
        <v>21</v>
      </c>
      <c r="E544" s="21" t="n">
        <v>10</v>
      </c>
      <c r="F544" s="21" t="n">
        <v>33</v>
      </c>
      <c r="G544" s="21" t="n">
        <v>2540</v>
      </c>
      <c r="H544" s="21" t="n">
        <v>1965</v>
      </c>
      <c r="I544" s="21" t="n">
        <v>276</v>
      </c>
      <c r="J544" s="23" t="n">
        <v>0.11</v>
      </c>
      <c r="K544" s="23" t="n">
        <v>0.08</v>
      </c>
      <c r="L544" s="23" t="n">
        <v>0.08</v>
      </c>
      <c r="M544" s="23" t="n">
        <v>0</v>
      </c>
      <c r="N544" s="23" t="n">
        <v>0.04</v>
      </c>
      <c r="O544" s="23" t="n">
        <v>0.04</v>
      </c>
      <c r="P544" s="42" t="inlineStr">
        <is>
          <t>Silk Tunic, Silk Cap, Silk Leggings, Silk Slippers, Thicket Stave, Runeplate Belt, Runed War Gloves, Stormward Cloak, Charm of Ascendance, Runeplate Pauldrons, Bracelet of Flames, Bracelet of Flames</t>
        </is>
      </c>
    </row>
    <row r="545">
      <c r="A545" s="21" t="n">
        <v>42</v>
      </c>
      <c r="B545" s="21" t="inlineStr">
        <is>
          <t>Magus</t>
        </is>
      </c>
      <c r="C545" s="21" t="n">
        <v>3</v>
      </c>
      <c r="D545" s="21" t="n">
        <v>21</v>
      </c>
      <c r="E545" s="21" t="n">
        <v>10</v>
      </c>
      <c r="F545" s="21" t="n">
        <v>33</v>
      </c>
      <c r="G545" s="21" t="n">
        <v>2540</v>
      </c>
      <c r="H545" s="21" t="n">
        <v>1965</v>
      </c>
      <c r="I545" s="21" t="n">
        <v>276</v>
      </c>
      <c r="J545" s="23" t="n">
        <v>0.11</v>
      </c>
      <c r="K545" s="23" t="n">
        <v>0.08</v>
      </c>
      <c r="L545" s="23" t="n">
        <v>0.08</v>
      </c>
      <c r="M545" s="23" t="n">
        <v>0</v>
      </c>
      <c r="N545" s="23" t="n">
        <v>0.04</v>
      </c>
      <c r="O545" s="23" t="n">
        <v>0.04</v>
      </c>
      <c r="P545" s="42" t="inlineStr">
        <is>
          <t>Silk Tunic, Silk Cap, Silk Leggings, Silk Slippers, Thicket Stave, Runeplate Belt, Runed War Gloves, Stormward Cloak, Charm of Ascendance, Runeplate Pauldrons, Bracelet of Flames, Bracelet of Flames</t>
        </is>
      </c>
    </row>
    <row r="546">
      <c r="A546" s="21" t="n">
        <v>43</v>
      </c>
      <c r="B546" s="21" t="inlineStr">
        <is>
          <t>Magus</t>
        </is>
      </c>
      <c r="C546" s="21" t="n">
        <v>3</v>
      </c>
      <c r="D546" s="21" t="n">
        <v>21</v>
      </c>
      <c r="E546" s="21" t="n">
        <v>10</v>
      </c>
      <c r="F546" s="21" t="n">
        <v>33</v>
      </c>
      <c r="G546" s="21" t="n">
        <v>2800</v>
      </c>
      <c r="H546" s="21" t="n">
        <v>2325</v>
      </c>
      <c r="I546" s="21" t="n">
        <v>286</v>
      </c>
      <c r="J546" s="23" t="n">
        <v>0.11</v>
      </c>
      <c r="K546" s="23" t="n">
        <v>0.1</v>
      </c>
      <c r="L546" s="23" t="n">
        <v>0.08</v>
      </c>
      <c r="M546" s="23" t="n">
        <v>0</v>
      </c>
      <c r="N546" s="23" t="n">
        <v>0.04</v>
      </c>
      <c r="O546" s="23" t="n">
        <v>0.04</v>
      </c>
      <c r="P546" s="42" t="inlineStr">
        <is>
          <t>Silk Tunic, Silk Cap, Silk Leggings, Silk Slippers, Thicket Stave, Runeplate Belt, Runed War Gloves, Stormward Cloak, Charm of Ascendance, Runeplate Pauldrons, Bracelet of the Inferno, Bracelet of the Inferno</t>
        </is>
      </c>
    </row>
    <row r="547">
      <c r="A547" s="21" t="n">
        <v>44</v>
      </c>
      <c r="B547" s="21" t="inlineStr">
        <is>
          <t>Magus</t>
        </is>
      </c>
      <c r="C547" s="21" t="n">
        <v>3</v>
      </c>
      <c r="D547" s="21" t="n">
        <v>21</v>
      </c>
      <c r="E547" s="21" t="n">
        <v>10</v>
      </c>
      <c r="F547" s="21" t="n">
        <v>37</v>
      </c>
      <c r="G547" s="21" t="n">
        <v>2890</v>
      </c>
      <c r="H547" s="21" t="n">
        <v>2325</v>
      </c>
      <c r="I547" s="21" t="n">
        <v>296</v>
      </c>
      <c r="J547" s="23" t="n">
        <v>0.11</v>
      </c>
      <c r="K547" s="23" t="n">
        <v>0.1</v>
      </c>
      <c r="L547" s="23" t="n">
        <v>0.09</v>
      </c>
      <c r="M547" s="23" t="n">
        <v>0</v>
      </c>
      <c r="N547" s="23" t="n">
        <v>0.04</v>
      </c>
      <c r="O547" s="23" t="n">
        <v>0.04</v>
      </c>
      <c r="P547" s="42" t="inlineStr">
        <is>
          <t>Silk Tunic, Silk Cap, Silk Leggings, Silk Slippers, Thicket Stave, Runeplate Belt, Exalted War Gloves, Stormward Cloak, Charm of Ascendance, Runeplate Pauldrons, Bracelet of the Inferno, Bracelet of the Inferno</t>
        </is>
      </c>
    </row>
    <row r="548">
      <c r="A548" s="21" t="n">
        <v>45</v>
      </c>
      <c r="B548" s="21" t="inlineStr">
        <is>
          <t>Magus</t>
        </is>
      </c>
      <c r="C548" s="21" t="n">
        <v>3</v>
      </c>
      <c r="D548" s="21" t="n">
        <v>21</v>
      </c>
      <c r="E548" s="21" t="n">
        <v>10</v>
      </c>
      <c r="F548" s="21" t="n">
        <v>37</v>
      </c>
      <c r="G548" s="21" t="n">
        <v>2890</v>
      </c>
      <c r="H548" s="21" t="n">
        <v>2325</v>
      </c>
      <c r="I548" s="21" t="n">
        <v>296</v>
      </c>
      <c r="J548" s="23" t="n">
        <v>0.11</v>
      </c>
      <c r="K548" s="23" t="n">
        <v>0.1</v>
      </c>
      <c r="L548" s="23" t="n">
        <v>0.09</v>
      </c>
      <c r="M548" s="23" t="n">
        <v>0</v>
      </c>
      <c r="N548" s="23" t="n">
        <v>0.04</v>
      </c>
      <c r="O548" s="23" t="n">
        <v>0.04</v>
      </c>
      <c r="P548" s="42" t="inlineStr">
        <is>
          <t>Silk Tunic, Silk Cap, Silk Leggings, Silk Slippers, Thicket Stave, Runeplate Belt, Exalted War Gloves, Stormward Cloak, Charm of Ascendance, Runeplate Pauldrons, Bracelet of the Inferno, Bracelet of the Inferno</t>
        </is>
      </c>
    </row>
    <row r="549">
      <c r="A549" s="21" t="n">
        <v>46</v>
      </c>
      <c r="B549" s="21" t="inlineStr">
        <is>
          <t>Magus</t>
        </is>
      </c>
      <c r="C549" s="21" t="n">
        <v>3</v>
      </c>
      <c r="D549" s="21" t="n">
        <v>21</v>
      </c>
      <c r="E549" s="21" t="n">
        <v>10</v>
      </c>
      <c r="F549" s="21" t="n">
        <v>37</v>
      </c>
      <c r="G549" s="21" t="n">
        <v>2925</v>
      </c>
      <c r="H549" s="21" t="n">
        <v>2360</v>
      </c>
      <c r="I549" s="21" t="n">
        <v>304</v>
      </c>
      <c r="J549" s="23" t="n">
        <v>0.11</v>
      </c>
      <c r="K549" s="23" t="n">
        <v>0.1</v>
      </c>
      <c r="L549" s="23" t="n">
        <v>0.09</v>
      </c>
      <c r="M549" s="23" t="n">
        <v>0</v>
      </c>
      <c r="N549" s="23" t="n">
        <v>0.05</v>
      </c>
      <c r="O549" s="23" t="n">
        <v>0.04</v>
      </c>
      <c r="P549" s="42" t="inlineStr">
        <is>
          <t>Silk Tunic, Silk Cap, Silk Leggings, Silk Slippers, Thicket Stave, Runeplate Belt, Exalted War Gloves, Skyweave Cloak, Charm of Ascendance, Runeplate Pauldrons, Bracelet of the Inferno, Bracelet of the Inferno</t>
        </is>
      </c>
    </row>
    <row r="550">
      <c r="A550" s="21" t="n">
        <v>47</v>
      </c>
      <c r="B550" s="21" t="inlineStr">
        <is>
          <t>Magus</t>
        </is>
      </c>
      <c r="C550" s="21" t="n">
        <v>3</v>
      </c>
      <c r="D550" s="21" t="n">
        <v>21</v>
      </c>
      <c r="E550" s="21" t="n">
        <v>10</v>
      </c>
      <c r="F550" s="21" t="n">
        <v>37</v>
      </c>
      <c r="G550" s="21" t="n">
        <v>2955</v>
      </c>
      <c r="H550" s="21" t="n">
        <v>2440</v>
      </c>
      <c r="I550" s="21" t="n">
        <v>309</v>
      </c>
      <c r="J550" s="23" t="n">
        <v>0.13</v>
      </c>
      <c r="K550" s="23" t="n">
        <v>0.1</v>
      </c>
      <c r="L550" s="23" t="n">
        <v>0.09</v>
      </c>
      <c r="M550" s="23" t="n">
        <v>0</v>
      </c>
      <c r="N550" s="23" t="n">
        <v>0.05</v>
      </c>
      <c r="O550" s="23" t="n">
        <v>0.04</v>
      </c>
      <c r="P550" s="42" t="inlineStr">
        <is>
          <t>Silk Tunic, Silk Cap, Silk Leggings, Silk Slippers, Thicket Stave, Runeplate Belt, Exalted War Gloves, Skyweave Cloak, Charm of the Archon, Runeplate Pauldrons, Bracelet of the Inferno, Bracelet of the Inferno</t>
        </is>
      </c>
    </row>
    <row r="551">
      <c r="A551" s="21" t="n">
        <v>48</v>
      </c>
      <c r="B551" s="21" t="inlineStr">
        <is>
          <t>Magus</t>
        </is>
      </c>
      <c r="C551" s="21" t="n">
        <v>3</v>
      </c>
      <c r="D551" s="21" t="n">
        <v>21</v>
      </c>
      <c r="E551" s="21" t="n">
        <v>10</v>
      </c>
      <c r="F551" s="21" t="n">
        <v>39</v>
      </c>
      <c r="G551" s="21" t="n">
        <v>3110</v>
      </c>
      <c r="H551" s="21" t="n">
        <v>2440</v>
      </c>
      <c r="I551" s="21" t="n">
        <v>327</v>
      </c>
      <c r="J551" s="23" t="n">
        <v>0.13</v>
      </c>
      <c r="K551" s="23" t="n">
        <v>0.1</v>
      </c>
      <c r="L551" s="23" t="n">
        <v>0.09</v>
      </c>
      <c r="M551" s="23" t="n">
        <v>0</v>
      </c>
      <c r="N551" s="23" t="n">
        <v>0.05</v>
      </c>
      <c r="O551" s="23" t="n">
        <v>0.05</v>
      </c>
      <c r="P551" s="42" t="inlineStr">
        <is>
          <t>Silk Tunic, Silk Cap, Silk Leggings, Silk Slippers, Thicket Stave, Runeplate Belt, Exalted War Gloves, Skyweave Cloak, Charm of the Archon, Bulwark Pauldrons, Bracelet of the Inferno, Bracelet of the Inferno</t>
        </is>
      </c>
    </row>
    <row r="552">
      <c r="A552" s="21" t="n">
        <v>49</v>
      </c>
      <c r="B552" s="21" t="inlineStr">
        <is>
          <t>Magus</t>
        </is>
      </c>
      <c r="C552" s="21" t="n">
        <v>3</v>
      </c>
      <c r="D552" s="21" t="n">
        <v>21</v>
      </c>
      <c r="E552" s="21" t="n">
        <v>10</v>
      </c>
      <c r="F552" s="21" t="n">
        <v>41</v>
      </c>
      <c r="G552" s="21" t="n">
        <v>3320</v>
      </c>
      <c r="H552" s="21" t="n">
        <v>2440</v>
      </c>
      <c r="I552" s="21" t="n">
        <v>335</v>
      </c>
      <c r="J552" s="23" t="n">
        <v>0.14</v>
      </c>
      <c r="K552" s="23" t="n">
        <v>0.1</v>
      </c>
      <c r="L552" s="23" t="n">
        <v>0.1</v>
      </c>
      <c r="M552" s="23" t="n">
        <v>0</v>
      </c>
      <c r="N552" s="23" t="n">
        <v>0.05</v>
      </c>
      <c r="O552" s="23" t="n">
        <v>0.05</v>
      </c>
      <c r="P552" s="42" t="inlineStr">
        <is>
          <t>Silk Tunic, Silk Cap, Silk Leggings, Silk Slippers, Thicket Stave, Bulwark Belt, Exalted War Gloves, Skyweave Cloak, Charm of the Archon, Bulwark Pauldrons, Bracelet of the Inferno, Bracelet of the Inferno</t>
        </is>
      </c>
    </row>
    <row r="553">
      <c r="A553" s="21" t="n">
        <v>50</v>
      </c>
      <c r="B553" s="21" t="inlineStr">
        <is>
          <t>Magus</t>
        </is>
      </c>
      <c r="C553" s="21" t="n">
        <v>3</v>
      </c>
      <c r="D553" s="21" t="n">
        <v>21</v>
      </c>
      <c r="E553" s="21" t="n">
        <v>10</v>
      </c>
      <c r="F553" s="21" t="n">
        <v>41</v>
      </c>
      <c r="G553" s="21" t="n">
        <v>3320</v>
      </c>
      <c r="H553" s="21" t="n">
        <v>2440</v>
      </c>
      <c r="I553" s="21" t="n">
        <v>335</v>
      </c>
      <c r="J553" s="23" t="n">
        <v>0.14</v>
      </c>
      <c r="K553" s="23" t="n">
        <v>0.1</v>
      </c>
      <c r="L553" s="23" t="n">
        <v>0.1</v>
      </c>
      <c r="M553" s="23" t="n">
        <v>0</v>
      </c>
      <c r="N553" s="23" t="n">
        <v>0.05</v>
      </c>
      <c r="O553" s="23" t="n">
        <v>0.05</v>
      </c>
      <c r="P553" s="42" t="inlineStr">
        <is>
          <t>Silk Tunic, Silk Cap, Silk Leggings, Silk Slippers, Thicket Stave, Bulwark Belt, Exalted War Gloves, Skyweave Cloak, Charm of the Archon, Bulwark Pauldrons, Bracelet of the Inferno, Bracelet of the Inferno</t>
        </is>
      </c>
    </row>
    <row r="554">
      <c r="A554" s="21" t="n">
        <v>1</v>
      </c>
      <c r="B554" s="21" t="inlineStr">
        <is>
          <t>Priest</t>
        </is>
      </c>
      <c r="C554" s="21" t="n">
        <v>3</v>
      </c>
      <c r="D554" s="21" t="n">
        <v>3</v>
      </c>
      <c r="E554" s="21" t="n">
        <v>10</v>
      </c>
      <c r="F554" s="21" t="n">
        <v>0</v>
      </c>
      <c r="G554" s="21" t="n">
        <v>0</v>
      </c>
      <c r="H554" s="21" t="n">
        <v>0</v>
      </c>
      <c r="I554" s="21" t="n">
        <v>25</v>
      </c>
      <c r="J554" s="23" t="n">
        <v>0</v>
      </c>
      <c r="K554" s="23" t="n">
        <v>0</v>
      </c>
      <c r="L554" s="23" t="n">
        <v>0</v>
      </c>
      <c r="M554" s="23" t="n">
        <v>0</v>
      </c>
      <c r="N554" s="23" t="n">
        <v>0</v>
      </c>
      <c r="O554" s="23" t="n">
        <v>0</v>
      </c>
      <c r="P554" s="42" t="inlineStr">
        <is>
          <t>Cloth Tunic, Cloth Cap, Cloth Leggings, Cloth Shoes, Stick</t>
        </is>
      </c>
    </row>
    <row r="555">
      <c r="A555" s="21" t="n">
        <v>2</v>
      </c>
      <c r="B555" s="21" t="inlineStr">
        <is>
          <t>Priest</t>
        </is>
      </c>
      <c r="C555" s="21" t="n">
        <v>3</v>
      </c>
      <c r="D555" s="21" t="n">
        <v>3</v>
      </c>
      <c r="E555" s="21" t="n">
        <v>10</v>
      </c>
      <c r="F555" s="21" t="n">
        <v>0</v>
      </c>
      <c r="G555" s="21" t="n">
        <v>0</v>
      </c>
      <c r="H555" s="21" t="n">
        <v>0</v>
      </c>
      <c r="I555" s="21" t="n">
        <v>25</v>
      </c>
      <c r="J555" s="23" t="n">
        <v>0</v>
      </c>
      <c r="K555" s="23" t="n">
        <v>0</v>
      </c>
      <c r="L555" s="23" t="n">
        <v>0</v>
      </c>
      <c r="M555" s="23" t="n">
        <v>0</v>
      </c>
      <c r="N555" s="23" t="n">
        <v>0</v>
      </c>
      <c r="O555" s="23" t="n">
        <v>0</v>
      </c>
      <c r="P555" s="42" t="inlineStr">
        <is>
          <t>Cloth Tunic, Cloth Cap, Cloth Leggings, Cloth Shoes, Stick</t>
        </is>
      </c>
    </row>
    <row r="556">
      <c r="A556" s="21" t="n">
        <v>3</v>
      </c>
      <c r="B556" s="21" t="inlineStr">
        <is>
          <t>Priest</t>
        </is>
      </c>
      <c r="C556" s="21" t="n">
        <v>3</v>
      </c>
      <c r="D556" s="21" t="n">
        <v>3</v>
      </c>
      <c r="E556" s="21" t="n">
        <v>10</v>
      </c>
      <c r="F556" s="21" t="n">
        <v>0</v>
      </c>
      <c r="G556" s="21" t="n">
        <v>0</v>
      </c>
      <c r="H556" s="21" t="n">
        <v>0</v>
      </c>
      <c r="I556" s="21" t="n">
        <v>25</v>
      </c>
      <c r="J556" s="23" t="n">
        <v>0</v>
      </c>
      <c r="K556" s="23" t="n">
        <v>0</v>
      </c>
      <c r="L556" s="23" t="n">
        <v>0</v>
      </c>
      <c r="M556" s="23" t="n">
        <v>0</v>
      </c>
      <c r="N556" s="23" t="n">
        <v>0</v>
      </c>
      <c r="O556" s="23" t="n">
        <v>0</v>
      </c>
      <c r="P556" s="42" t="inlineStr">
        <is>
          <t>Cloth Tunic, Cloth Cap, Cloth Leggings, Cloth Shoes, Stick</t>
        </is>
      </c>
    </row>
    <row r="557">
      <c r="A557" s="21" t="n">
        <v>4</v>
      </c>
      <c r="B557" s="21" t="inlineStr">
        <is>
          <t>Priest</t>
        </is>
      </c>
      <c r="C557" s="21" t="n">
        <v>3</v>
      </c>
      <c r="D557" s="21" t="n">
        <v>3</v>
      </c>
      <c r="E557" s="21" t="n">
        <v>10</v>
      </c>
      <c r="F557" s="21" t="n">
        <v>2</v>
      </c>
      <c r="G557" s="21" t="n">
        <v>70</v>
      </c>
      <c r="H557" s="21" t="n">
        <v>0</v>
      </c>
      <c r="I557" s="21" t="n">
        <v>30</v>
      </c>
      <c r="J557" s="23" t="n">
        <v>0</v>
      </c>
      <c r="K557" s="23" t="n">
        <v>0</v>
      </c>
      <c r="L557" s="23" t="n">
        <v>0</v>
      </c>
      <c r="M557" s="23" t="n">
        <v>0</v>
      </c>
      <c r="N557" s="23" t="n">
        <v>0</v>
      </c>
      <c r="O557" s="23" t="n">
        <v>0</v>
      </c>
      <c r="P557" s="42" t="inlineStr">
        <is>
          <t>Cloth Tunic, Cloth Cap, Cloth Leggings, Cloth Shoes, Stick, Worn Leather Gloves</t>
        </is>
      </c>
    </row>
    <row r="558">
      <c r="A558" s="21" t="n">
        <v>5</v>
      </c>
      <c r="B558" s="21" t="inlineStr">
        <is>
          <t>Priest</t>
        </is>
      </c>
      <c r="C558" s="21" t="n">
        <v>3</v>
      </c>
      <c r="D558" s="21" t="n">
        <v>12</v>
      </c>
      <c r="E558" s="21" t="n">
        <v>10</v>
      </c>
      <c r="F558" s="21" t="n">
        <v>3</v>
      </c>
      <c r="G558" s="21" t="n">
        <v>240</v>
      </c>
      <c r="H558" s="21" t="n">
        <v>160</v>
      </c>
      <c r="I558" s="21" t="n">
        <v>52</v>
      </c>
      <c r="J558" s="23" t="n">
        <v>0</v>
      </c>
      <c r="K558" s="23" t="n">
        <v>0</v>
      </c>
      <c r="L558" s="23" t="n">
        <v>0</v>
      </c>
      <c r="M558" s="23" t="n">
        <v>0</v>
      </c>
      <c r="N558" s="23" t="n">
        <v>0</v>
      </c>
      <c r="O558" s="23" t="n">
        <v>0</v>
      </c>
      <c r="P558" s="42" t="inlineStr">
        <is>
          <t>Cloth Tunic, Cloth Cap, Cloth Leggings, Cloth Shoes, Small Hammer, Wooden Buckler, Worn Leather Belt, Worn Leather Gloves, Beaded Bracelet, Beaded Bracelet</t>
        </is>
      </c>
    </row>
    <row r="559">
      <c r="A559" s="21" t="n">
        <v>6</v>
      </c>
      <c r="B559" s="21" t="inlineStr">
        <is>
          <t>Priest</t>
        </is>
      </c>
      <c r="C559" s="21" t="n">
        <v>3</v>
      </c>
      <c r="D559" s="21" t="n">
        <v>12</v>
      </c>
      <c r="E559" s="21" t="n">
        <v>10</v>
      </c>
      <c r="F559" s="21" t="n">
        <v>3</v>
      </c>
      <c r="G559" s="21" t="n">
        <v>260</v>
      </c>
      <c r="H559" s="21" t="n">
        <v>180</v>
      </c>
      <c r="I559" s="21" t="n">
        <v>60</v>
      </c>
      <c r="J559" s="23" t="n">
        <v>0</v>
      </c>
      <c r="K559" s="23" t="n">
        <v>0</v>
      </c>
      <c r="L559" s="23" t="n">
        <v>0</v>
      </c>
      <c r="M559" s="23" t="n">
        <v>0</v>
      </c>
      <c r="N559" s="23" t="n">
        <v>0</v>
      </c>
      <c r="O559" s="23" t="n">
        <v>0</v>
      </c>
      <c r="P559" s="42" t="inlineStr">
        <is>
          <t>Cloth Tunic, Cloth Cap, Cloth Leggings, Cloth Shoes, Small Hammer, Wooden Buckler, Worn Leather Belt, Worn Leather Gloves, Threadbare Cloak, Beaded Bracelet, Beaded Bracelet</t>
        </is>
      </c>
    </row>
    <row r="560">
      <c r="A560" s="21" t="n">
        <v>7</v>
      </c>
      <c r="B560" s="21" t="inlineStr">
        <is>
          <t>Priest</t>
        </is>
      </c>
      <c r="C560" s="21" t="n">
        <v>3</v>
      </c>
      <c r="D560" s="21" t="n">
        <v>12</v>
      </c>
      <c r="E560" s="21" t="n">
        <v>10</v>
      </c>
      <c r="F560" s="21" t="n">
        <v>3</v>
      </c>
      <c r="G560" s="21" t="n">
        <v>285</v>
      </c>
      <c r="H560" s="21" t="n">
        <v>320</v>
      </c>
      <c r="I560" s="21" t="n">
        <v>65</v>
      </c>
      <c r="J560" s="23" t="n">
        <v>0</v>
      </c>
      <c r="K560" s="23" t="n">
        <v>0</v>
      </c>
      <c r="L560" s="23" t="n">
        <v>0</v>
      </c>
      <c r="M560" s="23" t="n">
        <v>0</v>
      </c>
      <c r="N560" s="23" t="n">
        <v>0</v>
      </c>
      <c r="O560" s="23" t="n">
        <v>0</v>
      </c>
      <c r="P560" s="42" t="inlineStr">
        <is>
          <t>Cloth Tunic, Cloth Cap, Cloth Leggings, Cloth Shoes, Small Hammer, Wooden Buckler, Worn Leather Belt, Worn Leather Gloves, Threadbare Cloak, Simple Pendant, Beaded Bracelet, Beaded Bracelet</t>
        </is>
      </c>
    </row>
    <row r="561">
      <c r="A561" s="21" t="n">
        <v>8</v>
      </c>
      <c r="B561" s="21" t="inlineStr">
        <is>
          <t>Priest</t>
        </is>
      </c>
      <c r="C561" s="21" t="n">
        <v>3</v>
      </c>
      <c r="D561" s="21" t="n">
        <v>12</v>
      </c>
      <c r="E561" s="21" t="n">
        <v>10</v>
      </c>
      <c r="F561" s="21" t="n">
        <v>5</v>
      </c>
      <c r="G561" s="21" t="n">
        <v>375</v>
      </c>
      <c r="H561" s="21" t="n">
        <v>320</v>
      </c>
      <c r="I561" s="21" t="n">
        <v>77</v>
      </c>
      <c r="J561" s="23" t="n">
        <v>0</v>
      </c>
      <c r="K561" s="23" t="n">
        <v>0</v>
      </c>
      <c r="L561" s="23" t="n">
        <v>0</v>
      </c>
      <c r="M561" s="23" t="n">
        <v>0</v>
      </c>
      <c r="N561" s="23" t="n">
        <v>0</v>
      </c>
      <c r="O561" s="23" t="n">
        <v>0</v>
      </c>
      <c r="P561" s="42" t="inlineStr">
        <is>
          <t>Cloth Tunic, Cloth Cap, Cloth Leggings, Cloth Shoes, Small Hammer, Wooden Buckler, Worn Leather Belt, Worn Leather Gloves, Threadbare Cloak, Simple Pendant, Patchwork Pauldrons, Beaded Bracelet, Beaded Bracelet</t>
        </is>
      </c>
    </row>
    <row r="562">
      <c r="A562" s="21" t="n">
        <v>9</v>
      </c>
      <c r="B562" s="21" t="inlineStr">
        <is>
          <t>Priest</t>
        </is>
      </c>
      <c r="C562" s="21" t="n">
        <v>3</v>
      </c>
      <c r="D562" s="21" t="n">
        <v>12</v>
      </c>
      <c r="E562" s="21" t="n">
        <v>10</v>
      </c>
      <c r="F562" s="21" t="n">
        <v>5</v>
      </c>
      <c r="G562" s="21" t="n">
        <v>375</v>
      </c>
      <c r="H562" s="21" t="n">
        <v>320</v>
      </c>
      <c r="I562" s="21" t="n">
        <v>77</v>
      </c>
      <c r="J562" s="23" t="n">
        <v>0</v>
      </c>
      <c r="K562" s="23" t="n">
        <v>0</v>
      </c>
      <c r="L562" s="23" t="n">
        <v>0</v>
      </c>
      <c r="M562" s="23" t="n">
        <v>0</v>
      </c>
      <c r="N562" s="23" t="n">
        <v>0</v>
      </c>
      <c r="O562" s="23" t="n">
        <v>0</v>
      </c>
      <c r="P562" s="42" t="inlineStr">
        <is>
          <t>Cloth Tunic, Cloth Cap, Cloth Leggings, Cloth Shoes, Small Hammer, Wooden Buckler, Worn Leather Belt, Worn Leather Gloves, Threadbare Cloak, Simple Pendant, Patchwork Pauldrons, Beaded Bracelet, Beaded Bracelet</t>
        </is>
      </c>
    </row>
    <row r="563">
      <c r="A563" s="21" t="n">
        <v>10</v>
      </c>
      <c r="B563" s="21" t="inlineStr">
        <is>
          <t>Priest</t>
        </is>
      </c>
      <c r="C563" s="21" t="n">
        <v>3</v>
      </c>
      <c r="D563" s="21" t="n">
        <v>12</v>
      </c>
      <c r="E563" s="21" t="n">
        <v>10</v>
      </c>
      <c r="F563" s="21" t="n">
        <v>5</v>
      </c>
      <c r="G563" s="21" t="n">
        <v>375</v>
      </c>
      <c r="H563" s="21" t="n">
        <v>320</v>
      </c>
      <c r="I563" s="21" t="n">
        <v>93</v>
      </c>
      <c r="J563" s="23" t="n">
        <v>0</v>
      </c>
      <c r="K563" s="23" t="n">
        <v>0</v>
      </c>
      <c r="L563" s="23" t="n">
        <v>0</v>
      </c>
      <c r="M563" s="23" t="n">
        <v>0</v>
      </c>
      <c r="N563" s="23" t="n">
        <v>0</v>
      </c>
      <c r="O563" s="23" t="n">
        <v>0</v>
      </c>
      <c r="P563" s="42" t="inlineStr">
        <is>
          <t>Leather Tunic, Leather Cap, Leather Leggings, Leather Boots, Small Hammer, Wooden Buckler, Worn Leather Belt, Worn Leather Gloves, Threadbare Cloak, Simple Pendant, Patchwork Pauldrons, Beaded Bracelet, Beaded Bracelet</t>
        </is>
      </c>
    </row>
    <row r="564">
      <c r="A564" s="21" t="n">
        <v>11</v>
      </c>
      <c r="B564" s="21" t="inlineStr">
        <is>
          <t>Priest</t>
        </is>
      </c>
      <c r="C564" s="21" t="n">
        <v>3</v>
      </c>
      <c r="D564" s="21" t="n">
        <v>12</v>
      </c>
      <c r="E564" s="21" t="n">
        <v>10</v>
      </c>
      <c r="F564" s="21" t="n">
        <v>5</v>
      </c>
      <c r="G564" s="21" t="n">
        <v>375</v>
      </c>
      <c r="H564" s="21" t="n">
        <v>320</v>
      </c>
      <c r="I564" s="21" t="n">
        <v>93</v>
      </c>
      <c r="J564" s="23" t="n">
        <v>0</v>
      </c>
      <c r="K564" s="23" t="n">
        <v>0</v>
      </c>
      <c r="L564" s="23" t="n">
        <v>0</v>
      </c>
      <c r="M564" s="23" t="n">
        <v>0</v>
      </c>
      <c r="N564" s="23" t="n">
        <v>0</v>
      </c>
      <c r="O564" s="23" t="n">
        <v>0</v>
      </c>
      <c r="P564" s="42" t="inlineStr">
        <is>
          <t>Leather Tunic, Leather Cap, Leather Leggings, Leather Boots, Small Hammer, Wooden Buckler, Worn Leather Belt, Worn Leather Gloves, Threadbare Cloak, Simple Pendant, Patchwork Pauldrons, Beaded Bracelet, Beaded Bracelet</t>
        </is>
      </c>
    </row>
    <row r="565">
      <c r="A565" s="21" t="n">
        <v>12</v>
      </c>
      <c r="B565" s="21" t="inlineStr">
        <is>
          <t>Priest</t>
        </is>
      </c>
      <c r="C565" s="21" t="n">
        <v>3</v>
      </c>
      <c r="D565" s="21" t="n">
        <v>12</v>
      </c>
      <c r="E565" s="21" t="n">
        <v>10</v>
      </c>
      <c r="F565" s="21" t="n">
        <v>5</v>
      </c>
      <c r="G565" s="21" t="n">
        <v>375</v>
      </c>
      <c r="H565" s="21" t="n">
        <v>320</v>
      </c>
      <c r="I565" s="21" t="n">
        <v>93</v>
      </c>
      <c r="J565" s="23" t="n">
        <v>0</v>
      </c>
      <c r="K565" s="23" t="n">
        <v>0</v>
      </c>
      <c r="L565" s="23" t="n">
        <v>0</v>
      </c>
      <c r="M565" s="23" t="n">
        <v>0</v>
      </c>
      <c r="N565" s="23" t="n">
        <v>0</v>
      </c>
      <c r="O565" s="23" t="n">
        <v>0</v>
      </c>
      <c r="P565" s="42" t="inlineStr">
        <is>
          <t>Leather Tunic, Leather Cap, Leather Leggings, Leather Boots, Small Hammer, Wooden Buckler, Worn Leather Belt, Worn Leather Gloves, Threadbare Cloak, Simple Pendant, Patchwork Pauldrons, Beaded Bracelet, Beaded Bracelet</t>
        </is>
      </c>
    </row>
    <row r="566">
      <c r="A566" s="21" t="n">
        <v>13</v>
      </c>
      <c r="B566" s="21" t="inlineStr">
        <is>
          <t>Priest</t>
        </is>
      </c>
      <c r="C566" s="21" t="n">
        <v>3</v>
      </c>
      <c r="D566" s="21" t="n">
        <v>12</v>
      </c>
      <c r="E566" s="21" t="n">
        <v>10</v>
      </c>
      <c r="F566" s="21" t="n">
        <v>5</v>
      </c>
      <c r="G566" s="21" t="n">
        <v>525</v>
      </c>
      <c r="H566" s="21" t="n">
        <v>610</v>
      </c>
      <c r="I566" s="21" t="n">
        <v>105</v>
      </c>
      <c r="J566" s="23" t="n">
        <v>0</v>
      </c>
      <c r="K566" s="23" t="n">
        <v>0.04</v>
      </c>
      <c r="L566" s="23" t="n">
        <v>0</v>
      </c>
      <c r="M566" s="23" t="n">
        <v>0</v>
      </c>
      <c r="N566" s="23" t="n">
        <v>0</v>
      </c>
      <c r="O566" s="23" t="n">
        <v>0</v>
      </c>
      <c r="P566" s="42" t="inlineStr">
        <is>
          <t>Leather Tunic, Leather Cap, Leather Leggings, Leather Boots, Small Hammer, Wooden Buckler, Worn Leather Belt, Worn Leather Gloves, Threadbare Cloak, Simple Pendant, Patchwork Pauldrons, Bracelet of Embers, Bracelet of Embers</t>
        </is>
      </c>
    </row>
    <row r="567">
      <c r="A567" s="21" t="n">
        <v>14</v>
      </c>
      <c r="B567" s="21" t="inlineStr">
        <is>
          <t>Priest</t>
        </is>
      </c>
      <c r="C567" s="21" t="n">
        <v>3</v>
      </c>
      <c r="D567" s="21" t="n">
        <v>12</v>
      </c>
      <c r="E567" s="21" t="n">
        <v>10</v>
      </c>
      <c r="F567" s="21" t="n">
        <v>9</v>
      </c>
      <c r="G567" s="21" t="n">
        <v>590</v>
      </c>
      <c r="H567" s="21" t="n">
        <v>610</v>
      </c>
      <c r="I567" s="21" t="n">
        <v>115</v>
      </c>
      <c r="J567" s="23" t="n">
        <v>0</v>
      </c>
      <c r="K567" s="23" t="n">
        <v>0.04</v>
      </c>
      <c r="L567" s="23" t="n">
        <v>0.02</v>
      </c>
      <c r="M567" s="23" t="n">
        <v>0</v>
      </c>
      <c r="N567" s="23" t="n">
        <v>0</v>
      </c>
      <c r="O567" s="23" t="n">
        <v>0</v>
      </c>
      <c r="P567" s="42" t="inlineStr">
        <is>
          <t>Leather Tunic, Leather Cap, Leather Leggings, Leather Boots, Small Hammer, Wooden Buckler, Worn Leather Belt, Scout's Gloves, Threadbare Cloak, Simple Pendant, Patchwork Pauldrons, Bracelet of Embers, Bracelet of Embers</t>
        </is>
      </c>
    </row>
    <row r="568">
      <c r="A568" s="21" t="n">
        <v>15</v>
      </c>
      <c r="B568" s="21" t="inlineStr">
        <is>
          <t>Priest</t>
        </is>
      </c>
      <c r="C568" s="21" t="n">
        <v>3</v>
      </c>
      <c r="D568" s="21" t="n">
        <v>15</v>
      </c>
      <c r="E568" s="21" t="n">
        <v>10</v>
      </c>
      <c r="F568" s="21" t="n">
        <v>9</v>
      </c>
      <c r="G568" s="21" t="n">
        <v>590</v>
      </c>
      <c r="H568" s="21" t="n">
        <v>610</v>
      </c>
      <c r="I568" s="21" t="n">
        <v>115</v>
      </c>
      <c r="J568" s="23" t="n">
        <v>0</v>
      </c>
      <c r="K568" s="23" t="n">
        <v>0.04</v>
      </c>
      <c r="L568" s="23" t="n">
        <v>0.02</v>
      </c>
      <c r="M568" s="23" t="n">
        <v>0</v>
      </c>
      <c r="N568" s="23" t="n">
        <v>0</v>
      </c>
      <c r="O568" s="23" t="n">
        <v>0</v>
      </c>
      <c r="P568" s="42" t="inlineStr">
        <is>
          <t>Leather Tunic, Leather Cap, Leather Leggings, Leather Boots, Stone Hammer, Wooden Buckler, Worn Leather Belt, Scout's Gloves, Threadbare Cloak, Simple Pendant, Patchwork Pauldrons, Bracelet of Embers, Bracelet of Embers</t>
        </is>
      </c>
    </row>
    <row r="569">
      <c r="A569" s="21" t="n">
        <v>16</v>
      </c>
      <c r="B569" s="21" t="inlineStr">
        <is>
          <t>Priest</t>
        </is>
      </c>
      <c r="C569" s="21" t="n">
        <v>3</v>
      </c>
      <c r="D569" s="21" t="n">
        <v>15</v>
      </c>
      <c r="E569" s="21" t="n">
        <v>10</v>
      </c>
      <c r="F569" s="21" t="n">
        <v>9</v>
      </c>
      <c r="G569" s="21" t="n">
        <v>620</v>
      </c>
      <c r="H569" s="21" t="n">
        <v>640</v>
      </c>
      <c r="I569" s="21" t="n">
        <v>122</v>
      </c>
      <c r="J569" s="23" t="n">
        <v>0</v>
      </c>
      <c r="K569" s="23" t="n">
        <v>0.04</v>
      </c>
      <c r="L569" s="23" t="n">
        <v>0.02</v>
      </c>
      <c r="M569" s="23" t="n">
        <v>0</v>
      </c>
      <c r="N569" s="23" t="n">
        <v>0.02</v>
      </c>
      <c r="O569" s="23" t="n">
        <v>0</v>
      </c>
      <c r="P569" s="42" t="inlineStr">
        <is>
          <t>Leather Tunic, Leather Cap, Leather Leggings, Leather Boots, Stone Hammer, Wooden Buckler, Worn Leather Belt, Scout's Gloves, Traveler's Cloak, Simple Pendant, Patchwork Pauldrons, Bracelet of Embers, Bracelet of Embers</t>
        </is>
      </c>
    </row>
    <row r="570">
      <c r="A570" s="21" t="n">
        <v>17</v>
      </c>
      <c r="B570" s="21" t="inlineStr">
        <is>
          <t>Priest</t>
        </is>
      </c>
      <c r="C570" s="21" t="n">
        <v>3</v>
      </c>
      <c r="D570" s="21" t="n">
        <v>15</v>
      </c>
      <c r="E570" s="21" t="n">
        <v>10</v>
      </c>
      <c r="F570" s="21" t="n">
        <v>9</v>
      </c>
      <c r="G570" s="21" t="n">
        <v>655</v>
      </c>
      <c r="H570" s="21" t="n">
        <v>780</v>
      </c>
      <c r="I570" s="21" t="n">
        <v>129</v>
      </c>
      <c r="J570" s="23" t="n">
        <v>0.03</v>
      </c>
      <c r="K570" s="23" t="n">
        <v>0.04</v>
      </c>
      <c r="L570" s="23" t="n">
        <v>0.02</v>
      </c>
      <c r="M570" s="23" t="n">
        <v>0</v>
      </c>
      <c r="N570" s="23" t="n">
        <v>0.02</v>
      </c>
      <c r="O570" s="23" t="n">
        <v>0</v>
      </c>
      <c r="P570" s="42" t="inlineStr">
        <is>
          <t>Leather Tunic, Leather Cap, Leather Leggings, Leather Boots, Stone Hammer, Wooden Buckler, Worn Leather Belt, Scout's Gloves, Traveler's Cloak, Charm of Focus, Patchwork Pauldrons, Bracelet of Embers, Bracelet of Embers</t>
        </is>
      </c>
    </row>
    <row r="571">
      <c r="A571" s="21" t="n">
        <v>18</v>
      </c>
      <c r="B571" s="21" t="inlineStr">
        <is>
          <t>Priest</t>
        </is>
      </c>
      <c r="C571" s="21" t="n">
        <v>3</v>
      </c>
      <c r="D571" s="21" t="n">
        <v>15</v>
      </c>
      <c r="E571" s="21" t="n">
        <v>10</v>
      </c>
      <c r="F571" s="21" t="n">
        <v>12</v>
      </c>
      <c r="G571" s="21" t="n">
        <v>820</v>
      </c>
      <c r="H571" s="21" t="n">
        <v>780</v>
      </c>
      <c r="I571" s="21" t="n">
        <v>145</v>
      </c>
      <c r="J571" s="23" t="n">
        <v>0.03</v>
      </c>
      <c r="K571" s="23" t="n">
        <v>0.04</v>
      </c>
      <c r="L571" s="23" t="n">
        <v>0.02</v>
      </c>
      <c r="M571" s="23" t="n">
        <v>0</v>
      </c>
      <c r="N571" s="23" t="n">
        <v>0.02</v>
      </c>
      <c r="O571" s="23" t="n">
        <v>0.02</v>
      </c>
      <c r="P571" s="42" t="inlineStr">
        <is>
          <t>Leather Tunic, Leather Cap, Leather Leggings, Leather Boots, Stone Hammer, Wooden Buckler, Worn Leather Belt, Scout's Gloves, Traveler's Cloak, Charm of Focus, Cold Iron Pauldrons, Bracelet of Embers, Bracelet of Embers</t>
        </is>
      </c>
    </row>
    <row r="572">
      <c r="A572" s="21" t="n">
        <v>19</v>
      </c>
      <c r="B572" s="21" t="inlineStr">
        <is>
          <t>Priest</t>
        </is>
      </c>
      <c r="C572" s="21" t="n">
        <v>3</v>
      </c>
      <c r="D572" s="21" t="n">
        <v>15</v>
      </c>
      <c r="E572" s="21" t="n">
        <v>10</v>
      </c>
      <c r="F572" s="21" t="n">
        <v>12</v>
      </c>
      <c r="G572" s="21" t="n">
        <v>820</v>
      </c>
      <c r="H572" s="21" t="n">
        <v>780</v>
      </c>
      <c r="I572" s="21" t="n">
        <v>145</v>
      </c>
      <c r="J572" s="23" t="n">
        <v>0.03</v>
      </c>
      <c r="K572" s="23" t="n">
        <v>0.04</v>
      </c>
      <c r="L572" s="23" t="n">
        <v>0.02</v>
      </c>
      <c r="M572" s="23" t="n">
        <v>0</v>
      </c>
      <c r="N572" s="23" t="n">
        <v>0.02</v>
      </c>
      <c r="O572" s="23" t="n">
        <v>0.02</v>
      </c>
      <c r="P572" s="42" t="inlineStr">
        <is>
          <t>Leather Tunic, Leather Cap, Leather Leggings, Leather Boots, Stone Hammer, Wooden Buckler, Worn Leather Belt, Scout's Gloves, Traveler's Cloak, Charm of Focus, Cold Iron Pauldrons, Bracelet of Embers, Bracelet of Embers</t>
        </is>
      </c>
    </row>
    <row r="573">
      <c r="A573" s="21" t="n">
        <v>20</v>
      </c>
      <c r="B573" s="21" t="inlineStr">
        <is>
          <t>Priest</t>
        </is>
      </c>
      <c r="C573" s="21" t="n">
        <v>3</v>
      </c>
      <c r="D573" s="21" t="n">
        <v>15</v>
      </c>
      <c r="E573" s="21" t="n">
        <v>10</v>
      </c>
      <c r="F573" s="21" t="n">
        <v>16</v>
      </c>
      <c r="G573" s="21" t="n">
        <v>1105</v>
      </c>
      <c r="H573" s="21" t="n">
        <v>800</v>
      </c>
      <c r="I573" s="21" t="n">
        <v>175</v>
      </c>
      <c r="J573" s="23" t="n">
        <v>0.05</v>
      </c>
      <c r="K573" s="23" t="n">
        <v>0.04</v>
      </c>
      <c r="L573" s="23" t="n">
        <v>0.04</v>
      </c>
      <c r="M573" s="23" t="n">
        <v>0</v>
      </c>
      <c r="N573" s="23" t="n">
        <v>0.02</v>
      </c>
      <c r="O573" s="23" t="n">
        <v>0.02</v>
      </c>
      <c r="P573" s="42" t="inlineStr">
        <is>
          <t>Silk Tunic, Silk Cap, Silk Leggings, Silk Slippers, Stone Hammer, Light Guard, Sturdy Belt, Scout's Gloves, Traveler's Cloak, Charm of Focus, Cold Iron Pauldrons, Bracelet of Embers, Bracelet of Embers</t>
        </is>
      </c>
    </row>
    <row r="574">
      <c r="A574" s="21" t="n">
        <v>21</v>
      </c>
      <c r="B574" s="21" t="inlineStr">
        <is>
          <t>Priest</t>
        </is>
      </c>
      <c r="C574" s="21" t="n">
        <v>3</v>
      </c>
      <c r="D574" s="21" t="n">
        <v>15</v>
      </c>
      <c r="E574" s="21" t="n">
        <v>10</v>
      </c>
      <c r="F574" s="21" t="n">
        <v>16</v>
      </c>
      <c r="G574" s="21" t="n">
        <v>1105</v>
      </c>
      <c r="H574" s="21" t="n">
        <v>800</v>
      </c>
      <c r="I574" s="21" t="n">
        <v>175</v>
      </c>
      <c r="J574" s="23" t="n">
        <v>0.05</v>
      </c>
      <c r="K574" s="23" t="n">
        <v>0.04</v>
      </c>
      <c r="L574" s="23" t="n">
        <v>0.04</v>
      </c>
      <c r="M574" s="23" t="n">
        <v>0</v>
      </c>
      <c r="N574" s="23" t="n">
        <v>0.02</v>
      </c>
      <c r="O574" s="23" t="n">
        <v>0.02</v>
      </c>
      <c r="P574" s="42" t="inlineStr">
        <is>
          <t>Silk Tunic, Silk Cap, Silk Leggings, Silk Slippers, Stone Hammer, Light Guard, Sturdy Belt, Scout's Gloves, Traveler's Cloak, Charm of Focus, Cold Iron Pauldrons, Bracelet of Embers, Bracelet of Embers</t>
        </is>
      </c>
    </row>
    <row r="575">
      <c r="A575" s="21" t="n">
        <v>22</v>
      </c>
      <c r="B575" s="21" t="inlineStr">
        <is>
          <t>Priest</t>
        </is>
      </c>
      <c r="C575" s="21" t="n">
        <v>3</v>
      </c>
      <c r="D575" s="21" t="n">
        <v>15</v>
      </c>
      <c r="E575" s="21" t="n">
        <v>10</v>
      </c>
      <c r="F575" s="21" t="n">
        <v>16</v>
      </c>
      <c r="G575" s="21" t="n">
        <v>1105</v>
      </c>
      <c r="H575" s="21" t="n">
        <v>800</v>
      </c>
      <c r="I575" s="21" t="n">
        <v>175</v>
      </c>
      <c r="J575" s="23" t="n">
        <v>0.05</v>
      </c>
      <c r="K575" s="23" t="n">
        <v>0.04</v>
      </c>
      <c r="L575" s="23" t="n">
        <v>0.04</v>
      </c>
      <c r="M575" s="23" t="n">
        <v>0</v>
      </c>
      <c r="N575" s="23" t="n">
        <v>0.02</v>
      </c>
      <c r="O575" s="23" t="n">
        <v>0.02</v>
      </c>
      <c r="P575" s="42" t="inlineStr">
        <is>
          <t>Silk Tunic, Silk Cap, Silk Leggings, Silk Slippers, Stone Hammer, Light Guard, Sturdy Belt, Scout's Gloves, Traveler's Cloak, Charm of Focus, Cold Iron Pauldrons, Bracelet of Embers, Bracelet of Embers</t>
        </is>
      </c>
    </row>
    <row r="576">
      <c r="A576" s="21" t="n">
        <v>23</v>
      </c>
      <c r="B576" s="21" t="inlineStr">
        <is>
          <t>Priest</t>
        </is>
      </c>
      <c r="C576" s="21" t="n">
        <v>3</v>
      </c>
      <c r="D576" s="21" t="n">
        <v>15</v>
      </c>
      <c r="E576" s="21" t="n">
        <v>10</v>
      </c>
      <c r="F576" s="21" t="n">
        <v>16</v>
      </c>
      <c r="G576" s="21" t="n">
        <v>1315</v>
      </c>
      <c r="H576" s="21" t="n">
        <v>1100</v>
      </c>
      <c r="I576" s="21" t="n">
        <v>185</v>
      </c>
      <c r="J576" s="23" t="n">
        <v>0.05</v>
      </c>
      <c r="K576" s="23" t="n">
        <v>0.06</v>
      </c>
      <c r="L576" s="23" t="n">
        <v>0.04</v>
      </c>
      <c r="M576" s="23" t="n">
        <v>0</v>
      </c>
      <c r="N576" s="23" t="n">
        <v>0.02</v>
      </c>
      <c r="O576" s="23" t="n">
        <v>0.02</v>
      </c>
      <c r="P576" s="42" t="inlineStr">
        <is>
          <t>Silk Tunic, Silk Cap, Silk Leggings, Silk Slippers, Stone Hammer, Light Guard, Sturdy Belt, Scout's Gloves, Traveler's Cloak, Charm of Focus, Cold Iron Pauldrons, Bracelet of Cinders, Bracelet of Cinders</t>
        </is>
      </c>
    </row>
    <row r="577">
      <c r="A577" s="21" t="n">
        <v>24</v>
      </c>
      <c r="B577" s="21" t="inlineStr">
        <is>
          <t>Priest</t>
        </is>
      </c>
      <c r="C577" s="21" t="n">
        <v>3</v>
      </c>
      <c r="D577" s="21" t="n">
        <v>15</v>
      </c>
      <c r="E577" s="21" t="n">
        <v>10</v>
      </c>
      <c r="F577" s="21" t="n">
        <v>20</v>
      </c>
      <c r="G577" s="21" t="n">
        <v>1405</v>
      </c>
      <c r="H577" s="21" t="n">
        <v>1100</v>
      </c>
      <c r="I577" s="21" t="n">
        <v>195</v>
      </c>
      <c r="J577" s="23" t="n">
        <v>0.05</v>
      </c>
      <c r="K577" s="23" t="n">
        <v>0.06</v>
      </c>
      <c r="L577" s="23" t="n">
        <v>0.05</v>
      </c>
      <c r="M577" s="23" t="n">
        <v>0</v>
      </c>
      <c r="N577" s="23" t="n">
        <v>0.02</v>
      </c>
      <c r="O577" s="23" t="n">
        <v>0.02</v>
      </c>
      <c r="P577" s="42" t="inlineStr">
        <is>
          <t>Silk Tunic, Silk Cap, Silk Leggings, Silk Slippers, Stone Hammer, Light Guard, Sturdy Belt, Reinforced War Gloves, Traveler's Cloak, Charm of Focus, Cold Iron Pauldrons, Bracelet of Cinders, Bracelet of Cinders</t>
        </is>
      </c>
    </row>
    <row r="578">
      <c r="A578" s="21" t="n">
        <v>25</v>
      </c>
      <c r="B578" s="21" t="inlineStr">
        <is>
          <t>Priest</t>
        </is>
      </c>
      <c r="C578" s="21" t="n">
        <v>3</v>
      </c>
      <c r="D578" s="21" t="n">
        <v>15</v>
      </c>
      <c r="E578" s="21" t="n">
        <v>10</v>
      </c>
      <c r="F578" s="21" t="n">
        <v>20</v>
      </c>
      <c r="G578" s="21" t="n">
        <v>1405</v>
      </c>
      <c r="H578" s="21" t="n">
        <v>1100</v>
      </c>
      <c r="I578" s="21" t="n">
        <v>195</v>
      </c>
      <c r="J578" s="23" t="n">
        <v>0.05</v>
      </c>
      <c r="K578" s="23" t="n">
        <v>0.06</v>
      </c>
      <c r="L578" s="23" t="n">
        <v>0.05</v>
      </c>
      <c r="M578" s="23" t="n">
        <v>0</v>
      </c>
      <c r="N578" s="23" t="n">
        <v>0.02</v>
      </c>
      <c r="O578" s="23" t="n">
        <v>0.02</v>
      </c>
      <c r="P578" s="42" t="inlineStr">
        <is>
          <t>Silk Tunic, Silk Cap, Silk Leggings, Silk Slippers, Stone Hammer, Light Guard, Sturdy Belt, Reinforced War Gloves, Traveler's Cloak, Charm of Focus, Cold Iron Pauldrons, Bracelet of Cinders, Bracelet of Cinders</t>
        </is>
      </c>
    </row>
    <row r="579">
      <c r="A579" s="21" t="n">
        <v>26</v>
      </c>
      <c r="B579" s="21" t="inlineStr">
        <is>
          <t>Priest</t>
        </is>
      </c>
      <c r="C579" s="21" t="n">
        <v>3</v>
      </c>
      <c r="D579" s="21" t="n">
        <v>15</v>
      </c>
      <c r="E579" s="21" t="n">
        <v>10</v>
      </c>
      <c r="F579" s="21" t="n">
        <v>20</v>
      </c>
      <c r="G579" s="21" t="n">
        <v>1445</v>
      </c>
      <c r="H579" s="21" t="n">
        <v>1140</v>
      </c>
      <c r="I579" s="21" t="n">
        <v>204</v>
      </c>
      <c r="J579" s="23" t="n">
        <v>0.05</v>
      </c>
      <c r="K579" s="23" t="n">
        <v>0.06</v>
      </c>
      <c r="L579" s="23" t="n">
        <v>0.05</v>
      </c>
      <c r="M579" s="23" t="n">
        <v>0</v>
      </c>
      <c r="N579" s="23" t="n">
        <v>0.03</v>
      </c>
      <c r="O579" s="23" t="n">
        <v>0.02</v>
      </c>
      <c r="P579" s="42" t="inlineStr">
        <is>
          <t>Silk Tunic, Silk Cap, Silk Leggings, Silk Slippers, Stone Hammer, Light Guard, Sturdy Belt, Reinforced War Gloves, Warden's Cloak, Charm of Focus, Cold Iron Pauldrons, Bracelet of Cinders, Bracelet of Cinders</t>
        </is>
      </c>
    </row>
    <row r="580">
      <c r="A580" s="21" t="n">
        <v>27</v>
      </c>
      <c r="B580" s="21" t="inlineStr">
        <is>
          <t>Priest</t>
        </is>
      </c>
      <c r="C580" s="21" t="n">
        <v>3</v>
      </c>
      <c r="D580" s="21" t="n">
        <v>19</v>
      </c>
      <c r="E580" s="21" t="n">
        <v>10</v>
      </c>
      <c r="F580" s="21" t="n">
        <v>20</v>
      </c>
      <c r="G580" s="21" t="n">
        <v>1535</v>
      </c>
      <c r="H580" s="21" t="n">
        <v>1440</v>
      </c>
      <c r="I580" s="21" t="n">
        <v>210</v>
      </c>
      <c r="J580" s="23" t="n">
        <v>0.07000000000000001</v>
      </c>
      <c r="K580" s="23" t="n">
        <v>0.06</v>
      </c>
      <c r="L580" s="23" t="n">
        <v>0.05</v>
      </c>
      <c r="M580" s="23" t="n">
        <v>0</v>
      </c>
      <c r="N580" s="23" t="n">
        <v>0.03</v>
      </c>
      <c r="O580" s="23" t="n">
        <v>0.02</v>
      </c>
      <c r="P580" s="42" t="inlineStr">
        <is>
          <t>Silk Tunic, Silk Cap, Silk Leggings, Silk Slippers, Brilliant Hammer, Light Guard, Sturdy Belt, Reinforced War Gloves, Warden's Cloak, Charm of Insight, Cold Iron Pauldrons, Bracelet of Cinders, Bracelet of Cinders</t>
        </is>
      </c>
    </row>
    <row r="581">
      <c r="A581" s="21" t="n">
        <v>28</v>
      </c>
      <c r="B581" s="21" t="inlineStr">
        <is>
          <t>Priest</t>
        </is>
      </c>
      <c r="C581" s="21" t="n">
        <v>3</v>
      </c>
      <c r="D581" s="21" t="n">
        <v>19</v>
      </c>
      <c r="E581" s="21" t="n">
        <v>10</v>
      </c>
      <c r="F581" s="21" t="n">
        <v>22</v>
      </c>
      <c r="G581" s="21" t="n">
        <v>1715</v>
      </c>
      <c r="H581" s="21" t="n">
        <v>1440</v>
      </c>
      <c r="I581" s="21" t="n">
        <v>227</v>
      </c>
      <c r="J581" s="23" t="n">
        <v>0.07000000000000001</v>
      </c>
      <c r="K581" s="23" t="n">
        <v>0.06</v>
      </c>
      <c r="L581" s="23" t="n">
        <v>0.05</v>
      </c>
      <c r="M581" s="23" t="n">
        <v>0</v>
      </c>
      <c r="N581" s="23" t="n">
        <v>0.03</v>
      </c>
      <c r="O581" s="23" t="n">
        <v>0.03</v>
      </c>
      <c r="P581" s="42" t="inlineStr">
        <is>
          <t>Silk Tunic, Silk Cap, Silk Leggings, Silk Slippers, Brilliant Hammer, Light Guard, Sturdy Belt, Reinforced War Gloves, Warden's Cloak, Charm of Insight, Tempered Pauldrons, Bracelet of Cinders, Bracelet of Cinders</t>
        </is>
      </c>
    </row>
    <row r="582">
      <c r="A582" s="21" t="n">
        <v>29</v>
      </c>
      <c r="B582" s="21" t="inlineStr">
        <is>
          <t>Priest</t>
        </is>
      </c>
      <c r="C582" s="21" t="n">
        <v>3</v>
      </c>
      <c r="D582" s="21" t="n">
        <v>19</v>
      </c>
      <c r="E582" s="21" t="n">
        <v>10</v>
      </c>
      <c r="F582" s="21" t="n">
        <v>22</v>
      </c>
      <c r="G582" s="21" t="n">
        <v>1715</v>
      </c>
      <c r="H582" s="21" t="n">
        <v>1440</v>
      </c>
      <c r="I582" s="21" t="n">
        <v>227</v>
      </c>
      <c r="J582" s="23" t="n">
        <v>0.07000000000000001</v>
      </c>
      <c r="K582" s="23" t="n">
        <v>0.06</v>
      </c>
      <c r="L582" s="23" t="n">
        <v>0.05</v>
      </c>
      <c r="M582" s="23" t="n">
        <v>0</v>
      </c>
      <c r="N582" s="23" t="n">
        <v>0.03</v>
      </c>
      <c r="O582" s="23" t="n">
        <v>0.03</v>
      </c>
      <c r="P582" s="42" t="inlineStr">
        <is>
          <t>Silk Tunic, Silk Cap, Silk Leggings, Silk Slippers, Brilliant Hammer, Light Guard, Sturdy Belt, Reinforced War Gloves, Warden's Cloak, Charm of Insight, Tempered Pauldrons, Bracelet of Cinders, Bracelet of Cinders</t>
        </is>
      </c>
    </row>
    <row r="583">
      <c r="A583" s="21" t="n">
        <v>30</v>
      </c>
      <c r="B583" s="21" t="inlineStr">
        <is>
          <t>Priest</t>
        </is>
      </c>
      <c r="C583" s="21" t="n">
        <v>3</v>
      </c>
      <c r="D583" s="21" t="n">
        <v>19</v>
      </c>
      <c r="E583" s="21" t="n">
        <v>10</v>
      </c>
      <c r="F583" s="21" t="n">
        <v>25</v>
      </c>
      <c r="G583" s="21" t="n">
        <v>1935</v>
      </c>
      <c r="H583" s="21" t="n">
        <v>1440</v>
      </c>
      <c r="I583" s="21" t="n">
        <v>236</v>
      </c>
      <c r="J583" s="23" t="n">
        <v>0.08</v>
      </c>
      <c r="K583" s="23" t="n">
        <v>0.06</v>
      </c>
      <c r="L583" s="23" t="n">
        <v>0.06</v>
      </c>
      <c r="M583" s="23" t="n">
        <v>0</v>
      </c>
      <c r="N583" s="23" t="n">
        <v>0.03</v>
      </c>
      <c r="O583" s="23" t="n">
        <v>0.03</v>
      </c>
      <c r="P583" s="42" t="inlineStr">
        <is>
          <t>Silk Tunic, Silk Cap, Silk Leggings, Silk Slippers, Brilliant Hammer, Light Guard, Ironbound Belt, Reinforced War Gloves, Warden's Cloak, Charm of Insight, Tempered Pauldrons, Bracelet of Cinders, Bracelet of Cinders</t>
        </is>
      </c>
    </row>
    <row r="584">
      <c r="A584" s="21" t="n">
        <v>31</v>
      </c>
      <c r="B584" s="21" t="inlineStr">
        <is>
          <t>Priest</t>
        </is>
      </c>
      <c r="C584" s="21" t="n">
        <v>3</v>
      </c>
      <c r="D584" s="21" t="n">
        <v>19</v>
      </c>
      <c r="E584" s="21" t="n">
        <v>10</v>
      </c>
      <c r="F584" s="21" t="n">
        <v>25</v>
      </c>
      <c r="G584" s="21" t="n">
        <v>1935</v>
      </c>
      <c r="H584" s="21" t="n">
        <v>1440</v>
      </c>
      <c r="I584" s="21" t="n">
        <v>236</v>
      </c>
      <c r="J584" s="23" t="n">
        <v>0.08</v>
      </c>
      <c r="K584" s="23" t="n">
        <v>0.06</v>
      </c>
      <c r="L584" s="23" t="n">
        <v>0.06</v>
      </c>
      <c r="M584" s="23" t="n">
        <v>0</v>
      </c>
      <c r="N584" s="23" t="n">
        <v>0.03</v>
      </c>
      <c r="O584" s="23" t="n">
        <v>0.03</v>
      </c>
      <c r="P584" s="42" t="inlineStr">
        <is>
          <t>Silk Tunic, Silk Cap, Silk Leggings, Silk Slippers, Brilliant Hammer, Light Guard, Ironbound Belt, Reinforced War Gloves, Warden's Cloak, Charm of Insight, Tempered Pauldrons, Bracelet of Cinders, Bracelet of Cinders</t>
        </is>
      </c>
    </row>
    <row r="585">
      <c r="A585" s="21" t="n">
        <v>32</v>
      </c>
      <c r="B585" s="21" t="inlineStr">
        <is>
          <t>Priest</t>
        </is>
      </c>
      <c r="C585" s="21" t="n">
        <v>3</v>
      </c>
      <c r="D585" s="21" t="n">
        <v>19</v>
      </c>
      <c r="E585" s="21" t="n">
        <v>10</v>
      </c>
      <c r="F585" s="21" t="n">
        <v>25</v>
      </c>
      <c r="G585" s="21" t="n">
        <v>1935</v>
      </c>
      <c r="H585" s="21" t="n">
        <v>1440</v>
      </c>
      <c r="I585" s="21" t="n">
        <v>236</v>
      </c>
      <c r="J585" s="23" t="n">
        <v>0.08</v>
      </c>
      <c r="K585" s="23" t="n">
        <v>0.06</v>
      </c>
      <c r="L585" s="23" t="n">
        <v>0.06</v>
      </c>
      <c r="M585" s="23" t="n">
        <v>0</v>
      </c>
      <c r="N585" s="23" t="n">
        <v>0.03</v>
      </c>
      <c r="O585" s="23" t="n">
        <v>0.03</v>
      </c>
      <c r="P585" s="42" t="inlineStr">
        <is>
          <t>Silk Tunic, Silk Cap, Silk Leggings, Silk Slippers, Brilliant Hammer, Light Guard, Ironbound Belt, Reinforced War Gloves, Warden's Cloak, Charm of Insight, Tempered Pauldrons, Bracelet of Cinders, Bracelet of Cinders</t>
        </is>
      </c>
    </row>
    <row r="586">
      <c r="A586" s="21" t="n">
        <v>33</v>
      </c>
      <c r="B586" s="21" t="inlineStr">
        <is>
          <t>Priest</t>
        </is>
      </c>
      <c r="C586" s="21" t="n">
        <v>3</v>
      </c>
      <c r="D586" s="21" t="n">
        <v>19</v>
      </c>
      <c r="E586" s="21" t="n">
        <v>10</v>
      </c>
      <c r="F586" s="21" t="n">
        <v>25</v>
      </c>
      <c r="G586" s="21" t="n">
        <v>2095</v>
      </c>
      <c r="H586" s="21" t="n">
        <v>1790</v>
      </c>
      <c r="I586" s="21" t="n">
        <v>246</v>
      </c>
      <c r="J586" s="23" t="n">
        <v>0.08</v>
      </c>
      <c r="K586" s="23" t="n">
        <v>0.08</v>
      </c>
      <c r="L586" s="23" t="n">
        <v>0.06</v>
      </c>
      <c r="M586" s="23" t="n">
        <v>0</v>
      </c>
      <c r="N586" s="23" t="n">
        <v>0.03</v>
      </c>
      <c r="O586" s="23" t="n">
        <v>0.03</v>
      </c>
      <c r="P586" s="42" t="inlineStr">
        <is>
          <t>Silk Tunic, Silk Cap, Silk Leggings, Silk Slippers, Brilliant Hammer, Light Guard, Ironbound Belt, Reinforced War Gloves, Warden's Cloak, Charm of Insight, Tempered Pauldrons, Bracelet of Flames, Bracelet of Flames</t>
        </is>
      </c>
    </row>
    <row r="587">
      <c r="A587" s="21" t="n">
        <v>34</v>
      </c>
      <c r="B587" s="21" t="inlineStr">
        <is>
          <t>Priest</t>
        </is>
      </c>
      <c r="C587" s="21" t="n">
        <v>3</v>
      </c>
      <c r="D587" s="21" t="n">
        <v>19</v>
      </c>
      <c r="E587" s="21" t="n">
        <v>10</v>
      </c>
      <c r="F587" s="21" t="n">
        <v>29</v>
      </c>
      <c r="G587" s="21" t="n">
        <v>2185</v>
      </c>
      <c r="H587" s="21" t="n">
        <v>1790</v>
      </c>
      <c r="I587" s="21" t="n">
        <v>256</v>
      </c>
      <c r="J587" s="23" t="n">
        <v>0.08</v>
      </c>
      <c r="K587" s="23" t="n">
        <v>0.08</v>
      </c>
      <c r="L587" s="23" t="n">
        <v>0.07000000000000001</v>
      </c>
      <c r="M587" s="23" t="n">
        <v>0</v>
      </c>
      <c r="N587" s="23" t="n">
        <v>0.03</v>
      </c>
      <c r="O587" s="23" t="n">
        <v>0.03</v>
      </c>
      <c r="P587" s="42" t="inlineStr">
        <is>
          <t>Silk Tunic, Silk Cap, Silk Leggings, Silk Slippers, Brilliant Hammer, Light Guard, Ironbound Belt, Runed War Gloves, Warden's Cloak, Charm of Insight, Tempered Pauldrons, Bracelet of Flames, Bracelet of Flames</t>
        </is>
      </c>
    </row>
    <row r="588">
      <c r="A588" s="21" t="n">
        <v>35</v>
      </c>
      <c r="B588" s="21" t="inlineStr">
        <is>
          <t>Priest</t>
        </is>
      </c>
      <c r="C588" s="21" t="n">
        <v>3</v>
      </c>
      <c r="D588" s="21" t="n">
        <v>19</v>
      </c>
      <c r="E588" s="21" t="n">
        <v>10</v>
      </c>
      <c r="F588" s="21" t="n">
        <v>29</v>
      </c>
      <c r="G588" s="21" t="n">
        <v>2185</v>
      </c>
      <c r="H588" s="21" t="n">
        <v>1810</v>
      </c>
      <c r="I588" s="21" t="n">
        <v>276</v>
      </c>
      <c r="J588" s="23" t="n">
        <v>0.08</v>
      </c>
      <c r="K588" s="23" t="n">
        <v>0.08</v>
      </c>
      <c r="L588" s="23" t="n">
        <v>0.07000000000000001</v>
      </c>
      <c r="M588" s="23" t="n">
        <v>0</v>
      </c>
      <c r="N588" s="23" t="n">
        <v>0.03</v>
      </c>
      <c r="O588" s="23" t="n">
        <v>0.03</v>
      </c>
      <c r="P588" s="42" t="inlineStr">
        <is>
          <t>Silk Tunic, Silk Cap, Silk Leggings, Silk Slippers, Brilliant Hammer, Firebrand Guard, Ironbound Belt, Runed War Gloves, Warden's Cloak, Charm of Insight, Tempered Pauldrons, Bracelet of Flames, Bracelet of Flames</t>
        </is>
      </c>
    </row>
    <row r="589">
      <c r="A589" s="21" t="n">
        <v>36</v>
      </c>
      <c r="B589" s="21" t="inlineStr">
        <is>
          <t>Priest</t>
        </is>
      </c>
      <c r="C589" s="21" t="n">
        <v>3</v>
      </c>
      <c r="D589" s="21" t="n">
        <v>19</v>
      </c>
      <c r="E589" s="21" t="n">
        <v>10</v>
      </c>
      <c r="F589" s="21" t="n">
        <v>29</v>
      </c>
      <c r="G589" s="21" t="n">
        <v>2220</v>
      </c>
      <c r="H589" s="21" t="n">
        <v>1845</v>
      </c>
      <c r="I589" s="21" t="n">
        <v>286</v>
      </c>
      <c r="J589" s="23" t="n">
        <v>0.08</v>
      </c>
      <c r="K589" s="23" t="n">
        <v>0.08</v>
      </c>
      <c r="L589" s="23" t="n">
        <v>0.07000000000000001</v>
      </c>
      <c r="M589" s="23" t="n">
        <v>0</v>
      </c>
      <c r="N589" s="23" t="n">
        <v>0.04</v>
      </c>
      <c r="O589" s="23" t="n">
        <v>0.03</v>
      </c>
      <c r="P589" s="42" t="inlineStr">
        <is>
          <t>Silk Tunic, Silk Cap, Silk Leggings, Silk Slippers, Brilliant Hammer, Firebrand Guard, Ironbound Belt, Runed War Gloves, Stormward Cloak, Charm of Insight, Tempered Pauldrons, Bracelet of Flames, Bracelet of Flames</t>
        </is>
      </c>
    </row>
    <row r="590">
      <c r="A590" s="21" t="n">
        <v>37</v>
      </c>
      <c r="B590" s="21" t="inlineStr">
        <is>
          <t>Priest</t>
        </is>
      </c>
      <c r="C590" s="21" t="n">
        <v>3</v>
      </c>
      <c r="D590" s="21" t="n">
        <v>19</v>
      </c>
      <c r="E590" s="21" t="n">
        <v>10</v>
      </c>
      <c r="F590" s="21" t="n">
        <v>29</v>
      </c>
      <c r="G590" s="21" t="n">
        <v>2250</v>
      </c>
      <c r="H590" s="21" t="n">
        <v>2005</v>
      </c>
      <c r="I590" s="21" t="n">
        <v>293</v>
      </c>
      <c r="J590" s="23" t="n">
        <v>0.1</v>
      </c>
      <c r="K590" s="23" t="n">
        <v>0.08</v>
      </c>
      <c r="L590" s="23" t="n">
        <v>0.07000000000000001</v>
      </c>
      <c r="M590" s="23" t="n">
        <v>0</v>
      </c>
      <c r="N590" s="23" t="n">
        <v>0.04</v>
      </c>
      <c r="O590" s="23" t="n">
        <v>0.03</v>
      </c>
      <c r="P590" s="42" t="inlineStr">
        <is>
          <t>Silk Tunic, Silk Cap, Silk Leggings, Silk Slippers, Brilliant Hammer, Firebrand Guard, Ironbound Belt, Runed War Gloves, Stormward Cloak, Charm of Ascendance, Tempered Pauldrons, Bracelet of Flames, Bracelet of Flames</t>
        </is>
      </c>
    </row>
    <row r="591">
      <c r="A591" s="21" t="n">
        <v>38</v>
      </c>
      <c r="B591" s="21" t="inlineStr">
        <is>
          <t>Priest</t>
        </is>
      </c>
      <c r="C591" s="21" t="n">
        <v>3</v>
      </c>
      <c r="D591" s="21" t="n">
        <v>19</v>
      </c>
      <c r="E591" s="21" t="n">
        <v>10</v>
      </c>
      <c r="F591" s="21" t="n">
        <v>31</v>
      </c>
      <c r="G591" s="21" t="n">
        <v>2405</v>
      </c>
      <c r="H591" s="21" t="n">
        <v>2005</v>
      </c>
      <c r="I591" s="21" t="n">
        <v>308</v>
      </c>
      <c r="J591" s="23" t="n">
        <v>0.1</v>
      </c>
      <c r="K591" s="23" t="n">
        <v>0.08</v>
      </c>
      <c r="L591" s="23" t="n">
        <v>0.07000000000000001</v>
      </c>
      <c r="M591" s="23" t="n">
        <v>0</v>
      </c>
      <c r="N591" s="23" t="n">
        <v>0.04</v>
      </c>
      <c r="O591" s="23" t="n">
        <v>0.04</v>
      </c>
      <c r="P591" s="42" t="inlineStr">
        <is>
          <t>Silk Tunic, Silk Cap, Silk Leggings, Silk Slippers, Brilliant Hammer, Firebrand Guard, Ironbound Belt, Runed War Gloves, Stormward Cloak, Charm of Ascendance, Runeplate Pauldrons, Bracelet of Flames, Bracelet of Flames</t>
        </is>
      </c>
    </row>
    <row r="592">
      <c r="A592" s="21" t="n">
        <v>39</v>
      </c>
      <c r="B592" s="21" t="inlineStr">
        <is>
          <t>Priest</t>
        </is>
      </c>
      <c r="C592" s="21" t="n">
        <v>3</v>
      </c>
      <c r="D592" s="21" t="n">
        <v>19</v>
      </c>
      <c r="E592" s="21" t="n">
        <v>10</v>
      </c>
      <c r="F592" s="21" t="n">
        <v>31</v>
      </c>
      <c r="G592" s="21" t="n">
        <v>2405</v>
      </c>
      <c r="H592" s="21" t="n">
        <v>2005</v>
      </c>
      <c r="I592" s="21" t="n">
        <v>308</v>
      </c>
      <c r="J592" s="23" t="n">
        <v>0.1</v>
      </c>
      <c r="K592" s="23" t="n">
        <v>0.08</v>
      </c>
      <c r="L592" s="23" t="n">
        <v>0.07000000000000001</v>
      </c>
      <c r="M592" s="23" t="n">
        <v>0</v>
      </c>
      <c r="N592" s="23" t="n">
        <v>0.04</v>
      </c>
      <c r="O592" s="23" t="n">
        <v>0.04</v>
      </c>
      <c r="P592" s="42" t="inlineStr">
        <is>
          <t>Silk Tunic, Silk Cap, Silk Leggings, Silk Slippers, Brilliant Hammer, Firebrand Guard, Ironbound Belt, Runed War Gloves, Stormward Cloak, Charm of Ascendance, Runeplate Pauldrons, Bracelet of Flames, Bracelet of Flames</t>
        </is>
      </c>
    </row>
    <row r="593">
      <c r="A593" s="21" t="n">
        <v>40</v>
      </c>
      <c r="B593" s="21" t="inlineStr">
        <is>
          <t>Priest</t>
        </is>
      </c>
      <c r="C593" s="21" t="n">
        <v>3</v>
      </c>
      <c r="D593" s="21" t="n">
        <v>19</v>
      </c>
      <c r="E593" s="21" t="n">
        <v>10</v>
      </c>
      <c r="F593" s="21" t="n">
        <v>33</v>
      </c>
      <c r="G593" s="21" t="n">
        <v>2590</v>
      </c>
      <c r="H593" s="21" t="n">
        <v>2005</v>
      </c>
      <c r="I593" s="21" t="n">
        <v>316</v>
      </c>
      <c r="J593" s="23" t="n">
        <v>0.11</v>
      </c>
      <c r="K593" s="23" t="n">
        <v>0.08</v>
      </c>
      <c r="L593" s="23" t="n">
        <v>0.08</v>
      </c>
      <c r="M593" s="23" t="n">
        <v>0</v>
      </c>
      <c r="N593" s="23" t="n">
        <v>0.04</v>
      </c>
      <c r="O593" s="23" t="n">
        <v>0.04</v>
      </c>
      <c r="P593" s="42" t="inlineStr">
        <is>
          <t>Silk Tunic, Silk Cap, Silk Leggings, Silk Slippers, Brilliant Hammer, Firebrand Guard, Runeplate Belt, Runed War Gloves, Stormward Cloak, Charm of Ascendance, Runeplate Pauldrons, Bracelet of Flames, Bracelet of Flames</t>
        </is>
      </c>
    </row>
    <row r="594">
      <c r="A594" s="21" t="n">
        <v>41</v>
      </c>
      <c r="B594" s="21" t="inlineStr">
        <is>
          <t>Priest</t>
        </is>
      </c>
      <c r="C594" s="21" t="n">
        <v>3</v>
      </c>
      <c r="D594" s="21" t="n">
        <v>19</v>
      </c>
      <c r="E594" s="21" t="n">
        <v>10</v>
      </c>
      <c r="F594" s="21" t="n">
        <v>33</v>
      </c>
      <c r="G594" s="21" t="n">
        <v>2590</v>
      </c>
      <c r="H594" s="21" t="n">
        <v>2005</v>
      </c>
      <c r="I594" s="21" t="n">
        <v>316</v>
      </c>
      <c r="J594" s="23" t="n">
        <v>0.11</v>
      </c>
      <c r="K594" s="23" t="n">
        <v>0.08</v>
      </c>
      <c r="L594" s="23" t="n">
        <v>0.08</v>
      </c>
      <c r="M594" s="23" t="n">
        <v>0</v>
      </c>
      <c r="N594" s="23" t="n">
        <v>0.04</v>
      </c>
      <c r="O594" s="23" t="n">
        <v>0.04</v>
      </c>
      <c r="P594" s="42" t="inlineStr">
        <is>
          <t>Silk Tunic, Silk Cap, Silk Leggings, Silk Slippers, Brilliant Hammer, Firebrand Guard, Runeplate Belt, Runed War Gloves, Stormward Cloak, Charm of Ascendance, Runeplate Pauldrons, Bracelet of Flames, Bracelet of Flames</t>
        </is>
      </c>
    </row>
    <row r="595">
      <c r="A595" s="21" t="n">
        <v>42</v>
      </c>
      <c r="B595" s="21" t="inlineStr">
        <is>
          <t>Priest</t>
        </is>
      </c>
      <c r="C595" s="21" t="n">
        <v>3</v>
      </c>
      <c r="D595" s="21" t="n">
        <v>19</v>
      </c>
      <c r="E595" s="21" t="n">
        <v>10</v>
      </c>
      <c r="F595" s="21" t="n">
        <v>33</v>
      </c>
      <c r="G595" s="21" t="n">
        <v>2590</v>
      </c>
      <c r="H595" s="21" t="n">
        <v>2005</v>
      </c>
      <c r="I595" s="21" t="n">
        <v>316</v>
      </c>
      <c r="J595" s="23" t="n">
        <v>0.11</v>
      </c>
      <c r="K595" s="23" t="n">
        <v>0.08</v>
      </c>
      <c r="L595" s="23" t="n">
        <v>0.08</v>
      </c>
      <c r="M595" s="23" t="n">
        <v>0</v>
      </c>
      <c r="N595" s="23" t="n">
        <v>0.04</v>
      </c>
      <c r="O595" s="23" t="n">
        <v>0.04</v>
      </c>
      <c r="P595" s="42" t="inlineStr">
        <is>
          <t>Silk Tunic, Silk Cap, Silk Leggings, Silk Slippers, Brilliant Hammer, Firebrand Guard, Runeplate Belt, Runed War Gloves, Stormward Cloak, Charm of Ascendance, Runeplate Pauldrons, Bracelet of Flames, Bracelet of Flames</t>
        </is>
      </c>
    </row>
    <row r="596">
      <c r="A596" s="21" t="n">
        <v>43</v>
      </c>
      <c r="B596" s="21" t="inlineStr">
        <is>
          <t>Priest</t>
        </is>
      </c>
      <c r="C596" s="21" t="n">
        <v>3</v>
      </c>
      <c r="D596" s="21" t="n">
        <v>19</v>
      </c>
      <c r="E596" s="21" t="n">
        <v>10</v>
      </c>
      <c r="F596" s="21" t="n">
        <v>33</v>
      </c>
      <c r="G596" s="21" t="n">
        <v>2850</v>
      </c>
      <c r="H596" s="21" t="n">
        <v>2365</v>
      </c>
      <c r="I596" s="21" t="n">
        <v>326</v>
      </c>
      <c r="J596" s="23" t="n">
        <v>0.11</v>
      </c>
      <c r="K596" s="23" t="n">
        <v>0.1</v>
      </c>
      <c r="L596" s="23" t="n">
        <v>0.08</v>
      </c>
      <c r="M596" s="23" t="n">
        <v>0</v>
      </c>
      <c r="N596" s="23" t="n">
        <v>0.04</v>
      </c>
      <c r="O596" s="23" t="n">
        <v>0.04</v>
      </c>
      <c r="P596" s="42" t="inlineStr">
        <is>
          <t>Silk Tunic, Silk Cap, Silk Leggings, Silk Slippers, Brilliant Hammer, Firebrand Guard, Runeplate Belt, Runed War Gloves, Stormward Cloak, Charm of Ascendance, Runeplate Pauldrons, Bracelet of the Inferno, Bracelet of the Inferno</t>
        </is>
      </c>
    </row>
    <row r="597">
      <c r="A597" s="21" t="n">
        <v>44</v>
      </c>
      <c r="B597" s="21" t="inlineStr">
        <is>
          <t>Priest</t>
        </is>
      </c>
      <c r="C597" s="21" t="n">
        <v>3</v>
      </c>
      <c r="D597" s="21" t="n">
        <v>19</v>
      </c>
      <c r="E597" s="21" t="n">
        <v>10</v>
      </c>
      <c r="F597" s="21" t="n">
        <v>37</v>
      </c>
      <c r="G597" s="21" t="n">
        <v>2940</v>
      </c>
      <c r="H597" s="21" t="n">
        <v>2365</v>
      </c>
      <c r="I597" s="21" t="n">
        <v>336</v>
      </c>
      <c r="J597" s="23" t="n">
        <v>0.11</v>
      </c>
      <c r="K597" s="23" t="n">
        <v>0.1</v>
      </c>
      <c r="L597" s="23" t="n">
        <v>0.09</v>
      </c>
      <c r="M597" s="23" t="n">
        <v>0</v>
      </c>
      <c r="N597" s="23" t="n">
        <v>0.04</v>
      </c>
      <c r="O597" s="23" t="n">
        <v>0.04</v>
      </c>
      <c r="P597" s="42" t="inlineStr">
        <is>
          <t>Silk Tunic, Silk Cap, Silk Leggings, Silk Slippers, Brilliant Hammer, Firebrand Guard, Runeplate Belt, Exalted War Gloves, Stormward Cloak, Charm of Ascendance, Runeplate Pauldrons, Bracelet of the Inferno, Bracelet of the Inferno</t>
        </is>
      </c>
    </row>
    <row r="598">
      <c r="A598" s="21" t="n">
        <v>45</v>
      </c>
      <c r="B598" s="21" t="inlineStr">
        <is>
          <t>Priest</t>
        </is>
      </c>
      <c r="C598" s="21" t="n">
        <v>3</v>
      </c>
      <c r="D598" s="21" t="n">
        <v>19</v>
      </c>
      <c r="E598" s="21" t="n">
        <v>10</v>
      </c>
      <c r="F598" s="21" t="n">
        <v>37</v>
      </c>
      <c r="G598" s="21" t="n">
        <v>2940</v>
      </c>
      <c r="H598" s="21" t="n">
        <v>2365</v>
      </c>
      <c r="I598" s="21" t="n">
        <v>336</v>
      </c>
      <c r="J598" s="23" t="n">
        <v>0.11</v>
      </c>
      <c r="K598" s="23" t="n">
        <v>0.1</v>
      </c>
      <c r="L598" s="23" t="n">
        <v>0.09</v>
      </c>
      <c r="M598" s="23" t="n">
        <v>0</v>
      </c>
      <c r="N598" s="23" t="n">
        <v>0.04</v>
      </c>
      <c r="O598" s="23" t="n">
        <v>0.04</v>
      </c>
      <c r="P598" s="42" t="inlineStr">
        <is>
          <t>Silk Tunic, Silk Cap, Silk Leggings, Silk Slippers, Brilliant Hammer, Firebrand Guard, Runeplate Belt, Exalted War Gloves, Stormward Cloak, Charm of Ascendance, Runeplate Pauldrons, Bracelet of the Inferno, Bracelet of the Inferno</t>
        </is>
      </c>
    </row>
    <row r="599">
      <c r="A599" s="21" t="n">
        <v>46</v>
      </c>
      <c r="B599" s="21" t="inlineStr">
        <is>
          <t>Priest</t>
        </is>
      </c>
      <c r="C599" s="21" t="n">
        <v>3</v>
      </c>
      <c r="D599" s="21" t="n">
        <v>19</v>
      </c>
      <c r="E599" s="21" t="n">
        <v>10</v>
      </c>
      <c r="F599" s="21" t="n">
        <v>37</v>
      </c>
      <c r="G599" s="21" t="n">
        <v>2975</v>
      </c>
      <c r="H599" s="21" t="n">
        <v>2400</v>
      </c>
      <c r="I599" s="21" t="n">
        <v>344</v>
      </c>
      <c r="J599" s="23" t="n">
        <v>0.11</v>
      </c>
      <c r="K599" s="23" t="n">
        <v>0.1</v>
      </c>
      <c r="L599" s="23" t="n">
        <v>0.09</v>
      </c>
      <c r="M599" s="23" t="n">
        <v>0</v>
      </c>
      <c r="N599" s="23" t="n">
        <v>0.05</v>
      </c>
      <c r="O599" s="23" t="n">
        <v>0.04</v>
      </c>
      <c r="P599" s="42" t="inlineStr">
        <is>
          <t>Silk Tunic, Silk Cap, Silk Leggings, Silk Slippers, Brilliant Hammer, Firebrand Guard, Runeplate Belt, Exalted War Gloves, Skyweave Cloak, Charm of Ascendance, Runeplate Pauldrons, Bracelet of the Inferno, Bracelet of the Inferno</t>
        </is>
      </c>
    </row>
    <row r="600">
      <c r="A600" s="21" t="n">
        <v>47</v>
      </c>
      <c r="B600" s="21" t="inlineStr">
        <is>
          <t>Priest</t>
        </is>
      </c>
      <c r="C600" s="21" t="n">
        <v>3</v>
      </c>
      <c r="D600" s="21" t="n">
        <v>19</v>
      </c>
      <c r="E600" s="21" t="n">
        <v>10</v>
      </c>
      <c r="F600" s="21" t="n">
        <v>37</v>
      </c>
      <c r="G600" s="21" t="n">
        <v>3005</v>
      </c>
      <c r="H600" s="21" t="n">
        <v>2480</v>
      </c>
      <c r="I600" s="21" t="n">
        <v>349</v>
      </c>
      <c r="J600" s="23" t="n">
        <v>0.13</v>
      </c>
      <c r="K600" s="23" t="n">
        <v>0.1</v>
      </c>
      <c r="L600" s="23" t="n">
        <v>0.09</v>
      </c>
      <c r="M600" s="23" t="n">
        <v>0</v>
      </c>
      <c r="N600" s="23" t="n">
        <v>0.05</v>
      </c>
      <c r="O600" s="23" t="n">
        <v>0.04</v>
      </c>
      <c r="P600" s="42" t="inlineStr">
        <is>
          <t>Silk Tunic, Silk Cap, Silk Leggings, Silk Slippers, Brilliant Hammer, Firebrand Guard, Runeplate Belt, Exalted War Gloves, Skyweave Cloak, Charm of the Archon, Runeplate Pauldrons, Bracelet of the Inferno, Bracelet of the Inferno</t>
        </is>
      </c>
    </row>
    <row r="601">
      <c r="A601" s="21" t="n">
        <v>48</v>
      </c>
      <c r="B601" s="21" t="inlineStr">
        <is>
          <t>Priest</t>
        </is>
      </c>
      <c r="C601" s="21" t="n">
        <v>3</v>
      </c>
      <c r="D601" s="21" t="n">
        <v>19</v>
      </c>
      <c r="E601" s="21" t="n">
        <v>10</v>
      </c>
      <c r="F601" s="21" t="n">
        <v>39</v>
      </c>
      <c r="G601" s="21" t="n">
        <v>3160</v>
      </c>
      <c r="H601" s="21" t="n">
        <v>2480</v>
      </c>
      <c r="I601" s="21" t="n">
        <v>367</v>
      </c>
      <c r="J601" s="23" t="n">
        <v>0.13</v>
      </c>
      <c r="K601" s="23" t="n">
        <v>0.1</v>
      </c>
      <c r="L601" s="23" t="n">
        <v>0.09</v>
      </c>
      <c r="M601" s="23" t="n">
        <v>0</v>
      </c>
      <c r="N601" s="23" t="n">
        <v>0.05</v>
      </c>
      <c r="O601" s="23" t="n">
        <v>0.05</v>
      </c>
      <c r="P601" s="42" t="inlineStr">
        <is>
          <t>Silk Tunic, Silk Cap, Silk Leggings, Silk Slippers, Brilliant Hammer, Firebrand Guard, Runeplate Belt, Exalted War Gloves, Skyweave Cloak, Charm of the Archon, Bulwark Pauldrons, Bracelet of the Inferno, Bracelet of the Inferno</t>
        </is>
      </c>
    </row>
    <row r="602">
      <c r="A602" s="21" t="n">
        <v>49</v>
      </c>
      <c r="B602" s="21" t="inlineStr">
        <is>
          <t>Priest</t>
        </is>
      </c>
      <c r="C602" s="21" t="n">
        <v>3</v>
      </c>
      <c r="D602" s="21" t="n">
        <v>19</v>
      </c>
      <c r="E602" s="21" t="n">
        <v>10</v>
      </c>
      <c r="F602" s="21" t="n">
        <v>41</v>
      </c>
      <c r="G602" s="21" t="n">
        <v>3370</v>
      </c>
      <c r="H602" s="21" t="n">
        <v>2480</v>
      </c>
      <c r="I602" s="21" t="n">
        <v>375</v>
      </c>
      <c r="J602" s="23" t="n">
        <v>0.14</v>
      </c>
      <c r="K602" s="23" t="n">
        <v>0.1</v>
      </c>
      <c r="L602" s="23" t="n">
        <v>0.1</v>
      </c>
      <c r="M602" s="23" t="n">
        <v>0</v>
      </c>
      <c r="N602" s="23" t="n">
        <v>0.05</v>
      </c>
      <c r="O602" s="23" t="n">
        <v>0.05</v>
      </c>
      <c r="P602" s="42" t="inlineStr">
        <is>
          <t>Silk Tunic, Silk Cap, Silk Leggings, Silk Slippers, Brilliant Hammer, Firebrand Guard, Bulwark Belt, Exalted War Gloves, Skyweave Cloak, Charm of the Archon, Bulwark Pauldrons, Bracelet of the Inferno, Bracelet of the Inferno</t>
        </is>
      </c>
    </row>
    <row r="603">
      <c r="A603" s="21" t="n">
        <v>50</v>
      </c>
      <c r="B603" s="21" t="inlineStr">
        <is>
          <t>Priest</t>
        </is>
      </c>
      <c r="C603" s="21" t="n">
        <v>3</v>
      </c>
      <c r="D603" s="21" t="n">
        <v>19</v>
      </c>
      <c r="E603" s="21" t="n">
        <v>10</v>
      </c>
      <c r="F603" s="21" t="n">
        <v>41</v>
      </c>
      <c r="G603" s="21" t="n">
        <v>3370</v>
      </c>
      <c r="H603" s="21" t="n">
        <v>2480</v>
      </c>
      <c r="I603" s="21" t="n">
        <v>375</v>
      </c>
      <c r="J603" s="23" t="n">
        <v>0.14</v>
      </c>
      <c r="K603" s="23" t="n">
        <v>0.1</v>
      </c>
      <c r="L603" s="23" t="n">
        <v>0.1</v>
      </c>
      <c r="M603" s="23" t="n">
        <v>0</v>
      </c>
      <c r="N603" s="23" t="n">
        <v>0.05</v>
      </c>
      <c r="O603" s="23" t="n">
        <v>0.05</v>
      </c>
      <c r="P603" s="42" t="inlineStr">
        <is>
          <t>Silk Tunic, Silk Cap, Silk Leggings, Silk Slippers, Brilliant Hammer, Firebrand Guard, Bulwark Belt, Exalted War Gloves, Skyweave Cloak, Charm of the Archon, Bulwark Pauldrons, Bracelet of the Inferno, Bracelet of the Inferno</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53"/>
  <sheetViews>
    <sheetView workbookViewId="0">
      <selection activeCell="A1" sqref="A1"/>
    </sheetView>
  </sheetViews>
  <sheetFormatPr baseColWidth="8" defaultRowHeight="15"/>
  <cols>
    <col width="11" customWidth="1" min="1" max="1"/>
    <col width="1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Class ability tables</t>
        </is>
      </c>
      <c r="B1" s="2" t="n"/>
      <c r="C1" s="2" t="n"/>
      <c r="D1" s="2" t="n"/>
      <c r="E1" s="2" t="n"/>
      <c r="F1" s="2" t="n"/>
      <c r="G1" s="2" t="n"/>
      <c r="H1" s="2" t="n"/>
      <c r="I1" s="2" t="n"/>
      <c r="J1" s="2" t="n"/>
      <c r="K1" s="2" t="n"/>
      <c r="L1" s="2" t="n"/>
      <c r="M1" s="2" t="n"/>
      <c r="N1" s="2" t="n"/>
    </row>
    <row r="2">
      <c r="A2" s="42" t="inlineStr">
        <is>
          <t>Source: game data "Spells" + "Spell Effects" sheets and Scripts/Spell/Backstab.csx. Rows must stay sorted by learn level (LOOKUP picks the highest tier &lt;= level).</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c r="A4" s="3" t="inlineStr">
        <is>
          <t>Backstab</t>
        </is>
      </c>
      <c r="B4" s="2" t="n"/>
      <c r="C4" s="2" t="n"/>
      <c r="D4" s="2" t="n"/>
      <c r="E4" s="2" t="n"/>
      <c r="F4" s="2" t="n"/>
      <c r="G4" s="42" t="inlineStr">
        <is>
          <t>dmg = mult * (STR + weapon dmg + level) * (1+SD) * crit(SC); ignores AC; x1.5 from behind.</t>
        </is>
      </c>
      <c r="H4" s="2" t="n"/>
      <c r="I4" s="2" t="n"/>
      <c r="J4" s="2" t="n"/>
      <c r="K4" s="2" t="n"/>
      <c r="L4" s="2" t="n"/>
      <c r="M4" s="2" t="n"/>
      <c r="N4" s="2" t="n"/>
    </row>
    <row r="5" ht="45" customHeight="1">
      <c r="A5" s="7" t="inlineStr">
        <is>
          <t>Learn lvl</t>
        </is>
      </c>
      <c r="B5" s="7" t="inlineStr">
        <is>
          <t>Tier</t>
        </is>
      </c>
      <c r="C5" s="7" t="inlineStr">
        <is>
          <t>Multiplier</t>
        </is>
      </c>
      <c r="D5" s="7" t="inlineStr">
        <is>
          <t>Cooldown s</t>
        </is>
      </c>
      <c r="E5" s="7" t="inlineStr">
        <is>
          <t>MP cost</t>
        </is>
      </c>
      <c r="F5" s="2" t="n"/>
      <c r="G5" s="2" t="n"/>
      <c r="H5" s="2" t="n"/>
      <c r="I5" s="2" t="n"/>
      <c r="J5" s="2" t="n"/>
      <c r="K5" s="2" t="n"/>
      <c r="L5" s="2" t="n"/>
      <c r="M5" s="2" t="n"/>
      <c r="N5" s="2" t="n"/>
    </row>
    <row r="6">
      <c r="A6" s="21" t="n">
        <v>4</v>
      </c>
      <c r="B6" s="19" t="inlineStr">
        <is>
          <t>Backstab 1</t>
        </is>
      </c>
      <c r="C6" s="21" t="n">
        <v>2</v>
      </c>
      <c r="D6" s="21" t="n">
        <v>15</v>
      </c>
      <c r="E6" s="21" t="n">
        <v>20</v>
      </c>
      <c r="F6" s="2" t="n"/>
      <c r="G6" s="2" t="n"/>
      <c r="H6" s="2" t="n"/>
      <c r="I6" s="2" t="n"/>
      <c r="J6" s="2" t="n"/>
      <c r="K6" s="2" t="n"/>
      <c r="L6" s="2" t="n"/>
      <c r="M6" s="2" t="n"/>
      <c r="N6" s="2" t="n"/>
    </row>
    <row r="7">
      <c r="A7" s="21" t="n">
        <v>14</v>
      </c>
      <c r="B7" s="19" t="inlineStr">
        <is>
          <t>Backstab 2</t>
        </is>
      </c>
      <c r="C7" s="21" t="n">
        <v>3.5</v>
      </c>
      <c r="D7" s="21" t="n">
        <v>15</v>
      </c>
      <c r="E7" s="21" t="n">
        <v>40</v>
      </c>
      <c r="F7" s="2" t="n"/>
      <c r="G7" s="2" t="n"/>
      <c r="H7" s="2" t="n"/>
      <c r="I7" s="2" t="n"/>
      <c r="J7" s="2" t="n"/>
      <c r="K7" s="2" t="n"/>
      <c r="L7" s="2" t="n"/>
      <c r="M7" s="2" t="n"/>
      <c r="N7" s="2" t="n"/>
    </row>
    <row r="8">
      <c r="A8" s="21" t="n">
        <v>24</v>
      </c>
      <c r="B8" s="19" t="inlineStr">
        <is>
          <t>Backstab 3</t>
        </is>
      </c>
      <c r="C8" s="21" t="n">
        <v>4.5</v>
      </c>
      <c r="D8" s="21" t="n">
        <v>15</v>
      </c>
      <c r="E8" s="21" t="n">
        <v>60</v>
      </c>
      <c r="F8" s="2" t="n"/>
      <c r="G8" s="2" t="n"/>
      <c r="H8" s="2" t="n"/>
      <c r="I8" s="2" t="n"/>
      <c r="J8" s="2" t="n"/>
      <c r="K8" s="2" t="n"/>
      <c r="L8" s="2" t="n"/>
      <c r="M8" s="2" t="n"/>
      <c r="N8" s="2" t="n"/>
    </row>
    <row r="9">
      <c r="A9" s="21" t="n">
        <v>34</v>
      </c>
      <c r="B9" s="19" t="inlineStr">
        <is>
          <t>Backstab 4</t>
        </is>
      </c>
      <c r="C9" s="21" t="n">
        <v>5.5</v>
      </c>
      <c r="D9" s="21" t="n">
        <v>15</v>
      </c>
      <c r="E9" s="21" t="n">
        <v>120</v>
      </c>
      <c r="F9" s="2" t="n"/>
      <c r="G9" s="2" t="n"/>
      <c r="H9" s="2" t="n"/>
      <c r="I9" s="2" t="n"/>
      <c r="J9" s="2" t="n"/>
      <c r="K9" s="2" t="n"/>
      <c r="L9" s="2" t="n"/>
      <c r="M9" s="2" t="n"/>
      <c r="N9" s="2" t="n"/>
    </row>
    <row r="10">
      <c r="A10" s="21" t="n">
        <v>44</v>
      </c>
      <c r="B10" s="19" t="inlineStr">
        <is>
          <t>Backstab 5</t>
        </is>
      </c>
      <c r="C10" s="21" t="n">
        <v>7.5</v>
      </c>
      <c r="D10" s="21" t="n">
        <v>15</v>
      </c>
      <c r="E10" s="21" t="n">
        <v>200</v>
      </c>
      <c r="F10" s="2" t="n"/>
      <c r="G10" s="2" t="n"/>
      <c r="H10" s="2" t="n"/>
      <c r="I10" s="2" t="n"/>
      <c r="J10" s="2" t="n"/>
      <c r="K10" s="2" t="n"/>
      <c r="L10" s="2" t="n"/>
      <c r="M10" s="2" t="n"/>
      <c r="N10" s="2" t="n"/>
    </row>
    <row r="11">
      <c r="A11" s="2" t="n"/>
      <c r="B11" s="2" t="n"/>
      <c r="C11" s="2" t="n"/>
      <c r="D11" s="2" t="n"/>
      <c r="E11" s="2" t="n"/>
      <c r="F11" s="2" t="n"/>
      <c r="G11" s="2" t="n"/>
      <c r="H11" s="2" t="n"/>
      <c r="I11" s="2" t="n"/>
      <c r="J11" s="2" t="n"/>
      <c r="K11" s="2" t="n"/>
      <c r="L11" s="2" t="n"/>
      <c r="M11" s="2" t="n"/>
      <c r="N11" s="2" t="n"/>
    </row>
    <row r="12">
      <c r="A12" s="3" t="inlineStr">
        <is>
          <t>Elemental Strike</t>
        </is>
      </c>
      <c r="B12" s="2" t="n"/>
      <c r="C12" s="2" t="n"/>
      <c r="D12" s="2" t="n"/>
      <c r="E12" s="2" t="n"/>
      <c r="F12" s="2" t="n"/>
      <c r="G12" s="2" t="n"/>
      <c r="H12" s="2" t="n"/>
      <c r="I12" s="2" t="n"/>
      <c r="J12" s="2" t="n"/>
      <c r="K12" s="2" t="n"/>
      <c r="L12" s="2" t="n"/>
      <c r="M12" s="2" t="n"/>
      <c r="N12" s="42" t="inlineStr">
        <is>
          <t>Flat damage * (1+SD) * crit(SC); ignores AC. Source: Spells / Spell Effects sheets. Shapes: SpellEffect.Cast. Pack coverage = share of the other pack mobs the shape catches (ES 5: Monte Carlo, ~2.6 of the 8 tiles around the target; ES 6/7: 4 of 8 neighbours; ES 8: line through the pack). Expected = 1 + pack share * (min(tiles, pack) - 1) * coverage. ES 8-10 are drops.</t>
        </is>
      </c>
    </row>
    <row r="13" ht="45" customHeight="1">
      <c r="A13" s="7" t="inlineStr">
        <is>
          <t>Learn lvl</t>
        </is>
      </c>
      <c r="B13" s="7" t="inlineStr">
        <is>
          <t>Tier</t>
        </is>
      </c>
      <c r="C13" s="7" t="inlineStr">
        <is>
          <t>Damage</t>
        </is>
      </c>
      <c r="D13" s="7" t="inlineStr">
        <is>
          <t>Cooldown s</t>
        </is>
      </c>
      <c r="E13" s="7" t="inlineStr">
        <is>
          <t>MP cost</t>
        </is>
      </c>
      <c r="F13" s="7" t="inlineStr">
        <is>
          <t>Shape</t>
        </is>
      </c>
      <c r="G13" s="7" t="inlineStr">
        <is>
          <t>Tiles hit</t>
        </is>
      </c>
      <c r="H13" s="7" t="inlineStr">
        <is>
          <t>Pack coverage</t>
        </is>
      </c>
      <c r="I13" s="7" t="inlineStr">
        <is>
          <t>Max targets</t>
        </is>
      </c>
      <c r="J13" s="7" t="inlineStr">
        <is>
          <t>Expected targets</t>
        </is>
      </c>
      <c r="K13" s="7" t="inlineStr">
        <is>
          <t>Dmg per MP (1 target)</t>
        </is>
      </c>
      <c r="L13" s="7" t="inlineStr">
        <is>
          <t>Expected dmg per MP</t>
        </is>
      </c>
      <c r="M13" s="2" t="n"/>
      <c r="N13" s="2" t="n"/>
    </row>
    <row r="14">
      <c r="A14" s="21" t="n">
        <v>1</v>
      </c>
      <c r="B14" s="19" t="inlineStr">
        <is>
          <t>ES 1</t>
        </is>
      </c>
      <c r="C14" s="21" t="n">
        <v>15</v>
      </c>
      <c r="D14" s="21" t="n">
        <v>0.5</v>
      </c>
      <c r="E14" s="21" t="n">
        <v>5</v>
      </c>
      <c r="F14" s="21" t="inlineStr">
        <is>
          <t>Single</t>
        </is>
      </c>
      <c r="G14" s="21" t="n">
        <v>1</v>
      </c>
      <c r="H14" s="23" t="n">
        <v>0</v>
      </c>
      <c r="I14" s="24">
        <f>MIN(G14,Inputs!$C$14)</f>
        <v/>
      </c>
      <c r="J14" s="24">
        <f>1+Inputs!$C$15*(MIN(G14,Inputs!$C$14)-1)*H14</f>
        <v/>
      </c>
      <c r="K14" s="24">
        <f>C14/E14</f>
        <v/>
      </c>
      <c r="L14" s="24">
        <f>C14*J14/E14</f>
        <v/>
      </c>
      <c r="M14" s="2" t="n"/>
      <c r="N14" s="2" t="n"/>
    </row>
    <row r="15">
      <c r="A15" s="21" t="n">
        <v>6</v>
      </c>
      <c r="B15" s="19" t="inlineStr">
        <is>
          <t>ES 2</t>
        </is>
      </c>
      <c r="C15" s="21" t="n">
        <v>25</v>
      </c>
      <c r="D15" s="21" t="n">
        <v>0.5</v>
      </c>
      <c r="E15" s="21" t="n">
        <v>10</v>
      </c>
      <c r="F15" s="21" t="inlineStr">
        <is>
          <t>Single</t>
        </is>
      </c>
      <c r="G15" s="21" t="n">
        <v>1</v>
      </c>
      <c r="H15" s="23" t="n">
        <v>0</v>
      </c>
      <c r="I15" s="24">
        <f>MIN(G15,Inputs!$C$14)</f>
        <v/>
      </c>
      <c r="J15" s="24">
        <f>1+Inputs!$C$15*(MIN(G15,Inputs!$C$14)-1)*H15</f>
        <v/>
      </c>
      <c r="K15" s="24">
        <f>C15/E15</f>
        <v/>
      </c>
      <c r="L15" s="24">
        <f>C15*J15/E15</f>
        <v/>
      </c>
      <c r="M15" s="2" t="n"/>
      <c r="N15" s="2" t="n"/>
    </row>
    <row r="16">
      <c r="A16" s="21" t="n">
        <v>11</v>
      </c>
      <c r="B16" s="19" t="inlineStr">
        <is>
          <t>ES 3</t>
        </is>
      </c>
      <c r="C16" s="21" t="n">
        <v>45</v>
      </c>
      <c r="D16" s="21" t="n">
        <v>0.5</v>
      </c>
      <c r="E16" s="21" t="n">
        <v>20</v>
      </c>
      <c r="F16" s="21" t="inlineStr">
        <is>
          <t>Single</t>
        </is>
      </c>
      <c r="G16" s="21" t="n">
        <v>1</v>
      </c>
      <c r="H16" s="23" t="n">
        <v>0</v>
      </c>
      <c r="I16" s="24">
        <f>MIN(G16,Inputs!$C$14)</f>
        <v/>
      </c>
      <c r="J16" s="24">
        <f>1+Inputs!$C$15*(MIN(G16,Inputs!$C$14)-1)*H16</f>
        <v/>
      </c>
      <c r="K16" s="24">
        <f>C16/E16</f>
        <v/>
      </c>
      <c r="L16" s="24">
        <f>C16*J16/E16</f>
        <v/>
      </c>
      <c r="M16" s="2" t="n"/>
      <c r="N16" s="2" t="n"/>
    </row>
    <row r="17">
      <c r="A17" s="21" t="n">
        <v>16</v>
      </c>
      <c r="B17" s="19" t="inlineStr">
        <is>
          <t>ES 4</t>
        </is>
      </c>
      <c r="C17" s="21" t="n">
        <v>70</v>
      </c>
      <c r="D17" s="21" t="n">
        <v>0.5</v>
      </c>
      <c r="E17" s="21" t="n">
        <v>30</v>
      </c>
      <c r="F17" s="21" t="inlineStr">
        <is>
          <t>Single</t>
        </is>
      </c>
      <c r="G17" s="21" t="n">
        <v>1</v>
      </c>
      <c r="H17" s="23" t="n">
        <v>0</v>
      </c>
      <c r="I17" s="24">
        <f>MIN(G17,Inputs!$C$14)</f>
        <v/>
      </c>
      <c r="J17" s="24">
        <f>1+Inputs!$C$15*(MIN(G17,Inputs!$C$14)-1)*H17</f>
        <v/>
      </c>
      <c r="K17" s="24">
        <f>C17/E17</f>
        <v/>
      </c>
      <c r="L17" s="24">
        <f>C17*J17/E17</f>
        <v/>
      </c>
      <c r="M17" s="2" t="n"/>
      <c r="N17" s="2" t="n"/>
    </row>
    <row r="18">
      <c r="A18" s="21" t="n">
        <v>21</v>
      </c>
      <c r="B18" s="19" t="inlineStr">
        <is>
          <t>ES 5</t>
        </is>
      </c>
      <c r="C18" s="21" t="n">
        <v>100</v>
      </c>
      <c r="D18" s="21" t="n">
        <v>1</v>
      </c>
      <c r="E18" s="21" t="n">
        <v>65</v>
      </c>
      <c r="F18" s="21" t="inlineStr">
        <is>
          <t>Random 4 (33% spread)</t>
        </is>
      </c>
      <c r="G18" s="21" t="n">
        <v>81</v>
      </c>
      <c r="H18" s="23" t="n">
        <v>0.32</v>
      </c>
      <c r="I18" s="24">
        <f>MIN(G18,Inputs!$C$14)</f>
        <v/>
      </c>
      <c r="J18" s="24">
        <f>1+Inputs!$C$15*(MIN(G18,Inputs!$C$14)-1)*H18</f>
        <v/>
      </c>
      <c r="K18" s="24">
        <f>C18/E18</f>
        <v/>
      </c>
      <c r="L18" s="24">
        <f>C18*J18/E18</f>
        <v/>
      </c>
      <c r="M18" s="2" t="n"/>
      <c r="N18" s="2" t="n"/>
    </row>
    <row r="19">
      <c r="A19" s="21" t="n">
        <v>26</v>
      </c>
      <c r="B19" s="19" t="inlineStr">
        <is>
          <t>ES 6</t>
        </is>
      </c>
      <c r="C19" s="21" t="n">
        <v>130</v>
      </c>
      <c r="D19" s="21" t="n">
        <v>1</v>
      </c>
      <c r="E19" s="21" t="n">
        <v>110</v>
      </c>
      <c r="F19" s="21" t="inlineStr">
        <is>
          <t>Plus 1</t>
        </is>
      </c>
      <c r="G19" s="21" t="n">
        <v>5</v>
      </c>
      <c r="H19" s="23" t="n">
        <v>0.5</v>
      </c>
      <c r="I19" s="24">
        <f>MIN(G19,Inputs!$C$14)</f>
        <v/>
      </c>
      <c r="J19" s="24">
        <f>1+Inputs!$C$15*(MIN(G19,Inputs!$C$14)-1)*H19</f>
        <v/>
      </c>
      <c r="K19" s="24">
        <f>C19/E19</f>
        <v/>
      </c>
      <c r="L19" s="24">
        <f>C19*J19/E19</f>
        <v/>
      </c>
      <c r="M19" s="2" t="n"/>
      <c r="N19" s="2" t="n"/>
    </row>
    <row r="20">
      <c r="A20" s="21" t="n">
        <v>31</v>
      </c>
      <c r="B20" s="19" t="inlineStr">
        <is>
          <t>ES 7</t>
        </is>
      </c>
      <c r="C20" s="21" t="n">
        <v>230</v>
      </c>
      <c r="D20" s="21" t="n">
        <v>1</v>
      </c>
      <c r="E20" s="21" t="n">
        <v>200</v>
      </c>
      <c r="F20" s="21" t="inlineStr">
        <is>
          <t>Cross 3</t>
        </is>
      </c>
      <c r="G20" s="21" t="n">
        <v>13</v>
      </c>
      <c r="H20" s="23" t="n">
        <v>0.5</v>
      </c>
      <c r="I20" s="24">
        <f>MIN(G20,Inputs!$C$14)</f>
        <v/>
      </c>
      <c r="J20" s="24">
        <f>1+Inputs!$C$15*(MIN(G20,Inputs!$C$14)-1)*H20</f>
        <v/>
      </c>
      <c r="K20" s="24">
        <f>C20/E20</f>
        <v/>
      </c>
      <c r="L20" s="24">
        <f>C20*J20/E20</f>
        <v/>
      </c>
      <c r="M20" s="2" t="n"/>
      <c r="N20" s="2" t="n"/>
    </row>
    <row r="21">
      <c r="A21" s="21" t="n">
        <v>36</v>
      </c>
      <c r="B21" s="19" t="inlineStr">
        <is>
          <t>ES 8</t>
        </is>
      </c>
      <c r="C21" s="21" t="n">
        <v>280</v>
      </c>
      <c r="D21" s="21" t="n">
        <v>2</v>
      </c>
      <c r="E21" s="21" t="n">
        <v>220</v>
      </c>
      <c r="F21" s="21" t="inlineStr">
        <is>
          <t>Line 3 in front of caster</t>
        </is>
      </c>
      <c r="G21" s="21" t="n">
        <v>3</v>
      </c>
      <c r="H21" s="23" t="n">
        <v>0.25</v>
      </c>
      <c r="I21" s="24">
        <f>MIN(G21,Inputs!$C$14)</f>
        <v/>
      </c>
      <c r="J21" s="24">
        <f>1+Inputs!$C$15*(MIN(G21,Inputs!$C$14)-1)*H21</f>
        <v/>
      </c>
      <c r="K21" s="24">
        <f>C21/E21</f>
        <v/>
      </c>
      <c r="L21" s="24">
        <f>C21*J21/E21</f>
        <v/>
      </c>
      <c r="M21" s="2" t="n"/>
      <c r="N21" s="2" t="n"/>
    </row>
    <row r="22">
      <c r="A22" s="21" t="n">
        <v>41</v>
      </c>
      <c r="B22" s="19" t="inlineStr">
        <is>
          <t>ES 9</t>
        </is>
      </c>
      <c r="C22" s="21" t="n">
        <v>400</v>
      </c>
      <c r="D22" s="21" t="n">
        <v>0.8</v>
      </c>
      <c r="E22" s="21" t="n">
        <v>240</v>
      </c>
      <c r="F22" s="21" t="inlineStr">
        <is>
          <t>Single</t>
        </is>
      </c>
      <c r="G22" s="21" t="n">
        <v>1</v>
      </c>
      <c r="H22" s="23" t="n">
        <v>0</v>
      </c>
      <c r="I22" s="24">
        <f>MIN(G22,Inputs!$C$14)</f>
        <v/>
      </c>
      <c r="J22" s="24">
        <f>1+Inputs!$C$15*(MIN(G22,Inputs!$C$14)-1)*H22</f>
        <v/>
      </c>
      <c r="K22" s="24">
        <f>C22/E22</f>
        <v/>
      </c>
      <c r="L22" s="24">
        <f>C22*J22/E22</f>
        <v/>
      </c>
      <c r="M22" s="2" t="n"/>
      <c r="N22" s="2" t="n"/>
    </row>
    <row r="23">
      <c r="A23" s="21" t="n">
        <v>46</v>
      </c>
      <c r="B23" s="19" t="inlineStr">
        <is>
          <t>ES 10</t>
        </is>
      </c>
      <c r="C23" s="21" t="n">
        <v>500</v>
      </c>
      <c r="D23" s="21" t="n">
        <v>0.8</v>
      </c>
      <c r="E23" s="21" t="n">
        <v>280</v>
      </c>
      <c r="F23" s="21" t="inlineStr">
        <is>
          <t>Single</t>
        </is>
      </c>
      <c r="G23" s="21" t="n">
        <v>1</v>
      </c>
      <c r="H23" s="23" t="n">
        <v>0</v>
      </c>
      <c r="I23" s="24">
        <f>MIN(G23,Inputs!$C$14)</f>
        <v/>
      </c>
      <c r="J23" s="24">
        <f>1+Inputs!$C$15*(MIN(G23,Inputs!$C$14)-1)*H23</f>
        <v/>
      </c>
      <c r="K23" s="24">
        <f>C23/E23</f>
        <v/>
      </c>
      <c r="L23" s="24">
        <f>C23*J23/E23</f>
        <v/>
      </c>
      <c r="M23" s="2" t="n"/>
      <c r="N23" s="2" t="n"/>
    </row>
    <row r="24">
      <c r="A24" s="2" t="n"/>
      <c r="B24" s="2" t="n"/>
      <c r="C24" s="2" t="n"/>
      <c r="D24" s="2" t="n"/>
      <c r="E24" s="2" t="n"/>
      <c r="F24" s="2" t="n"/>
      <c r="G24" s="2" t="n"/>
      <c r="H24" s="2" t="n"/>
      <c r="I24" s="2" t="n"/>
      <c r="J24" s="2" t="n"/>
      <c r="K24" s="2" t="n"/>
      <c r="L24" s="2" t="n"/>
      <c r="M24" s="2" t="n"/>
      <c r="N24" s="2" t="n"/>
    </row>
    <row r="25">
      <c r="A25" s="3" t="inlineStr">
        <is>
          <t>Berserker</t>
        </is>
      </c>
      <c r="B25" s="2" t="n"/>
      <c r="C25" s="2" t="n"/>
      <c r="D25" s="2" t="n"/>
      <c r="E25" s="2" t="n"/>
      <c r="F25" s="2" t="n"/>
      <c r="G25" s="2" t="n"/>
      <c r="H25" s="42" t="inlineStr">
        <is>
          <t>Warrior self buff.</t>
        </is>
      </c>
      <c r="I25" s="2" t="n"/>
      <c r="J25" s="2" t="n"/>
      <c r="K25" s="2" t="n"/>
      <c r="L25" s="2" t="n"/>
      <c r="M25" s="2" t="n"/>
      <c r="N25" s="2" t="n"/>
    </row>
    <row r="26" ht="45" customHeight="1">
      <c r="A26" s="7" t="inlineStr">
        <is>
          <t>Learn lvl</t>
        </is>
      </c>
      <c r="B26" s="7" t="inlineStr">
        <is>
          <t>Tier</t>
        </is>
      </c>
      <c r="C26" s="7" t="inlineStr">
        <is>
          <t>STR</t>
        </is>
      </c>
      <c r="D26" s="7" t="inlineStr">
        <is>
          <t>Haste</t>
        </is>
      </c>
      <c r="E26" s="7" t="inlineStr">
        <is>
          <t>Duration s</t>
        </is>
      </c>
      <c r="F26" s="7" t="inlineStr">
        <is>
          <t>Cooldown s</t>
        </is>
      </c>
      <c r="G26" s="2" t="n"/>
      <c r="H26" s="2" t="n"/>
      <c r="I26" s="2" t="n"/>
      <c r="J26" s="2" t="n"/>
      <c r="K26" s="2" t="n"/>
      <c r="L26" s="2" t="n"/>
      <c r="M26" s="2" t="n"/>
      <c r="N26" s="2" t="n"/>
    </row>
    <row r="27">
      <c r="A27" s="21" t="n">
        <v>25</v>
      </c>
      <c r="B27" s="19" t="inlineStr">
        <is>
          <t>Berserker 1</t>
        </is>
      </c>
      <c r="C27" s="21" t="n">
        <v>50</v>
      </c>
      <c r="D27" s="23" t="n">
        <v>0.1</v>
      </c>
      <c r="E27" s="21" t="n">
        <v>45</v>
      </c>
      <c r="F27" s="21" t="n">
        <v>230</v>
      </c>
      <c r="G27" s="2" t="n"/>
      <c r="H27" s="2" t="n"/>
      <c r="I27" s="2" t="n"/>
      <c r="J27" s="2" t="n"/>
      <c r="K27" s="2" t="n"/>
      <c r="L27" s="2" t="n"/>
      <c r="M27" s="2" t="n"/>
      <c r="N27" s="2" t="n"/>
    </row>
    <row r="28">
      <c r="A28" s="21" t="n">
        <v>35</v>
      </c>
      <c r="B28" s="19" t="inlineStr">
        <is>
          <t>Berserker 2</t>
        </is>
      </c>
      <c r="C28" s="21" t="n">
        <v>100</v>
      </c>
      <c r="D28" s="23" t="n">
        <v>0.2</v>
      </c>
      <c r="E28" s="21" t="n">
        <v>60</v>
      </c>
      <c r="F28" s="21" t="n">
        <v>240</v>
      </c>
      <c r="G28" s="2" t="n"/>
      <c r="H28" s="2" t="n"/>
      <c r="I28" s="2" t="n"/>
      <c r="J28" s="2" t="n"/>
      <c r="K28" s="2" t="n"/>
      <c r="L28" s="2" t="n"/>
      <c r="M28" s="2" t="n"/>
      <c r="N28" s="2" t="n"/>
    </row>
    <row r="29">
      <c r="A29" s="21" t="n">
        <v>45</v>
      </c>
      <c r="B29" s="19" t="inlineStr">
        <is>
          <t>Berserker 3</t>
        </is>
      </c>
      <c r="C29" s="21" t="n">
        <v>200</v>
      </c>
      <c r="D29" s="23" t="n">
        <v>0.3</v>
      </c>
      <c r="E29" s="21" t="n">
        <v>90</v>
      </c>
      <c r="F29" s="21" t="n">
        <v>280</v>
      </c>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3" t="inlineStr">
        <is>
          <t>Chomp</t>
        </is>
      </c>
      <c r="B31" s="2" t="n"/>
      <c r="C31" s="2" t="n"/>
      <c r="D31" s="2" t="n"/>
      <c r="E31" s="2" t="n"/>
      <c r="F31" s="2" t="n"/>
      <c r="G31" s="2" t="n"/>
      <c r="H31" s="2" t="n"/>
      <c r="I31" s="2" t="n"/>
      <c r="J31" s="2" t="n"/>
      <c r="K31" s="2" t="n"/>
      <c r="L31" s="42" t="inlineStr">
        <is>
          <t>Warrior on-attack buff: every swing casts coef * (STR + weapon dmg + level) spell damage per target (proc chance defaults to 100%). Rage cannot be cast over Fury. Savage Fury is a plus centred on the warrior; the centre tile is the caster and is skipped (CanCastSpell), so it hits the 4 orthogonal neighbours. Coverage 50% = mobs surrounding a tank sit on 4 of the 8 neighbouring tiles.</t>
        </is>
      </c>
      <c r="M31" s="2" t="n"/>
      <c r="N31" s="2" t="n"/>
    </row>
    <row r="32" ht="45" customHeight="1">
      <c r="A32" s="7" t="inlineStr">
        <is>
          <t>Learn lvl</t>
        </is>
      </c>
      <c r="B32" s="7" t="inlineStr">
        <is>
          <t>Tier</t>
        </is>
      </c>
      <c r="C32" s="7" t="inlineStr">
        <is>
          <t>Coefficient</t>
        </is>
      </c>
      <c r="D32" s="7" t="inlineStr">
        <is>
          <t>Duration s</t>
        </is>
      </c>
      <c r="E32" s="7" t="inlineStr">
        <is>
          <t>Cooldown s</t>
        </is>
      </c>
      <c r="F32" s="7" t="inlineStr">
        <is>
          <t>Shape</t>
        </is>
      </c>
      <c r="G32" s="7" t="inlineStr">
        <is>
          <t>Tiles hit</t>
        </is>
      </c>
      <c r="H32" s="7" t="inlineStr">
        <is>
          <t>Pack coverage</t>
        </is>
      </c>
      <c r="I32" s="7" t="inlineStr">
        <is>
          <t>Max targets</t>
        </is>
      </c>
      <c r="J32" s="7" t="inlineStr">
        <is>
          <t>Expected targets</t>
        </is>
      </c>
      <c r="K32" s="2" t="n"/>
      <c r="L32" s="2" t="n"/>
      <c r="M32" s="2" t="n"/>
      <c r="N32" s="2" t="n"/>
    </row>
    <row r="33">
      <c r="A33" s="21" t="n">
        <v>5</v>
      </c>
      <c r="B33" s="19" t="inlineStr">
        <is>
          <t>Rampant Rage</t>
        </is>
      </c>
      <c r="C33" s="21" t="n">
        <v>1</v>
      </c>
      <c r="D33" s="21" t="n">
        <v>60</v>
      </c>
      <c r="E33" s="21" t="n">
        <v>140</v>
      </c>
      <c r="F33" s="21" t="inlineStr">
        <is>
          <t>Line 1 in front of warrior</t>
        </is>
      </c>
      <c r="G33" s="21" t="n">
        <v>1</v>
      </c>
      <c r="H33" s="23" t="n">
        <v>0</v>
      </c>
      <c r="I33" s="24">
        <f>MIN(G33,Inputs!$C$14)</f>
        <v/>
      </c>
      <c r="J33" s="24">
        <f>1+Inputs!$C$15*(MIN(G33,Inputs!$C$14)-1)*H33</f>
        <v/>
      </c>
      <c r="K33" s="2" t="n"/>
      <c r="L33" s="2" t="n"/>
      <c r="M33" s="2" t="n"/>
      <c r="N33" s="2" t="n"/>
    </row>
    <row r="34">
      <c r="A34" s="21" t="n">
        <v>48</v>
      </c>
      <c r="B34" s="19" t="inlineStr">
        <is>
          <t>Savage Fury</t>
        </is>
      </c>
      <c r="C34" s="21" t="n">
        <v>2</v>
      </c>
      <c r="D34" s="21" t="n">
        <v>30</v>
      </c>
      <c r="E34" s="21" t="n">
        <v>200</v>
      </c>
      <c r="F34" s="21" t="inlineStr">
        <is>
          <t>Plus 1 around warrior</t>
        </is>
      </c>
      <c r="G34" s="21" t="n">
        <v>4</v>
      </c>
      <c r="H34" s="23" t="n">
        <v>0.5</v>
      </c>
      <c r="I34" s="24">
        <f>MIN(G34,Inputs!$C$14)</f>
        <v/>
      </c>
      <c r="J34" s="24">
        <f>1+Inputs!$C$15*(MIN(G34,Inputs!$C$14)-1)*H34</f>
        <v/>
      </c>
      <c r="K34" s="2" t="n"/>
      <c r="L34" s="2" t="n"/>
      <c r="M34" s="2" t="n"/>
      <c r="N34" s="2" t="n"/>
    </row>
    <row r="35">
      <c r="A35" s="2" t="n"/>
      <c r="B35" s="2" t="n"/>
      <c r="C35" s="2" t="n"/>
      <c r="D35" s="2" t="n"/>
      <c r="E35" s="2" t="n"/>
      <c r="F35" s="2" t="n"/>
      <c r="G35" s="2" t="n"/>
      <c r="H35" s="2" t="n"/>
      <c r="I35" s="2" t="n"/>
      <c r="J35" s="2" t="n"/>
      <c r="K35" s="2" t="n"/>
      <c r="L35" s="2" t="n"/>
      <c r="M35" s="2" t="n"/>
      <c r="N35" s="2" t="n"/>
    </row>
    <row r="36">
      <c r="A36" s="3" t="inlineStr">
        <is>
          <t>Nimble</t>
        </is>
      </c>
      <c r="B36" s="2" t="n"/>
      <c r="C36" s="2" t="n"/>
      <c r="D36" s="2" t="n"/>
      <c r="E36" s="2" t="n"/>
      <c r="F36" s="2" t="n"/>
      <c r="G36" s="2" t="n"/>
      <c r="H36" s="42" t="inlineStr">
        <is>
          <t>Rogue self buff. DEX only adds dodge (DEX/10000), so only haste is modelled.</t>
        </is>
      </c>
      <c r="I36" s="2" t="n"/>
      <c r="J36" s="2" t="n"/>
      <c r="K36" s="2" t="n"/>
      <c r="L36" s="2" t="n"/>
      <c r="M36" s="2" t="n"/>
      <c r="N36" s="2" t="n"/>
    </row>
    <row r="37" ht="45" customHeight="1">
      <c r="A37" s="7" t="inlineStr">
        <is>
          <t>Learn lvl</t>
        </is>
      </c>
      <c r="B37" s="7" t="inlineStr">
        <is>
          <t>Tier</t>
        </is>
      </c>
      <c r="C37" s="7" t="inlineStr">
        <is>
          <t>DEX</t>
        </is>
      </c>
      <c r="D37" s="7" t="inlineStr">
        <is>
          <t>Haste</t>
        </is>
      </c>
      <c r="E37" s="7" t="inlineStr">
        <is>
          <t>Duration s</t>
        </is>
      </c>
      <c r="F37" s="7" t="inlineStr">
        <is>
          <t>Cooldown s</t>
        </is>
      </c>
      <c r="G37" s="2" t="n"/>
      <c r="H37" s="2" t="n"/>
      <c r="I37" s="2" t="n"/>
      <c r="J37" s="2" t="n"/>
      <c r="K37" s="2" t="n"/>
      <c r="L37" s="2" t="n"/>
      <c r="M37" s="2" t="n"/>
      <c r="N37" s="2" t="n"/>
    </row>
    <row r="38">
      <c r="A38" s="21" t="n">
        <v>19</v>
      </c>
      <c r="B38" s="19" t="inlineStr">
        <is>
          <t>Nimble 1</t>
        </is>
      </c>
      <c r="C38" s="21" t="n">
        <v>50</v>
      </c>
      <c r="D38" s="23" t="n">
        <v>0.1</v>
      </c>
      <c r="E38" s="21" t="n">
        <v>60</v>
      </c>
      <c r="F38" s="21" t="n">
        <v>90</v>
      </c>
      <c r="G38" s="2" t="n"/>
      <c r="H38" s="2" t="n"/>
      <c r="I38" s="2" t="n"/>
      <c r="J38" s="2" t="n"/>
      <c r="K38" s="2" t="n"/>
      <c r="L38" s="2" t="n"/>
      <c r="M38" s="2" t="n"/>
      <c r="N38" s="2" t="n"/>
    </row>
    <row r="39">
      <c r="A39" s="21" t="n">
        <v>29</v>
      </c>
      <c r="B39" s="19" t="inlineStr">
        <is>
          <t>Nimble 2</t>
        </is>
      </c>
      <c r="C39" s="21" t="n">
        <v>75</v>
      </c>
      <c r="D39" s="23" t="n">
        <v>0.2</v>
      </c>
      <c r="E39" s="21" t="n">
        <v>60</v>
      </c>
      <c r="F39" s="21" t="n">
        <v>90</v>
      </c>
      <c r="G39" s="2" t="n"/>
      <c r="H39" s="2" t="n"/>
      <c r="I39" s="2" t="n"/>
      <c r="J39" s="2" t="n"/>
      <c r="K39" s="2" t="n"/>
      <c r="L39" s="2" t="n"/>
      <c r="M39" s="2" t="n"/>
      <c r="N39" s="2" t="n"/>
    </row>
    <row r="40">
      <c r="A40" s="21" t="n">
        <v>39</v>
      </c>
      <c r="B40" s="19" t="inlineStr">
        <is>
          <t>Nimble 3</t>
        </is>
      </c>
      <c r="C40" s="21" t="n">
        <v>100</v>
      </c>
      <c r="D40" s="23" t="n">
        <v>0.3</v>
      </c>
      <c r="E40" s="21" t="n">
        <v>60</v>
      </c>
      <c r="F40" s="21" t="n">
        <v>90</v>
      </c>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3" t="inlineStr">
        <is>
          <t>Poison</t>
        </is>
      </c>
      <c r="B42" s="2" t="n"/>
      <c r="C42" s="2" t="n"/>
      <c r="D42" s="2" t="n"/>
      <c r="E42" s="2" t="n"/>
      <c r="F42" s="2" t="n"/>
      <c r="G42" s="42" t="inlineStr">
        <is>
          <t>Rogue on-attack buff applying a damage-over-time bubble; modelled as one bubble always ticking while the buff is up.</t>
        </is>
      </c>
      <c r="H42" s="2" t="n"/>
      <c r="I42" s="2" t="n"/>
      <c r="J42" s="2" t="n"/>
      <c r="K42" s="2" t="n"/>
      <c r="L42" s="2" t="n"/>
      <c r="M42" s="2" t="n"/>
      <c r="N42" s="2" t="n"/>
    </row>
    <row r="43" ht="45" customHeight="1">
      <c r="A43" s="7" t="inlineStr">
        <is>
          <t>Learn lvl</t>
        </is>
      </c>
      <c r="B43" s="7" t="inlineStr">
        <is>
          <t>Tier</t>
        </is>
      </c>
      <c r="C43" s="7" t="inlineStr">
        <is>
          <t>Tick dmg</t>
        </is>
      </c>
      <c r="D43" s="7" t="inlineStr">
        <is>
          <t>Duration s</t>
        </is>
      </c>
      <c r="E43" s="7" t="inlineStr">
        <is>
          <t>Cooldown s</t>
        </is>
      </c>
      <c r="F43" s="2" t="n"/>
      <c r="G43" s="2" t="n"/>
      <c r="H43" s="2" t="n"/>
      <c r="I43" s="2" t="n"/>
      <c r="J43" s="2" t="n"/>
      <c r="K43" s="2" t="n"/>
      <c r="L43" s="2" t="n"/>
      <c r="M43" s="2" t="n"/>
      <c r="N43" s="2" t="n"/>
    </row>
    <row r="44">
      <c r="A44" s="21" t="n">
        <v>11</v>
      </c>
      <c r="B44" s="19" t="inlineStr">
        <is>
          <t>Poison Weapon 1</t>
        </is>
      </c>
      <c r="C44" s="21" t="n">
        <v>25</v>
      </c>
      <c r="D44" s="21" t="n">
        <v>60</v>
      </c>
      <c r="E44" s="21" t="n">
        <v>120</v>
      </c>
      <c r="F44" s="2" t="n"/>
      <c r="G44" s="2" t="n"/>
      <c r="H44" s="2" t="n"/>
      <c r="I44" s="2" t="n"/>
      <c r="J44" s="2" t="n"/>
      <c r="K44" s="2" t="n"/>
      <c r="L44" s="2" t="n"/>
      <c r="M44" s="2" t="n"/>
      <c r="N44" s="2" t="n"/>
    </row>
    <row r="45">
      <c r="A45" s="21" t="n">
        <v>31</v>
      </c>
      <c r="B45" s="19" t="inlineStr">
        <is>
          <t>Poison Weapon 2</t>
        </is>
      </c>
      <c r="C45" s="21" t="n">
        <v>50</v>
      </c>
      <c r="D45" s="21" t="n">
        <v>60</v>
      </c>
      <c r="E45" s="21" t="n">
        <v>120</v>
      </c>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3" t="inlineStr">
        <is>
          <t>Strength</t>
        </is>
      </c>
      <c r="B47" s="2" t="n"/>
      <c r="C47" s="2" t="n"/>
      <c r="D47" s="2" t="n"/>
      <c r="E47" s="42" t="inlineStr">
        <is>
          <t>Priest buff, 600s duration. Min-level-effected rules on the effect are ignored.</t>
        </is>
      </c>
      <c r="F47" s="2" t="n"/>
      <c r="G47" s="2" t="n"/>
      <c r="H47" s="2" t="n"/>
      <c r="I47" s="2" t="n"/>
      <c r="J47" s="2" t="n"/>
      <c r="K47" s="2" t="n"/>
      <c r="L47" s="2" t="n"/>
      <c r="M47" s="2" t="n"/>
      <c r="N47" s="2" t="n"/>
    </row>
    <row r="48" ht="45" customHeight="1">
      <c r="A48" s="7" t="inlineStr">
        <is>
          <t>Learn lvl</t>
        </is>
      </c>
      <c r="B48" s="7" t="inlineStr">
        <is>
          <t>Tier</t>
        </is>
      </c>
      <c r="C48" s="7" t="inlineStr">
        <is>
          <t>STR</t>
        </is>
      </c>
      <c r="D48" s="2" t="n"/>
      <c r="E48" s="2" t="n"/>
      <c r="F48" s="2" t="n"/>
      <c r="G48" s="2" t="n"/>
      <c r="H48" s="2" t="n"/>
      <c r="I48" s="2" t="n"/>
      <c r="J48" s="2" t="n"/>
      <c r="K48" s="2" t="n"/>
      <c r="L48" s="2" t="n"/>
      <c r="M48" s="2" t="n"/>
      <c r="N48" s="2" t="n"/>
    </row>
    <row r="49">
      <c r="A49" s="21" t="n">
        <v>9</v>
      </c>
      <c r="B49" s="19" t="inlineStr">
        <is>
          <t>Strength 1</t>
        </is>
      </c>
      <c r="C49" s="21" t="n">
        <v>10</v>
      </c>
      <c r="D49" s="2" t="n"/>
      <c r="E49" s="2" t="n"/>
      <c r="F49" s="2" t="n"/>
      <c r="G49" s="2" t="n"/>
      <c r="H49" s="2" t="n"/>
      <c r="I49" s="2" t="n"/>
      <c r="J49" s="2" t="n"/>
      <c r="K49" s="2" t="n"/>
      <c r="L49" s="2" t="n"/>
      <c r="M49" s="2" t="n"/>
      <c r="N49" s="2" t="n"/>
    </row>
    <row r="50">
      <c r="A50" s="21" t="n">
        <v>19</v>
      </c>
      <c r="B50" s="19" t="inlineStr">
        <is>
          <t>Strength 2</t>
        </is>
      </c>
      <c r="C50" s="21" t="n">
        <v>20</v>
      </c>
      <c r="D50" s="2" t="n"/>
      <c r="E50" s="2" t="n"/>
      <c r="F50" s="2" t="n"/>
      <c r="G50" s="2" t="n"/>
      <c r="H50" s="2" t="n"/>
      <c r="I50" s="2" t="n"/>
      <c r="J50" s="2" t="n"/>
      <c r="K50" s="2" t="n"/>
      <c r="L50" s="2" t="n"/>
      <c r="M50" s="2" t="n"/>
      <c r="N50" s="2" t="n"/>
    </row>
    <row r="51">
      <c r="A51" s="21" t="n">
        <v>29</v>
      </c>
      <c r="B51" s="19" t="inlineStr">
        <is>
          <t>Strength 3</t>
        </is>
      </c>
      <c r="C51" s="21" t="n">
        <v>30</v>
      </c>
      <c r="D51" s="2" t="n"/>
      <c r="E51" s="2" t="n"/>
      <c r="F51" s="2" t="n"/>
      <c r="G51" s="2" t="n"/>
      <c r="H51" s="2" t="n"/>
      <c r="I51" s="2" t="n"/>
      <c r="J51" s="2" t="n"/>
      <c r="K51" s="2" t="n"/>
      <c r="L51" s="2" t="n"/>
      <c r="M51" s="2" t="n"/>
      <c r="N51" s="2" t="n"/>
    </row>
    <row r="52">
      <c r="A52" s="21" t="n">
        <v>39</v>
      </c>
      <c r="B52" s="19" t="inlineStr">
        <is>
          <t>Strength 4</t>
        </is>
      </c>
      <c r="C52" s="21" t="n">
        <v>40</v>
      </c>
      <c r="D52" s="2" t="n"/>
      <c r="E52" s="2" t="n"/>
      <c r="F52" s="2" t="n"/>
      <c r="G52" s="2" t="n"/>
      <c r="H52" s="2" t="n"/>
      <c r="I52" s="2" t="n"/>
      <c r="J52" s="2" t="n"/>
      <c r="K52" s="2" t="n"/>
      <c r="L52" s="2" t="n"/>
      <c r="M52" s="2" t="n"/>
      <c r="N52" s="2" t="n"/>
    </row>
    <row r="53">
      <c r="A53" s="21" t="n">
        <v>49</v>
      </c>
      <c r="B53" s="19" t="inlineStr">
        <is>
          <t>Strength 5</t>
        </is>
      </c>
      <c r="C53" s="21" t="n">
        <v>50</v>
      </c>
      <c r="D53" s="2" t="n"/>
      <c r="E53" s="2" t="n"/>
      <c r="F53" s="2" t="n"/>
      <c r="G53" s="2" t="n"/>
      <c r="H53" s="2" t="n"/>
      <c r="I53" s="2" t="n"/>
      <c r="J53" s="2" t="n"/>
      <c r="K53" s="2" t="n"/>
      <c r="L53" s="2" t="n"/>
      <c r="M53" s="2" t="n"/>
      <c r="N53"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4"/>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24" customWidth="1" min="14" max="14"/>
  </cols>
  <sheetData>
    <row r="1">
      <c r="A1" s="1" t="inlineStr">
        <is>
          <t>Spawned monsters, levels 1-49</t>
        </is>
      </c>
      <c r="B1" s="2" t="n"/>
      <c r="C1" s="2" t="n"/>
      <c r="D1" s="2" t="n"/>
      <c r="E1" s="2" t="n"/>
      <c r="F1" s="2" t="n"/>
      <c r="G1" s="2" t="n"/>
      <c r="H1" s="2" t="n"/>
      <c r="I1" s="2" t="n"/>
      <c r="J1" s="2" t="n"/>
      <c r="K1" s="2" t="n"/>
      <c r="L1" s="2" t="n"/>
      <c r="M1" s="2" t="n"/>
      <c r="N1" s="2" t="n"/>
    </row>
    <row r="2">
      <c r="A2" s="42" t="inlineStr">
        <is>
          <t>Source: game data "NPCs", "NPC Spawns", "Class Info" (HP/AC = template + class table row). Level-50 content runs on bought vita and is excluded.</t>
        </is>
      </c>
      <c r="B2" s="2" t="n"/>
      <c r="C2" s="2" t="n"/>
      <c r="D2" s="2" t="n"/>
      <c r="E2" s="2" t="n"/>
      <c r="F2" s="2" t="n"/>
      <c r="G2" s="2" t="n"/>
      <c r="H2" s="2" t="n"/>
      <c r="I2" s="2" t="n"/>
      <c r="J2" s="2" t="n"/>
      <c r="K2" s="2" t="n"/>
      <c r="L2" s="2" t="n"/>
      <c r="M2" s="2" t="n"/>
      <c r="N2" s="2" t="n"/>
    </row>
    <row r="3" ht="45" customHeight="1">
      <c r="A3" s="7" t="inlineStr">
        <is>
          <t>Name</t>
        </is>
      </c>
      <c r="B3" s="7" t="inlineStr">
        <is>
          <t>Level</t>
        </is>
      </c>
      <c r="C3" s="7" t="inlineStr">
        <is>
          <t>HP</t>
        </is>
      </c>
      <c r="D3" s="7" t="inlineStr">
        <is>
          <t>AC</t>
        </is>
      </c>
      <c r="E3" s="7" t="inlineStr">
        <is>
          <t>Class id</t>
        </is>
      </c>
      <c r="F3" s="7" t="inlineStr">
        <is>
          <t>AC mult</t>
        </is>
      </c>
      <c r="G3" s="7" t="inlineStr">
        <is>
          <t>Effective AC</t>
        </is>
      </c>
      <c r="H3" s="7" t="inlineStr">
        <is>
          <t>Base hit (STR+wdmg+lvl)</t>
        </is>
      </c>
      <c r="I3" s="7" t="inlineStr">
        <is>
          <t>Attack interval s</t>
        </is>
      </c>
      <c r="J3" s="7" t="inlineStr">
        <is>
          <t>Exp</t>
        </is>
      </c>
      <c r="K3" s="7" t="inlineStr">
        <is>
          <t>Spawns</t>
        </is>
      </c>
      <c r="L3" s="7" t="inlineStr">
        <is>
          <t>Respawn s</t>
        </is>
      </c>
      <c r="M3" s="7" t="inlineStr">
        <is>
          <t>Trash?</t>
        </is>
      </c>
      <c r="N3" s="7" t="inlineStr">
        <is>
          <t>Main map</t>
        </is>
      </c>
    </row>
    <row r="4">
      <c r="A4" s="21" t="inlineStr">
        <is>
          <t>Mouse</t>
        </is>
      </c>
      <c r="B4" s="21" t="n">
        <v>1</v>
      </c>
      <c r="C4" s="21" t="n">
        <v>30</v>
      </c>
      <c r="D4" s="21" t="n">
        <v>0</v>
      </c>
      <c r="E4" s="21" t="n">
        <v>4</v>
      </c>
      <c r="F4" s="25">
        <f>IFERROR(INDEX('Class Table'!$O$4:$O$9,MATCH(E4,'Class Table'!$N$4:$N$9,0)),1)</f>
        <v/>
      </c>
      <c r="G4" s="19">
        <f>D4*F4</f>
        <v/>
      </c>
      <c r="H4" s="21" t="n">
        <v>5</v>
      </c>
      <c r="I4" s="21" t="n">
        <v>1.5</v>
      </c>
      <c r="J4" s="21" t="n">
        <v>20</v>
      </c>
      <c r="K4" s="21" t="n">
        <v>28</v>
      </c>
      <c r="L4" s="21" t="n">
        <v>40</v>
      </c>
      <c r="M4" s="25">
        <f>IF(AND(L4&lt;=Inputs!$C$9,K4&gt;=Inputs!$C$10),1,0)</f>
        <v/>
      </c>
      <c r="N4" s="21" t="inlineStr">
        <is>
          <t>Minita</t>
        </is>
      </c>
    </row>
    <row r="5">
      <c r="A5" s="21" t="inlineStr">
        <is>
          <t>Lamb</t>
        </is>
      </c>
      <c r="B5" s="21" t="n">
        <v>2</v>
      </c>
      <c r="C5" s="21" t="n">
        <v>36</v>
      </c>
      <c r="D5" s="21" t="n">
        <v>0</v>
      </c>
      <c r="E5" s="21" t="n">
        <v>4</v>
      </c>
      <c r="F5" s="25">
        <f>IFERROR(INDEX('Class Table'!$O$4:$O$9,MATCH(E5,'Class Table'!$N$4:$N$9,0)),1)</f>
        <v/>
      </c>
      <c r="G5" s="19">
        <f>D5*F5</f>
        <v/>
      </c>
      <c r="H5" s="21" t="n">
        <v>8</v>
      </c>
      <c r="I5" s="21" t="n">
        <v>1.5</v>
      </c>
      <c r="J5" s="21" t="n">
        <v>40</v>
      </c>
      <c r="K5" s="21" t="n">
        <v>27</v>
      </c>
      <c r="L5" s="21" t="n">
        <v>40</v>
      </c>
      <c r="M5" s="25">
        <f>IF(AND(L5&lt;=Inputs!$C$9,K5&gt;=Inputs!$C$10),1,0)</f>
        <v/>
      </c>
      <c r="N5" s="21" t="inlineStr">
        <is>
          <t>Minita</t>
        </is>
      </c>
    </row>
    <row r="6">
      <c r="A6" s="21" t="inlineStr">
        <is>
          <t>Fluffy Little Bunny</t>
        </is>
      </c>
      <c r="B6" s="21" t="n">
        <v>4</v>
      </c>
      <c r="C6" s="21" t="n">
        <v>57</v>
      </c>
      <c r="D6" s="21" t="n">
        <v>0</v>
      </c>
      <c r="E6" s="21" t="n">
        <v>4</v>
      </c>
      <c r="F6" s="25">
        <f>IFERROR(INDEX('Class Table'!$O$4:$O$9,MATCH(E6,'Class Table'!$N$4:$N$9,0)),1)</f>
        <v/>
      </c>
      <c r="G6" s="19">
        <f>D6*F6</f>
        <v/>
      </c>
      <c r="H6" s="21" t="n">
        <v>13</v>
      </c>
      <c r="I6" s="21" t="n">
        <v>1.4</v>
      </c>
      <c r="J6" s="21" t="n">
        <v>104</v>
      </c>
      <c r="K6" s="21" t="n">
        <v>33</v>
      </c>
      <c r="L6" s="21" t="n">
        <v>30</v>
      </c>
      <c r="M6" s="25">
        <f>IF(AND(L6&lt;=Inputs!$C$9,K6&gt;=Inputs!$C$10),1,0)</f>
        <v/>
      </c>
      <c r="N6" s="21" t="inlineStr">
        <is>
          <t>Arctic Lands</t>
        </is>
      </c>
    </row>
    <row r="7">
      <c r="A7" s="21" t="inlineStr">
        <is>
          <t>The Big Cheese</t>
        </is>
      </c>
      <c r="B7" s="21" t="n">
        <v>5</v>
      </c>
      <c r="C7" s="21" t="n">
        <v>286</v>
      </c>
      <c r="D7" s="21" t="n">
        <v>0</v>
      </c>
      <c r="E7" s="21" t="n">
        <v>2</v>
      </c>
      <c r="F7" s="25">
        <f>IFERROR(INDEX('Class Table'!$O$4:$O$9,MATCH(E7,'Class Table'!$N$4:$N$9,0)),1)</f>
        <v/>
      </c>
      <c r="G7" s="19">
        <f>D7*F7</f>
        <v/>
      </c>
      <c r="H7" s="21" t="n">
        <v>25</v>
      </c>
      <c r="I7" s="21" t="n">
        <v>1</v>
      </c>
      <c r="J7" s="21" t="n">
        <v>180</v>
      </c>
      <c r="K7" s="21" t="n">
        <v>1</v>
      </c>
      <c r="L7" s="21" t="n">
        <v>1800</v>
      </c>
      <c r="M7" s="25">
        <f>IF(AND(L7&lt;=Inputs!$C$9,K7&gt;=Inputs!$C$10),1,0)</f>
        <v/>
      </c>
      <c r="N7" s="21" t="inlineStr">
        <is>
          <t>Minita</t>
        </is>
      </c>
    </row>
    <row r="8">
      <c r="A8" s="21" t="inlineStr">
        <is>
          <t>Asp</t>
        </is>
      </c>
      <c r="B8" s="21" t="n">
        <v>6</v>
      </c>
      <c r="C8" s="21" t="n">
        <v>110</v>
      </c>
      <c r="D8" s="21" t="n">
        <v>0</v>
      </c>
      <c r="E8" s="21" t="n">
        <v>2</v>
      </c>
      <c r="F8" s="25">
        <f>IFERROR(INDEX('Class Table'!$O$4:$O$9,MATCH(E8,'Class Table'!$N$4:$N$9,0)),1)</f>
        <v/>
      </c>
      <c r="G8" s="19">
        <f>D8*F8</f>
        <v/>
      </c>
      <c r="H8" s="21" t="n">
        <v>19</v>
      </c>
      <c r="I8" s="21" t="n">
        <v>1.4</v>
      </c>
      <c r="J8" s="21" t="n">
        <v>124</v>
      </c>
      <c r="K8" s="21" t="n">
        <v>57</v>
      </c>
      <c r="L8" s="21" t="n">
        <v>30</v>
      </c>
      <c r="M8" s="25">
        <f>IF(AND(L8&lt;=Inputs!$C$9,K8&gt;=Inputs!$C$10),1,0)</f>
        <v/>
      </c>
      <c r="N8" s="21" t="inlineStr">
        <is>
          <t>Roadkill Woods</t>
        </is>
      </c>
    </row>
    <row r="9">
      <c r="A9" s="21" t="inlineStr">
        <is>
          <t>Black Sheep</t>
        </is>
      </c>
      <c r="B9" s="21" t="n">
        <v>7</v>
      </c>
      <c r="C9" s="21" t="n">
        <v>442</v>
      </c>
      <c r="D9" s="21" t="n">
        <v>70</v>
      </c>
      <c r="E9" s="21" t="n">
        <v>3</v>
      </c>
      <c r="F9" s="25">
        <f>IFERROR(INDEX('Class Table'!$O$4:$O$9,MATCH(E9,'Class Table'!$N$4:$N$9,0)),1)</f>
        <v/>
      </c>
      <c r="G9" s="19">
        <f>D9*F9</f>
        <v/>
      </c>
      <c r="H9" s="21" t="n">
        <v>32</v>
      </c>
      <c r="I9" s="21" t="n">
        <v>1</v>
      </c>
      <c r="J9" s="21" t="n">
        <v>220</v>
      </c>
      <c r="K9" s="21" t="n">
        <v>1</v>
      </c>
      <c r="L9" s="21" t="n">
        <v>1800</v>
      </c>
      <c r="M9" s="25">
        <f>IF(AND(L9&lt;=Inputs!$C$9,K9&gt;=Inputs!$C$10),1,0)</f>
        <v/>
      </c>
      <c r="N9" s="21" t="inlineStr">
        <is>
          <t>Minita</t>
        </is>
      </c>
    </row>
    <row r="10">
      <c r="A10" s="21" t="inlineStr">
        <is>
          <t>Coilfang</t>
        </is>
      </c>
      <c r="B10" s="21" t="n">
        <v>8</v>
      </c>
      <c r="C10" s="21" t="n">
        <v>445</v>
      </c>
      <c r="D10" s="21" t="n">
        <v>0</v>
      </c>
      <c r="E10" s="21" t="n">
        <v>2</v>
      </c>
      <c r="F10" s="25">
        <f>IFERROR(INDEX('Class Table'!$O$4:$O$9,MATCH(E10,'Class Table'!$N$4:$N$9,0)),1)</f>
        <v/>
      </c>
      <c r="G10" s="19">
        <f>D10*F10</f>
        <v/>
      </c>
      <c r="H10" s="21" t="n">
        <v>32</v>
      </c>
      <c r="I10" s="21" t="n">
        <v>1</v>
      </c>
      <c r="J10" s="21" t="n">
        <v>230</v>
      </c>
      <c r="K10" s="21" t="n">
        <v>1</v>
      </c>
      <c r="L10" s="21" t="n">
        <v>1800</v>
      </c>
      <c r="M10" s="25">
        <f>IF(AND(L10&lt;=Inputs!$C$9,K10&gt;=Inputs!$C$10),1,0)</f>
        <v/>
      </c>
      <c r="N10" s="21" t="inlineStr">
        <is>
          <t>Roadkill Woods</t>
        </is>
      </c>
    </row>
    <row r="11">
      <c r="A11" s="21" t="inlineStr">
        <is>
          <t>Rabid Rabbit</t>
        </is>
      </c>
      <c r="B11" s="21" t="n">
        <v>8</v>
      </c>
      <c r="C11" s="21" t="n">
        <v>135</v>
      </c>
      <c r="D11" s="21" t="n">
        <v>0</v>
      </c>
      <c r="E11" s="21" t="n">
        <v>4</v>
      </c>
      <c r="F11" s="25">
        <f>IFERROR(INDEX('Class Table'!$O$4:$O$9,MATCH(E11,'Class Table'!$N$4:$N$9,0)),1)</f>
        <v/>
      </c>
      <c r="G11" s="19">
        <f>D11*F11</f>
        <v/>
      </c>
      <c r="H11" s="21" t="n">
        <v>26</v>
      </c>
      <c r="I11" s="21" t="n">
        <v>1.4</v>
      </c>
      <c r="J11" s="21" t="n">
        <v>186</v>
      </c>
      <c r="K11" s="21" t="n">
        <v>59</v>
      </c>
      <c r="L11" s="21" t="n">
        <v>30</v>
      </c>
      <c r="M11" s="25">
        <f>IF(AND(L11&lt;=Inputs!$C$9,K11&gt;=Inputs!$C$10),1,0)</f>
        <v/>
      </c>
      <c r="N11" s="21" t="inlineStr">
        <is>
          <t>Arctic Lands</t>
        </is>
      </c>
    </row>
    <row r="12">
      <c r="A12" s="21" t="inlineStr">
        <is>
          <t>Cottontail</t>
        </is>
      </c>
      <c r="B12" s="21" t="n">
        <v>9</v>
      </c>
      <c r="C12" s="21" t="n">
        <v>206</v>
      </c>
      <c r="D12" s="21" t="n">
        <v>0</v>
      </c>
      <c r="E12" s="21" t="n">
        <v>2</v>
      </c>
      <c r="F12" s="25">
        <f>IFERROR(INDEX('Class Table'!$O$4:$O$9,MATCH(E12,'Class Table'!$N$4:$N$9,0)),1)</f>
        <v/>
      </c>
      <c r="G12" s="19">
        <f>D12*F12</f>
        <v/>
      </c>
      <c r="H12" s="21" t="n">
        <v>37</v>
      </c>
      <c r="I12" s="21" t="n">
        <v>1.5</v>
      </c>
      <c r="J12" s="21" t="n">
        <v>250</v>
      </c>
      <c r="K12" s="21" t="n">
        <v>4</v>
      </c>
      <c r="L12" s="21" t="n">
        <v>1800</v>
      </c>
      <c r="M12" s="25">
        <f>IF(AND(L12&lt;=Inputs!$C$9,K12&gt;=Inputs!$C$10),1,0)</f>
        <v/>
      </c>
      <c r="N12" s="21" t="inlineStr">
        <is>
          <t>Arctic Lands</t>
        </is>
      </c>
    </row>
    <row r="13">
      <c r="A13" s="21" t="inlineStr">
        <is>
          <t>Bat</t>
        </is>
      </c>
      <c r="B13" s="21" t="n">
        <v>12</v>
      </c>
      <c r="C13" s="21" t="n">
        <v>338</v>
      </c>
      <c r="D13" s="21" t="n">
        <v>0</v>
      </c>
      <c r="E13" s="21" t="n">
        <v>2</v>
      </c>
      <c r="F13" s="25">
        <f>IFERROR(INDEX('Class Table'!$O$4:$O$9,MATCH(E13,'Class Table'!$N$4:$N$9,0)),1)</f>
        <v/>
      </c>
      <c r="G13" s="19">
        <f>D13*F13</f>
        <v/>
      </c>
      <c r="H13" s="21" t="n">
        <v>50</v>
      </c>
      <c r="I13" s="21" t="n">
        <v>1.4</v>
      </c>
      <c r="J13" s="21" t="n">
        <v>266</v>
      </c>
      <c r="K13" s="21" t="n">
        <v>30</v>
      </c>
      <c r="L13" s="21" t="n">
        <v>30</v>
      </c>
      <c r="M13" s="25">
        <f>IF(AND(L13&lt;=Inputs!$C$9,K13&gt;=Inputs!$C$10),1,0)</f>
        <v/>
      </c>
      <c r="N13" s="21" t="inlineStr">
        <is>
          <t>Its the Bat Cave Robin</t>
        </is>
      </c>
    </row>
    <row r="14">
      <c r="A14" s="21" t="inlineStr">
        <is>
          <t>Green Slime</t>
        </is>
      </c>
      <c r="B14" s="21" t="n">
        <v>12</v>
      </c>
      <c r="C14" s="21" t="n">
        <v>492</v>
      </c>
      <c r="D14" s="21" t="n">
        <v>120</v>
      </c>
      <c r="E14" s="21" t="n">
        <v>3</v>
      </c>
      <c r="F14" s="25">
        <f>IFERROR(INDEX('Class Table'!$O$4:$O$9,MATCH(E14,'Class Table'!$N$4:$N$9,0)),1)</f>
        <v/>
      </c>
      <c r="G14" s="19">
        <f>D14*F14</f>
        <v/>
      </c>
      <c r="H14" s="21" t="n">
        <v>60</v>
      </c>
      <c r="I14" s="21" t="n">
        <v>1.3</v>
      </c>
      <c r="J14" s="21" t="n">
        <v>246</v>
      </c>
      <c r="K14" s="21" t="n">
        <v>10</v>
      </c>
      <c r="L14" s="21" t="n">
        <v>30</v>
      </c>
      <c r="M14" s="25">
        <f>IF(AND(L14&lt;=Inputs!$C$9,K14&gt;=Inputs!$C$10),1,0)</f>
        <v/>
      </c>
      <c r="N14" s="21" t="inlineStr">
        <is>
          <t>Slime Kingdom</t>
        </is>
      </c>
    </row>
    <row r="15">
      <c r="A15" s="21" t="inlineStr">
        <is>
          <t>Lost Wabbit</t>
        </is>
      </c>
      <c r="B15" s="21" t="n">
        <v>12</v>
      </c>
      <c r="C15" s="21" t="n">
        <v>261</v>
      </c>
      <c r="D15" s="21" t="n">
        <v>0</v>
      </c>
      <c r="E15" s="21" t="n">
        <v>4</v>
      </c>
      <c r="F15" s="25">
        <f>IFERROR(INDEX('Class Table'!$O$4:$O$9,MATCH(E15,'Class Table'!$N$4:$N$9,0)),1)</f>
        <v/>
      </c>
      <c r="G15" s="19">
        <f>D15*F15</f>
        <v/>
      </c>
      <c r="H15" s="21" t="n">
        <v>63</v>
      </c>
      <c r="I15" s="21" t="n">
        <v>1.3</v>
      </c>
      <c r="J15" s="21" t="n">
        <v>246</v>
      </c>
      <c r="K15" s="21" t="n">
        <v>114</v>
      </c>
      <c r="L15" s="21" t="n">
        <v>60</v>
      </c>
      <c r="M15" s="25">
        <f>IF(AND(L15&lt;=Inputs!$C$9,K15&gt;=Inputs!$C$10),1,0)</f>
        <v/>
      </c>
      <c r="N15" s="21" t="inlineStr">
        <is>
          <t>Frigid Maze</t>
        </is>
      </c>
    </row>
    <row r="16">
      <c r="A16" s="21" t="inlineStr">
        <is>
          <t>Pipsqueek</t>
        </is>
      </c>
      <c r="B16" s="21" t="n">
        <v>12</v>
      </c>
      <c r="C16" s="21" t="n">
        <v>261</v>
      </c>
      <c r="D16" s="21" t="n">
        <v>0</v>
      </c>
      <c r="E16" s="21" t="n">
        <v>4</v>
      </c>
      <c r="F16" s="25">
        <f>IFERROR(INDEX('Class Table'!$O$4:$O$9,MATCH(E16,'Class Table'!$N$4:$N$9,0)),1)</f>
        <v/>
      </c>
      <c r="G16" s="19">
        <f>D16*F16</f>
        <v/>
      </c>
      <c r="H16" s="21" t="n">
        <v>69</v>
      </c>
      <c r="I16" s="21" t="n">
        <v>1.4</v>
      </c>
      <c r="J16" s="21" t="n">
        <v>246</v>
      </c>
      <c r="K16" s="21" t="n">
        <v>86</v>
      </c>
      <c r="L16" s="21" t="n">
        <v>30</v>
      </c>
      <c r="M16" s="25">
        <f>IF(AND(L16&lt;=Inputs!$C$9,K16&gt;=Inputs!$C$10),1,0)</f>
        <v/>
      </c>
      <c r="N16" s="21" t="inlineStr">
        <is>
          <t>Boondocks</t>
        </is>
      </c>
    </row>
    <row r="17">
      <c r="A17" s="21" t="inlineStr">
        <is>
          <t>Slime</t>
        </is>
      </c>
      <c r="B17" s="21" t="n">
        <v>13</v>
      </c>
      <c r="C17" s="21" t="n">
        <v>570</v>
      </c>
      <c r="D17" s="21" t="n">
        <v>130</v>
      </c>
      <c r="E17" s="21" t="n">
        <v>3</v>
      </c>
      <c r="F17" s="25">
        <f>IFERROR(INDEX('Class Table'!$O$4:$O$9,MATCH(E17,'Class Table'!$N$4:$N$9,0)),1)</f>
        <v/>
      </c>
      <c r="G17" s="19">
        <f>D17*F17</f>
        <v/>
      </c>
      <c r="H17" s="21" t="n">
        <v>67</v>
      </c>
      <c r="I17" s="21" t="n">
        <v>1.3</v>
      </c>
      <c r="J17" s="21" t="n">
        <v>266</v>
      </c>
      <c r="K17" s="21" t="n">
        <v>25</v>
      </c>
      <c r="L17" s="21" t="n">
        <v>30</v>
      </c>
      <c r="M17" s="25">
        <f>IF(AND(L17&lt;=Inputs!$C$9,K17&gt;=Inputs!$C$10),1,0)</f>
        <v/>
      </c>
      <c r="N17" s="21" t="inlineStr">
        <is>
          <t>Slime Kingdom</t>
        </is>
      </c>
    </row>
    <row r="18">
      <c r="A18" s="21" t="inlineStr">
        <is>
          <t>Flying Pipsqueek</t>
        </is>
      </c>
      <c r="B18" s="21" t="n">
        <v>14</v>
      </c>
      <c r="C18" s="21" t="n">
        <v>654</v>
      </c>
      <c r="D18" s="21" t="n">
        <v>140</v>
      </c>
      <c r="E18" s="21" t="n">
        <v>3</v>
      </c>
      <c r="F18" s="25">
        <f>IFERROR(INDEX('Class Table'!$O$4:$O$9,MATCH(E18,'Class Table'!$N$4:$N$9,0)),1)</f>
        <v/>
      </c>
      <c r="G18" s="19">
        <f>D18*F18</f>
        <v/>
      </c>
      <c r="H18" s="21" t="n">
        <v>74</v>
      </c>
      <c r="I18" s="21" t="n">
        <v>1.2</v>
      </c>
      <c r="J18" s="21" t="n">
        <v>400</v>
      </c>
      <c r="K18" s="21" t="n">
        <v>2</v>
      </c>
      <c r="L18" s="21" t="n">
        <v>3600</v>
      </c>
      <c r="M18" s="25">
        <f>IF(AND(L18&lt;=Inputs!$C$9,K18&gt;=Inputs!$C$10),1,0)</f>
        <v/>
      </c>
      <c r="N18" s="21" t="inlineStr">
        <is>
          <t>Boondocks</t>
        </is>
      </c>
    </row>
    <row r="19">
      <c r="A19" s="21" t="inlineStr">
        <is>
          <t>Pink Slime</t>
        </is>
      </c>
      <c r="B19" s="21" t="n">
        <v>14</v>
      </c>
      <c r="C19" s="21" t="n">
        <v>654</v>
      </c>
      <c r="D19" s="21" t="n">
        <v>140</v>
      </c>
      <c r="E19" s="21" t="n">
        <v>3</v>
      </c>
      <c r="F19" s="25">
        <f>IFERROR(INDEX('Class Table'!$O$4:$O$9,MATCH(E19,'Class Table'!$N$4:$N$9,0)),1)</f>
        <v/>
      </c>
      <c r="G19" s="19">
        <f>D19*F19</f>
        <v/>
      </c>
      <c r="H19" s="21" t="n">
        <v>71</v>
      </c>
      <c r="I19" s="21" t="n">
        <v>1.3</v>
      </c>
      <c r="J19" s="21" t="n">
        <v>286</v>
      </c>
      <c r="K19" s="21" t="n">
        <v>23</v>
      </c>
      <c r="L19" s="21" t="n">
        <v>30</v>
      </c>
      <c r="M19" s="25">
        <f>IF(AND(L19&lt;=Inputs!$C$9,K19&gt;=Inputs!$C$10),1,0)</f>
        <v/>
      </c>
      <c r="N19" s="21" t="inlineStr">
        <is>
          <t>Slime Kingdom</t>
        </is>
      </c>
    </row>
    <row r="20">
      <c r="A20" s="21" t="inlineStr">
        <is>
          <t>Roger</t>
        </is>
      </c>
      <c r="B20" s="21" t="n">
        <v>14</v>
      </c>
      <c r="C20" s="21" t="n">
        <v>654</v>
      </c>
      <c r="D20" s="21" t="n">
        <v>140</v>
      </c>
      <c r="E20" s="21" t="n">
        <v>3</v>
      </c>
      <c r="F20" s="25">
        <f>IFERROR(INDEX('Class Table'!$O$4:$O$9,MATCH(E20,'Class Table'!$N$4:$N$9,0)),1)</f>
        <v/>
      </c>
      <c r="G20" s="19">
        <f>D20*F20</f>
        <v/>
      </c>
      <c r="H20" s="21" t="n">
        <v>74</v>
      </c>
      <c r="I20" s="21" t="n">
        <v>1.3</v>
      </c>
      <c r="J20" s="21" t="n">
        <v>356</v>
      </c>
      <c r="K20" s="21" t="n">
        <v>1</v>
      </c>
      <c r="L20" s="21" t="n">
        <v>3600</v>
      </c>
      <c r="M20" s="25">
        <f>IF(AND(L20&lt;=Inputs!$C$9,K20&gt;=Inputs!$C$10),1,0)</f>
        <v/>
      </c>
      <c r="N20" s="21" t="inlineStr">
        <is>
          <t>Frigid Maze</t>
        </is>
      </c>
    </row>
    <row r="21">
      <c r="A21" s="21" t="inlineStr">
        <is>
          <t>Cute Defenseless Stalker</t>
        </is>
      </c>
      <c r="B21" s="21" t="n">
        <v>15</v>
      </c>
      <c r="C21" s="21" t="n">
        <v>506</v>
      </c>
      <c r="D21" s="21" t="n">
        <v>0</v>
      </c>
      <c r="E21" s="21" t="n">
        <v>2</v>
      </c>
      <c r="F21" s="25">
        <f>IFERROR(INDEX('Class Table'!$O$4:$O$9,MATCH(E21,'Class Table'!$N$4:$N$9,0)),1)</f>
        <v/>
      </c>
      <c r="G21" s="19">
        <f>D21*F21</f>
        <v/>
      </c>
      <c r="H21" s="21" t="n">
        <v>73</v>
      </c>
      <c r="I21" s="21" t="n">
        <v>1.3</v>
      </c>
      <c r="J21" s="21" t="n">
        <v>306</v>
      </c>
      <c r="K21" s="21" t="n">
        <v>72</v>
      </c>
      <c r="L21" s="21" t="n">
        <v>60</v>
      </c>
      <c r="M21" s="25">
        <f>IF(AND(L21&lt;=Inputs!$C$9,K21&gt;=Inputs!$C$10),1,0)</f>
        <v/>
      </c>
      <c r="N21" s="21" t="inlineStr">
        <is>
          <t>Frigid Maze</t>
        </is>
      </c>
    </row>
    <row r="22">
      <c r="A22" s="21" t="inlineStr">
        <is>
          <t>Gold Slime</t>
        </is>
      </c>
      <c r="B22" s="21" t="n">
        <v>15</v>
      </c>
      <c r="C22" s="21" t="n">
        <v>744</v>
      </c>
      <c r="D22" s="21" t="n">
        <v>150</v>
      </c>
      <c r="E22" s="21" t="n">
        <v>3</v>
      </c>
      <c r="F22" s="25">
        <f>IFERROR(INDEX('Class Table'!$O$4:$O$9,MATCH(E22,'Class Table'!$N$4:$N$9,0)),1)</f>
        <v/>
      </c>
      <c r="G22" s="19">
        <f>D22*F22</f>
        <v/>
      </c>
      <c r="H22" s="21" t="n">
        <v>78</v>
      </c>
      <c r="I22" s="21" t="n">
        <v>1.3</v>
      </c>
      <c r="J22" s="21" t="n">
        <v>308</v>
      </c>
      <c r="K22" s="21" t="n">
        <v>15</v>
      </c>
      <c r="L22" s="21" t="n">
        <v>30</v>
      </c>
      <c r="M22" s="25">
        <f>IF(AND(L22&lt;=Inputs!$C$9,K22&gt;=Inputs!$C$10),1,0)</f>
        <v/>
      </c>
      <c r="N22" s="21" t="inlineStr">
        <is>
          <t>Slime Kingdom</t>
        </is>
      </c>
    </row>
    <row r="23">
      <c r="A23" s="21" t="inlineStr">
        <is>
          <t>Nightfang</t>
        </is>
      </c>
      <c r="B23" s="21" t="n">
        <v>16</v>
      </c>
      <c r="C23" s="21" t="n">
        <v>1170</v>
      </c>
      <c r="D23" s="21" t="n">
        <v>0</v>
      </c>
      <c r="E23" s="21" t="n">
        <v>2</v>
      </c>
      <c r="F23" s="25">
        <f>IFERROR(INDEX('Class Table'!$O$4:$O$9,MATCH(E23,'Class Table'!$N$4:$N$9,0)),1)</f>
        <v/>
      </c>
      <c r="G23" s="19">
        <f>D23*F23</f>
        <v/>
      </c>
      <c r="H23" s="21" t="n">
        <v>81</v>
      </c>
      <c r="I23" s="21" t="n">
        <v>1</v>
      </c>
      <c r="J23" s="21" t="n">
        <v>400</v>
      </c>
      <c r="K23" s="21" t="n">
        <v>1</v>
      </c>
      <c r="L23" s="21" t="n">
        <v>1800</v>
      </c>
      <c r="M23" s="25">
        <f>IF(AND(L23&lt;=Inputs!$C$9,K23&gt;=Inputs!$C$10),1,0)</f>
        <v/>
      </c>
      <c r="N23" s="21" t="inlineStr">
        <is>
          <t>Its the Bat Cave Robin</t>
        </is>
      </c>
    </row>
    <row r="24">
      <c r="A24" s="21" t="inlineStr">
        <is>
          <t>Red Slime</t>
        </is>
      </c>
      <c r="B24" s="21" t="n">
        <v>16</v>
      </c>
      <c r="C24" s="21" t="n">
        <v>840</v>
      </c>
      <c r="D24" s="21" t="n">
        <v>160</v>
      </c>
      <c r="E24" s="21" t="n">
        <v>3</v>
      </c>
      <c r="F24" s="25">
        <f>IFERROR(INDEX('Class Table'!$O$4:$O$9,MATCH(E24,'Class Table'!$N$4:$N$9,0)),1)</f>
        <v/>
      </c>
      <c r="G24" s="19">
        <f>D24*F24</f>
        <v/>
      </c>
      <c r="H24" s="21" t="n">
        <v>82</v>
      </c>
      <c r="I24" s="21" t="n">
        <v>1.3</v>
      </c>
      <c r="J24" s="21" t="n">
        <v>338</v>
      </c>
      <c r="K24" s="21" t="n">
        <v>14</v>
      </c>
      <c r="L24" s="21" t="n">
        <v>30</v>
      </c>
      <c r="M24" s="25">
        <f>IF(AND(L24&lt;=Inputs!$C$9,K24&gt;=Inputs!$C$10),1,0)</f>
        <v/>
      </c>
      <c r="N24" s="21" t="inlineStr">
        <is>
          <t>Slime Kingdom</t>
        </is>
      </c>
    </row>
    <row r="25">
      <c r="A25" s="21" t="inlineStr">
        <is>
          <t>Leafeater</t>
        </is>
      </c>
      <c r="B25" s="21" t="n">
        <v>17</v>
      </c>
      <c r="C25" s="21" t="n">
        <v>942</v>
      </c>
      <c r="D25" s="21" t="n">
        <v>170</v>
      </c>
      <c r="E25" s="21" t="n">
        <v>3</v>
      </c>
      <c r="F25" s="25">
        <f>IFERROR(INDEX('Class Table'!$O$4:$O$9,MATCH(E25,'Class Table'!$N$4:$N$9,0)),1)</f>
        <v/>
      </c>
      <c r="G25" s="19">
        <f>D25*F25</f>
        <v/>
      </c>
      <c r="H25" s="21" t="n">
        <v>86</v>
      </c>
      <c r="I25" s="21" t="n">
        <v>1.3</v>
      </c>
      <c r="J25" s="21" t="n">
        <v>406</v>
      </c>
      <c r="K25" s="21" t="n">
        <v>1</v>
      </c>
      <c r="L25" s="21" t="n">
        <v>3600</v>
      </c>
      <c r="M25" s="25">
        <f>IF(AND(L25&lt;=Inputs!$C$9,K25&gt;=Inputs!$C$10),1,0)</f>
        <v/>
      </c>
      <c r="N25" s="21" t="inlineStr">
        <is>
          <t>Frigid Maze</t>
        </is>
      </c>
    </row>
    <row r="26">
      <c r="A26" s="21" t="inlineStr">
        <is>
          <t>Ram</t>
        </is>
      </c>
      <c r="B26" s="21" t="n">
        <v>18</v>
      </c>
      <c r="C26" s="21" t="n">
        <v>710</v>
      </c>
      <c r="D26" s="21" t="n">
        <v>0</v>
      </c>
      <c r="E26" s="21" t="n">
        <v>2</v>
      </c>
      <c r="F26" s="25">
        <f>IFERROR(INDEX('Class Table'!$O$4:$O$9,MATCH(E26,'Class Table'!$N$4:$N$9,0)),1)</f>
        <v/>
      </c>
      <c r="G26" s="19">
        <f>D26*F26</f>
        <v/>
      </c>
      <c r="H26" s="21" t="n">
        <v>90</v>
      </c>
      <c r="I26" s="21" t="n">
        <v>1.5</v>
      </c>
      <c r="J26" s="21" t="n">
        <v>368</v>
      </c>
      <c r="K26" s="21" t="n">
        <v>32</v>
      </c>
      <c r="L26" s="21" t="n">
        <v>30</v>
      </c>
      <c r="M26" s="25">
        <f>IF(AND(L26&lt;=Inputs!$C$9,K26&gt;=Inputs!$C$10),1,0)</f>
        <v/>
      </c>
      <c r="N26" s="21" t="inlineStr">
        <is>
          <t>Chiisaiyama</t>
        </is>
      </c>
    </row>
    <row r="27">
      <c r="A27" s="21" t="inlineStr">
        <is>
          <t>Blue Slime</t>
        </is>
      </c>
      <c r="B27" s="21" t="n">
        <v>20</v>
      </c>
      <c r="C27" s="21" t="n">
        <v>1284</v>
      </c>
      <c r="D27" s="21" t="n">
        <v>200</v>
      </c>
      <c r="E27" s="21" t="n">
        <v>3</v>
      </c>
      <c r="F27" s="25">
        <f>IFERROR(INDEX('Class Table'!$O$4:$O$9,MATCH(E27,'Class Table'!$N$4:$N$9,0)),1)</f>
        <v/>
      </c>
      <c r="G27" s="19">
        <f>D27*F27</f>
        <v/>
      </c>
      <c r="H27" s="21" t="n">
        <v>101</v>
      </c>
      <c r="I27" s="21" t="n">
        <v>1.3</v>
      </c>
      <c r="J27" s="21" t="n">
        <v>408</v>
      </c>
      <c r="K27" s="21" t="n">
        <v>23</v>
      </c>
      <c r="L27" s="21" t="n">
        <v>30</v>
      </c>
      <c r="M27" s="25">
        <f>IF(AND(L27&lt;=Inputs!$C$9,K27&gt;=Inputs!$C$10),1,0)</f>
        <v/>
      </c>
      <c r="N27" s="21" t="inlineStr">
        <is>
          <t>Slime Kingdom</t>
        </is>
      </c>
    </row>
    <row r="28">
      <c r="A28" s="21" t="inlineStr">
        <is>
          <t>King Goo</t>
        </is>
      </c>
      <c r="B28" s="21" t="n">
        <v>20</v>
      </c>
      <c r="C28" s="21" t="n">
        <v>1284</v>
      </c>
      <c r="D28" s="21" t="n">
        <v>200</v>
      </c>
      <c r="E28" s="21" t="n">
        <v>3</v>
      </c>
      <c r="F28" s="25">
        <f>IFERROR(INDEX('Class Table'!$O$4:$O$9,MATCH(E28,'Class Table'!$N$4:$N$9,0)),1)</f>
        <v/>
      </c>
      <c r="G28" s="19">
        <f>D28*F28</f>
        <v/>
      </c>
      <c r="H28" s="21" t="n">
        <v>107</v>
      </c>
      <c r="I28" s="21" t="n">
        <v>1.3</v>
      </c>
      <c r="J28" s="21" t="n">
        <v>448</v>
      </c>
      <c r="K28" s="21" t="n">
        <v>1</v>
      </c>
      <c r="L28" s="21" t="n">
        <v>3600</v>
      </c>
      <c r="M28" s="25">
        <f>IF(AND(L28&lt;=Inputs!$C$9,K28&gt;=Inputs!$C$10),1,0)</f>
        <v/>
      </c>
      <c r="N28" s="21" t="inlineStr">
        <is>
          <t>Slime Kingdom</t>
        </is>
      </c>
    </row>
    <row r="29">
      <c r="A29" s="21" t="inlineStr">
        <is>
          <t>Pumpkin</t>
        </is>
      </c>
      <c r="B29" s="21" t="n">
        <v>20</v>
      </c>
      <c r="C29" s="21" t="n">
        <v>657</v>
      </c>
      <c r="D29" s="21" t="n">
        <v>0</v>
      </c>
      <c r="E29" s="21" t="n">
        <v>4</v>
      </c>
      <c r="F29" s="25">
        <f>IFERROR(INDEX('Class Table'!$O$4:$O$9,MATCH(E29,'Class Table'!$N$4:$N$9,0)),1)</f>
        <v/>
      </c>
      <c r="G29" s="19">
        <f>D29*F29</f>
        <v/>
      </c>
      <c r="H29" s="21" t="n">
        <v>85</v>
      </c>
      <c r="I29" s="21" t="n">
        <v>1.5</v>
      </c>
      <c r="J29" s="21" t="n">
        <v>489</v>
      </c>
      <c r="K29" s="21" t="n">
        <v>111</v>
      </c>
      <c r="L29" s="21" t="n">
        <v>30</v>
      </c>
      <c r="M29" s="25">
        <f>IF(AND(L29&lt;=Inputs!$C$9,K29&gt;=Inputs!$C$10),1,0)</f>
        <v/>
      </c>
      <c r="N29" s="21" t="inlineStr">
        <is>
          <t>Pumpkin Grove</t>
        </is>
      </c>
    </row>
    <row r="30">
      <c r="A30" s="21" t="inlineStr">
        <is>
          <t>Weak Zombie</t>
        </is>
      </c>
      <c r="B30" s="21" t="n">
        <v>20</v>
      </c>
      <c r="C30" s="21" t="n">
        <v>657</v>
      </c>
      <c r="D30" s="21" t="n">
        <v>0</v>
      </c>
      <c r="E30" s="21" t="n">
        <v>4</v>
      </c>
      <c r="F30" s="25">
        <f>IFERROR(INDEX('Class Table'!$O$4:$O$9,MATCH(E30,'Class Table'!$N$4:$N$9,0)),1)</f>
        <v/>
      </c>
      <c r="G30" s="19">
        <f>D30*F30</f>
        <v/>
      </c>
      <c r="H30" s="21" t="n">
        <v>100</v>
      </c>
      <c r="I30" s="21" t="n">
        <v>1.3</v>
      </c>
      <c r="J30" s="21" t="n">
        <v>404</v>
      </c>
      <c r="K30" s="21" t="n">
        <v>71</v>
      </c>
      <c r="L30" s="21" t="n">
        <v>30</v>
      </c>
      <c r="M30" s="25">
        <f>IF(AND(L30&lt;=Inputs!$C$9,K30&gt;=Inputs!$C$10),1,0)</f>
        <v/>
      </c>
      <c r="N30" s="21" t="inlineStr">
        <is>
          <t>Graveyard</t>
        </is>
      </c>
    </row>
    <row r="31">
      <c r="A31" s="21" t="inlineStr">
        <is>
          <t>Cow</t>
        </is>
      </c>
      <c r="B31" s="21" t="n">
        <v>21</v>
      </c>
      <c r="C31" s="21" t="n">
        <v>950</v>
      </c>
      <c r="D31" s="21" t="n">
        <v>0</v>
      </c>
      <c r="E31" s="21" t="n">
        <v>2</v>
      </c>
      <c r="F31" s="25">
        <f>IFERROR(INDEX('Class Table'!$O$4:$O$9,MATCH(E31,'Class Table'!$N$4:$N$9,0)),1)</f>
        <v/>
      </c>
      <c r="G31" s="19">
        <f>D31*F31</f>
        <v/>
      </c>
      <c r="H31" s="21" t="n">
        <v>111</v>
      </c>
      <c r="I31" s="21" t="n">
        <v>1.5</v>
      </c>
      <c r="J31" s="21" t="n">
        <v>448</v>
      </c>
      <c r="K31" s="21" t="n">
        <v>36</v>
      </c>
      <c r="L31" s="21" t="n">
        <v>30</v>
      </c>
      <c r="M31" s="25">
        <f>IF(AND(L31&lt;=Inputs!$C$9,K31&gt;=Inputs!$C$10),1,0)</f>
        <v/>
      </c>
      <c r="N31" s="21" t="inlineStr">
        <is>
          <t>Chiisaiyama</t>
        </is>
      </c>
    </row>
    <row r="32">
      <c r="A32" s="21" t="inlineStr">
        <is>
          <t>Midnight Madness</t>
        </is>
      </c>
      <c r="B32" s="21" t="n">
        <v>21</v>
      </c>
      <c r="C32" s="21" t="n">
        <v>1410</v>
      </c>
      <c r="D32" s="21" t="n">
        <v>210</v>
      </c>
      <c r="E32" s="21" t="n">
        <v>3</v>
      </c>
      <c r="F32" s="25">
        <f>IFERROR(INDEX('Class Table'!$O$4:$O$9,MATCH(E32,'Class Table'!$N$4:$N$9,0)),1)</f>
        <v/>
      </c>
      <c r="G32" s="19">
        <f>D32*F32</f>
        <v/>
      </c>
      <c r="H32" s="21" t="n">
        <v>99</v>
      </c>
      <c r="I32" s="21" t="n">
        <v>1.2</v>
      </c>
      <c r="J32" s="21" t="n">
        <v>408</v>
      </c>
      <c r="K32" s="21" t="n">
        <v>55</v>
      </c>
      <c r="L32" s="21" t="n">
        <v>30</v>
      </c>
      <c r="M32" s="25">
        <f>IF(AND(L32&lt;=Inputs!$C$9,K32&gt;=Inputs!$C$10),1,0)</f>
        <v/>
      </c>
      <c r="N32" s="21" t="inlineStr">
        <is>
          <t>Northern Arctic Lands</t>
        </is>
      </c>
    </row>
    <row r="33">
      <c r="A33" s="21" t="inlineStr">
        <is>
          <t>Piglet</t>
        </is>
      </c>
      <c r="B33" s="21" t="n">
        <v>21</v>
      </c>
      <c r="C33" s="21" t="n">
        <v>720</v>
      </c>
      <c r="D33" s="21" t="n">
        <v>0</v>
      </c>
      <c r="E33" s="21" t="n">
        <v>4</v>
      </c>
      <c r="F33" s="25">
        <f>IFERROR(INDEX('Class Table'!$O$4:$O$9,MATCH(E33,'Class Table'!$N$4:$N$9,0)),1)</f>
        <v/>
      </c>
      <c r="G33" s="19">
        <f>D33*F33</f>
        <v/>
      </c>
      <c r="H33" s="21" t="n">
        <v>78</v>
      </c>
      <c r="I33" s="21" t="n">
        <v>1.4</v>
      </c>
      <c r="J33" s="21" t="n">
        <v>400</v>
      </c>
      <c r="K33" s="21" t="n">
        <v>42</v>
      </c>
      <c r="L33" s="21" t="n">
        <v>30</v>
      </c>
      <c r="M33" s="25">
        <f>IF(AND(L33&lt;=Inputs!$C$9,K33&gt;=Inputs!$C$10),1,0)</f>
        <v/>
      </c>
      <c r="N33" s="21" t="inlineStr">
        <is>
          <t>Boondocks</t>
        </is>
      </c>
    </row>
    <row r="34">
      <c r="A34" s="21" t="inlineStr">
        <is>
          <t>Sliminator</t>
        </is>
      </c>
      <c r="B34" s="21" t="n">
        <v>22</v>
      </c>
      <c r="C34" s="21" t="n">
        <v>1542</v>
      </c>
      <c r="D34" s="21" t="n">
        <v>220</v>
      </c>
      <c r="E34" s="21" t="n">
        <v>3</v>
      </c>
      <c r="F34" s="25">
        <f>IFERROR(INDEX('Class Table'!$O$4:$O$9,MATCH(E34,'Class Table'!$N$4:$N$9,0)),1)</f>
        <v/>
      </c>
      <c r="G34" s="19">
        <f>D34*F34</f>
        <v/>
      </c>
      <c r="H34" s="21" t="n">
        <v>112</v>
      </c>
      <c r="I34" s="21" t="n">
        <v>1.3</v>
      </c>
      <c r="J34" s="21" t="n">
        <v>448</v>
      </c>
      <c r="K34" s="21" t="n">
        <v>1</v>
      </c>
      <c r="L34" s="21" t="n">
        <v>3600</v>
      </c>
      <c r="M34" s="25">
        <f>IF(AND(L34&lt;=Inputs!$C$9,K34&gt;=Inputs!$C$10),1,0)</f>
        <v/>
      </c>
      <c r="N34" s="21" t="inlineStr">
        <is>
          <t>Slime Kingdom</t>
        </is>
      </c>
    </row>
    <row r="35">
      <c r="A35" s="21" t="inlineStr">
        <is>
          <t>Flying Piglet</t>
        </is>
      </c>
      <c r="B35" s="21" t="n">
        <v>23</v>
      </c>
      <c r="C35" s="21" t="n">
        <v>1680</v>
      </c>
      <c r="D35" s="21" t="n">
        <v>230</v>
      </c>
      <c r="E35" s="21" t="n">
        <v>3</v>
      </c>
      <c r="F35" s="25">
        <f>IFERROR(INDEX('Class Table'!$O$4:$O$9,MATCH(E35,'Class Table'!$N$4:$N$9,0)),1)</f>
        <v/>
      </c>
      <c r="G35" s="19">
        <f>D35*F35</f>
        <v/>
      </c>
      <c r="H35" s="21" t="n">
        <v>95</v>
      </c>
      <c r="I35" s="21" t="n">
        <v>1.2</v>
      </c>
      <c r="J35" s="21" t="n">
        <v>600</v>
      </c>
      <c r="K35" s="21" t="n">
        <v>2</v>
      </c>
      <c r="L35" s="21" t="n">
        <v>3600</v>
      </c>
      <c r="M35" s="25">
        <f>IF(AND(L35&lt;=Inputs!$C$9,K35&gt;=Inputs!$C$10),1,0)</f>
        <v/>
      </c>
      <c r="N35" s="21" t="inlineStr">
        <is>
          <t>Boondocks</t>
        </is>
      </c>
    </row>
    <row r="36">
      <c r="A36" s="21" t="inlineStr">
        <is>
          <t>Snowball</t>
        </is>
      </c>
      <c r="B36" s="21" t="n">
        <v>24</v>
      </c>
      <c r="C36" s="21" t="n">
        <v>1824</v>
      </c>
      <c r="D36" s="21" t="n">
        <v>240</v>
      </c>
      <c r="E36" s="21" t="n">
        <v>3</v>
      </c>
      <c r="F36" s="25">
        <f>IFERROR(INDEX('Class Table'!$O$4:$O$9,MATCH(E36,'Class Table'!$N$4:$N$9,0)),1)</f>
        <v/>
      </c>
      <c r="G36" s="19">
        <f>D36*F36</f>
        <v/>
      </c>
      <c r="H36" s="21" t="n">
        <v>111</v>
      </c>
      <c r="I36" s="21" t="n">
        <v>1.2</v>
      </c>
      <c r="J36" s="21" t="n">
        <v>489</v>
      </c>
      <c r="K36" s="21" t="n">
        <v>85</v>
      </c>
      <c r="L36" s="21" t="n">
        <v>30</v>
      </c>
      <c r="M36" s="25">
        <f>IF(AND(L36&lt;=Inputs!$C$9,K36&gt;=Inputs!$C$10),1,0)</f>
        <v/>
      </c>
      <c r="N36" s="21" t="inlineStr">
        <is>
          <t>Northern Arctic Lands</t>
        </is>
      </c>
    </row>
    <row r="37">
      <c r="A37" s="21" t="inlineStr">
        <is>
          <t>Fail Pumpkin</t>
        </is>
      </c>
      <c r="B37" s="21" t="n">
        <v>25</v>
      </c>
      <c r="C37" s="21" t="n">
        <v>1974</v>
      </c>
      <c r="D37" s="21" t="n">
        <v>250</v>
      </c>
      <c r="E37" s="21" t="n">
        <v>3</v>
      </c>
      <c r="F37" s="25">
        <f>IFERROR(INDEX('Class Table'!$O$4:$O$9,MATCH(E37,'Class Table'!$N$4:$N$9,0)),1)</f>
        <v/>
      </c>
      <c r="G37" s="19">
        <f>D37*F37</f>
        <v/>
      </c>
      <c r="H37" s="21" t="n">
        <v>115</v>
      </c>
      <c r="I37" s="21" t="n">
        <v>1.3</v>
      </c>
      <c r="J37" s="21" t="n">
        <v>1000</v>
      </c>
      <c r="K37" s="21" t="n">
        <v>1</v>
      </c>
      <c r="L37" s="21" t="n">
        <v>3600</v>
      </c>
      <c r="M37" s="25">
        <f>IF(AND(L37&lt;=Inputs!$C$9,K37&gt;=Inputs!$C$10),1,0)</f>
        <v/>
      </c>
      <c r="N37" s="21" t="inlineStr">
        <is>
          <t>Pumpkin Grove</t>
        </is>
      </c>
    </row>
    <row r="38">
      <c r="A38" s="21" t="inlineStr">
        <is>
          <t>Fire Asp</t>
        </is>
      </c>
      <c r="B38" s="21" t="n">
        <v>25</v>
      </c>
      <c r="C38" s="21" t="n">
        <v>1002</v>
      </c>
      <c r="D38" s="21" t="n">
        <v>0</v>
      </c>
      <c r="E38" s="21" t="n">
        <v>4</v>
      </c>
      <c r="F38" s="25">
        <f>IFERROR(INDEX('Class Table'!$O$4:$O$9,MATCH(E38,'Class Table'!$N$4:$N$9,0)),1)</f>
        <v/>
      </c>
      <c r="G38" s="19">
        <f>D38*F38</f>
        <v/>
      </c>
      <c r="H38" s="21" t="n">
        <v>121</v>
      </c>
      <c r="I38" s="21" t="n">
        <v>1.3</v>
      </c>
      <c r="J38" s="21" t="n">
        <v>508</v>
      </c>
      <c r="K38" s="21" t="n">
        <v>54</v>
      </c>
      <c r="L38" s="21" t="n">
        <v>30</v>
      </c>
      <c r="M38" s="25">
        <f>IF(AND(L38&lt;=Inputs!$C$9,K38&gt;=Inputs!$C$10),1,0)</f>
        <v/>
      </c>
      <c r="N38" s="21" t="inlineStr">
        <is>
          <t>Dead Forest</t>
        </is>
      </c>
    </row>
    <row r="39">
      <c r="A39" s="21" t="inlineStr">
        <is>
          <t>The Unburied</t>
        </is>
      </c>
      <c r="B39" s="21" t="n">
        <v>27</v>
      </c>
      <c r="C39" s="21" t="n">
        <v>2438</v>
      </c>
      <c r="D39" s="21" t="n">
        <v>0</v>
      </c>
      <c r="E39" s="21" t="n">
        <v>2</v>
      </c>
      <c r="F39" s="25">
        <f>IFERROR(INDEX('Class Table'!$O$4:$O$9,MATCH(E39,'Class Table'!$N$4:$N$9,0)),1)</f>
        <v/>
      </c>
      <c r="G39" s="19">
        <f>D39*F39</f>
        <v/>
      </c>
      <c r="H39" s="21" t="n">
        <v>152</v>
      </c>
      <c r="I39" s="21" t="n">
        <v>1</v>
      </c>
      <c r="J39" s="21" t="n">
        <v>570</v>
      </c>
      <c r="K39" s="21" t="n">
        <v>1</v>
      </c>
      <c r="L39" s="21" t="n">
        <v>1800</v>
      </c>
      <c r="M39" s="25">
        <f>IF(AND(L39&lt;=Inputs!$C$9,K39&gt;=Inputs!$C$10),1,0)</f>
        <v/>
      </c>
      <c r="N39" s="21" t="inlineStr">
        <is>
          <t>Graveyard</t>
        </is>
      </c>
    </row>
    <row r="40">
      <c r="A40" s="21" t="inlineStr">
        <is>
          <t>Goo Jr.</t>
        </is>
      </c>
      <c r="B40" s="21" t="n">
        <v>28</v>
      </c>
      <c r="C40" s="21" t="n">
        <v>2460</v>
      </c>
      <c r="D40" s="21" t="n">
        <v>280</v>
      </c>
      <c r="E40" s="21" t="n">
        <v>3</v>
      </c>
      <c r="F40" s="25">
        <f>IFERROR(INDEX('Class Table'!$O$4:$O$9,MATCH(E40,'Class Table'!$N$4:$N$9,0)),1)</f>
        <v/>
      </c>
      <c r="G40" s="19">
        <f>D40*F40</f>
        <v/>
      </c>
      <c r="H40" s="21" t="n">
        <v>142</v>
      </c>
      <c r="I40" s="21" t="n">
        <v>1.3</v>
      </c>
      <c r="J40" s="21" t="n">
        <v>600</v>
      </c>
      <c r="K40" s="21" t="n">
        <v>1</v>
      </c>
      <c r="L40" s="21" t="n">
        <v>3600</v>
      </c>
      <c r="M40" s="25">
        <f>IF(AND(L40&lt;=Inputs!$C$9,K40&gt;=Inputs!$C$10),1,0)</f>
        <v/>
      </c>
      <c r="N40" s="21" t="inlineStr">
        <is>
          <t>Slime Kingdom</t>
        </is>
      </c>
    </row>
    <row r="41">
      <c r="A41" s="21" t="inlineStr">
        <is>
          <t>Melty</t>
        </is>
      </c>
      <c r="B41" s="21" t="n">
        <v>28</v>
      </c>
      <c r="C41" s="21" t="n">
        <v>2460</v>
      </c>
      <c r="D41" s="21" t="n">
        <v>280</v>
      </c>
      <c r="E41" s="21" t="n">
        <v>3</v>
      </c>
      <c r="F41" s="25">
        <f>IFERROR(INDEX('Class Table'!$O$4:$O$9,MATCH(E41,'Class Table'!$N$4:$N$9,0)),1)</f>
        <v/>
      </c>
      <c r="G41" s="19">
        <f>D41*F41</f>
        <v/>
      </c>
      <c r="H41" s="21" t="n">
        <v>130</v>
      </c>
      <c r="I41" s="21" t="n">
        <v>1.1</v>
      </c>
      <c r="J41" s="21" t="n">
        <v>548</v>
      </c>
      <c r="K41" s="21" t="n">
        <v>31</v>
      </c>
      <c r="L41" s="21" t="n">
        <v>30</v>
      </c>
      <c r="M41" s="25">
        <f>IF(AND(L41&lt;=Inputs!$C$9,K41&gt;=Inputs!$C$10),1,0)</f>
        <v/>
      </c>
      <c r="N41" s="21" t="inlineStr">
        <is>
          <t>Northern Arctic Lands</t>
        </is>
      </c>
    </row>
    <row r="42">
      <c r="A42" s="21" t="inlineStr">
        <is>
          <t>Naga Warrior</t>
        </is>
      </c>
      <c r="B42" s="21" t="n">
        <v>28</v>
      </c>
      <c r="C42" s="21" t="n">
        <v>2460</v>
      </c>
      <c r="D42" s="21" t="n">
        <v>280</v>
      </c>
      <c r="E42" s="21" t="n">
        <v>3</v>
      </c>
      <c r="F42" s="25">
        <f>IFERROR(INDEX('Class Table'!$O$4:$O$9,MATCH(E42,'Class Table'!$N$4:$N$9,0)),1)</f>
        <v/>
      </c>
      <c r="G42" s="19">
        <f>D42*F42</f>
        <v/>
      </c>
      <c r="H42" s="21" t="n">
        <v>140</v>
      </c>
      <c r="I42" s="21" t="n">
        <v>1.5</v>
      </c>
      <c r="J42" s="21" t="n">
        <v>568</v>
      </c>
      <c r="K42" s="21" t="n">
        <v>15</v>
      </c>
      <c r="L42" s="21" t="n">
        <v>30</v>
      </c>
      <c r="M42" s="25">
        <f>IF(AND(L42&lt;=Inputs!$C$9,K42&gt;=Inputs!$C$10),1,0)</f>
        <v/>
      </c>
      <c r="N42" s="21" t="inlineStr">
        <is>
          <t>Dead Forest</t>
        </is>
      </c>
    </row>
    <row r="43">
      <c r="A43" s="21" t="inlineStr">
        <is>
          <t>Mad Cow</t>
        </is>
      </c>
      <c r="B43" s="21" t="n">
        <v>29</v>
      </c>
      <c r="C43" s="21" t="n">
        <v>3634</v>
      </c>
      <c r="D43" s="21" t="n">
        <v>290</v>
      </c>
      <c r="E43" s="21" t="n">
        <v>3</v>
      </c>
      <c r="F43" s="25">
        <f>IFERROR(INDEX('Class Table'!$O$4:$O$9,MATCH(E43,'Class Table'!$N$4:$N$9,0)),1)</f>
        <v/>
      </c>
      <c r="G43" s="19">
        <f>D43*F43</f>
        <v/>
      </c>
      <c r="H43" s="21" t="n">
        <v>159</v>
      </c>
      <c r="I43" s="21" t="n">
        <v>1</v>
      </c>
      <c r="J43" s="21" t="n">
        <v>590</v>
      </c>
      <c r="K43" s="21" t="n">
        <v>1</v>
      </c>
      <c r="L43" s="21" t="n">
        <v>1800</v>
      </c>
      <c r="M43" s="25">
        <f>IF(AND(L43&lt;=Inputs!$C$9,K43&gt;=Inputs!$C$10),1,0)</f>
        <v/>
      </c>
      <c r="N43" s="21" t="inlineStr">
        <is>
          <t>Chiisaiyama</t>
        </is>
      </c>
    </row>
    <row r="44">
      <c r="A44" s="21" t="inlineStr">
        <is>
          <t>Chief Pumpkin</t>
        </is>
      </c>
      <c r="B44" s="21" t="n">
        <v>30</v>
      </c>
      <c r="C44" s="21" t="n">
        <v>1422</v>
      </c>
      <c r="D44" s="21" t="n">
        <v>0</v>
      </c>
      <c r="E44" s="21" t="n">
        <v>4</v>
      </c>
      <c r="F44" s="25">
        <f>IFERROR(INDEX('Class Table'!$O$4:$O$9,MATCH(E44,'Class Table'!$N$4:$N$9,0)),1)</f>
        <v/>
      </c>
      <c r="G44" s="19">
        <f>D44*F44</f>
        <v/>
      </c>
      <c r="H44" s="21" t="n">
        <v>130</v>
      </c>
      <c r="I44" s="21" t="n">
        <v>1.5</v>
      </c>
      <c r="J44" s="21" t="n">
        <v>600</v>
      </c>
      <c r="K44" s="21" t="n">
        <v>233</v>
      </c>
      <c r="L44" s="21" t="n">
        <v>30</v>
      </c>
      <c r="M44" s="25">
        <f>IF(AND(L44&lt;=Inputs!$C$9,K44&gt;=Inputs!$C$10),1,0)</f>
        <v/>
      </c>
      <c r="N44" s="21" t="inlineStr">
        <is>
          <t>Pumpkin Grove</t>
        </is>
      </c>
    </row>
    <row r="45">
      <c r="A45" s="21" t="inlineStr">
        <is>
          <t>Iceman</t>
        </is>
      </c>
      <c r="B45" s="21" t="n">
        <v>30</v>
      </c>
      <c r="C45" s="21" t="n">
        <v>2814</v>
      </c>
      <c r="D45" s="21" t="n">
        <v>300</v>
      </c>
      <c r="E45" s="21" t="n">
        <v>3</v>
      </c>
      <c r="F45" s="25">
        <f>IFERROR(INDEX('Class Table'!$O$4:$O$9,MATCH(E45,'Class Table'!$N$4:$N$9,0)),1)</f>
        <v/>
      </c>
      <c r="G45" s="19">
        <f>D45*F45</f>
        <v/>
      </c>
      <c r="H45" s="21" t="n">
        <v>141</v>
      </c>
      <c r="I45" s="21" t="n">
        <v>1.5</v>
      </c>
      <c r="J45" s="21" t="n">
        <v>609</v>
      </c>
      <c r="K45" s="21" t="n">
        <v>44</v>
      </c>
      <c r="L45" s="21" t="n">
        <v>60</v>
      </c>
      <c r="M45" s="25">
        <f>IF(AND(L45&lt;=Inputs!$C$9,K45&gt;=Inputs!$C$10),1,0)</f>
        <v/>
      </c>
      <c r="N45" s="21" t="inlineStr">
        <is>
          <t>Frozen Lake</t>
        </is>
      </c>
    </row>
    <row r="46">
      <c r="A46" s="21" t="inlineStr">
        <is>
          <t>Naga Rogue</t>
        </is>
      </c>
      <c r="B46" s="21" t="n">
        <v>30</v>
      </c>
      <c r="C46" s="21" t="n">
        <v>1886</v>
      </c>
      <c r="D46" s="21" t="n">
        <v>0</v>
      </c>
      <c r="E46" s="21" t="n">
        <v>2</v>
      </c>
      <c r="F46" s="25">
        <f>IFERROR(INDEX('Class Table'!$O$4:$O$9,MATCH(E46,'Class Table'!$N$4:$N$9,0)),1)</f>
        <v/>
      </c>
      <c r="G46" s="19">
        <f>D46*F46</f>
        <v/>
      </c>
      <c r="H46" s="21" t="n">
        <v>135</v>
      </c>
      <c r="I46" s="21" t="n">
        <v>1.1</v>
      </c>
      <c r="J46" s="21" t="n">
        <v>608</v>
      </c>
      <c r="K46" s="21" t="n">
        <v>19</v>
      </c>
      <c r="L46" s="21" t="n">
        <v>30</v>
      </c>
      <c r="M46" s="25">
        <f>IF(AND(L46&lt;=Inputs!$C$9,K46&gt;=Inputs!$C$10),1,0)</f>
        <v/>
      </c>
      <c r="N46" s="21" t="inlineStr">
        <is>
          <t>Dead Forest</t>
        </is>
      </c>
    </row>
    <row r="47">
      <c r="A47" s="21" t="inlineStr">
        <is>
          <t>Weak Skeleton</t>
        </is>
      </c>
      <c r="B47" s="21" t="n">
        <v>30</v>
      </c>
      <c r="C47" s="21" t="n">
        <v>2814</v>
      </c>
      <c r="D47" s="21" t="n">
        <v>300</v>
      </c>
      <c r="E47" s="21" t="n">
        <v>3</v>
      </c>
      <c r="F47" s="25">
        <f>IFERROR(INDEX('Class Table'!$O$4:$O$9,MATCH(E47,'Class Table'!$N$4:$N$9,0)),1)</f>
        <v/>
      </c>
      <c r="G47" s="19">
        <f>D47*F47</f>
        <v/>
      </c>
      <c r="H47" s="21" t="n">
        <v>180</v>
      </c>
      <c r="I47" s="21" t="n">
        <v>1.5</v>
      </c>
      <c r="J47" s="21" t="n">
        <v>609</v>
      </c>
      <c r="K47" s="21" t="n">
        <v>91</v>
      </c>
      <c r="L47" s="21" t="n">
        <v>60</v>
      </c>
      <c r="M47" s="25">
        <f>IF(AND(L47&lt;=Inputs!$C$9,K47&gt;=Inputs!$C$10),1,0)</f>
        <v/>
      </c>
      <c r="N47" s="21" t="inlineStr">
        <is>
          <t>Undead Hallway</t>
        </is>
      </c>
    </row>
    <row r="48">
      <c r="A48" s="21" t="inlineStr">
        <is>
          <t>Fluffzilla</t>
        </is>
      </c>
      <c r="B48" s="21" t="n">
        <v>32</v>
      </c>
      <c r="C48" s="21" t="n">
        <v>3192</v>
      </c>
      <c r="D48" s="21" t="n">
        <v>320</v>
      </c>
      <c r="E48" s="21" t="n">
        <v>3</v>
      </c>
      <c r="F48" s="25">
        <f>IFERROR(INDEX('Class Table'!$O$4:$O$9,MATCH(E48,'Class Table'!$N$4:$N$9,0)),1)</f>
        <v/>
      </c>
      <c r="G48" s="19">
        <f>D48*F48</f>
        <v/>
      </c>
      <c r="H48" s="21" t="n">
        <v>179</v>
      </c>
      <c r="I48" s="21" t="n">
        <v>1.2</v>
      </c>
      <c r="J48" s="21" t="n">
        <v>608</v>
      </c>
      <c r="K48" s="21" t="n">
        <v>1</v>
      </c>
      <c r="L48" s="21" t="n">
        <v>3600</v>
      </c>
      <c r="M48" s="25">
        <f>IF(AND(L48&lt;=Inputs!$C$9,K48&gt;=Inputs!$C$10),1,0)</f>
        <v/>
      </c>
      <c r="N48" s="21" t="inlineStr">
        <is>
          <t>Northern Arctic Lands</t>
        </is>
      </c>
    </row>
    <row r="49">
      <c r="A49" s="21" t="inlineStr">
        <is>
          <t>Carrots</t>
        </is>
      </c>
      <c r="B49" s="21" t="n">
        <v>33</v>
      </c>
      <c r="C49" s="21" t="n">
        <v>3390</v>
      </c>
      <c r="D49" s="21" t="n">
        <v>330</v>
      </c>
      <c r="E49" s="21" t="n">
        <v>3</v>
      </c>
      <c r="F49" s="25">
        <f>IFERROR(INDEX('Class Table'!$O$4:$O$9,MATCH(E49,'Class Table'!$N$4:$N$9,0)),1)</f>
        <v/>
      </c>
      <c r="G49" s="19">
        <f>D49*F49</f>
        <v/>
      </c>
      <c r="H49" s="21" t="n">
        <v>168</v>
      </c>
      <c r="I49" s="21" t="n">
        <v>1.2</v>
      </c>
      <c r="J49" s="21" t="n">
        <v>608</v>
      </c>
      <c r="K49" s="21" t="n">
        <v>1</v>
      </c>
      <c r="L49" s="21" t="n">
        <v>3600</v>
      </c>
      <c r="M49" s="25">
        <f>IF(AND(L49&lt;=Inputs!$C$9,K49&gt;=Inputs!$C$10),1,0)</f>
        <v/>
      </c>
      <c r="N49" s="21" t="inlineStr">
        <is>
          <t>Northern Arctic Lands</t>
        </is>
      </c>
    </row>
    <row r="50">
      <c r="A50" s="21" t="inlineStr">
        <is>
          <t>Boss Pumpkin</t>
        </is>
      </c>
      <c r="B50" s="21" t="n">
        <v>35</v>
      </c>
      <c r="C50" s="21" t="n">
        <v>3804</v>
      </c>
      <c r="D50" s="21" t="n">
        <v>350</v>
      </c>
      <c r="E50" s="21" t="n">
        <v>3</v>
      </c>
      <c r="F50" s="25">
        <f>IFERROR(INDEX('Class Table'!$O$4:$O$9,MATCH(E50,'Class Table'!$N$4:$N$9,0)),1)</f>
        <v/>
      </c>
      <c r="G50" s="19">
        <f>D50*F50</f>
        <v/>
      </c>
      <c r="H50" s="21" t="n">
        <v>175</v>
      </c>
      <c r="I50" s="21" t="n">
        <v>1.3</v>
      </c>
      <c r="J50" s="21" t="n">
        <v>2000</v>
      </c>
      <c r="K50" s="21" t="n">
        <v>1</v>
      </c>
      <c r="L50" s="21" t="n">
        <v>3600</v>
      </c>
      <c r="M50" s="25">
        <f>IF(AND(L50&lt;=Inputs!$C$9,K50&gt;=Inputs!$C$10),1,0)</f>
        <v/>
      </c>
      <c r="N50" s="21" t="inlineStr">
        <is>
          <t>Pumpkin Grove</t>
        </is>
      </c>
    </row>
    <row r="51">
      <c r="A51" s="21" t="inlineStr">
        <is>
          <t>Frantic Monkey</t>
        </is>
      </c>
      <c r="B51" s="21" t="n">
        <v>35</v>
      </c>
      <c r="C51" s="21" t="n">
        <v>3804</v>
      </c>
      <c r="D51" s="21" t="n">
        <v>350</v>
      </c>
      <c r="E51" s="21" t="n">
        <v>3</v>
      </c>
      <c r="F51" s="25">
        <f>IFERROR(INDEX('Class Table'!$O$4:$O$9,MATCH(E51,'Class Table'!$N$4:$N$9,0)),1)</f>
        <v/>
      </c>
      <c r="G51" s="19">
        <f>D51*F51</f>
        <v/>
      </c>
      <c r="H51" s="21" t="n">
        <v>335</v>
      </c>
      <c r="I51" s="21" t="n">
        <v>1.3</v>
      </c>
      <c r="J51" s="21" t="n">
        <v>600</v>
      </c>
      <c r="K51" s="21" t="n">
        <v>1</v>
      </c>
      <c r="L51" s="21" t="n">
        <v>32400</v>
      </c>
      <c r="M51" s="25">
        <f>IF(AND(L51&lt;=Inputs!$C$9,K51&gt;=Inputs!$C$10),1,0)</f>
        <v/>
      </c>
      <c r="N51" s="21" t="inlineStr">
        <is>
          <t>Roadkill Woods</t>
        </is>
      </c>
    </row>
    <row r="52">
      <c r="A52" s="21" t="inlineStr">
        <is>
          <t>Frozen Waste</t>
        </is>
      </c>
      <c r="B52" s="21" t="n">
        <v>35</v>
      </c>
      <c r="C52" s="21" t="n">
        <v>3804</v>
      </c>
      <c r="D52" s="21" t="n">
        <v>350</v>
      </c>
      <c r="E52" s="21" t="n">
        <v>3</v>
      </c>
      <c r="F52" s="25">
        <f>IFERROR(INDEX('Class Table'!$O$4:$O$9,MATCH(E52,'Class Table'!$N$4:$N$9,0)),1)</f>
        <v/>
      </c>
      <c r="G52" s="19">
        <f>D52*F52</f>
        <v/>
      </c>
      <c r="H52" s="21" t="n">
        <v>161</v>
      </c>
      <c r="I52" s="21" t="n">
        <v>1.5</v>
      </c>
      <c r="J52" s="21" t="n">
        <v>709</v>
      </c>
      <c r="K52" s="21" t="n">
        <v>74</v>
      </c>
      <c r="L52" s="21" t="n">
        <v>60</v>
      </c>
      <c r="M52" s="25">
        <f>IF(AND(L52&lt;=Inputs!$C$9,K52&gt;=Inputs!$C$10),1,0)</f>
        <v/>
      </c>
      <c r="N52" s="21" t="inlineStr">
        <is>
          <t>Frozen Lake</t>
        </is>
      </c>
    </row>
    <row r="53">
      <c r="A53" s="21" t="inlineStr">
        <is>
          <t>Skeleton</t>
        </is>
      </c>
      <c r="B53" s="21" t="n">
        <v>35</v>
      </c>
      <c r="C53" s="21" t="n">
        <v>3804</v>
      </c>
      <c r="D53" s="21" t="n">
        <v>350</v>
      </c>
      <c r="E53" s="21" t="n">
        <v>3</v>
      </c>
      <c r="F53" s="25">
        <f>IFERROR(INDEX('Class Table'!$O$4:$O$9,MATCH(E53,'Class Table'!$N$4:$N$9,0)),1)</f>
        <v/>
      </c>
      <c r="G53" s="19">
        <f>D53*F53</f>
        <v/>
      </c>
      <c r="H53" s="21" t="n">
        <v>215</v>
      </c>
      <c r="I53" s="21" t="n">
        <v>1.5</v>
      </c>
      <c r="J53" s="21" t="n">
        <v>709</v>
      </c>
      <c r="K53" s="21" t="n">
        <v>24</v>
      </c>
      <c r="L53" s="21" t="n">
        <v>60</v>
      </c>
      <c r="M53" s="25">
        <f>IF(AND(L53&lt;=Inputs!$C$9,K53&gt;=Inputs!$C$10),1,0)</f>
        <v/>
      </c>
      <c r="N53" s="21" t="inlineStr">
        <is>
          <t>Undead Hallway</t>
        </is>
      </c>
    </row>
    <row r="54">
      <c r="A54" s="21" t="inlineStr">
        <is>
          <t>Unloved</t>
        </is>
      </c>
      <c r="B54" s="21" t="n">
        <v>35</v>
      </c>
      <c r="C54" s="21" t="n">
        <v>3086</v>
      </c>
      <c r="D54" s="21" t="n">
        <v>0</v>
      </c>
      <c r="E54" s="21" t="n">
        <v>2</v>
      </c>
      <c r="F54" s="25">
        <f>IFERROR(INDEX('Class Table'!$O$4:$O$9,MATCH(E54,'Class Table'!$N$4:$N$9,0)),1)</f>
        <v/>
      </c>
      <c r="G54" s="19">
        <f>D54*F54</f>
        <v/>
      </c>
      <c r="H54" s="21" t="n">
        <v>167</v>
      </c>
      <c r="I54" s="21" t="n">
        <v>1.2</v>
      </c>
      <c r="J54" s="21" t="n">
        <v>909</v>
      </c>
      <c r="K54" s="21" t="n">
        <v>71</v>
      </c>
      <c r="L54" s="21" t="n">
        <v>30</v>
      </c>
      <c r="M54" s="25">
        <f>IF(AND(L54&lt;=Inputs!$C$9,K54&gt;=Inputs!$C$10),1,0)</f>
        <v/>
      </c>
      <c r="N54" s="21" t="inlineStr">
        <is>
          <t>Its the Bat Cave Robin</t>
        </is>
      </c>
    </row>
    <row r="55">
      <c r="A55" s="21" t="inlineStr">
        <is>
          <t>Weak Persecution</t>
        </is>
      </c>
      <c r="B55" s="21" t="n">
        <v>35</v>
      </c>
      <c r="C55" s="21" t="n">
        <v>2546</v>
      </c>
      <c r="D55" s="21" t="n">
        <v>0</v>
      </c>
      <c r="E55" s="21" t="n">
        <v>2</v>
      </c>
      <c r="F55" s="25">
        <f>IFERROR(INDEX('Class Table'!$O$4:$O$9,MATCH(E55,'Class Table'!$N$4:$N$9,0)),1)</f>
        <v/>
      </c>
      <c r="G55" s="19">
        <f>D55*F55</f>
        <v/>
      </c>
      <c r="H55" s="21" t="n">
        <v>170</v>
      </c>
      <c r="I55" s="21" t="n">
        <v>1.4</v>
      </c>
      <c r="J55" s="21" t="n">
        <v>708</v>
      </c>
      <c r="K55" s="21" t="n">
        <v>26</v>
      </c>
      <c r="L55" s="21" t="n">
        <v>30</v>
      </c>
      <c r="M55" s="25">
        <f>IF(AND(L55&lt;=Inputs!$C$9,K55&gt;=Inputs!$C$10),1,0)</f>
        <v/>
      </c>
      <c r="N55" s="21" t="inlineStr">
        <is>
          <t>Otherlands</t>
        </is>
      </c>
    </row>
    <row r="56">
      <c r="A56" s="21" t="inlineStr">
        <is>
          <t>Chilly</t>
        </is>
      </c>
      <c r="B56" s="21" t="n">
        <v>36</v>
      </c>
      <c r="C56" s="21" t="n">
        <v>5520</v>
      </c>
      <c r="D56" s="21" t="n">
        <v>360</v>
      </c>
      <c r="E56" s="21" t="n">
        <v>3</v>
      </c>
      <c r="F56" s="25">
        <f>IFERROR(INDEX('Class Table'!$O$4:$O$9,MATCH(E56,'Class Table'!$N$4:$N$9,0)),1)</f>
        <v/>
      </c>
      <c r="G56" s="19">
        <f>D56*F56</f>
        <v/>
      </c>
      <c r="H56" s="21" t="n">
        <v>196</v>
      </c>
      <c r="I56" s="21" t="n">
        <v>1</v>
      </c>
      <c r="J56" s="21" t="n">
        <v>700</v>
      </c>
      <c r="K56" s="21" t="n">
        <v>1</v>
      </c>
      <c r="L56" s="21" t="n">
        <v>1800</v>
      </c>
      <c r="M56" s="25">
        <f>IF(AND(L56&lt;=Inputs!$C$9,K56&gt;=Inputs!$C$10),1,0)</f>
        <v/>
      </c>
      <c r="N56" s="21" t="inlineStr">
        <is>
          <t>Frozen Lake</t>
        </is>
      </c>
    </row>
    <row r="57">
      <c r="A57" s="21" t="inlineStr">
        <is>
          <t>Rattlebones</t>
        </is>
      </c>
      <c r="B57" s="21" t="n">
        <v>38</v>
      </c>
      <c r="C57" s="21" t="n">
        <v>6070</v>
      </c>
      <c r="D57" s="21" t="n">
        <v>380</v>
      </c>
      <c r="E57" s="21" t="n">
        <v>3</v>
      </c>
      <c r="F57" s="25">
        <f>IFERROR(INDEX('Class Table'!$O$4:$O$9,MATCH(E57,'Class Table'!$N$4:$N$9,0)),1)</f>
        <v/>
      </c>
      <c r="G57" s="19">
        <f>D57*F57</f>
        <v/>
      </c>
      <c r="H57" s="21" t="n">
        <v>218</v>
      </c>
      <c r="I57" s="21" t="n">
        <v>1</v>
      </c>
      <c r="J57" s="21" t="n">
        <v>780</v>
      </c>
      <c r="K57" s="21" t="n">
        <v>1</v>
      </c>
      <c r="L57" s="21" t="n">
        <v>1800</v>
      </c>
      <c r="M57" s="25">
        <f>IF(AND(L57&lt;=Inputs!$C$9,K57&gt;=Inputs!$C$10),1,0)</f>
        <v/>
      </c>
      <c r="N57" s="21" t="inlineStr">
        <is>
          <t>Undead Hallway</t>
        </is>
      </c>
    </row>
    <row r="58">
      <c r="A58" s="21" t="inlineStr">
        <is>
          <t>Moldy Persecution</t>
        </is>
      </c>
      <c r="B58" s="21" t="n">
        <v>40</v>
      </c>
      <c r="C58" s="21" t="n">
        <v>3306</v>
      </c>
      <c r="D58" s="21" t="n">
        <v>0</v>
      </c>
      <c r="E58" s="21" t="n">
        <v>2</v>
      </c>
      <c r="F58" s="25">
        <f>IFERROR(INDEX('Class Table'!$O$4:$O$9,MATCH(E58,'Class Table'!$N$4:$N$9,0)),1)</f>
        <v/>
      </c>
      <c r="G58" s="19">
        <f>D58*F58</f>
        <v/>
      </c>
      <c r="H58" s="21" t="n">
        <v>187</v>
      </c>
      <c r="I58" s="21" t="n">
        <v>1.4</v>
      </c>
      <c r="J58" s="21" t="n">
        <v>830</v>
      </c>
      <c r="K58" s="21" t="n">
        <v>42</v>
      </c>
      <c r="L58" s="21" t="n">
        <v>30</v>
      </c>
      <c r="M58" s="25">
        <f>IF(AND(L58&lt;=Inputs!$C$9,K58&gt;=Inputs!$C$10),1,0)</f>
        <v/>
      </c>
      <c r="N58" s="21" t="inlineStr">
        <is>
          <t>Otherlands</t>
        </is>
      </c>
    </row>
    <row r="59">
      <c r="A59" s="21" t="inlineStr">
        <is>
          <t>Private Persecution</t>
        </is>
      </c>
      <c r="B59" s="21" t="n">
        <v>40</v>
      </c>
      <c r="C59" s="21" t="n">
        <v>2487</v>
      </c>
      <c r="D59" s="21" t="n">
        <v>0</v>
      </c>
      <c r="E59" s="21" t="n">
        <v>4</v>
      </c>
      <c r="F59" s="25">
        <f>IFERROR(INDEX('Class Table'!$O$4:$O$9,MATCH(E59,'Class Table'!$N$4:$N$9,0)),1)</f>
        <v/>
      </c>
      <c r="G59" s="19">
        <f>D59*F59</f>
        <v/>
      </c>
      <c r="H59" s="21" t="n">
        <v>181</v>
      </c>
      <c r="I59" s="21" t="n">
        <v>1.4</v>
      </c>
      <c r="J59" s="21" t="n">
        <v>809</v>
      </c>
      <c r="K59" s="21" t="n">
        <v>21</v>
      </c>
      <c r="L59" s="21" t="n">
        <v>30</v>
      </c>
      <c r="M59" s="25">
        <f>IF(AND(L59&lt;=Inputs!$C$9,K59&gt;=Inputs!$C$10),1,0)</f>
        <v/>
      </c>
      <c r="N59" s="21" t="inlineStr">
        <is>
          <t>Otherlands</t>
        </is>
      </c>
    </row>
    <row r="60">
      <c r="A60" s="21" t="inlineStr">
        <is>
          <t>Servant of the Dead</t>
        </is>
      </c>
      <c r="B60" s="21" t="n">
        <v>40</v>
      </c>
      <c r="C60" s="21" t="n">
        <v>4944</v>
      </c>
      <c r="D60" s="21" t="n">
        <v>400</v>
      </c>
      <c r="E60" s="21" t="n">
        <v>3</v>
      </c>
      <c r="F60" s="25">
        <f>IFERROR(INDEX('Class Table'!$O$4:$O$9,MATCH(E60,'Class Table'!$N$4:$N$9,0)),1)</f>
        <v/>
      </c>
      <c r="G60" s="19">
        <f>D60*F60</f>
        <v/>
      </c>
      <c r="H60" s="21" t="n">
        <v>250</v>
      </c>
      <c r="I60" s="21" t="n">
        <v>1.5</v>
      </c>
      <c r="J60" s="21" t="n">
        <v>809</v>
      </c>
      <c r="K60" s="21" t="n">
        <v>39</v>
      </c>
      <c r="L60" s="21" t="n">
        <v>60</v>
      </c>
      <c r="M60" s="25">
        <f>IF(AND(L60&lt;=Inputs!$C$9,K60&gt;=Inputs!$C$10),1,0)</f>
        <v/>
      </c>
      <c r="N60" s="21" t="inlineStr">
        <is>
          <t>Undead Hallway</t>
        </is>
      </c>
    </row>
    <row r="61">
      <c r="A61" s="21" t="inlineStr">
        <is>
          <t>Unmourned</t>
        </is>
      </c>
      <c r="B61" s="21" t="n">
        <v>40</v>
      </c>
      <c r="C61" s="21" t="n">
        <v>5106</v>
      </c>
      <c r="D61" s="21" t="n">
        <v>0</v>
      </c>
      <c r="E61" s="21" t="n">
        <v>2</v>
      </c>
      <c r="F61" s="25">
        <f>IFERROR(INDEX('Class Table'!$O$4:$O$9,MATCH(E61,'Class Table'!$N$4:$N$9,0)),1)</f>
        <v/>
      </c>
      <c r="G61" s="19">
        <f>D61*F61</f>
        <v/>
      </c>
      <c r="H61" s="21" t="n">
        <v>240</v>
      </c>
      <c r="I61" s="21" t="n">
        <v>1</v>
      </c>
      <c r="J61" s="21" t="n">
        <v>900</v>
      </c>
      <c r="K61" s="21" t="n">
        <v>1</v>
      </c>
      <c r="L61" s="21" t="n">
        <v>1800</v>
      </c>
      <c r="M61" s="25">
        <f>IF(AND(L61&lt;=Inputs!$C$9,K61&gt;=Inputs!$C$10),1,0)</f>
        <v/>
      </c>
      <c r="N61" s="21" t="inlineStr">
        <is>
          <t>Its the Bat Cave Robin</t>
        </is>
      </c>
    </row>
    <row r="62">
      <c r="A62" s="21" t="inlineStr">
        <is>
          <t>Boney</t>
        </is>
      </c>
      <c r="B62" s="21" t="n">
        <v>42</v>
      </c>
      <c r="C62" s="21" t="n">
        <v>5442</v>
      </c>
      <c r="D62" s="21" t="n">
        <v>420</v>
      </c>
      <c r="E62" s="21" t="n">
        <v>3</v>
      </c>
      <c r="F62" s="25">
        <f>IFERROR(INDEX('Class Table'!$O$4:$O$9,MATCH(E62,'Class Table'!$N$4:$N$9,0)),1)</f>
        <v/>
      </c>
      <c r="G62" s="19">
        <f>D62*F62</f>
        <v/>
      </c>
      <c r="H62" s="21" t="n">
        <v>282</v>
      </c>
      <c r="I62" s="21" t="n">
        <v>1.5</v>
      </c>
      <c r="J62" s="21" t="n">
        <v>1000</v>
      </c>
      <c r="K62" s="21" t="n">
        <v>1</v>
      </c>
      <c r="L62" s="21" t="n">
        <v>3600</v>
      </c>
      <c r="M62" s="25">
        <f>IF(AND(L62&lt;=Inputs!$C$9,K62&gt;=Inputs!$C$10),1,0)</f>
        <v/>
      </c>
      <c r="N62" s="21" t="inlineStr">
        <is>
          <t>Undead Hallway</t>
        </is>
      </c>
    </row>
    <row r="63">
      <c r="A63" s="21" t="inlineStr">
        <is>
          <t>Misplaced Spouse</t>
        </is>
      </c>
      <c r="B63" s="21" t="n">
        <v>43</v>
      </c>
      <c r="C63" s="21" t="n">
        <v>5700</v>
      </c>
      <c r="D63" s="21" t="n">
        <v>430</v>
      </c>
      <c r="E63" s="21" t="n">
        <v>3</v>
      </c>
      <c r="F63" s="25">
        <f>IFERROR(INDEX('Class Table'!$O$4:$O$9,MATCH(E63,'Class Table'!$N$4:$N$9,0)),1)</f>
        <v/>
      </c>
      <c r="G63" s="19">
        <f>D63*F63</f>
        <v/>
      </c>
      <c r="H63" s="21" t="n">
        <v>283</v>
      </c>
      <c r="I63" s="21" t="n">
        <v>1.5</v>
      </c>
      <c r="J63" s="21" t="n">
        <v>1100</v>
      </c>
      <c r="K63" s="21" t="n">
        <v>1</v>
      </c>
      <c r="L63" s="21" t="n">
        <v>3600</v>
      </c>
      <c r="M63" s="25">
        <f>IF(AND(L63&lt;=Inputs!$C$9,K63&gt;=Inputs!$C$10),1,0)</f>
        <v/>
      </c>
      <c r="N63" s="21" t="inlineStr">
        <is>
          <t>Undead Hallway</t>
        </is>
      </c>
    </row>
    <row r="64">
      <c r="A64" s="21" t="inlineStr">
        <is>
          <t>Persecution Drillmaster</t>
        </is>
      </c>
      <c r="B64" s="21" t="n">
        <v>43</v>
      </c>
      <c r="C64" s="21" t="n">
        <v>8100</v>
      </c>
      <c r="D64" s="21" t="n">
        <v>430</v>
      </c>
      <c r="E64" s="21" t="n">
        <v>3</v>
      </c>
      <c r="F64" s="25">
        <f>IFERROR(INDEX('Class Table'!$O$4:$O$9,MATCH(E64,'Class Table'!$N$4:$N$9,0)),1)</f>
        <v/>
      </c>
      <c r="G64" s="19">
        <f>D64*F64</f>
        <v/>
      </c>
      <c r="H64" s="21" t="n">
        <v>283</v>
      </c>
      <c r="I64" s="21" t="n">
        <v>1</v>
      </c>
      <c r="J64" s="21" t="n">
        <v>1100</v>
      </c>
      <c r="K64" s="21" t="n">
        <v>1</v>
      </c>
      <c r="L64" s="21" t="n">
        <v>1800</v>
      </c>
      <c r="M64" s="25">
        <f>IF(AND(L64&lt;=Inputs!$C$9,K64&gt;=Inputs!$C$10),1,0)</f>
        <v/>
      </c>
      <c r="N64" s="21" t="inlineStr">
        <is>
          <t>Otherlands</t>
        </is>
      </c>
    </row>
    <row r="65">
      <c r="A65" s="21" t="inlineStr">
        <is>
          <t>Sunburnt Persecution</t>
        </is>
      </c>
      <c r="B65" s="21" t="n">
        <v>44</v>
      </c>
      <c r="C65" s="21" t="n">
        <v>3986</v>
      </c>
      <c r="D65" s="21" t="n">
        <v>0</v>
      </c>
      <c r="E65" s="21" t="n">
        <v>2</v>
      </c>
      <c r="F65" s="25">
        <f>IFERROR(INDEX('Class Table'!$O$4:$O$9,MATCH(E65,'Class Table'!$N$4:$N$9,0)),1)</f>
        <v/>
      </c>
      <c r="G65" s="19">
        <f>D65*F65</f>
        <v/>
      </c>
      <c r="H65" s="21" t="n">
        <v>199</v>
      </c>
      <c r="I65" s="21" t="n">
        <v>1.4</v>
      </c>
      <c r="J65" s="21" t="n">
        <v>900</v>
      </c>
      <c r="K65" s="21" t="n">
        <v>38</v>
      </c>
      <c r="L65" s="21" t="n">
        <v>30</v>
      </c>
      <c r="M65" s="25">
        <f>IF(AND(L65&lt;=Inputs!$C$9,K65&gt;=Inputs!$C$10),1,0)</f>
        <v/>
      </c>
      <c r="N65" s="21" t="inlineStr">
        <is>
          <t>Maroon Bay</t>
        </is>
      </c>
    </row>
    <row r="66">
      <c r="A66" s="21" t="inlineStr">
        <is>
          <t>Frosty</t>
        </is>
      </c>
      <c r="B66" s="21" t="n">
        <v>45</v>
      </c>
      <c r="C66" s="21" t="n">
        <v>18234</v>
      </c>
      <c r="D66" s="21" t="n">
        <v>450</v>
      </c>
      <c r="E66" s="21" t="n">
        <v>3</v>
      </c>
      <c r="F66" s="25">
        <f>IFERROR(INDEX('Class Table'!$O$4:$O$9,MATCH(E66,'Class Table'!$N$4:$N$9,0)),1)</f>
        <v/>
      </c>
      <c r="G66" s="19">
        <f>D66*F66</f>
        <v/>
      </c>
      <c r="H66" s="21" t="n">
        <v>853</v>
      </c>
      <c r="I66" s="21" t="n">
        <v>1</v>
      </c>
      <c r="J66" s="21" t="n">
        <v>2109</v>
      </c>
      <c r="K66" s="21" t="n">
        <v>1</v>
      </c>
      <c r="L66" s="21" t="n">
        <v>7200</v>
      </c>
      <c r="M66" s="25">
        <f>IF(AND(L66&lt;=Inputs!$C$9,K66&gt;=Inputs!$C$10),1,0)</f>
        <v/>
      </c>
      <c r="N66" s="21" t="inlineStr">
        <is>
          <t>Frozen Lake</t>
        </is>
      </c>
    </row>
    <row r="67">
      <c r="A67" s="21" t="inlineStr">
        <is>
          <t>Nibbles</t>
        </is>
      </c>
      <c r="B67" s="21" t="n">
        <v>45</v>
      </c>
      <c r="C67" s="21" t="n">
        <v>9722</v>
      </c>
      <c r="D67" s="21" t="n">
        <v>450</v>
      </c>
      <c r="E67" s="21" t="n">
        <v>3</v>
      </c>
      <c r="F67" s="25">
        <f>IFERROR(INDEX('Class Table'!$O$4:$O$9,MATCH(E67,'Class Table'!$N$4:$N$9,0)),1)</f>
        <v/>
      </c>
      <c r="G67" s="19">
        <f>D67*F67</f>
        <v/>
      </c>
      <c r="H67" s="21" t="n">
        <v>225</v>
      </c>
      <c r="I67" s="21" t="n">
        <v>1.4</v>
      </c>
      <c r="J67" s="21" t="n">
        <v>1200</v>
      </c>
      <c r="K67" s="21" t="n">
        <v>1</v>
      </c>
      <c r="L67" s="21" t="n">
        <v>9000</v>
      </c>
      <c r="M67" s="25">
        <f>IF(AND(L67&lt;=Inputs!$C$9,K67&gt;=Inputs!$C$10),1,0)</f>
        <v/>
      </c>
      <c r="N67" s="21" t="inlineStr">
        <is>
          <t>Its the Bat Cave Robin</t>
        </is>
      </c>
    </row>
    <row r="68">
      <c r="A68" s="21" t="inlineStr">
        <is>
          <t>Record Keeper</t>
        </is>
      </c>
      <c r="B68" s="21" t="n">
        <v>45</v>
      </c>
      <c r="C68" s="21" t="n">
        <v>6234</v>
      </c>
      <c r="D68" s="21" t="n">
        <v>450</v>
      </c>
      <c r="E68" s="21" t="n">
        <v>3</v>
      </c>
      <c r="F68" s="25">
        <f>IFERROR(INDEX('Class Table'!$O$4:$O$9,MATCH(E68,'Class Table'!$N$4:$N$9,0)),1)</f>
        <v/>
      </c>
      <c r="G68" s="19">
        <f>D68*F68</f>
        <v/>
      </c>
      <c r="H68" s="21" t="n">
        <v>315</v>
      </c>
      <c r="I68" s="21" t="n">
        <v>1</v>
      </c>
      <c r="J68" s="21" t="n">
        <v>1200</v>
      </c>
      <c r="K68" s="21" t="n">
        <v>1</v>
      </c>
      <c r="L68" s="21" t="n">
        <v>3600</v>
      </c>
      <c r="M68" s="25">
        <f>IF(AND(L68&lt;=Inputs!$C$9,K68&gt;=Inputs!$C$10),1,0)</f>
        <v/>
      </c>
      <c r="N68" s="21" t="inlineStr">
        <is>
          <t>Undead Hallway</t>
        </is>
      </c>
    </row>
    <row r="69">
      <c r="A69" s="21" t="inlineStr">
        <is>
          <t>Scorched Persecution</t>
        </is>
      </c>
      <c r="B69" s="21" t="n">
        <v>45</v>
      </c>
      <c r="C69" s="21" t="n">
        <v>6234</v>
      </c>
      <c r="D69" s="21" t="n">
        <v>450</v>
      </c>
      <c r="E69" s="21" t="n">
        <v>3</v>
      </c>
      <c r="F69" s="25">
        <f>IFERROR(INDEX('Class Table'!$O$4:$O$9,MATCH(E69,'Class Table'!$N$4:$N$9,0)),1)</f>
        <v/>
      </c>
      <c r="G69" s="19">
        <f>D69*F69</f>
        <v/>
      </c>
      <c r="H69" s="21" t="n">
        <v>235</v>
      </c>
      <c r="I69" s="21" t="n">
        <v>1.4</v>
      </c>
      <c r="J69" s="21" t="n">
        <v>910</v>
      </c>
      <c r="K69" s="21" t="n">
        <v>14</v>
      </c>
      <c r="L69" s="21" t="n">
        <v>60</v>
      </c>
      <c r="M69" s="25">
        <f>IF(AND(L69&lt;=Inputs!$C$9,K69&gt;=Inputs!$C$10),1,0)</f>
        <v/>
      </c>
      <c r="N69" s="21" t="inlineStr">
        <is>
          <t>Maroon Bay</t>
        </is>
      </c>
    </row>
    <row r="70">
      <c r="A70" s="21" t="inlineStr">
        <is>
          <t>Sergeant Persecution</t>
        </is>
      </c>
      <c r="B70" s="21" t="n">
        <v>45</v>
      </c>
      <c r="C70" s="21" t="n">
        <v>6234</v>
      </c>
      <c r="D70" s="21" t="n">
        <v>450</v>
      </c>
      <c r="E70" s="21" t="n">
        <v>3</v>
      </c>
      <c r="F70" s="25">
        <f>IFERROR(INDEX('Class Table'!$O$4:$O$9,MATCH(E70,'Class Table'!$N$4:$N$9,0)),1)</f>
        <v/>
      </c>
      <c r="G70" s="19">
        <f>D70*F70</f>
        <v/>
      </c>
      <c r="H70" s="21" t="n">
        <v>710</v>
      </c>
      <c r="I70" s="21" t="n">
        <v>1.4</v>
      </c>
      <c r="J70" s="21" t="n">
        <v>1309</v>
      </c>
      <c r="K70" s="21" t="n">
        <v>1</v>
      </c>
      <c r="L70" s="21" t="n">
        <v>3600</v>
      </c>
      <c r="M70" s="25">
        <f>IF(AND(L70&lt;=Inputs!$C$9,K70&gt;=Inputs!$C$10),1,0)</f>
        <v/>
      </c>
      <c r="N70" s="21" t="inlineStr">
        <is>
          <t>Otherlands</t>
        </is>
      </c>
    </row>
    <row r="71">
      <c r="A71" s="21" t="inlineStr">
        <is>
          <t>Captain Persecution</t>
        </is>
      </c>
      <c r="B71" s="21" t="n">
        <v>46</v>
      </c>
      <c r="C71" s="21" t="n">
        <v>9510</v>
      </c>
      <c r="D71" s="21" t="n">
        <v>460</v>
      </c>
      <c r="E71" s="21" t="n">
        <v>3</v>
      </c>
      <c r="F71" s="25">
        <f>IFERROR(INDEX('Class Table'!$O$4:$O$9,MATCH(E71,'Class Table'!$N$4:$N$9,0)),1)</f>
        <v/>
      </c>
      <c r="G71" s="19">
        <f>D71*F71</f>
        <v/>
      </c>
      <c r="H71" s="21" t="n">
        <v>326</v>
      </c>
      <c r="I71" s="21" t="n">
        <v>1.4</v>
      </c>
      <c r="J71" s="21" t="n">
        <v>1300</v>
      </c>
      <c r="K71" s="21" t="n">
        <v>1</v>
      </c>
      <c r="L71" s="21" t="n">
        <v>1800</v>
      </c>
      <c r="M71" s="25">
        <f>IF(AND(L71&lt;=Inputs!$C$9,K71&gt;=Inputs!$C$10),1,0)</f>
        <v/>
      </c>
      <c r="N71" s="21" t="inlineStr">
        <is>
          <t>Maroon Bay</t>
        </is>
      </c>
    </row>
    <row r="72">
      <c r="A72" s="21" t="inlineStr">
        <is>
          <t>Crispy Persecution</t>
        </is>
      </c>
      <c r="B72" s="21" t="n">
        <v>46</v>
      </c>
      <c r="C72" s="21" t="n">
        <v>4350</v>
      </c>
      <c r="D72" s="21" t="n">
        <v>0</v>
      </c>
      <c r="E72" s="21" t="n">
        <v>2</v>
      </c>
      <c r="F72" s="25">
        <f>IFERROR(INDEX('Class Table'!$O$4:$O$9,MATCH(E72,'Class Table'!$N$4:$N$9,0)),1)</f>
        <v/>
      </c>
      <c r="G72" s="19">
        <f>D72*F72</f>
        <v/>
      </c>
      <c r="H72" s="21" t="n">
        <v>271</v>
      </c>
      <c r="I72" s="21" t="n">
        <v>1.4</v>
      </c>
      <c r="J72" s="21" t="n">
        <v>930</v>
      </c>
      <c r="K72" s="21" t="n">
        <v>20</v>
      </c>
      <c r="L72" s="21" t="n">
        <v>30</v>
      </c>
      <c r="M72" s="25">
        <f>IF(AND(L72&lt;=Inputs!$C$9,K72&gt;=Inputs!$C$10),1,0)</f>
        <v/>
      </c>
      <c r="N72" s="21" t="inlineStr">
        <is>
          <t>Maroon Bay</t>
        </is>
      </c>
    </row>
    <row r="73">
      <c r="A73" s="21" t="inlineStr">
        <is>
          <t>Charred Persecution</t>
        </is>
      </c>
      <c r="B73" s="21" t="n">
        <v>47</v>
      </c>
      <c r="C73" s="21" t="n">
        <v>6792</v>
      </c>
      <c r="D73" s="21" t="n">
        <v>470</v>
      </c>
      <c r="E73" s="21" t="n">
        <v>3</v>
      </c>
      <c r="F73" s="25">
        <f>IFERROR(INDEX('Class Table'!$O$4:$O$9,MATCH(E73,'Class Table'!$N$4:$N$9,0)),1)</f>
        <v/>
      </c>
      <c r="G73" s="19">
        <f>D73*F73</f>
        <v/>
      </c>
      <c r="H73" s="21" t="n">
        <v>307</v>
      </c>
      <c r="I73" s="21" t="n">
        <v>1.4</v>
      </c>
      <c r="J73" s="21" t="n">
        <v>950</v>
      </c>
      <c r="K73" s="21" t="n">
        <v>20</v>
      </c>
      <c r="L73" s="21" t="n">
        <v>60</v>
      </c>
      <c r="M73" s="25">
        <f>IF(AND(L73&lt;=Inputs!$C$9,K73&gt;=Inputs!$C$10),1,0)</f>
        <v/>
      </c>
      <c r="N73" s="21" t="inlineStr">
        <is>
          <t>Maroon Bay</t>
        </is>
      </c>
    </row>
    <row r="74">
      <c r="A74" s="21" t="inlineStr">
        <is>
          <t>Admiral Persecution</t>
        </is>
      </c>
      <c r="B74" s="21" t="n">
        <v>48</v>
      </c>
      <c r="C74" s="21" t="n">
        <v>11580</v>
      </c>
      <c r="D74" s="21" t="n">
        <v>480</v>
      </c>
      <c r="E74" s="21" t="n">
        <v>3</v>
      </c>
      <c r="F74" s="25">
        <f>IFERROR(INDEX('Class Table'!$O$4:$O$9,MATCH(E74,'Class Table'!$N$4:$N$9,0)),1)</f>
        <v/>
      </c>
      <c r="G74" s="19">
        <f>D74*F74</f>
        <v/>
      </c>
      <c r="H74" s="21" t="n">
        <v>398</v>
      </c>
      <c r="I74" s="21" t="n">
        <v>1.4</v>
      </c>
      <c r="J74" s="21" t="n">
        <v>1500</v>
      </c>
      <c r="K74" s="21" t="n">
        <v>1</v>
      </c>
      <c r="L74" s="21" t="n">
        <v>1800</v>
      </c>
      <c r="M74" s="25">
        <f>IF(AND(L74&lt;=Inputs!$C$9,K74&gt;=Inputs!$C$10),1,0)</f>
        <v/>
      </c>
      <c r="N74" s="21" t="inlineStr">
        <is>
          <t>Maroon Bay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1.5" customWidth="1" min="1" max="1"/>
    <col width="11.5" customWidth="1" min="2" max="2"/>
    <col width="11.5" customWidth="1" min="3" max="3"/>
    <col width="11.5" customWidth="1" min="4" max="4"/>
    <col width="11.5" customWidth="1" min="5" max="5"/>
    <col width="11.5" customWidth="1" min="6" max="6"/>
    <col width="11.5" customWidth="1" min="7" max="7"/>
    <col width="11.5" customWidth="1" min="8" max="8"/>
  </cols>
  <sheetData>
    <row r="1">
      <c r="A1" s="1" t="inlineStr">
        <is>
          <t>Opponent per player level</t>
        </is>
      </c>
      <c r="B1" s="2" t="n"/>
      <c r="C1" s="2" t="n"/>
      <c r="D1" s="2" t="n"/>
      <c r="E1" s="2" t="n"/>
      <c r="F1" s="2" t="n"/>
      <c r="G1" s="2" t="n"/>
      <c r="H1" s="2" t="n"/>
    </row>
    <row r="2">
      <c r="A2" s="42" t="inlineStr">
        <is>
          <t>Typical = average of trash mobs within the level window (Inputs). Zero rows mean no trash mob near that level - widen the window.</t>
        </is>
      </c>
      <c r="B2" s="2" t="n"/>
      <c r="C2" s="2" t="n"/>
      <c r="D2" s="2" t="n"/>
      <c r="E2" s="2" t="n"/>
      <c r="F2" s="2" t="n"/>
      <c r="G2" s="2" t="n"/>
      <c r="H2" s="2" t="n"/>
    </row>
    <row r="3" ht="45" customHeight="1">
      <c r="A3" s="7" t="inlineStr">
        <is>
          <t>Player level</t>
        </is>
      </c>
      <c r="B3" s="7" t="inlineStr">
        <is>
          <t>Mob level</t>
        </is>
      </c>
      <c r="C3" s="7" t="inlineStr">
        <is>
          <t>Mob HP</t>
        </is>
      </c>
      <c r="D3" s="7" t="inlineStr">
        <is>
          <t>Mob effective AC</t>
        </is>
      </c>
      <c r="E3" s="7" t="inlineStr">
        <is>
          <t>Mob base hit</t>
        </is>
      </c>
      <c r="F3" s="7" t="inlineStr">
        <is>
          <t>Mob attack interval s</t>
        </is>
      </c>
      <c r="G3" s="7" t="inlineStr">
        <is>
          <t>Mob exp</t>
        </is>
      </c>
      <c r="H3" s="7" t="inlineStr">
        <is>
          <t>Mobs averaged</t>
        </is>
      </c>
    </row>
    <row r="4">
      <c r="A4" s="8" t="n">
        <v>1</v>
      </c>
      <c r="B4" s="14">
        <f>IF(Inputs!$C$7&lt;&gt;"",INDEX(Mobs!$B$4:$B$74,MATCH(Inputs!$C$7,Mobs!$A$4:$A$74,0)),MIN(49,MAX(1,A4+Inputs!$C$6)))</f>
        <v/>
      </c>
      <c r="C4" s="9">
        <f>IF(Inputs!$C$7&lt;&gt;"",INDEX(Mobs!$C$4:$C$74,MATCH(Inputs!$C$7,Mobs!$A$4:$A$74,0)),IFERROR(AVERAGEIFS(Mobs!$C$4:$C$74,Mobs!$B$4:$B$74,"&gt;="&amp;(B4-Inputs!$C$8),Mobs!$B$4:$B$74,"&lt;="&amp;(B4+Inputs!$C$8),Mobs!$M$4:$M$74,1),0))</f>
        <v/>
      </c>
      <c r="D4" s="9">
        <f>IF(Inputs!$C$7&lt;&gt;"",INDEX(Mobs!$G$4:$G$74,MATCH(Inputs!$C$7,Mobs!$A$4:$A$74,0)),IFERROR(AVERAGEIFS(Mobs!$G$4:$G$74,Mobs!$B$4:$B$74,"&gt;="&amp;(B4-Inputs!$C$8),Mobs!$B$4:$B$74,"&lt;="&amp;(B4+Inputs!$C$8),Mobs!$M$4:$M$74,1),0))</f>
        <v/>
      </c>
      <c r="E4" s="9">
        <f>IF(Inputs!$C$7&lt;&gt;"",INDEX(Mobs!$H$4:$H$74,MATCH(Inputs!$C$7,Mobs!$A$4:$A$74,0)),IFERROR(AVERAGEIFS(Mobs!$H$4:$H$74,Mobs!$B$4:$B$74,"&gt;="&amp;(B4-Inputs!$C$8),Mobs!$B$4:$B$74,"&lt;="&amp;(B4+Inputs!$C$8),Mobs!$M$4:$M$74,1),0))</f>
        <v/>
      </c>
      <c r="F4" s="16">
        <f>IF(Inputs!$C$7&lt;&gt;"",INDEX(Mobs!$I$4:$I$74,MATCH(Inputs!$C$7,Mobs!$A$4:$A$74,0)),IFERROR(AVERAGEIFS(Mobs!$I$4:$I$74,Mobs!$B$4:$B$74,"&gt;="&amp;(B4-Inputs!$C$8),Mobs!$B$4:$B$74,"&lt;="&amp;(B4+Inputs!$C$8),Mobs!$M$4:$M$74,1),0))</f>
        <v/>
      </c>
      <c r="G4" s="9">
        <f>IF(Inputs!$C$7&lt;&gt;"",INDEX(Mobs!$J$4:$J$74,MATCH(Inputs!$C$7,Mobs!$A$4:$A$74,0)),IFERROR(AVERAGEIFS(Mobs!$J$4:$J$74,Mobs!$B$4:$B$74,"&gt;="&amp;(B4-Inputs!$C$8),Mobs!$B$4:$B$74,"&lt;="&amp;(B4+Inputs!$C$8),Mobs!$M$4:$M$74,1),0))</f>
        <v/>
      </c>
      <c r="H4" s="14">
        <f>IF(Inputs!$C$7&lt;&gt;"",1,COUNTIFS(Mobs!$B$4:$B$74,"&gt;="&amp;(B4-Inputs!$C$8),Mobs!$B$4:$B$74,"&lt;="&amp;(B4+Inputs!$C$8),Mobs!$M$4:$M$74,1))</f>
        <v/>
      </c>
    </row>
    <row r="5">
      <c r="A5" s="8" t="n">
        <v>2</v>
      </c>
      <c r="B5" s="14">
        <f>IF(Inputs!$C$7&lt;&gt;"",INDEX(Mobs!$B$4:$B$74,MATCH(Inputs!$C$7,Mobs!$A$4:$A$74,0)),MIN(49,MAX(1,A5+Inputs!$C$6)))</f>
        <v/>
      </c>
      <c r="C5" s="9">
        <f>IF(Inputs!$C$7&lt;&gt;"",INDEX(Mobs!$C$4:$C$74,MATCH(Inputs!$C$7,Mobs!$A$4:$A$74,0)),IFERROR(AVERAGEIFS(Mobs!$C$4:$C$74,Mobs!$B$4:$B$74,"&gt;="&amp;(B5-Inputs!$C$8),Mobs!$B$4:$B$74,"&lt;="&amp;(B5+Inputs!$C$8),Mobs!$M$4:$M$74,1),0))</f>
        <v/>
      </c>
      <c r="D5" s="9">
        <f>IF(Inputs!$C$7&lt;&gt;"",INDEX(Mobs!$G$4:$G$74,MATCH(Inputs!$C$7,Mobs!$A$4:$A$74,0)),IFERROR(AVERAGEIFS(Mobs!$G$4:$G$74,Mobs!$B$4:$B$74,"&gt;="&amp;(B5-Inputs!$C$8),Mobs!$B$4:$B$74,"&lt;="&amp;(B5+Inputs!$C$8),Mobs!$M$4:$M$74,1),0))</f>
        <v/>
      </c>
      <c r="E5" s="9">
        <f>IF(Inputs!$C$7&lt;&gt;"",INDEX(Mobs!$H$4:$H$74,MATCH(Inputs!$C$7,Mobs!$A$4:$A$74,0)),IFERROR(AVERAGEIFS(Mobs!$H$4:$H$74,Mobs!$B$4:$B$74,"&gt;="&amp;(B5-Inputs!$C$8),Mobs!$B$4:$B$74,"&lt;="&amp;(B5+Inputs!$C$8),Mobs!$M$4:$M$74,1),0))</f>
        <v/>
      </c>
      <c r="F5" s="16">
        <f>IF(Inputs!$C$7&lt;&gt;"",INDEX(Mobs!$I$4:$I$74,MATCH(Inputs!$C$7,Mobs!$A$4:$A$74,0)),IFERROR(AVERAGEIFS(Mobs!$I$4:$I$74,Mobs!$B$4:$B$74,"&gt;="&amp;(B5-Inputs!$C$8),Mobs!$B$4:$B$74,"&lt;="&amp;(B5+Inputs!$C$8),Mobs!$M$4:$M$74,1),0))</f>
        <v/>
      </c>
      <c r="G5" s="9">
        <f>IF(Inputs!$C$7&lt;&gt;"",INDEX(Mobs!$J$4:$J$74,MATCH(Inputs!$C$7,Mobs!$A$4:$A$74,0)),IFERROR(AVERAGEIFS(Mobs!$J$4:$J$74,Mobs!$B$4:$B$74,"&gt;="&amp;(B5-Inputs!$C$8),Mobs!$B$4:$B$74,"&lt;="&amp;(B5+Inputs!$C$8),Mobs!$M$4:$M$74,1),0))</f>
        <v/>
      </c>
      <c r="H5" s="14">
        <f>IF(Inputs!$C$7&lt;&gt;"",1,COUNTIFS(Mobs!$B$4:$B$74,"&gt;="&amp;(B5-Inputs!$C$8),Mobs!$B$4:$B$74,"&lt;="&amp;(B5+Inputs!$C$8),Mobs!$M$4:$M$74,1))</f>
        <v/>
      </c>
    </row>
    <row r="6">
      <c r="A6" s="8" t="n">
        <v>3</v>
      </c>
      <c r="B6" s="14">
        <f>IF(Inputs!$C$7&lt;&gt;"",INDEX(Mobs!$B$4:$B$74,MATCH(Inputs!$C$7,Mobs!$A$4:$A$74,0)),MIN(49,MAX(1,A6+Inputs!$C$6)))</f>
        <v/>
      </c>
      <c r="C6" s="9">
        <f>IF(Inputs!$C$7&lt;&gt;"",INDEX(Mobs!$C$4:$C$74,MATCH(Inputs!$C$7,Mobs!$A$4:$A$74,0)),IFERROR(AVERAGEIFS(Mobs!$C$4:$C$74,Mobs!$B$4:$B$74,"&gt;="&amp;(B6-Inputs!$C$8),Mobs!$B$4:$B$74,"&lt;="&amp;(B6+Inputs!$C$8),Mobs!$M$4:$M$74,1),0))</f>
        <v/>
      </c>
      <c r="D6" s="9">
        <f>IF(Inputs!$C$7&lt;&gt;"",INDEX(Mobs!$G$4:$G$74,MATCH(Inputs!$C$7,Mobs!$A$4:$A$74,0)),IFERROR(AVERAGEIFS(Mobs!$G$4:$G$74,Mobs!$B$4:$B$74,"&gt;="&amp;(B6-Inputs!$C$8),Mobs!$B$4:$B$74,"&lt;="&amp;(B6+Inputs!$C$8),Mobs!$M$4:$M$74,1),0))</f>
        <v/>
      </c>
      <c r="E6" s="9">
        <f>IF(Inputs!$C$7&lt;&gt;"",INDEX(Mobs!$H$4:$H$74,MATCH(Inputs!$C$7,Mobs!$A$4:$A$74,0)),IFERROR(AVERAGEIFS(Mobs!$H$4:$H$74,Mobs!$B$4:$B$74,"&gt;="&amp;(B6-Inputs!$C$8),Mobs!$B$4:$B$74,"&lt;="&amp;(B6+Inputs!$C$8),Mobs!$M$4:$M$74,1),0))</f>
        <v/>
      </c>
      <c r="F6" s="16">
        <f>IF(Inputs!$C$7&lt;&gt;"",INDEX(Mobs!$I$4:$I$74,MATCH(Inputs!$C$7,Mobs!$A$4:$A$74,0)),IFERROR(AVERAGEIFS(Mobs!$I$4:$I$74,Mobs!$B$4:$B$74,"&gt;="&amp;(B6-Inputs!$C$8),Mobs!$B$4:$B$74,"&lt;="&amp;(B6+Inputs!$C$8),Mobs!$M$4:$M$74,1),0))</f>
        <v/>
      </c>
      <c r="G6" s="9">
        <f>IF(Inputs!$C$7&lt;&gt;"",INDEX(Mobs!$J$4:$J$74,MATCH(Inputs!$C$7,Mobs!$A$4:$A$74,0)),IFERROR(AVERAGEIFS(Mobs!$J$4:$J$74,Mobs!$B$4:$B$74,"&gt;="&amp;(B6-Inputs!$C$8),Mobs!$B$4:$B$74,"&lt;="&amp;(B6+Inputs!$C$8),Mobs!$M$4:$M$74,1),0))</f>
        <v/>
      </c>
      <c r="H6" s="14">
        <f>IF(Inputs!$C$7&lt;&gt;"",1,COUNTIFS(Mobs!$B$4:$B$74,"&gt;="&amp;(B6-Inputs!$C$8),Mobs!$B$4:$B$74,"&lt;="&amp;(B6+Inputs!$C$8),Mobs!$M$4:$M$74,1))</f>
        <v/>
      </c>
    </row>
    <row r="7">
      <c r="A7" s="8" t="n">
        <v>4</v>
      </c>
      <c r="B7" s="14">
        <f>IF(Inputs!$C$7&lt;&gt;"",INDEX(Mobs!$B$4:$B$74,MATCH(Inputs!$C$7,Mobs!$A$4:$A$74,0)),MIN(49,MAX(1,A7+Inputs!$C$6)))</f>
        <v/>
      </c>
      <c r="C7" s="9">
        <f>IF(Inputs!$C$7&lt;&gt;"",INDEX(Mobs!$C$4:$C$74,MATCH(Inputs!$C$7,Mobs!$A$4:$A$74,0)),IFERROR(AVERAGEIFS(Mobs!$C$4:$C$74,Mobs!$B$4:$B$74,"&gt;="&amp;(B7-Inputs!$C$8),Mobs!$B$4:$B$74,"&lt;="&amp;(B7+Inputs!$C$8),Mobs!$M$4:$M$74,1),0))</f>
        <v/>
      </c>
      <c r="D7" s="9">
        <f>IF(Inputs!$C$7&lt;&gt;"",INDEX(Mobs!$G$4:$G$74,MATCH(Inputs!$C$7,Mobs!$A$4:$A$74,0)),IFERROR(AVERAGEIFS(Mobs!$G$4:$G$74,Mobs!$B$4:$B$74,"&gt;="&amp;(B7-Inputs!$C$8),Mobs!$B$4:$B$74,"&lt;="&amp;(B7+Inputs!$C$8),Mobs!$M$4:$M$74,1),0))</f>
        <v/>
      </c>
      <c r="E7" s="9">
        <f>IF(Inputs!$C$7&lt;&gt;"",INDEX(Mobs!$H$4:$H$74,MATCH(Inputs!$C$7,Mobs!$A$4:$A$74,0)),IFERROR(AVERAGEIFS(Mobs!$H$4:$H$74,Mobs!$B$4:$B$74,"&gt;="&amp;(B7-Inputs!$C$8),Mobs!$B$4:$B$74,"&lt;="&amp;(B7+Inputs!$C$8),Mobs!$M$4:$M$74,1),0))</f>
        <v/>
      </c>
      <c r="F7" s="16">
        <f>IF(Inputs!$C$7&lt;&gt;"",INDEX(Mobs!$I$4:$I$74,MATCH(Inputs!$C$7,Mobs!$A$4:$A$74,0)),IFERROR(AVERAGEIFS(Mobs!$I$4:$I$74,Mobs!$B$4:$B$74,"&gt;="&amp;(B7-Inputs!$C$8),Mobs!$B$4:$B$74,"&lt;="&amp;(B7+Inputs!$C$8),Mobs!$M$4:$M$74,1),0))</f>
        <v/>
      </c>
      <c r="G7" s="9">
        <f>IF(Inputs!$C$7&lt;&gt;"",INDEX(Mobs!$J$4:$J$74,MATCH(Inputs!$C$7,Mobs!$A$4:$A$74,0)),IFERROR(AVERAGEIFS(Mobs!$J$4:$J$74,Mobs!$B$4:$B$74,"&gt;="&amp;(B7-Inputs!$C$8),Mobs!$B$4:$B$74,"&lt;="&amp;(B7+Inputs!$C$8),Mobs!$M$4:$M$74,1),0))</f>
        <v/>
      </c>
      <c r="H7" s="14">
        <f>IF(Inputs!$C$7&lt;&gt;"",1,COUNTIFS(Mobs!$B$4:$B$74,"&gt;="&amp;(B7-Inputs!$C$8),Mobs!$B$4:$B$74,"&lt;="&amp;(B7+Inputs!$C$8),Mobs!$M$4:$M$74,1))</f>
        <v/>
      </c>
    </row>
    <row r="8">
      <c r="A8" s="8" t="n">
        <v>5</v>
      </c>
      <c r="B8" s="14">
        <f>IF(Inputs!$C$7&lt;&gt;"",INDEX(Mobs!$B$4:$B$74,MATCH(Inputs!$C$7,Mobs!$A$4:$A$74,0)),MIN(49,MAX(1,A8+Inputs!$C$6)))</f>
        <v/>
      </c>
      <c r="C8" s="9">
        <f>IF(Inputs!$C$7&lt;&gt;"",INDEX(Mobs!$C$4:$C$74,MATCH(Inputs!$C$7,Mobs!$A$4:$A$74,0)),IFERROR(AVERAGEIFS(Mobs!$C$4:$C$74,Mobs!$B$4:$B$74,"&gt;="&amp;(B8-Inputs!$C$8),Mobs!$B$4:$B$74,"&lt;="&amp;(B8+Inputs!$C$8),Mobs!$M$4:$M$74,1),0))</f>
        <v/>
      </c>
      <c r="D8" s="9">
        <f>IF(Inputs!$C$7&lt;&gt;"",INDEX(Mobs!$G$4:$G$74,MATCH(Inputs!$C$7,Mobs!$A$4:$A$74,0)),IFERROR(AVERAGEIFS(Mobs!$G$4:$G$74,Mobs!$B$4:$B$74,"&gt;="&amp;(B8-Inputs!$C$8),Mobs!$B$4:$B$74,"&lt;="&amp;(B8+Inputs!$C$8),Mobs!$M$4:$M$74,1),0))</f>
        <v/>
      </c>
      <c r="E8" s="9">
        <f>IF(Inputs!$C$7&lt;&gt;"",INDEX(Mobs!$H$4:$H$74,MATCH(Inputs!$C$7,Mobs!$A$4:$A$74,0)),IFERROR(AVERAGEIFS(Mobs!$H$4:$H$74,Mobs!$B$4:$B$74,"&gt;="&amp;(B8-Inputs!$C$8),Mobs!$B$4:$B$74,"&lt;="&amp;(B8+Inputs!$C$8),Mobs!$M$4:$M$74,1),0))</f>
        <v/>
      </c>
      <c r="F8" s="16">
        <f>IF(Inputs!$C$7&lt;&gt;"",INDEX(Mobs!$I$4:$I$74,MATCH(Inputs!$C$7,Mobs!$A$4:$A$74,0)),IFERROR(AVERAGEIFS(Mobs!$I$4:$I$74,Mobs!$B$4:$B$74,"&gt;="&amp;(B8-Inputs!$C$8),Mobs!$B$4:$B$74,"&lt;="&amp;(B8+Inputs!$C$8),Mobs!$M$4:$M$74,1),0))</f>
        <v/>
      </c>
      <c r="G8" s="9">
        <f>IF(Inputs!$C$7&lt;&gt;"",INDEX(Mobs!$J$4:$J$74,MATCH(Inputs!$C$7,Mobs!$A$4:$A$74,0)),IFERROR(AVERAGEIFS(Mobs!$J$4:$J$74,Mobs!$B$4:$B$74,"&gt;="&amp;(B8-Inputs!$C$8),Mobs!$B$4:$B$74,"&lt;="&amp;(B8+Inputs!$C$8),Mobs!$M$4:$M$74,1),0))</f>
        <v/>
      </c>
      <c r="H8" s="14">
        <f>IF(Inputs!$C$7&lt;&gt;"",1,COUNTIFS(Mobs!$B$4:$B$74,"&gt;="&amp;(B8-Inputs!$C$8),Mobs!$B$4:$B$74,"&lt;="&amp;(B8+Inputs!$C$8),Mobs!$M$4:$M$74,1))</f>
        <v/>
      </c>
    </row>
    <row r="9">
      <c r="A9" s="8" t="n">
        <v>6</v>
      </c>
      <c r="B9" s="14">
        <f>IF(Inputs!$C$7&lt;&gt;"",INDEX(Mobs!$B$4:$B$74,MATCH(Inputs!$C$7,Mobs!$A$4:$A$74,0)),MIN(49,MAX(1,A9+Inputs!$C$6)))</f>
        <v/>
      </c>
      <c r="C9" s="9">
        <f>IF(Inputs!$C$7&lt;&gt;"",INDEX(Mobs!$C$4:$C$74,MATCH(Inputs!$C$7,Mobs!$A$4:$A$74,0)),IFERROR(AVERAGEIFS(Mobs!$C$4:$C$74,Mobs!$B$4:$B$74,"&gt;="&amp;(B9-Inputs!$C$8),Mobs!$B$4:$B$74,"&lt;="&amp;(B9+Inputs!$C$8),Mobs!$M$4:$M$74,1),0))</f>
        <v/>
      </c>
      <c r="D9" s="9">
        <f>IF(Inputs!$C$7&lt;&gt;"",INDEX(Mobs!$G$4:$G$74,MATCH(Inputs!$C$7,Mobs!$A$4:$A$74,0)),IFERROR(AVERAGEIFS(Mobs!$G$4:$G$74,Mobs!$B$4:$B$74,"&gt;="&amp;(B9-Inputs!$C$8),Mobs!$B$4:$B$74,"&lt;="&amp;(B9+Inputs!$C$8),Mobs!$M$4:$M$74,1),0))</f>
        <v/>
      </c>
      <c r="E9" s="9">
        <f>IF(Inputs!$C$7&lt;&gt;"",INDEX(Mobs!$H$4:$H$74,MATCH(Inputs!$C$7,Mobs!$A$4:$A$74,0)),IFERROR(AVERAGEIFS(Mobs!$H$4:$H$74,Mobs!$B$4:$B$74,"&gt;="&amp;(B9-Inputs!$C$8),Mobs!$B$4:$B$74,"&lt;="&amp;(B9+Inputs!$C$8),Mobs!$M$4:$M$74,1),0))</f>
        <v/>
      </c>
      <c r="F9" s="16">
        <f>IF(Inputs!$C$7&lt;&gt;"",INDEX(Mobs!$I$4:$I$74,MATCH(Inputs!$C$7,Mobs!$A$4:$A$74,0)),IFERROR(AVERAGEIFS(Mobs!$I$4:$I$74,Mobs!$B$4:$B$74,"&gt;="&amp;(B9-Inputs!$C$8),Mobs!$B$4:$B$74,"&lt;="&amp;(B9+Inputs!$C$8),Mobs!$M$4:$M$74,1),0))</f>
        <v/>
      </c>
      <c r="G9" s="9">
        <f>IF(Inputs!$C$7&lt;&gt;"",INDEX(Mobs!$J$4:$J$74,MATCH(Inputs!$C$7,Mobs!$A$4:$A$74,0)),IFERROR(AVERAGEIFS(Mobs!$J$4:$J$74,Mobs!$B$4:$B$74,"&gt;="&amp;(B9-Inputs!$C$8),Mobs!$B$4:$B$74,"&lt;="&amp;(B9+Inputs!$C$8),Mobs!$M$4:$M$74,1),0))</f>
        <v/>
      </c>
      <c r="H9" s="14">
        <f>IF(Inputs!$C$7&lt;&gt;"",1,COUNTIFS(Mobs!$B$4:$B$74,"&gt;="&amp;(B9-Inputs!$C$8),Mobs!$B$4:$B$74,"&lt;="&amp;(B9+Inputs!$C$8),Mobs!$M$4:$M$74,1))</f>
        <v/>
      </c>
    </row>
    <row r="10">
      <c r="A10" s="8" t="n">
        <v>7</v>
      </c>
      <c r="B10" s="14">
        <f>IF(Inputs!$C$7&lt;&gt;"",INDEX(Mobs!$B$4:$B$74,MATCH(Inputs!$C$7,Mobs!$A$4:$A$74,0)),MIN(49,MAX(1,A10+Inputs!$C$6)))</f>
        <v/>
      </c>
      <c r="C10" s="9">
        <f>IF(Inputs!$C$7&lt;&gt;"",INDEX(Mobs!$C$4:$C$74,MATCH(Inputs!$C$7,Mobs!$A$4:$A$74,0)),IFERROR(AVERAGEIFS(Mobs!$C$4:$C$74,Mobs!$B$4:$B$74,"&gt;="&amp;(B10-Inputs!$C$8),Mobs!$B$4:$B$74,"&lt;="&amp;(B10+Inputs!$C$8),Mobs!$M$4:$M$74,1),0))</f>
        <v/>
      </c>
      <c r="D10" s="9">
        <f>IF(Inputs!$C$7&lt;&gt;"",INDEX(Mobs!$G$4:$G$74,MATCH(Inputs!$C$7,Mobs!$A$4:$A$74,0)),IFERROR(AVERAGEIFS(Mobs!$G$4:$G$74,Mobs!$B$4:$B$74,"&gt;="&amp;(B10-Inputs!$C$8),Mobs!$B$4:$B$74,"&lt;="&amp;(B10+Inputs!$C$8),Mobs!$M$4:$M$74,1),0))</f>
        <v/>
      </c>
      <c r="E10" s="9">
        <f>IF(Inputs!$C$7&lt;&gt;"",INDEX(Mobs!$H$4:$H$74,MATCH(Inputs!$C$7,Mobs!$A$4:$A$74,0)),IFERROR(AVERAGEIFS(Mobs!$H$4:$H$74,Mobs!$B$4:$B$74,"&gt;="&amp;(B10-Inputs!$C$8),Mobs!$B$4:$B$74,"&lt;="&amp;(B10+Inputs!$C$8),Mobs!$M$4:$M$74,1),0))</f>
        <v/>
      </c>
      <c r="F10" s="16">
        <f>IF(Inputs!$C$7&lt;&gt;"",INDEX(Mobs!$I$4:$I$74,MATCH(Inputs!$C$7,Mobs!$A$4:$A$74,0)),IFERROR(AVERAGEIFS(Mobs!$I$4:$I$74,Mobs!$B$4:$B$74,"&gt;="&amp;(B10-Inputs!$C$8),Mobs!$B$4:$B$74,"&lt;="&amp;(B10+Inputs!$C$8),Mobs!$M$4:$M$74,1),0))</f>
        <v/>
      </c>
      <c r="G10" s="9">
        <f>IF(Inputs!$C$7&lt;&gt;"",INDEX(Mobs!$J$4:$J$74,MATCH(Inputs!$C$7,Mobs!$A$4:$A$74,0)),IFERROR(AVERAGEIFS(Mobs!$J$4:$J$74,Mobs!$B$4:$B$74,"&gt;="&amp;(B10-Inputs!$C$8),Mobs!$B$4:$B$74,"&lt;="&amp;(B10+Inputs!$C$8),Mobs!$M$4:$M$74,1),0))</f>
        <v/>
      </c>
      <c r="H10" s="14">
        <f>IF(Inputs!$C$7&lt;&gt;"",1,COUNTIFS(Mobs!$B$4:$B$74,"&gt;="&amp;(B10-Inputs!$C$8),Mobs!$B$4:$B$74,"&lt;="&amp;(B10+Inputs!$C$8),Mobs!$M$4:$M$74,1))</f>
        <v/>
      </c>
    </row>
    <row r="11">
      <c r="A11" s="8" t="n">
        <v>8</v>
      </c>
      <c r="B11" s="14">
        <f>IF(Inputs!$C$7&lt;&gt;"",INDEX(Mobs!$B$4:$B$74,MATCH(Inputs!$C$7,Mobs!$A$4:$A$74,0)),MIN(49,MAX(1,A11+Inputs!$C$6)))</f>
        <v/>
      </c>
      <c r="C11" s="9">
        <f>IF(Inputs!$C$7&lt;&gt;"",INDEX(Mobs!$C$4:$C$74,MATCH(Inputs!$C$7,Mobs!$A$4:$A$74,0)),IFERROR(AVERAGEIFS(Mobs!$C$4:$C$74,Mobs!$B$4:$B$74,"&gt;="&amp;(B11-Inputs!$C$8),Mobs!$B$4:$B$74,"&lt;="&amp;(B11+Inputs!$C$8),Mobs!$M$4:$M$74,1),0))</f>
        <v/>
      </c>
      <c r="D11" s="9">
        <f>IF(Inputs!$C$7&lt;&gt;"",INDEX(Mobs!$G$4:$G$74,MATCH(Inputs!$C$7,Mobs!$A$4:$A$74,0)),IFERROR(AVERAGEIFS(Mobs!$G$4:$G$74,Mobs!$B$4:$B$74,"&gt;="&amp;(B11-Inputs!$C$8),Mobs!$B$4:$B$74,"&lt;="&amp;(B11+Inputs!$C$8),Mobs!$M$4:$M$74,1),0))</f>
        <v/>
      </c>
      <c r="E11" s="9">
        <f>IF(Inputs!$C$7&lt;&gt;"",INDEX(Mobs!$H$4:$H$74,MATCH(Inputs!$C$7,Mobs!$A$4:$A$74,0)),IFERROR(AVERAGEIFS(Mobs!$H$4:$H$74,Mobs!$B$4:$B$74,"&gt;="&amp;(B11-Inputs!$C$8),Mobs!$B$4:$B$74,"&lt;="&amp;(B11+Inputs!$C$8),Mobs!$M$4:$M$74,1),0))</f>
        <v/>
      </c>
      <c r="F11" s="16">
        <f>IF(Inputs!$C$7&lt;&gt;"",INDEX(Mobs!$I$4:$I$74,MATCH(Inputs!$C$7,Mobs!$A$4:$A$74,0)),IFERROR(AVERAGEIFS(Mobs!$I$4:$I$74,Mobs!$B$4:$B$74,"&gt;="&amp;(B11-Inputs!$C$8),Mobs!$B$4:$B$74,"&lt;="&amp;(B11+Inputs!$C$8),Mobs!$M$4:$M$74,1),0))</f>
        <v/>
      </c>
      <c r="G11" s="9">
        <f>IF(Inputs!$C$7&lt;&gt;"",INDEX(Mobs!$J$4:$J$74,MATCH(Inputs!$C$7,Mobs!$A$4:$A$74,0)),IFERROR(AVERAGEIFS(Mobs!$J$4:$J$74,Mobs!$B$4:$B$74,"&gt;="&amp;(B11-Inputs!$C$8),Mobs!$B$4:$B$74,"&lt;="&amp;(B11+Inputs!$C$8),Mobs!$M$4:$M$74,1),0))</f>
        <v/>
      </c>
      <c r="H11" s="14">
        <f>IF(Inputs!$C$7&lt;&gt;"",1,COUNTIFS(Mobs!$B$4:$B$74,"&gt;="&amp;(B11-Inputs!$C$8),Mobs!$B$4:$B$74,"&lt;="&amp;(B11+Inputs!$C$8),Mobs!$M$4:$M$74,1))</f>
        <v/>
      </c>
    </row>
    <row r="12">
      <c r="A12" s="8" t="n">
        <v>9</v>
      </c>
      <c r="B12" s="14">
        <f>IF(Inputs!$C$7&lt;&gt;"",INDEX(Mobs!$B$4:$B$74,MATCH(Inputs!$C$7,Mobs!$A$4:$A$74,0)),MIN(49,MAX(1,A12+Inputs!$C$6)))</f>
        <v/>
      </c>
      <c r="C12" s="9">
        <f>IF(Inputs!$C$7&lt;&gt;"",INDEX(Mobs!$C$4:$C$74,MATCH(Inputs!$C$7,Mobs!$A$4:$A$74,0)),IFERROR(AVERAGEIFS(Mobs!$C$4:$C$74,Mobs!$B$4:$B$74,"&gt;="&amp;(B12-Inputs!$C$8),Mobs!$B$4:$B$74,"&lt;="&amp;(B12+Inputs!$C$8),Mobs!$M$4:$M$74,1),0))</f>
        <v/>
      </c>
      <c r="D12" s="9">
        <f>IF(Inputs!$C$7&lt;&gt;"",INDEX(Mobs!$G$4:$G$74,MATCH(Inputs!$C$7,Mobs!$A$4:$A$74,0)),IFERROR(AVERAGEIFS(Mobs!$G$4:$G$74,Mobs!$B$4:$B$74,"&gt;="&amp;(B12-Inputs!$C$8),Mobs!$B$4:$B$74,"&lt;="&amp;(B12+Inputs!$C$8),Mobs!$M$4:$M$74,1),0))</f>
        <v/>
      </c>
      <c r="E12" s="9">
        <f>IF(Inputs!$C$7&lt;&gt;"",INDEX(Mobs!$H$4:$H$74,MATCH(Inputs!$C$7,Mobs!$A$4:$A$74,0)),IFERROR(AVERAGEIFS(Mobs!$H$4:$H$74,Mobs!$B$4:$B$74,"&gt;="&amp;(B12-Inputs!$C$8),Mobs!$B$4:$B$74,"&lt;="&amp;(B12+Inputs!$C$8),Mobs!$M$4:$M$74,1),0))</f>
        <v/>
      </c>
      <c r="F12" s="16">
        <f>IF(Inputs!$C$7&lt;&gt;"",INDEX(Mobs!$I$4:$I$74,MATCH(Inputs!$C$7,Mobs!$A$4:$A$74,0)),IFERROR(AVERAGEIFS(Mobs!$I$4:$I$74,Mobs!$B$4:$B$74,"&gt;="&amp;(B12-Inputs!$C$8),Mobs!$B$4:$B$74,"&lt;="&amp;(B12+Inputs!$C$8),Mobs!$M$4:$M$74,1),0))</f>
        <v/>
      </c>
      <c r="G12" s="9">
        <f>IF(Inputs!$C$7&lt;&gt;"",INDEX(Mobs!$J$4:$J$74,MATCH(Inputs!$C$7,Mobs!$A$4:$A$74,0)),IFERROR(AVERAGEIFS(Mobs!$J$4:$J$74,Mobs!$B$4:$B$74,"&gt;="&amp;(B12-Inputs!$C$8),Mobs!$B$4:$B$74,"&lt;="&amp;(B12+Inputs!$C$8),Mobs!$M$4:$M$74,1),0))</f>
        <v/>
      </c>
      <c r="H12" s="14">
        <f>IF(Inputs!$C$7&lt;&gt;"",1,COUNTIFS(Mobs!$B$4:$B$74,"&gt;="&amp;(B12-Inputs!$C$8),Mobs!$B$4:$B$74,"&lt;="&amp;(B12+Inputs!$C$8),Mobs!$M$4:$M$74,1))</f>
        <v/>
      </c>
    </row>
    <row r="13">
      <c r="A13" s="8" t="n">
        <v>10</v>
      </c>
      <c r="B13" s="14">
        <f>IF(Inputs!$C$7&lt;&gt;"",INDEX(Mobs!$B$4:$B$74,MATCH(Inputs!$C$7,Mobs!$A$4:$A$74,0)),MIN(49,MAX(1,A13+Inputs!$C$6)))</f>
        <v/>
      </c>
      <c r="C13" s="9">
        <f>IF(Inputs!$C$7&lt;&gt;"",INDEX(Mobs!$C$4:$C$74,MATCH(Inputs!$C$7,Mobs!$A$4:$A$74,0)),IFERROR(AVERAGEIFS(Mobs!$C$4:$C$74,Mobs!$B$4:$B$74,"&gt;="&amp;(B13-Inputs!$C$8),Mobs!$B$4:$B$74,"&lt;="&amp;(B13+Inputs!$C$8),Mobs!$M$4:$M$74,1),0))</f>
        <v/>
      </c>
      <c r="D13" s="9">
        <f>IF(Inputs!$C$7&lt;&gt;"",INDEX(Mobs!$G$4:$G$74,MATCH(Inputs!$C$7,Mobs!$A$4:$A$74,0)),IFERROR(AVERAGEIFS(Mobs!$G$4:$G$74,Mobs!$B$4:$B$74,"&gt;="&amp;(B13-Inputs!$C$8),Mobs!$B$4:$B$74,"&lt;="&amp;(B13+Inputs!$C$8),Mobs!$M$4:$M$74,1),0))</f>
        <v/>
      </c>
      <c r="E13" s="9">
        <f>IF(Inputs!$C$7&lt;&gt;"",INDEX(Mobs!$H$4:$H$74,MATCH(Inputs!$C$7,Mobs!$A$4:$A$74,0)),IFERROR(AVERAGEIFS(Mobs!$H$4:$H$74,Mobs!$B$4:$B$74,"&gt;="&amp;(B13-Inputs!$C$8),Mobs!$B$4:$B$74,"&lt;="&amp;(B13+Inputs!$C$8),Mobs!$M$4:$M$74,1),0))</f>
        <v/>
      </c>
      <c r="F13" s="16">
        <f>IF(Inputs!$C$7&lt;&gt;"",INDEX(Mobs!$I$4:$I$74,MATCH(Inputs!$C$7,Mobs!$A$4:$A$74,0)),IFERROR(AVERAGEIFS(Mobs!$I$4:$I$74,Mobs!$B$4:$B$74,"&gt;="&amp;(B13-Inputs!$C$8),Mobs!$B$4:$B$74,"&lt;="&amp;(B13+Inputs!$C$8),Mobs!$M$4:$M$74,1),0))</f>
        <v/>
      </c>
      <c r="G13" s="9">
        <f>IF(Inputs!$C$7&lt;&gt;"",INDEX(Mobs!$J$4:$J$74,MATCH(Inputs!$C$7,Mobs!$A$4:$A$74,0)),IFERROR(AVERAGEIFS(Mobs!$J$4:$J$74,Mobs!$B$4:$B$74,"&gt;="&amp;(B13-Inputs!$C$8),Mobs!$B$4:$B$74,"&lt;="&amp;(B13+Inputs!$C$8),Mobs!$M$4:$M$74,1),0))</f>
        <v/>
      </c>
      <c r="H13" s="14">
        <f>IF(Inputs!$C$7&lt;&gt;"",1,COUNTIFS(Mobs!$B$4:$B$74,"&gt;="&amp;(B13-Inputs!$C$8),Mobs!$B$4:$B$74,"&lt;="&amp;(B13+Inputs!$C$8),Mobs!$M$4:$M$74,1))</f>
        <v/>
      </c>
    </row>
    <row r="14">
      <c r="A14" s="8" t="n">
        <v>11</v>
      </c>
      <c r="B14" s="14">
        <f>IF(Inputs!$C$7&lt;&gt;"",INDEX(Mobs!$B$4:$B$74,MATCH(Inputs!$C$7,Mobs!$A$4:$A$74,0)),MIN(49,MAX(1,A14+Inputs!$C$6)))</f>
        <v/>
      </c>
      <c r="C14" s="9">
        <f>IF(Inputs!$C$7&lt;&gt;"",INDEX(Mobs!$C$4:$C$74,MATCH(Inputs!$C$7,Mobs!$A$4:$A$74,0)),IFERROR(AVERAGEIFS(Mobs!$C$4:$C$74,Mobs!$B$4:$B$74,"&gt;="&amp;(B14-Inputs!$C$8),Mobs!$B$4:$B$74,"&lt;="&amp;(B14+Inputs!$C$8),Mobs!$M$4:$M$74,1),0))</f>
        <v/>
      </c>
      <c r="D14" s="9">
        <f>IF(Inputs!$C$7&lt;&gt;"",INDEX(Mobs!$G$4:$G$74,MATCH(Inputs!$C$7,Mobs!$A$4:$A$74,0)),IFERROR(AVERAGEIFS(Mobs!$G$4:$G$74,Mobs!$B$4:$B$74,"&gt;="&amp;(B14-Inputs!$C$8),Mobs!$B$4:$B$74,"&lt;="&amp;(B14+Inputs!$C$8),Mobs!$M$4:$M$74,1),0))</f>
        <v/>
      </c>
      <c r="E14" s="9">
        <f>IF(Inputs!$C$7&lt;&gt;"",INDEX(Mobs!$H$4:$H$74,MATCH(Inputs!$C$7,Mobs!$A$4:$A$74,0)),IFERROR(AVERAGEIFS(Mobs!$H$4:$H$74,Mobs!$B$4:$B$74,"&gt;="&amp;(B14-Inputs!$C$8),Mobs!$B$4:$B$74,"&lt;="&amp;(B14+Inputs!$C$8),Mobs!$M$4:$M$74,1),0))</f>
        <v/>
      </c>
      <c r="F14" s="16">
        <f>IF(Inputs!$C$7&lt;&gt;"",INDEX(Mobs!$I$4:$I$74,MATCH(Inputs!$C$7,Mobs!$A$4:$A$74,0)),IFERROR(AVERAGEIFS(Mobs!$I$4:$I$74,Mobs!$B$4:$B$74,"&gt;="&amp;(B14-Inputs!$C$8),Mobs!$B$4:$B$74,"&lt;="&amp;(B14+Inputs!$C$8),Mobs!$M$4:$M$74,1),0))</f>
        <v/>
      </c>
      <c r="G14" s="9">
        <f>IF(Inputs!$C$7&lt;&gt;"",INDEX(Mobs!$J$4:$J$74,MATCH(Inputs!$C$7,Mobs!$A$4:$A$74,0)),IFERROR(AVERAGEIFS(Mobs!$J$4:$J$74,Mobs!$B$4:$B$74,"&gt;="&amp;(B14-Inputs!$C$8),Mobs!$B$4:$B$74,"&lt;="&amp;(B14+Inputs!$C$8),Mobs!$M$4:$M$74,1),0))</f>
        <v/>
      </c>
      <c r="H14" s="14">
        <f>IF(Inputs!$C$7&lt;&gt;"",1,COUNTIFS(Mobs!$B$4:$B$74,"&gt;="&amp;(B14-Inputs!$C$8),Mobs!$B$4:$B$74,"&lt;="&amp;(B14+Inputs!$C$8),Mobs!$M$4:$M$74,1))</f>
        <v/>
      </c>
    </row>
    <row r="15">
      <c r="A15" s="8" t="n">
        <v>12</v>
      </c>
      <c r="B15" s="14">
        <f>IF(Inputs!$C$7&lt;&gt;"",INDEX(Mobs!$B$4:$B$74,MATCH(Inputs!$C$7,Mobs!$A$4:$A$74,0)),MIN(49,MAX(1,A15+Inputs!$C$6)))</f>
        <v/>
      </c>
      <c r="C15" s="9">
        <f>IF(Inputs!$C$7&lt;&gt;"",INDEX(Mobs!$C$4:$C$74,MATCH(Inputs!$C$7,Mobs!$A$4:$A$74,0)),IFERROR(AVERAGEIFS(Mobs!$C$4:$C$74,Mobs!$B$4:$B$74,"&gt;="&amp;(B15-Inputs!$C$8),Mobs!$B$4:$B$74,"&lt;="&amp;(B15+Inputs!$C$8),Mobs!$M$4:$M$74,1),0))</f>
        <v/>
      </c>
      <c r="D15" s="9">
        <f>IF(Inputs!$C$7&lt;&gt;"",INDEX(Mobs!$G$4:$G$74,MATCH(Inputs!$C$7,Mobs!$A$4:$A$74,0)),IFERROR(AVERAGEIFS(Mobs!$G$4:$G$74,Mobs!$B$4:$B$74,"&gt;="&amp;(B15-Inputs!$C$8),Mobs!$B$4:$B$74,"&lt;="&amp;(B15+Inputs!$C$8),Mobs!$M$4:$M$74,1),0))</f>
        <v/>
      </c>
      <c r="E15" s="9">
        <f>IF(Inputs!$C$7&lt;&gt;"",INDEX(Mobs!$H$4:$H$74,MATCH(Inputs!$C$7,Mobs!$A$4:$A$74,0)),IFERROR(AVERAGEIFS(Mobs!$H$4:$H$74,Mobs!$B$4:$B$74,"&gt;="&amp;(B15-Inputs!$C$8),Mobs!$B$4:$B$74,"&lt;="&amp;(B15+Inputs!$C$8),Mobs!$M$4:$M$74,1),0))</f>
        <v/>
      </c>
      <c r="F15" s="16">
        <f>IF(Inputs!$C$7&lt;&gt;"",INDEX(Mobs!$I$4:$I$74,MATCH(Inputs!$C$7,Mobs!$A$4:$A$74,0)),IFERROR(AVERAGEIFS(Mobs!$I$4:$I$74,Mobs!$B$4:$B$74,"&gt;="&amp;(B15-Inputs!$C$8),Mobs!$B$4:$B$74,"&lt;="&amp;(B15+Inputs!$C$8),Mobs!$M$4:$M$74,1),0))</f>
        <v/>
      </c>
      <c r="G15" s="9">
        <f>IF(Inputs!$C$7&lt;&gt;"",INDEX(Mobs!$J$4:$J$74,MATCH(Inputs!$C$7,Mobs!$A$4:$A$74,0)),IFERROR(AVERAGEIFS(Mobs!$J$4:$J$74,Mobs!$B$4:$B$74,"&gt;="&amp;(B15-Inputs!$C$8),Mobs!$B$4:$B$74,"&lt;="&amp;(B15+Inputs!$C$8),Mobs!$M$4:$M$74,1),0))</f>
        <v/>
      </c>
      <c r="H15" s="14">
        <f>IF(Inputs!$C$7&lt;&gt;"",1,COUNTIFS(Mobs!$B$4:$B$74,"&gt;="&amp;(B15-Inputs!$C$8),Mobs!$B$4:$B$74,"&lt;="&amp;(B15+Inputs!$C$8),Mobs!$M$4:$M$74,1))</f>
        <v/>
      </c>
    </row>
    <row r="16">
      <c r="A16" s="8" t="n">
        <v>13</v>
      </c>
      <c r="B16" s="14">
        <f>IF(Inputs!$C$7&lt;&gt;"",INDEX(Mobs!$B$4:$B$74,MATCH(Inputs!$C$7,Mobs!$A$4:$A$74,0)),MIN(49,MAX(1,A16+Inputs!$C$6)))</f>
        <v/>
      </c>
      <c r="C16" s="9">
        <f>IF(Inputs!$C$7&lt;&gt;"",INDEX(Mobs!$C$4:$C$74,MATCH(Inputs!$C$7,Mobs!$A$4:$A$74,0)),IFERROR(AVERAGEIFS(Mobs!$C$4:$C$74,Mobs!$B$4:$B$74,"&gt;="&amp;(B16-Inputs!$C$8),Mobs!$B$4:$B$74,"&lt;="&amp;(B16+Inputs!$C$8),Mobs!$M$4:$M$74,1),0))</f>
        <v/>
      </c>
      <c r="D16" s="9">
        <f>IF(Inputs!$C$7&lt;&gt;"",INDEX(Mobs!$G$4:$G$74,MATCH(Inputs!$C$7,Mobs!$A$4:$A$74,0)),IFERROR(AVERAGEIFS(Mobs!$G$4:$G$74,Mobs!$B$4:$B$74,"&gt;="&amp;(B16-Inputs!$C$8),Mobs!$B$4:$B$74,"&lt;="&amp;(B16+Inputs!$C$8),Mobs!$M$4:$M$74,1),0))</f>
        <v/>
      </c>
      <c r="E16" s="9">
        <f>IF(Inputs!$C$7&lt;&gt;"",INDEX(Mobs!$H$4:$H$74,MATCH(Inputs!$C$7,Mobs!$A$4:$A$74,0)),IFERROR(AVERAGEIFS(Mobs!$H$4:$H$74,Mobs!$B$4:$B$74,"&gt;="&amp;(B16-Inputs!$C$8),Mobs!$B$4:$B$74,"&lt;="&amp;(B16+Inputs!$C$8),Mobs!$M$4:$M$74,1),0))</f>
        <v/>
      </c>
      <c r="F16" s="16">
        <f>IF(Inputs!$C$7&lt;&gt;"",INDEX(Mobs!$I$4:$I$74,MATCH(Inputs!$C$7,Mobs!$A$4:$A$74,0)),IFERROR(AVERAGEIFS(Mobs!$I$4:$I$74,Mobs!$B$4:$B$74,"&gt;="&amp;(B16-Inputs!$C$8),Mobs!$B$4:$B$74,"&lt;="&amp;(B16+Inputs!$C$8),Mobs!$M$4:$M$74,1),0))</f>
        <v/>
      </c>
      <c r="G16" s="9">
        <f>IF(Inputs!$C$7&lt;&gt;"",INDEX(Mobs!$J$4:$J$74,MATCH(Inputs!$C$7,Mobs!$A$4:$A$74,0)),IFERROR(AVERAGEIFS(Mobs!$J$4:$J$74,Mobs!$B$4:$B$74,"&gt;="&amp;(B16-Inputs!$C$8),Mobs!$B$4:$B$74,"&lt;="&amp;(B16+Inputs!$C$8),Mobs!$M$4:$M$74,1),0))</f>
        <v/>
      </c>
      <c r="H16" s="14">
        <f>IF(Inputs!$C$7&lt;&gt;"",1,COUNTIFS(Mobs!$B$4:$B$74,"&gt;="&amp;(B16-Inputs!$C$8),Mobs!$B$4:$B$74,"&lt;="&amp;(B16+Inputs!$C$8),Mobs!$M$4:$M$74,1))</f>
        <v/>
      </c>
    </row>
    <row r="17">
      <c r="A17" s="8" t="n">
        <v>14</v>
      </c>
      <c r="B17" s="14">
        <f>IF(Inputs!$C$7&lt;&gt;"",INDEX(Mobs!$B$4:$B$74,MATCH(Inputs!$C$7,Mobs!$A$4:$A$74,0)),MIN(49,MAX(1,A17+Inputs!$C$6)))</f>
        <v/>
      </c>
      <c r="C17" s="9">
        <f>IF(Inputs!$C$7&lt;&gt;"",INDEX(Mobs!$C$4:$C$74,MATCH(Inputs!$C$7,Mobs!$A$4:$A$74,0)),IFERROR(AVERAGEIFS(Mobs!$C$4:$C$74,Mobs!$B$4:$B$74,"&gt;="&amp;(B17-Inputs!$C$8),Mobs!$B$4:$B$74,"&lt;="&amp;(B17+Inputs!$C$8),Mobs!$M$4:$M$74,1),0))</f>
        <v/>
      </c>
      <c r="D17" s="9">
        <f>IF(Inputs!$C$7&lt;&gt;"",INDEX(Mobs!$G$4:$G$74,MATCH(Inputs!$C$7,Mobs!$A$4:$A$74,0)),IFERROR(AVERAGEIFS(Mobs!$G$4:$G$74,Mobs!$B$4:$B$74,"&gt;="&amp;(B17-Inputs!$C$8),Mobs!$B$4:$B$74,"&lt;="&amp;(B17+Inputs!$C$8),Mobs!$M$4:$M$74,1),0))</f>
        <v/>
      </c>
      <c r="E17" s="9">
        <f>IF(Inputs!$C$7&lt;&gt;"",INDEX(Mobs!$H$4:$H$74,MATCH(Inputs!$C$7,Mobs!$A$4:$A$74,0)),IFERROR(AVERAGEIFS(Mobs!$H$4:$H$74,Mobs!$B$4:$B$74,"&gt;="&amp;(B17-Inputs!$C$8),Mobs!$B$4:$B$74,"&lt;="&amp;(B17+Inputs!$C$8),Mobs!$M$4:$M$74,1),0))</f>
        <v/>
      </c>
      <c r="F17" s="16">
        <f>IF(Inputs!$C$7&lt;&gt;"",INDEX(Mobs!$I$4:$I$74,MATCH(Inputs!$C$7,Mobs!$A$4:$A$74,0)),IFERROR(AVERAGEIFS(Mobs!$I$4:$I$74,Mobs!$B$4:$B$74,"&gt;="&amp;(B17-Inputs!$C$8),Mobs!$B$4:$B$74,"&lt;="&amp;(B17+Inputs!$C$8),Mobs!$M$4:$M$74,1),0))</f>
        <v/>
      </c>
      <c r="G17" s="9">
        <f>IF(Inputs!$C$7&lt;&gt;"",INDEX(Mobs!$J$4:$J$74,MATCH(Inputs!$C$7,Mobs!$A$4:$A$74,0)),IFERROR(AVERAGEIFS(Mobs!$J$4:$J$74,Mobs!$B$4:$B$74,"&gt;="&amp;(B17-Inputs!$C$8),Mobs!$B$4:$B$74,"&lt;="&amp;(B17+Inputs!$C$8),Mobs!$M$4:$M$74,1),0))</f>
        <v/>
      </c>
      <c r="H17" s="14">
        <f>IF(Inputs!$C$7&lt;&gt;"",1,COUNTIFS(Mobs!$B$4:$B$74,"&gt;="&amp;(B17-Inputs!$C$8),Mobs!$B$4:$B$74,"&lt;="&amp;(B17+Inputs!$C$8),Mobs!$M$4:$M$74,1))</f>
        <v/>
      </c>
    </row>
    <row r="18">
      <c r="A18" s="8" t="n">
        <v>15</v>
      </c>
      <c r="B18" s="14">
        <f>IF(Inputs!$C$7&lt;&gt;"",INDEX(Mobs!$B$4:$B$74,MATCH(Inputs!$C$7,Mobs!$A$4:$A$74,0)),MIN(49,MAX(1,A18+Inputs!$C$6)))</f>
        <v/>
      </c>
      <c r="C18" s="9">
        <f>IF(Inputs!$C$7&lt;&gt;"",INDEX(Mobs!$C$4:$C$74,MATCH(Inputs!$C$7,Mobs!$A$4:$A$74,0)),IFERROR(AVERAGEIFS(Mobs!$C$4:$C$74,Mobs!$B$4:$B$74,"&gt;="&amp;(B18-Inputs!$C$8),Mobs!$B$4:$B$74,"&lt;="&amp;(B18+Inputs!$C$8),Mobs!$M$4:$M$74,1),0))</f>
        <v/>
      </c>
      <c r="D18" s="9">
        <f>IF(Inputs!$C$7&lt;&gt;"",INDEX(Mobs!$G$4:$G$74,MATCH(Inputs!$C$7,Mobs!$A$4:$A$74,0)),IFERROR(AVERAGEIFS(Mobs!$G$4:$G$74,Mobs!$B$4:$B$74,"&gt;="&amp;(B18-Inputs!$C$8),Mobs!$B$4:$B$74,"&lt;="&amp;(B18+Inputs!$C$8),Mobs!$M$4:$M$74,1),0))</f>
        <v/>
      </c>
      <c r="E18" s="9">
        <f>IF(Inputs!$C$7&lt;&gt;"",INDEX(Mobs!$H$4:$H$74,MATCH(Inputs!$C$7,Mobs!$A$4:$A$74,0)),IFERROR(AVERAGEIFS(Mobs!$H$4:$H$74,Mobs!$B$4:$B$74,"&gt;="&amp;(B18-Inputs!$C$8),Mobs!$B$4:$B$74,"&lt;="&amp;(B18+Inputs!$C$8),Mobs!$M$4:$M$74,1),0))</f>
        <v/>
      </c>
      <c r="F18" s="16">
        <f>IF(Inputs!$C$7&lt;&gt;"",INDEX(Mobs!$I$4:$I$74,MATCH(Inputs!$C$7,Mobs!$A$4:$A$74,0)),IFERROR(AVERAGEIFS(Mobs!$I$4:$I$74,Mobs!$B$4:$B$74,"&gt;="&amp;(B18-Inputs!$C$8),Mobs!$B$4:$B$74,"&lt;="&amp;(B18+Inputs!$C$8),Mobs!$M$4:$M$74,1),0))</f>
        <v/>
      </c>
      <c r="G18" s="9">
        <f>IF(Inputs!$C$7&lt;&gt;"",INDEX(Mobs!$J$4:$J$74,MATCH(Inputs!$C$7,Mobs!$A$4:$A$74,0)),IFERROR(AVERAGEIFS(Mobs!$J$4:$J$74,Mobs!$B$4:$B$74,"&gt;="&amp;(B18-Inputs!$C$8),Mobs!$B$4:$B$74,"&lt;="&amp;(B18+Inputs!$C$8),Mobs!$M$4:$M$74,1),0))</f>
        <v/>
      </c>
      <c r="H18" s="14">
        <f>IF(Inputs!$C$7&lt;&gt;"",1,COUNTIFS(Mobs!$B$4:$B$74,"&gt;="&amp;(B18-Inputs!$C$8),Mobs!$B$4:$B$74,"&lt;="&amp;(B18+Inputs!$C$8),Mobs!$M$4:$M$74,1))</f>
        <v/>
      </c>
    </row>
    <row r="19">
      <c r="A19" s="8" t="n">
        <v>16</v>
      </c>
      <c r="B19" s="14">
        <f>IF(Inputs!$C$7&lt;&gt;"",INDEX(Mobs!$B$4:$B$74,MATCH(Inputs!$C$7,Mobs!$A$4:$A$74,0)),MIN(49,MAX(1,A19+Inputs!$C$6)))</f>
        <v/>
      </c>
      <c r="C19" s="9">
        <f>IF(Inputs!$C$7&lt;&gt;"",INDEX(Mobs!$C$4:$C$74,MATCH(Inputs!$C$7,Mobs!$A$4:$A$74,0)),IFERROR(AVERAGEIFS(Mobs!$C$4:$C$74,Mobs!$B$4:$B$74,"&gt;="&amp;(B19-Inputs!$C$8),Mobs!$B$4:$B$74,"&lt;="&amp;(B19+Inputs!$C$8),Mobs!$M$4:$M$74,1),0))</f>
        <v/>
      </c>
      <c r="D19" s="9">
        <f>IF(Inputs!$C$7&lt;&gt;"",INDEX(Mobs!$G$4:$G$74,MATCH(Inputs!$C$7,Mobs!$A$4:$A$74,0)),IFERROR(AVERAGEIFS(Mobs!$G$4:$G$74,Mobs!$B$4:$B$74,"&gt;="&amp;(B19-Inputs!$C$8),Mobs!$B$4:$B$74,"&lt;="&amp;(B19+Inputs!$C$8),Mobs!$M$4:$M$74,1),0))</f>
        <v/>
      </c>
      <c r="E19" s="9">
        <f>IF(Inputs!$C$7&lt;&gt;"",INDEX(Mobs!$H$4:$H$74,MATCH(Inputs!$C$7,Mobs!$A$4:$A$74,0)),IFERROR(AVERAGEIFS(Mobs!$H$4:$H$74,Mobs!$B$4:$B$74,"&gt;="&amp;(B19-Inputs!$C$8),Mobs!$B$4:$B$74,"&lt;="&amp;(B19+Inputs!$C$8),Mobs!$M$4:$M$74,1),0))</f>
        <v/>
      </c>
      <c r="F19" s="16">
        <f>IF(Inputs!$C$7&lt;&gt;"",INDEX(Mobs!$I$4:$I$74,MATCH(Inputs!$C$7,Mobs!$A$4:$A$74,0)),IFERROR(AVERAGEIFS(Mobs!$I$4:$I$74,Mobs!$B$4:$B$74,"&gt;="&amp;(B19-Inputs!$C$8),Mobs!$B$4:$B$74,"&lt;="&amp;(B19+Inputs!$C$8),Mobs!$M$4:$M$74,1),0))</f>
        <v/>
      </c>
      <c r="G19" s="9">
        <f>IF(Inputs!$C$7&lt;&gt;"",INDEX(Mobs!$J$4:$J$74,MATCH(Inputs!$C$7,Mobs!$A$4:$A$74,0)),IFERROR(AVERAGEIFS(Mobs!$J$4:$J$74,Mobs!$B$4:$B$74,"&gt;="&amp;(B19-Inputs!$C$8),Mobs!$B$4:$B$74,"&lt;="&amp;(B19+Inputs!$C$8),Mobs!$M$4:$M$74,1),0))</f>
        <v/>
      </c>
      <c r="H19" s="14">
        <f>IF(Inputs!$C$7&lt;&gt;"",1,COUNTIFS(Mobs!$B$4:$B$74,"&gt;="&amp;(B19-Inputs!$C$8),Mobs!$B$4:$B$74,"&lt;="&amp;(B19+Inputs!$C$8),Mobs!$M$4:$M$74,1))</f>
        <v/>
      </c>
    </row>
    <row r="20">
      <c r="A20" s="8" t="n">
        <v>17</v>
      </c>
      <c r="B20" s="14">
        <f>IF(Inputs!$C$7&lt;&gt;"",INDEX(Mobs!$B$4:$B$74,MATCH(Inputs!$C$7,Mobs!$A$4:$A$74,0)),MIN(49,MAX(1,A20+Inputs!$C$6)))</f>
        <v/>
      </c>
      <c r="C20" s="9">
        <f>IF(Inputs!$C$7&lt;&gt;"",INDEX(Mobs!$C$4:$C$74,MATCH(Inputs!$C$7,Mobs!$A$4:$A$74,0)),IFERROR(AVERAGEIFS(Mobs!$C$4:$C$74,Mobs!$B$4:$B$74,"&gt;="&amp;(B20-Inputs!$C$8),Mobs!$B$4:$B$74,"&lt;="&amp;(B20+Inputs!$C$8),Mobs!$M$4:$M$74,1),0))</f>
        <v/>
      </c>
      <c r="D20" s="9">
        <f>IF(Inputs!$C$7&lt;&gt;"",INDEX(Mobs!$G$4:$G$74,MATCH(Inputs!$C$7,Mobs!$A$4:$A$74,0)),IFERROR(AVERAGEIFS(Mobs!$G$4:$G$74,Mobs!$B$4:$B$74,"&gt;="&amp;(B20-Inputs!$C$8),Mobs!$B$4:$B$74,"&lt;="&amp;(B20+Inputs!$C$8),Mobs!$M$4:$M$74,1),0))</f>
        <v/>
      </c>
      <c r="E20" s="9">
        <f>IF(Inputs!$C$7&lt;&gt;"",INDEX(Mobs!$H$4:$H$74,MATCH(Inputs!$C$7,Mobs!$A$4:$A$74,0)),IFERROR(AVERAGEIFS(Mobs!$H$4:$H$74,Mobs!$B$4:$B$74,"&gt;="&amp;(B20-Inputs!$C$8),Mobs!$B$4:$B$74,"&lt;="&amp;(B20+Inputs!$C$8),Mobs!$M$4:$M$74,1),0))</f>
        <v/>
      </c>
      <c r="F20" s="16">
        <f>IF(Inputs!$C$7&lt;&gt;"",INDEX(Mobs!$I$4:$I$74,MATCH(Inputs!$C$7,Mobs!$A$4:$A$74,0)),IFERROR(AVERAGEIFS(Mobs!$I$4:$I$74,Mobs!$B$4:$B$74,"&gt;="&amp;(B20-Inputs!$C$8),Mobs!$B$4:$B$74,"&lt;="&amp;(B20+Inputs!$C$8),Mobs!$M$4:$M$74,1),0))</f>
        <v/>
      </c>
      <c r="G20" s="9">
        <f>IF(Inputs!$C$7&lt;&gt;"",INDEX(Mobs!$J$4:$J$74,MATCH(Inputs!$C$7,Mobs!$A$4:$A$74,0)),IFERROR(AVERAGEIFS(Mobs!$J$4:$J$74,Mobs!$B$4:$B$74,"&gt;="&amp;(B20-Inputs!$C$8),Mobs!$B$4:$B$74,"&lt;="&amp;(B20+Inputs!$C$8),Mobs!$M$4:$M$74,1),0))</f>
        <v/>
      </c>
      <c r="H20" s="14">
        <f>IF(Inputs!$C$7&lt;&gt;"",1,COUNTIFS(Mobs!$B$4:$B$74,"&gt;="&amp;(B20-Inputs!$C$8),Mobs!$B$4:$B$74,"&lt;="&amp;(B20+Inputs!$C$8),Mobs!$M$4:$M$74,1))</f>
        <v/>
      </c>
    </row>
    <row r="21">
      <c r="A21" s="8" t="n">
        <v>18</v>
      </c>
      <c r="B21" s="14">
        <f>IF(Inputs!$C$7&lt;&gt;"",INDEX(Mobs!$B$4:$B$74,MATCH(Inputs!$C$7,Mobs!$A$4:$A$74,0)),MIN(49,MAX(1,A21+Inputs!$C$6)))</f>
        <v/>
      </c>
      <c r="C21" s="9">
        <f>IF(Inputs!$C$7&lt;&gt;"",INDEX(Mobs!$C$4:$C$74,MATCH(Inputs!$C$7,Mobs!$A$4:$A$74,0)),IFERROR(AVERAGEIFS(Mobs!$C$4:$C$74,Mobs!$B$4:$B$74,"&gt;="&amp;(B21-Inputs!$C$8),Mobs!$B$4:$B$74,"&lt;="&amp;(B21+Inputs!$C$8),Mobs!$M$4:$M$74,1),0))</f>
        <v/>
      </c>
      <c r="D21" s="9">
        <f>IF(Inputs!$C$7&lt;&gt;"",INDEX(Mobs!$G$4:$G$74,MATCH(Inputs!$C$7,Mobs!$A$4:$A$74,0)),IFERROR(AVERAGEIFS(Mobs!$G$4:$G$74,Mobs!$B$4:$B$74,"&gt;="&amp;(B21-Inputs!$C$8),Mobs!$B$4:$B$74,"&lt;="&amp;(B21+Inputs!$C$8),Mobs!$M$4:$M$74,1),0))</f>
        <v/>
      </c>
      <c r="E21" s="9">
        <f>IF(Inputs!$C$7&lt;&gt;"",INDEX(Mobs!$H$4:$H$74,MATCH(Inputs!$C$7,Mobs!$A$4:$A$74,0)),IFERROR(AVERAGEIFS(Mobs!$H$4:$H$74,Mobs!$B$4:$B$74,"&gt;="&amp;(B21-Inputs!$C$8),Mobs!$B$4:$B$74,"&lt;="&amp;(B21+Inputs!$C$8),Mobs!$M$4:$M$74,1),0))</f>
        <v/>
      </c>
      <c r="F21" s="16">
        <f>IF(Inputs!$C$7&lt;&gt;"",INDEX(Mobs!$I$4:$I$74,MATCH(Inputs!$C$7,Mobs!$A$4:$A$74,0)),IFERROR(AVERAGEIFS(Mobs!$I$4:$I$74,Mobs!$B$4:$B$74,"&gt;="&amp;(B21-Inputs!$C$8),Mobs!$B$4:$B$74,"&lt;="&amp;(B21+Inputs!$C$8),Mobs!$M$4:$M$74,1),0))</f>
        <v/>
      </c>
      <c r="G21" s="9">
        <f>IF(Inputs!$C$7&lt;&gt;"",INDEX(Mobs!$J$4:$J$74,MATCH(Inputs!$C$7,Mobs!$A$4:$A$74,0)),IFERROR(AVERAGEIFS(Mobs!$J$4:$J$74,Mobs!$B$4:$B$74,"&gt;="&amp;(B21-Inputs!$C$8),Mobs!$B$4:$B$74,"&lt;="&amp;(B21+Inputs!$C$8),Mobs!$M$4:$M$74,1),0))</f>
        <v/>
      </c>
      <c r="H21" s="14">
        <f>IF(Inputs!$C$7&lt;&gt;"",1,COUNTIFS(Mobs!$B$4:$B$74,"&gt;="&amp;(B21-Inputs!$C$8),Mobs!$B$4:$B$74,"&lt;="&amp;(B21+Inputs!$C$8),Mobs!$M$4:$M$74,1))</f>
        <v/>
      </c>
    </row>
    <row r="22">
      <c r="A22" s="8" t="n">
        <v>19</v>
      </c>
      <c r="B22" s="14">
        <f>IF(Inputs!$C$7&lt;&gt;"",INDEX(Mobs!$B$4:$B$74,MATCH(Inputs!$C$7,Mobs!$A$4:$A$74,0)),MIN(49,MAX(1,A22+Inputs!$C$6)))</f>
        <v/>
      </c>
      <c r="C22" s="9">
        <f>IF(Inputs!$C$7&lt;&gt;"",INDEX(Mobs!$C$4:$C$74,MATCH(Inputs!$C$7,Mobs!$A$4:$A$74,0)),IFERROR(AVERAGEIFS(Mobs!$C$4:$C$74,Mobs!$B$4:$B$74,"&gt;="&amp;(B22-Inputs!$C$8),Mobs!$B$4:$B$74,"&lt;="&amp;(B22+Inputs!$C$8),Mobs!$M$4:$M$74,1),0))</f>
        <v/>
      </c>
      <c r="D22" s="9">
        <f>IF(Inputs!$C$7&lt;&gt;"",INDEX(Mobs!$G$4:$G$74,MATCH(Inputs!$C$7,Mobs!$A$4:$A$74,0)),IFERROR(AVERAGEIFS(Mobs!$G$4:$G$74,Mobs!$B$4:$B$74,"&gt;="&amp;(B22-Inputs!$C$8),Mobs!$B$4:$B$74,"&lt;="&amp;(B22+Inputs!$C$8),Mobs!$M$4:$M$74,1),0))</f>
        <v/>
      </c>
      <c r="E22" s="9">
        <f>IF(Inputs!$C$7&lt;&gt;"",INDEX(Mobs!$H$4:$H$74,MATCH(Inputs!$C$7,Mobs!$A$4:$A$74,0)),IFERROR(AVERAGEIFS(Mobs!$H$4:$H$74,Mobs!$B$4:$B$74,"&gt;="&amp;(B22-Inputs!$C$8),Mobs!$B$4:$B$74,"&lt;="&amp;(B22+Inputs!$C$8),Mobs!$M$4:$M$74,1),0))</f>
        <v/>
      </c>
      <c r="F22" s="16">
        <f>IF(Inputs!$C$7&lt;&gt;"",INDEX(Mobs!$I$4:$I$74,MATCH(Inputs!$C$7,Mobs!$A$4:$A$74,0)),IFERROR(AVERAGEIFS(Mobs!$I$4:$I$74,Mobs!$B$4:$B$74,"&gt;="&amp;(B22-Inputs!$C$8),Mobs!$B$4:$B$74,"&lt;="&amp;(B22+Inputs!$C$8),Mobs!$M$4:$M$74,1),0))</f>
        <v/>
      </c>
      <c r="G22" s="9">
        <f>IF(Inputs!$C$7&lt;&gt;"",INDEX(Mobs!$J$4:$J$74,MATCH(Inputs!$C$7,Mobs!$A$4:$A$74,0)),IFERROR(AVERAGEIFS(Mobs!$J$4:$J$74,Mobs!$B$4:$B$74,"&gt;="&amp;(B22-Inputs!$C$8),Mobs!$B$4:$B$74,"&lt;="&amp;(B22+Inputs!$C$8),Mobs!$M$4:$M$74,1),0))</f>
        <v/>
      </c>
      <c r="H22" s="14">
        <f>IF(Inputs!$C$7&lt;&gt;"",1,COUNTIFS(Mobs!$B$4:$B$74,"&gt;="&amp;(B22-Inputs!$C$8),Mobs!$B$4:$B$74,"&lt;="&amp;(B22+Inputs!$C$8),Mobs!$M$4:$M$74,1))</f>
        <v/>
      </c>
    </row>
    <row r="23">
      <c r="A23" s="8" t="n">
        <v>20</v>
      </c>
      <c r="B23" s="14">
        <f>IF(Inputs!$C$7&lt;&gt;"",INDEX(Mobs!$B$4:$B$74,MATCH(Inputs!$C$7,Mobs!$A$4:$A$74,0)),MIN(49,MAX(1,A23+Inputs!$C$6)))</f>
        <v/>
      </c>
      <c r="C23" s="9">
        <f>IF(Inputs!$C$7&lt;&gt;"",INDEX(Mobs!$C$4:$C$74,MATCH(Inputs!$C$7,Mobs!$A$4:$A$74,0)),IFERROR(AVERAGEIFS(Mobs!$C$4:$C$74,Mobs!$B$4:$B$74,"&gt;="&amp;(B23-Inputs!$C$8),Mobs!$B$4:$B$74,"&lt;="&amp;(B23+Inputs!$C$8),Mobs!$M$4:$M$74,1),0))</f>
        <v/>
      </c>
      <c r="D23" s="9">
        <f>IF(Inputs!$C$7&lt;&gt;"",INDEX(Mobs!$G$4:$G$74,MATCH(Inputs!$C$7,Mobs!$A$4:$A$74,0)),IFERROR(AVERAGEIFS(Mobs!$G$4:$G$74,Mobs!$B$4:$B$74,"&gt;="&amp;(B23-Inputs!$C$8),Mobs!$B$4:$B$74,"&lt;="&amp;(B23+Inputs!$C$8),Mobs!$M$4:$M$74,1),0))</f>
        <v/>
      </c>
      <c r="E23" s="9">
        <f>IF(Inputs!$C$7&lt;&gt;"",INDEX(Mobs!$H$4:$H$74,MATCH(Inputs!$C$7,Mobs!$A$4:$A$74,0)),IFERROR(AVERAGEIFS(Mobs!$H$4:$H$74,Mobs!$B$4:$B$74,"&gt;="&amp;(B23-Inputs!$C$8),Mobs!$B$4:$B$74,"&lt;="&amp;(B23+Inputs!$C$8),Mobs!$M$4:$M$74,1),0))</f>
        <v/>
      </c>
      <c r="F23" s="16">
        <f>IF(Inputs!$C$7&lt;&gt;"",INDEX(Mobs!$I$4:$I$74,MATCH(Inputs!$C$7,Mobs!$A$4:$A$74,0)),IFERROR(AVERAGEIFS(Mobs!$I$4:$I$74,Mobs!$B$4:$B$74,"&gt;="&amp;(B23-Inputs!$C$8),Mobs!$B$4:$B$74,"&lt;="&amp;(B23+Inputs!$C$8),Mobs!$M$4:$M$74,1),0))</f>
        <v/>
      </c>
      <c r="G23" s="9">
        <f>IF(Inputs!$C$7&lt;&gt;"",INDEX(Mobs!$J$4:$J$74,MATCH(Inputs!$C$7,Mobs!$A$4:$A$74,0)),IFERROR(AVERAGEIFS(Mobs!$J$4:$J$74,Mobs!$B$4:$B$74,"&gt;="&amp;(B23-Inputs!$C$8),Mobs!$B$4:$B$74,"&lt;="&amp;(B23+Inputs!$C$8),Mobs!$M$4:$M$74,1),0))</f>
        <v/>
      </c>
      <c r="H23" s="14">
        <f>IF(Inputs!$C$7&lt;&gt;"",1,COUNTIFS(Mobs!$B$4:$B$74,"&gt;="&amp;(B23-Inputs!$C$8),Mobs!$B$4:$B$74,"&lt;="&amp;(B23+Inputs!$C$8),Mobs!$M$4:$M$74,1))</f>
        <v/>
      </c>
    </row>
    <row r="24">
      <c r="A24" s="8" t="n">
        <v>21</v>
      </c>
      <c r="B24" s="14">
        <f>IF(Inputs!$C$7&lt;&gt;"",INDEX(Mobs!$B$4:$B$74,MATCH(Inputs!$C$7,Mobs!$A$4:$A$74,0)),MIN(49,MAX(1,A24+Inputs!$C$6)))</f>
        <v/>
      </c>
      <c r="C24" s="9">
        <f>IF(Inputs!$C$7&lt;&gt;"",INDEX(Mobs!$C$4:$C$74,MATCH(Inputs!$C$7,Mobs!$A$4:$A$74,0)),IFERROR(AVERAGEIFS(Mobs!$C$4:$C$74,Mobs!$B$4:$B$74,"&gt;="&amp;(B24-Inputs!$C$8),Mobs!$B$4:$B$74,"&lt;="&amp;(B24+Inputs!$C$8),Mobs!$M$4:$M$74,1),0))</f>
        <v/>
      </c>
      <c r="D24" s="9">
        <f>IF(Inputs!$C$7&lt;&gt;"",INDEX(Mobs!$G$4:$G$74,MATCH(Inputs!$C$7,Mobs!$A$4:$A$74,0)),IFERROR(AVERAGEIFS(Mobs!$G$4:$G$74,Mobs!$B$4:$B$74,"&gt;="&amp;(B24-Inputs!$C$8),Mobs!$B$4:$B$74,"&lt;="&amp;(B24+Inputs!$C$8),Mobs!$M$4:$M$74,1),0))</f>
        <v/>
      </c>
      <c r="E24" s="9">
        <f>IF(Inputs!$C$7&lt;&gt;"",INDEX(Mobs!$H$4:$H$74,MATCH(Inputs!$C$7,Mobs!$A$4:$A$74,0)),IFERROR(AVERAGEIFS(Mobs!$H$4:$H$74,Mobs!$B$4:$B$74,"&gt;="&amp;(B24-Inputs!$C$8),Mobs!$B$4:$B$74,"&lt;="&amp;(B24+Inputs!$C$8),Mobs!$M$4:$M$74,1),0))</f>
        <v/>
      </c>
      <c r="F24" s="16">
        <f>IF(Inputs!$C$7&lt;&gt;"",INDEX(Mobs!$I$4:$I$74,MATCH(Inputs!$C$7,Mobs!$A$4:$A$74,0)),IFERROR(AVERAGEIFS(Mobs!$I$4:$I$74,Mobs!$B$4:$B$74,"&gt;="&amp;(B24-Inputs!$C$8),Mobs!$B$4:$B$74,"&lt;="&amp;(B24+Inputs!$C$8),Mobs!$M$4:$M$74,1),0))</f>
        <v/>
      </c>
      <c r="G24" s="9">
        <f>IF(Inputs!$C$7&lt;&gt;"",INDEX(Mobs!$J$4:$J$74,MATCH(Inputs!$C$7,Mobs!$A$4:$A$74,0)),IFERROR(AVERAGEIFS(Mobs!$J$4:$J$74,Mobs!$B$4:$B$74,"&gt;="&amp;(B24-Inputs!$C$8),Mobs!$B$4:$B$74,"&lt;="&amp;(B24+Inputs!$C$8),Mobs!$M$4:$M$74,1),0))</f>
        <v/>
      </c>
      <c r="H24" s="14">
        <f>IF(Inputs!$C$7&lt;&gt;"",1,COUNTIFS(Mobs!$B$4:$B$74,"&gt;="&amp;(B24-Inputs!$C$8),Mobs!$B$4:$B$74,"&lt;="&amp;(B24+Inputs!$C$8),Mobs!$M$4:$M$74,1))</f>
        <v/>
      </c>
    </row>
    <row r="25">
      <c r="A25" s="8" t="n">
        <v>22</v>
      </c>
      <c r="B25" s="14">
        <f>IF(Inputs!$C$7&lt;&gt;"",INDEX(Mobs!$B$4:$B$74,MATCH(Inputs!$C$7,Mobs!$A$4:$A$74,0)),MIN(49,MAX(1,A25+Inputs!$C$6)))</f>
        <v/>
      </c>
      <c r="C25" s="9">
        <f>IF(Inputs!$C$7&lt;&gt;"",INDEX(Mobs!$C$4:$C$74,MATCH(Inputs!$C$7,Mobs!$A$4:$A$74,0)),IFERROR(AVERAGEIFS(Mobs!$C$4:$C$74,Mobs!$B$4:$B$74,"&gt;="&amp;(B25-Inputs!$C$8),Mobs!$B$4:$B$74,"&lt;="&amp;(B25+Inputs!$C$8),Mobs!$M$4:$M$74,1),0))</f>
        <v/>
      </c>
      <c r="D25" s="9">
        <f>IF(Inputs!$C$7&lt;&gt;"",INDEX(Mobs!$G$4:$G$74,MATCH(Inputs!$C$7,Mobs!$A$4:$A$74,0)),IFERROR(AVERAGEIFS(Mobs!$G$4:$G$74,Mobs!$B$4:$B$74,"&gt;="&amp;(B25-Inputs!$C$8),Mobs!$B$4:$B$74,"&lt;="&amp;(B25+Inputs!$C$8),Mobs!$M$4:$M$74,1),0))</f>
        <v/>
      </c>
      <c r="E25" s="9">
        <f>IF(Inputs!$C$7&lt;&gt;"",INDEX(Mobs!$H$4:$H$74,MATCH(Inputs!$C$7,Mobs!$A$4:$A$74,0)),IFERROR(AVERAGEIFS(Mobs!$H$4:$H$74,Mobs!$B$4:$B$74,"&gt;="&amp;(B25-Inputs!$C$8),Mobs!$B$4:$B$74,"&lt;="&amp;(B25+Inputs!$C$8),Mobs!$M$4:$M$74,1),0))</f>
        <v/>
      </c>
      <c r="F25" s="16">
        <f>IF(Inputs!$C$7&lt;&gt;"",INDEX(Mobs!$I$4:$I$74,MATCH(Inputs!$C$7,Mobs!$A$4:$A$74,0)),IFERROR(AVERAGEIFS(Mobs!$I$4:$I$74,Mobs!$B$4:$B$74,"&gt;="&amp;(B25-Inputs!$C$8),Mobs!$B$4:$B$74,"&lt;="&amp;(B25+Inputs!$C$8),Mobs!$M$4:$M$74,1),0))</f>
        <v/>
      </c>
      <c r="G25" s="9">
        <f>IF(Inputs!$C$7&lt;&gt;"",INDEX(Mobs!$J$4:$J$74,MATCH(Inputs!$C$7,Mobs!$A$4:$A$74,0)),IFERROR(AVERAGEIFS(Mobs!$J$4:$J$74,Mobs!$B$4:$B$74,"&gt;="&amp;(B25-Inputs!$C$8),Mobs!$B$4:$B$74,"&lt;="&amp;(B25+Inputs!$C$8),Mobs!$M$4:$M$74,1),0))</f>
        <v/>
      </c>
      <c r="H25" s="14">
        <f>IF(Inputs!$C$7&lt;&gt;"",1,COUNTIFS(Mobs!$B$4:$B$74,"&gt;="&amp;(B25-Inputs!$C$8),Mobs!$B$4:$B$74,"&lt;="&amp;(B25+Inputs!$C$8),Mobs!$M$4:$M$74,1))</f>
        <v/>
      </c>
    </row>
    <row r="26">
      <c r="A26" s="8" t="n">
        <v>23</v>
      </c>
      <c r="B26" s="14">
        <f>IF(Inputs!$C$7&lt;&gt;"",INDEX(Mobs!$B$4:$B$74,MATCH(Inputs!$C$7,Mobs!$A$4:$A$74,0)),MIN(49,MAX(1,A26+Inputs!$C$6)))</f>
        <v/>
      </c>
      <c r="C26" s="9">
        <f>IF(Inputs!$C$7&lt;&gt;"",INDEX(Mobs!$C$4:$C$74,MATCH(Inputs!$C$7,Mobs!$A$4:$A$74,0)),IFERROR(AVERAGEIFS(Mobs!$C$4:$C$74,Mobs!$B$4:$B$74,"&gt;="&amp;(B26-Inputs!$C$8),Mobs!$B$4:$B$74,"&lt;="&amp;(B26+Inputs!$C$8),Mobs!$M$4:$M$74,1),0))</f>
        <v/>
      </c>
      <c r="D26" s="9">
        <f>IF(Inputs!$C$7&lt;&gt;"",INDEX(Mobs!$G$4:$G$74,MATCH(Inputs!$C$7,Mobs!$A$4:$A$74,0)),IFERROR(AVERAGEIFS(Mobs!$G$4:$G$74,Mobs!$B$4:$B$74,"&gt;="&amp;(B26-Inputs!$C$8),Mobs!$B$4:$B$74,"&lt;="&amp;(B26+Inputs!$C$8),Mobs!$M$4:$M$74,1),0))</f>
        <v/>
      </c>
      <c r="E26" s="9">
        <f>IF(Inputs!$C$7&lt;&gt;"",INDEX(Mobs!$H$4:$H$74,MATCH(Inputs!$C$7,Mobs!$A$4:$A$74,0)),IFERROR(AVERAGEIFS(Mobs!$H$4:$H$74,Mobs!$B$4:$B$74,"&gt;="&amp;(B26-Inputs!$C$8),Mobs!$B$4:$B$74,"&lt;="&amp;(B26+Inputs!$C$8),Mobs!$M$4:$M$74,1),0))</f>
        <v/>
      </c>
      <c r="F26" s="16">
        <f>IF(Inputs!$C$7&lt;&gt;"",INDEX(Mobs!$I$4:$I$74,MATCH(Inputs!$C$7,Mobs!$A$4:$A$74,0)),IFERROR(AVERAGEIFS(Mobs!$I$4:$I$74,Mobs!$B$4:$B$74,"&gt;="&amp;(B26-Inputs!$C$8),Mobs!$B$4:$B$74,"&lt;="&amp;(B26+Inputs!$C$8),Mobs!$M$4:$M$74,1),0))</f>
        <v/>
      </c>
      <c r="G26" s="9">
        <f>IF(Inputs!$C$7&lt;&gt;"",INDEX(Mobs!$J$4:$J$74,MATCH(Inputs!$C$7,Mobs!$A$4:$A$74,0)),IFERROR(AVERAGEIFS(Mobs!$J$4:$J$74,Mobs!$B$4:$B$74,"&gt;="&amp;(B26-Inputs!$C$8),Mobs!$B$4:$B$74,"&lt;="&amp;(B26+Inputs!$C$8),Mobs!$M$4:$M$74,1),0))</f>
        <v/>
      </c>
      <c r="H26" s="14">
        <f>IF(Inputs!$C$7&lt;&gt;"",1,COUNTIFS(Mobs!$B$4:$B$74,"&gt;="&amp;(B26-Inputs!$C$8),Mobs!$B$4:$B$74,"&lt;="&amp;(B26+Inputs!$C$8),Mobs!$M$4:$M$74,1))</f>
        <v/>
      </c>
    </row>
    <row r="27">
      <c r="A27" s="8" t="n">
        <v>24</v>
      </c>
      <c r="B27" s="14">
        <f>IF(Inputs!$C$7&lt;&gt;"",INDEX(Mobs!$B$4:$B$74,MATCH(Inputs!$C$7,Mobs!$A$4:$A$74,0)),MIN(49,MAX(1,A27+Inputs!$C$6)))</f>
        <v/>
      </c>
      <c r="C27" s="9">
        <f>IF(Inputs!$C$7&lt;&gt;"",INDEX(Mobs!$C$4:$C$74,MATCH(Inputs!$C$7,Mobs!$A$4:$A$74,0)),IFERROR(AVERAGEIFS(Mobs!$C$4:$C$74,Mobs!$B$4:$B$74,"&gt;="&amp;(B27-Inputs!$C$8),Mobs!$B$4:$B$74,"&lt;="&amp;(B27+Inputs!$C$8),Mobs!$M$4:$M$74,1),0))</f>
        <v/>
      </c>
      <c r="D27" s="9">
        <f>IF(Inputs!$C$7&lt;&gt;"",INDEX(Mobs!$G$4:$G$74,MATCH(Inputs!$C$7,Mobs!$A$4:$A$74,0)),IFERROR(AVERAGEIFS(Mobs!$G$4:$G$74,Mobs!$B$4:$B$74,"&gt;="&amp;(B27-Inputs!$C$8),Mobs!$B$4:$B$74,"&lt;="&amp;(B27+Inputs!$C$8),Mobs!$M$4:$M$74,1),0))</f>
        <v/>
      </c>
      <c r="E27" s="9">
        <f>IF(Inputs!$C$7&lt;&gt;"",INDEX(Mobs!$H$4:$H$74,MATCH(Inputs!$C$7,Mobs!$A$4:$A$74,0)),IFERROR(AVERAGEIFS(Mobs!$H$4:$H$74,Mobs!$B$4:$B$74,"&gt;="&amp;(B27-Inputs!$C$8),Mobs!$B$4:$B$74,"&lt;="&amp;(B27+Inputs!$C$8),Mobs!$M$4:$M$74,1),0))</f>
        <v/>
      </c>
      <c r="F27" s="16">
        <f>IF(Inputs!$C$7&lt;&gt;"",INDEX(Mobs!$I$4:$I$74,MATCH(Inputs!$C$7,Mobs!$A$4:$A$74,0)),IFERROR(AVERAGEIFS(Mobs!$I$4:$I$74,Mobs!$B$4:$B$74,"&gt;="&amp;(B27-Inputs!$C$8),Mobs!$B$4:$B$74,"&lt;="&amp;(B27+Inputs!$C$8),Mobs!$M$4:$M$74,1),0))</f>
        <v/>
      </c>
      <c r="G27" s="9">
        <f>IF(Inputs!$C$7&lt;&gt;"",INDEX(Mobs!$J$4:$J$74,MATCH(Inputs!$C$7,Mobs!$A$4:$A$74,0)),IFERROR(AVERAGEIFS(Mobs!$J$4:$J$74,Mobs!$B$4:$B$74,"&gt;="&amp;(B27-Inputs!$C$8),Mobs!$B$4:$B$74,"&lt;="&amp;(B27+Inputs!$C$8),Mobs!$M$4:$M$74,1),0))</f>
        <v/>
      </c>
      <c r="H27" s="14">
        <f>IF(Inputs!$C$7&lt;&gt;"",1,COUNTIFS(Mobs!$B$4:$B$74,"&gt;="&amp;(B27-Inputs!$C$8),Mobs!$B$4:$B$74,"&lt;="&amp;(B27+Inputs!$C$8),Mobs!$M$4:$M$74,1))</f>
        <v/>
      </c>
    </row>
    <row r="28">
      <c r="A28" s="8" t="n">
        <v>25</v>
      </c>
      <c r="B28" s="14">
        <f>IF(Inputs!$C$7&lt;&gt;"",INDEX(Mobs!$B$4:$B$74,MATCH(Inputs!$C$7,Mobs!$A$4:$A$74,0)),MIN(49,MAX(1,A28+Inputs!$C$6)))</f>
        <v/>
      </c>
      <c r="C28" s="9">
        <f>IF(Inputs!$C$7&lt;&gt;"",INDEX(Mobs!$C$4:$C$74,MATCH(Inputs!$C$7,Mobs!$A$4:$A$74,0)),IFERROR(AVERAGEIFS(Mobs!$C$4:$C$74,Mobs!$B$4:$B$74,"&gt;="&amp;(B28-Inputs!$C$8),Mobs!$B$4:$B$74,"&lt;="&amp;(B28+Inputs!$C$8),Mobs!$M$4:$M$74,1),0))</f>
        <v/>
      </c>
      <c r="D28" s="9">
        <f>IF(Inputs!$C$7&lt;&gt;"",INDEX(Mobs!$G$4:$G$74,MATCH(Inputs!$C$7,Mobs!$A$4:$A$74,0)),IFERROR(AVERAGEIFS(Mobs!$G$4:$G$74,Mobs!$B$4:$B$74,"&gt;="&amp;(B28-Inputs!$C$8),Mobs!$B$4:$B$74,"&lt;="&amp;(B28+Inputs!$C$8),Mobs!$M$4:$M$74,1),0))</f>
        <v/>
      </c>
      <c r="E28" s="9">
        <f>IF(Inputs!$C$7&lt;&gt;"",INDEX(Mobs!$H$4:$H$74,MATCH(Inputs!$C$7,Mobs!$A$4:$A$74,0)),IFERROR(AVERAGEIFS(Mobs!$H$4:$H$74,Mobs!$B$4:$B$74,"&gt;="&amp;(B28-Inputs!$C$8),Mobs!$B$4:$B$74,"&lt;="&amp;(B28+Inputs!$C$8),Mobs!$M$4:$M$74,1),0))</f>
        <v/>
      </c>
      <c r="F28" s="16">
        <f>IF(Inputs!$C$7&lt;&gt;"",INDEX(Mobs!$I$4:$I$74,MATCH(Inputs!$C$7,Mobs!$A$4:$A$74,0)),IFERROR(AVERAGEIFS(Mobs!$I$4:$I$74,Mobs!$B$4:$B$74,"&gt;="&amp;(B28-Inputs!$C$8),Mobs!$B$4:$B$74,"&lt;="&amp;(B28+Inputs!$C$8),Mobs!$M$4:$M$74,1),0))</f>
        <v/>
      </c>
      <c r="G28" s="9">
        <f>IF(Inputs!$C$7&lt;&gt;"",INDEX(Mobs!$J$4:$J$74,MATCH(Inputs!$C$7,Mobs!$A$4:$A$74,0)),IFERROR(AVERAGEIFS(Mobs!$J$4:$J$74,Mobs!$B$4:$B$74,"&gt;="&amp;(B28-Inputs!$C$8),Mobs!$B$4:$B$74,"&lt;="&amp;(B28+Inputs!$C$8),Mobs!$M$4:$M$74,1),0))</f>
        <v/>
      </c>
      <c r="H28" s="14">
        <f>IF(Inputs!$C$7&lt;&gt;"",1,COUNTIFS(Mobs!$B$4:$B$74,"&gt;="&amp;(B28-Inputs!$C$8),Mobs!$B$4:$B$74,"&lt;="&amp;(B28+Inputs!$C$8),Mobs!$M$4:$M$74,1))</f>
        <v/>
      </c>
    </row>
    <row r="29">
      <c r="A29" s="8" t="n">
        <v>26</v>
      </c>
      <c r="B29" s="14">
        <f>IF(Inputs!$C$7&lt;&gt;"",INDEX(Mobs!$B$4:$B$74,MATCH(Inputs!$C$7,Mobs!$A$4:$A$74,0)),MIN(49,MAX(1,A29+Inputs!$C$6)))</f>
        <v/>
      </c>
      <c r="C29" s="9">
        <f>IF(Inputs!$C$7&lt;&gt;"",INDEX(Mobs!$C$4:$C$74,MATCH(Inputs!$C$7,Mobs!$A$4:$A$74,0)),IFERROR(AVERAGEIFS(Mobs!$C$4:$C$74,Mobs!$B$4:$B$74,"&gt;="&amp;(B29-Inputs!$C$8),Mobs!$B$4:$B$74,"&lt;="&amp;(B29+Inputs!$C$8),Mobs!$M$4:$M$74,1),0))</f>
        <v/>
      </c>
      <c r="D29" s="9">
        <f>IF(Inputs!$C$7&lt;&gt;"",INDEX(Mobs!$G$4:$G$74,MATCH(Inputs!$C$7,Mobs!$A$4:$A$74,0)),IFERROR(AVERAGEIFS(Mobs!$G$4:$G$74,Mobs!$B$4:$B$74,"&gt;="&amp;(B29-Inputs!$C$8),Mobs!$B$4:$B$74,"&lt;="&amp;(B29+Inputs!$C$8),Mobs!$M$4:$M$74,1),0))</f>
        <v/>
      </c>
      <c r="E29" s="9">
        <f>IF(Inputs!$C$7&lt;&gt;"",INDEX(Mobs!$H$4:$H$74,MATCH(Inputs!$C$7,Mobs!$A$4:$A$74,0)),IFERROR(AVERAGEIFS(Mobs!$H$4:$H$74,Mobs!$B$4:$B$74,"&gt;="&amp;(B29-Inputs!$C$8),Mobs!$B$4:$B$74,"&lt;="&amp;(B29+Inputs!$C$8),Mobs!$M$4:$M$74,1),0))</f>
        <v/>
      </c>
      <c r="F29" s="16">
        <f>IF(Inputs!$C$7&lt;&gt;"",INDEX(Mobs!$I$4:$I$74,MATCH(Inputs!$C$7,Mobs!$A$4:$A$74,0)),IFERROR(AVERAGEIFS(Mobs!$I$4:$I$74,Mobs!$B$4:$B$74,"&gt;="&amp;(B29-Inputs!$C$8),Mobs!$B$4:$B$74,"&lt;="&amp;(B29+Inputs!$C$8),Mobs!$M$4:$M$74,1),0))</f>
        <v/>
      </c>
      <c r="G29" s="9">
        <f>IF(Inputs!$C$7&lt;&gt;"",INDEX(Mobs!$J$4:$J$74,MATCH(Inputs!$C$7,Mobs!$A$4:$A$74,0)),IFERROR(AVERAGEIFS(Mobs!$J$4:$J$74,Mobs!$B$4:$B$74,"&gt;="&amp;(B29-Inputs!$C$8),Mobs!$B$4:$B$74,"&lt;="&amp;(B29+Inputs!$C$8),Mobs!$M$4:$M$74,1),0))</f>
        <v/>
      </c>
      <c r="H29" s="14">
        <f>IF(Inputs!$C$7&lt;&gt;"",1,COUNTIFS(Mobs!$B$4:$B$74,"&gt;="&amp;(B29-Inputs!$C$8),Mobs!$B$4:$B$74,"&lt;="&amp;(B29+Inputs!$C$8),Mobs!$M$4:$M$74,1))</f>
        <v/>
      </c>
    </row>
    <row r="30">
      <c r="A30" s="8" t="n">
        <v>27</v>
      </c>
      <c r="B30" s="14">
        <f>IF(Inputs!$C$7&lt;&gt;"",INDEX(Mobs!$B$4:$B$74,MATCH(Inputs!$C$7,Mobs!$A$4:$A$74,0)),MIN(49,MAX(1,A30+Inputs!$C$6)))</f>
        <v/>
      </c>
      <c r="C30" s="9">
        <f>IF(Inputs!$C$7&lt;&gt;"",INDEX(Mobs!$C$4:$C$74,MATCH(Inputs!$C$7,Mobs!$A$4:$A$74,0)),IFERROR(AVERAGEIFS(Mobs!$C$4:$C$74,Mobs!$B$4:$B$74,"&gt;="&amp;(B30-Inputs!$C$8),Mobs!$B$4:$B$74,"&lt;="&amp;(B30+Inputs!$C$8),Mobs!$M$4:$M$74,1),0))</f>
        <v/>
      </c>
      <c r="D30" s="9">
        <f>IF(Inputs!$C$7&lt;&gt;"",INDEX(Mobs!$G$4:$G$74,MATCH(Inputs!$C$7,Mobs!$A$4:$A$74,0)),IFERROR(AVERAGEIFS(Mobs!$G$4:$G$74,Mobs!$B$4:$B$74,"&gt;="&amp;(B30-Inputs!$C$8),Mobs!$B$4:$B$74,"&lt;="&amp;(B30+Inputs!$C$8),Mobs!$M$4:$M$74,1),0))</f>
        <v/>
      </c>
      <c r="E30" s="9">
        <f>IF(Inputs!$C$7&lt;&gt;"",INDEX(Mobs!$H$4:$H$74,MATCH(Inputs!$C$7,Mobs!$A$4:$A$74,0)),IFERROR(AVERAGEIFS(Mobs!$H$4:$H$74,Mobs!$B$4:$B$74,"&gt;="&amp;(B30-Inputs!$C$8),Mobs!$B$4:$B$74,"&lt;="&amp;(B30+Inputs!$C$8),Mobs!$M$4:$M$74,1),0))</f>
        <v/>
      </c>
      <c r="F30" s="16">
        <f>IF(Inputs!$C$7&lt;&gt;"",INDEX(Mobs!$I$4:$I$74,MATCH(Inputs!$C$7,Mobs!$A$4:$A$74,0)),IFERROR(AVERAGEIFS(Mobs!$I$4:$I$74,Mobs!$B$4:$B$74,"&gt;="&amp;(B30-Inputs!$C$8),Mobs!$B$4:$B$74,"&lt;="&amp;(B30+Inputs!$C$8),Mobs!$M$4:$M$74,1),0))</f>
        <v/>
      </c>
      <c r="G30" s="9">
        <f>IF(Inputs!$C$7&lt;&gt;"",INDEX(Mobs!$J$4:$J$74,MATCH(Inputs!$C$7,Mobs!$A$4:$A$74,0)),IFERROR(AVERAGEIFS(Mobs!$J$4:$J$74,Mobs!$B$4:$B$74,"&gt;="&amp;(B30-Inputs!$C$8),Mobs!$B$4:$B$74,"&lt;="&amp;(B30+Inputs!$C$8),Mobs!$M$4:$M$74,1),0))</f>
        <v/>
      </c>
      <c r="H30" s="14">
        <f>IF(Inputs!$C$7&lt;&gt;"",1,COUNTIFS(Mobs!$B$4:$B$74,"&gt;="&amp;(B30-Inputs!$C$8),Mobs!$B$4:$B$74,"&lt;="&amp;(B30+Inputs!$C$8),Mobs!$M$4:$M$74,1))</f>
        <v/>
      </c>
    </row>
    <row r="31">
      <c r="A31" s="8" t="n">
        <v>28</v>
      </c>
      <c r="B31" s="14">
        <f>IF(Inputs!$C$7&lt;&gt;"",INDEX(Mobs!$B$4:$B$74,MATCH(Inputs!$C$7,Mobs!$A$4:$A$74,0)),MIN(49,MAX(1,A31+Inputs!$C$6)))</f>
        <v/>
      </c>
      <c r="C31" s="9">
        <f>IF(Inputs!$C$7&lt;&gt;"",INDEX(Mobs!$C$4:$C$74,MATCH(Inputs!$C$7,Mobs!$A$4:$A$74,0)),IFERROR(AVERAGEIFS(Mobs!$C$4:$C$74,Mobs!$B$4:$B$74,"&gt;="&amp;(B31-Inputs!$C$8),Mobs!$B$4:$B$74,"&lt;="&amp;(B31+Inputs!$C$8),Mobs!$M$4:$M$74,1),0))</f>
        <v/>
      </c>
      <c r="D31" s="9">
        <f>IF(Inputs!$C$7&lt;&gt;"",INDEX(Mobs!$G$4:$G$74,MATCH(Inputs!$C$7,Mobs!$A$4:$A$74,0)),IFERROR(AVERAGEIFS(Mobs!$G$4:$G$74,Mobs!$B$4:$B$74,"&gt;="&amp;(B31-Inputs!$C$8),Mobs!$B$4:$B$74,"&lt;="&amp;(B31+Inputs!$C$8),Mobs!$M$4:$M$74,1),0))</f>
        <v/>
      </c>
      <c r="E31" s="9">
        <f>IF(Inputs!$C$7&lt;&gt;"",INDEX(Mobs!$H$4:$H$74,MATCH(Inputs!$C$7,Mobs!$A$4:$A$74,0)),IFERROR(AVERAGEIFS(Mobs!$H$4:$H$74,Mobs!$B$4:$B$74,"&gt;="&amp;(B31-Inputs!$C$8),Mobs!$B$4:$B$74,"&lt;="&amp;(B31+Inputs!$C$8),Mobs!$M$4:$M$74,1),0))</f>
        <v/>
      </c>
      <c r="F31" s="16">
        <f>IF(Inputs!$C$7&lt;&gt;"",INDEX(Mobs!$I$4:$I$74,MATCH(Inputs!$C$7,Mobs!$A$4:$A$74,0)),IFERROR(AVERAGEIFS(Mobs!$I$4:$I$74,Mobs!$B$4:$B$74,"&gt;="&amp;(B31-Inputs!$C$8),Mobs!$B$4:$B$74,"&lt;="&amp;(B31+Inputs!$C$8),Mobs!$M$4:$M$74,1),0))</f>
        <v/>
      </c>
      <c r="G31" s="9">
        <f>IF(Inputs!$C$7&lt;&gt;"",INDEX(Mobs!$J$4:$J$74,MATCH(Inputs!$C$7,Mobs!$A$4:$A$74,0)),IFERROR(AVERAGEIFS(Mobs!$J$4:$J$74,Mobs!$B$4:$B$74,"&gt;="&amp;(B31-Inputs!$C$8),Mobs!$B$4:$B$74,"&lt;="&amp;(B31+Inputs!$C$8),Mobs!$M$4:$M$74,1),0))</f>
        <v/>
      </c>
      <c r="H31" s="14">
        <f>IF(Inputs!$C$7&lt;&gt;"",1,COUNTIFS(Mobs!$B$4:$B$74,"&gt;="&amp;(B31-Inputs!$C$8),Mobs!$B$4:$B$74,"&lt;="&amp;(B31+Inputs!$C$8),Mobs!$M$4:$M$74,1))</f>
        <v/>
      </c>
    </row>
    <row r="32">
      <c r="A32" s="8" t="n">
        <v>29</v>
      </c>
      <c r="B32" s="14">
        <f>IF(Inputs!$C$7&lt;&gt;"",INDEX(Mobs!$B$4:$B$74,MATCH(Inputs!$C$7,Mobs!$A$4:$A$74,0)),MIN(49,MAX(1,A32+Inputs!$C$6)))</f>
        <v/>
      </c>
      <c r="C32" s="9">
        <f>IF(Inputs!$C$7&lt;&gt;"",INDEX(Mobs!$C$4:$C$74,MATCH(Inputs!$C$7,Mobs!$A$4:$A$74,0)),IFERROR(AVERAGEIFS(Mobs!$C$4:$C$74,Mobs!$B$4:$B$74,"&gt;="&amp;(B32-Inputs!$C$8),Mobs!$B$4:$B$74,"&lt;="&amp;(B32+Inputs!$C$8),Mobs!$M$4:$M$74,1),0))</f>
        <v/>
      </c>
      <c r="D32" s="9">
        <f>IF(Inputs!$C$7&lt;&gt;"",INDEX(Mobs!$G$4:$G$74,MATCH(Inputs!$C$7,Mobs!$A$4:$A$74,0)),IFERROR(AVERAGEIFS(Mobs!$G$4:$G$74,Mobs!$B$4:$B$74,"&gt;="&amp;(B32-Inputs!$C$8),Mobs!$B$4:$B$74,"&lt;="&amp;(B32+Inputs!$C$8),Mobs!$M$4:$M$74,1),0))</f>
        <v/>
      </c>
      <c r="E32" s="9">
        <f>IF(Inputs!$C$7&lt;&gt;"",INDEX(Mobs!$H$4:$H$74,MATCH(Inputs!$C$7,Mobs!$A$4:$A$74,0)),IFERROR(AVERAGEIFS(Mobs!$H$4:$H$74,Mobs!$B$4:$B$74,"&gt;="&amp;(B32-Inputs!$C$8),Mobs!$B$4:$B$74,"&lt;="&amp;(B32+Inputs!$C$8),Mobs!$M$4:$M$74,1),0))</f>
        <v/>
      </c>
      <c r="F32" s="16">
        <f>IF(Inputs!$C$7&lt;&gt;"",INDEX(Mobs!$I$4:$I$74,MATCH(Inputs!$C$7,Mobs!$A$4:$A$74,0)),IFERROR(AVERAGEIFS(Mobs!$I$4:$I$74,Mobs!$B$4:$B$74,"&gt;="&amp;(B32-Inputs!$C$8),Mobs!$B$4:$B$74,"&lt;="&amp;(B32+Inputs!$C$8),Mobs!$M$4:$M$74,1),0))</f>
        <v/>
      </c>
      <c r="G32" s="9">
        <f>IF(Inputs!$C$7&lt;&gt;"",INDEX(Mobs!$J$4:$J$74,MATCH(Inputs!$C$7,Mobs!$A$4:$A$74,0)),IFERROR(AVERAGEIFS(Mobs!$J$4:$J$74,Mobs!$B$4:$B$74,"&gt;="&amp;(B32-Inputs!$C$8),Mobs!$B$4:$B$74,"&lt;="&amp;(B32+Inputs!$C$8),Mobs!$M$4:$M$74,1),0))</f>
        <v/>
      </c>
      <c r="H32" s="14">
        <f>IF(Inputs!$C$7&lt;&gt;"",1,COUNTIFS(Mobs!$B$4:$B$74,"&gt;="&amp;(B32-Inputs!$C$8),Mobs!$B$4:$B$74,"&lt;="&amp;(B32+Inputs!$C$8),Mobs!$M$4:$M$74,1))</f>
        <v/>
      </c>
    </row>
    <row r="33">
      <c r="A33" s="8" t="n">
        <v>30</v>
      </c>
      <c r="B33" s="14">
        <f>IF(Inputs!$C$7&lt;&gt;"",INDEX(Mobs!$B$4:$B$74,MATCH(Inputs!$C$7,Mobs!$A$4:$A$74,0)),MIN(49,MAX(1,A33+Inputs!$C$6)))</f>
        <v/>
      </c>
      <c r="C33" s="9">
        <f>IF(Inputs!$C$7&lt;&gt;"",INDEX(Mobs!$C$4:$C$74,MATCH(Inputs!$C$7,Mobs!$A$4:$A$74,0)),IFERROR(AVERAGEIFS(Mobs!$C$4:$C$74,Mobs!$B$4:$B$74,"&gt;="&amp;(B33-Inputs!$C$8),Mobs!$B$4:$B$74,"&lt;="&amp;(B33+Inputs!$C$8),Mobs!$M$4:$M$74,1),0))</f>
        <v/>
      </c>
      <c r="D33" s="9">
        <f>IF(Inputs!$C$7&lt;&gt;"",INDEX(Mobs!$G$4:$G$74,MATCH(Inputs!$C$7,Mobs!$A$4:$A$74,0)),IFERROR(AVERAGEIFS(Mobs!$G$4:$G$74,Mobs!$B$4:$B$74,"&gt;="&amp;(B33-Inputs!$C$8),Mobs!$B$4:$B$74,"&lt;="&amp;(B33+Inputs!$C$8),Mobs!$M$4:$M$74,1),0))</f>
        <v/>
      </c>
      <c r="E33" s="9">
        <f>IF(Inputs!$C$7&lt;&gt;"",INDEX(Mobs!$H$4:$H$74,MATCH(Inputs!$C$7,Mobs!$A$4:$A$74,0)),IFERROR(AVERAGEIFS(Mobs!$H$4:$H$74,Mobs!$B$4:$B$74,"&gt;="&amp;(B33-Inputs!$C$8),Mobs!$B$4:$B$74,"&lt;="&amp;(B33+Inputs!$C$8),Mobs!$M$4:$M$74,1),0))</f>
        <v/>
      </c>
      <c r="F33" s="16">
        <f>IF(Inputs!$C$7&lt;&gt;"",INDEX(Mobs!$I$4:$I$74,MATCH(Inputs!$C$7,Mobs!$A$4:$A$74,0)),IFERROR(AVERAGEIFS(Mobs!$I$4:$I$74,Mobs!$B$4:$B$74,"&gt;="&amp;(B33-Inputs!$C$8),Mobs!$B$4:$B$74,"&lt;="&amp;(B33+Inputs!$C$8),Mobs!$M$4:$M$74,1),0))</f>
        <v/>
      </c>
      <c r="G33" s="9">
        <f>IF(Inputs!$C$7&lt;&gt;"",INDEX(Mobs!$J$4:$J$74,MATCH(Inputs!$C$7,Mobs!$A$4:$A$74,0)),IFERROR(AVERAGEIFS(Mobs!$J$4:$J$74,Mobs!$B$4:$B$74,"&gt;="&amp;(B33-Inputs!$C$8),Mobs!$B$4:$B$74,"&lt;="&amp;(B33+Inputs!$C$8),Mobs!$M$4:$M$74,1),0))</f>
        <v/>
      </c>
      <c r="H33" s="14">
        <f>IF(Inputs!$C$7&lt;&gt;"",1,COUNTIFS(Mobs!$B$4:$B$74,"&gt;="&amp;(B33-Inputs!$C$8),Mobs!$B$4:$B$74,"&lt;="&amp;(B33+Inputs!$C$8),Mobs!$M$4:$M$74,1))</f>
        <v/>
      </c>
    </row>
    <row r="34">
      <c r="A34" s="8" t="n">
        <v>31</v>
      </c>
      <c r="B34" s="14">
        <f>IF(Inputs!$C$7&lt;&gt;"",INDEX(Mobs!$B$4:$B$74,MATCH(Inputs!$C$7,Mobs!$A$4:$A$74,0)),MIN(49,MAX(1,A34+Inputs!$C$6)))</f>
        <v/>
      </c>
      <c r="C34" s="9">
        <f>IF(Inputs!$C$7&lt;&gt;"",INDEX(Mobs!$C$4:$C$74,MATCH(Inputs!$C$7,Mobs!$A$4:$A$74,0)),IFERROR(AVERAGEIFS(Mobs!$C$4:$C$74,Mobs!$B$4:$B$74,"&gt;="&amp;(B34-Inputs!$C$8),Mobs!$B$4:$B$74,"&lt;="&amp;(B34+Inputs!$C$8),Mobs!$M$4:$M$74,1),0))</f>
        <v/>
      </c>
      <c r="D34" s="9">
        <f>IF(Inputs!$C$7&lt;&gt;"",INDEX(Mobs!$G$4:$G$74,MATCH(Inputs!$C$7,Mobs!$A$4:$A$74,0)),IFERROR(AVERAGEIFS(Mobs!$G$4:$G$74,Mobs!$B$4:$B$74,"&gt;="&amp;(B34-Inputs!$C$8),Mobs!$B$4:$B$74,"&lt;="&amp;(B34+Inputs!$C$8),Mobs!$M$4:$M$74,1),0))</f>
        <v/>
      </c>
      <c r="E34" s="9">
        <f>IF(Inputs!$C$7&lt;&gt;"",INDEX(Mobs!$H$4:$H$74,MATCH(Inputs!$C$7,Mobs!$A$4:$A$74,0)),IFERROR(AVERAGEIFS(Mobs!$H$4:$H$74,Mobs!$B$4:$B$74,"&gt;="&amp;(B34-Inputs!$C$8),Mobs!$B$4:$B$74,"&lt;="&amp;(B34+Inputs!$C$8),Mobs!$M$4:$M$74,1),0))</f>
        <v/>
      </c>
      <c r="F34" s="16">
        <f>IF(Inputs!$C$7&lt;&gt;"",INDEX(Mobs!$I$4:$I$74,MATCH(Inputs!$C$7,Mobs!$A$4:$A$74,0)),IFERROR(AVERAGEIFS(Mobs!$I$4:$I$74,Mobs!$B$4:$B$74,"&gt;="&amp;(B34-Inputs!$C$8),Mobs!$B$4:$B$74,"&lt;="&amp;(B34+Inputs!$C$8),Mobs!$M$4:$M$74,1),0))</f>
        <v/>
      </c>
      <c r="G34" s="9">
        <f>IF(Inputs!$C$7&lt;&gt;"",INDEX(Mobs!$J$4:$J$74,MATCH(Inputs!$C$7,Mobs!$A$4:$A$74,0)),IFERROR(AVERAGEIFS(Mobs!$J$4:$J$74,Mobs!$B$4:$B$74,"&gt;="&amp;(B34-Inputs!$C$8),Mobs!$B$4:$B$74,"&lt;="&amp;(B34+Inputs!$C$8),Mobs!$M$4:$M$74,1),0))</f>
        <v/>
      </c>
      <c r="H34" s="14">
        <f>IF(Inputs!$C$7&lt;&gt;"",1,COUNTIFS(Mobs!$B$4:$B$74,"&gt;="&amp;(B34-Inputs!$C$8),Mobs!$B$4:$B$74,"&lt;="&amp;(B34+Inputs!$C$8),Mobs!$M$4:$M$74,1))</f>
        <v/>
      </c>
    </row>
    <row r="35">
      <c r="A35" s="8" t="n">
        <v>32</v>
      </c>
      <c r="B35" s="14">
        <f>IF(Inputs!$C$7&lt;&gt;"",INDEX(Mobs!$B$4:$B$74,MATCH(Inputs!$C$7,Mobs!$A$4:$A$74,0)),MIN(49,MAX(1,A35+Inputs!$C$6)))</f>
        <v/>
      </c>
      <c r="C35" s="9">
        <f>IF(Inputs!$C$7&lt;&gt;"",INDEX(Mobs!$C$4:$C$74,MATCH(Inputs!$C$7,Mobs!$A$4:$A$74,0)),IFERROR(AVERAGEIFS(Mobs!$C$4:$C$74,Mobs!$B$4:$B$74,"&gt;="&amp;(B35-Inputs!$C$8),Mobs!$B$4:$B$74,"&lt;="&amp;(B35+Inputs!$C$8),Mobs!$M$4:$M$74,1),0))</f>
        <v/>
      </c>
      <c r="D35" s="9">
        <f>IF(Inputs!$C$7&lt;&gt;"",INDEX(Mobs!$G$4:$G$74,MATCH(Inputs!$C$7,Mobs!$A$4:$A$74,0)),IFERROR(AVERAGEIFS(Mobs!$G$4:$G$74,Mobs!$B$4:$B$74,"&gt;="&amp;(B35-Inputs!$C$8),Mobs!$B$4:$B$74,"&lt;="&amp;(B35+Inputs!$C$8),Mobs!$M$4:$M$74,1),0))</f>
        <v/>
      </c>
      <c r="E35" s="9">
        <f>IF(Inputs!$C$7&lt;&gt;"",INDEX(Mobs!$H$4:$H$74,MATCH(Inputs!$C$7,Mobs!$A$4:$A$74,0)),IFERROR(AVERAGEIFS(Mobs!$H$4:$H$74,Mobs!$B$4:$B$74,"&gt;="&amp;(B35-Inputs!$C$8),Mobs!$B$4:$B$74,"&lt;="&amp;(B35+Inputs!$C$8),Mobs!$M$4:$M$74,1),0))</f>
        <v/>
      </c>
      <c r="F35" s="16">
        <f>IF(Inputs!$C$7&lt;&gt;"",INDEX(Mobs!$I$4:$I$74,MATCH(Inputs!$C$7,Mobs!$A$4:$A$74,0)),IFERROR(AVERAGEIFS(Mobs!$I$4:$I$74,Mobs!$B$4:$B$74,"&gt;="&amp;(B35-Inputs!$C$8),Mobs!$B$4:$B$74,"&lt;="&amp;(B35+Inputs!$C$8),Mobs!$M$4:$M$74,1),0))</f>
        <v/>
      </c>
      <c r="G35" s="9">
        <f>IF(Inputs!$C$7&lt;&gt;"",INDEX(Mobs!$J$4:$J$74,MATCH(Inputs!$C$7,Mobs!$A$4:$A$74,0)),IFERROR(AVERAGEIFS(Mobs!$J$4:$J$74,Mobs!$B$4:$B$74,"&gt;="&amp;(B35-Inputs!$C$8),Mobs!$B$4:$B$74,"&lt;="&amp;(B35+Inputs!$C$8),Mobs!$M$4:$M$74,1),0))</f>
        <v/>
      </c>
      <c r="H35" s="14">
        <f>IF(Inputs!$C$7&lt;&gt;"",1,COUNTIFS(Mobs!$B$4:$B$74,"&gt;="&amp;(B35-Inputs!$C$8),Mobs!$B$4:$B$74,"&lt;="&amp;(B35+Inputs!$C$8),Mobs!$M$4:$M$74,1))</f>
        <v/>
      </c>
    </row>
    <row r="36">
      <c r="A36" s="8" t="n">
        <v>33</v>
      </c>
      <c r="B36" s="14">
        <f>IF(Inputs!$C$7&lt;&gt;"",INDEX(Mobs!$B$4:$B$74,MATCH(Inputs!$C$7,Mobs!$A$4:$A$74,0)),MIN(49,MAX(1,A36+Inputs!$C$6)))</f>
        <v/>
      </c>
      <c r="C36" s="9">
        <f>IF(Inputs!$C$7&lt;&gt;"",INDEX(Mobs!$C$4:$C$74,MATCH(Inputs!$C$7,Mobs!$A$4:$A$74,0)),IFERROR(AVERAGEIFS(Mobs!$C$4:$C$74,Mobs!$B$4:$B$74,"&gt;="&amp;(B36-Inputs!$C$8),Mobs!$B$4:$B$74,"&lt;="&amp;(B36+Inputs!$C$8),Mobs!$M$4:$M$74,1),0))</f>
        <v/>
      </c>
      <c r="D36" s="9">
        <f>IF(Inputs!$C$7&lt;&gt;"",INDEX(Mobs!$G$4:$G$74,MATCH(Inputs!$C$7,Mobs!$A$4:$A$74,0)),IFERROR(AVERAGEIFS(Mobs!$G$4:$G$74,Mobs!$B$4:$B$74,"&gt;="&amp;(B36-Inputs!$C$8),Mobs!$B$4:$B$74,"&lt;="&amp;(B36+Inputs!$C$8),Mobs!$M$4:$M$74,1),0))</f>
        <v/>
      </c>
      <c r="E36" s="9">
        <f>IF(Inputs!$C$7&lt;&gt;"",INDEX(Mobs!$H$4:$H$74,MATCH(Inputs!$C$7,Mobs!$A$4:$A$74,0)),IFERROR(AVERAGEIFS(Mobs!$H$4:$H$74,Mobs!$B$4:$B$74,"&gt;="&amp;(B36-Inputs!$C$8),Mobs!$B$4:$B$74,"&lt;="&amp;(B36+Inputs!$C$8),Mobs!$M$4:$M$74,1),0))</f>
        <v/>
      </c>
      <c r="F36" s="16">
        <f>IF(Inputs!$C$7&lt;&gt;"",INDEX(Mobs!$I$4:$I$74,MATCH(Inputs!$C$7,Mobs!$A$4:$A$74,0)),IFERROR(AVERAGEIFS(Mobs!$I$4:$I$74,Mobs!$B$4:$B$74,"&gt;="&amp;(B36-Inputs!$C$8),Mobs!$B$4:$B$74,"&lt;="&amp;(B36+Inputs!$C$8),Mobs!$M$4:$M$74,1),0))</f>
        <v/>
      </c>
      <c r="G36" s="9">
        <f>IF(Inputs!$C$7&lt;&gt;"",INDEX(Mobs!$J$4:$J$74,MATCH(Inputs!$C$7,Mobs!$A$4:$A$74,0)),IFERROR(AVERAGEIFS(Mobs!$J$4:$J$74,Mobs!$B$4:$B$74,"&gt;="&amp;(B36-Inputs!$C$8),Mobs!$B$4:$B$74,"&lt;="&amp;(B36+Inputs!$C$8),Mobs!$M$4:$M$74,1),0))</f>
        <v/>
      </c>
      <c r="H36" s="14">
        <f>IF(Inputs!$C$7&lt;&gt;"",1,COUNTIFS(Mobs!$B$4:$B$74,"&gt;="&amp;(B36-Inputs!$C$8),Mobs!$B$4:$B$74,"&lt;="&amp;(B36+Inputs!$C$8),Mobs!$M$4:$M$74,1))</f>
        <v/>
      </c>
    </row>
    <row r="37">
      <c r="A37" s="8" t="n">
        <v>34</v>
      </c>
      <c r="B37" s="14">
        <f>IF(Inputs!$C$7&lt;&gt;"",INDEX(Mobs!$B$4:$B$74,MATCH(Inputs!$C$7,Mobs!$A$4:$A$74,0)),MIN(49,MAX(1,A37+Inputs!$C$6)))</f>
        <v/>
      </c>
      <c r="C37" s="9">
        <f>IF(Inputs!$C$7&lt;&gt;"",INDEX(Mobs!$C$4:$C$74,MATCH(Inputs!$C$7,Mobs!$A$4:$A$74,0)),IFERROR(AVERAGEIFS(Mobs!$C$4:$C$74,Mobs!$B$4:$B$74,"&gt;="&amp;(B37-Inputs!$C$8),Mobs!$B$4:$B$74,"&lt;="&amp;(B37+Inputs!$C$8),Mobs!$M$4:$M$74,1),0))</f>
        <v/>
      </c>
      <c r="D37" s="9">
        <f>IF(Inputs!$C$7&lt;&gt;"",INDEX(Mobs!$G$4:$G$74,MATCH(Inputs!$C$7,Mobs!$A$4:$A$74,0)),IFERROR(AVERAGEIFS(Mobs!$G$4:$G$74,Mobs!$B$4:$B$74,"&gt;="&amp;(B37-Inputs!$C$8),Mobs!$B$4:$B$74,"&lt;="&amp;(B37+Inputs!$C$8),Mobs!$M$4:$M$74,1),0))</f>
        <v/>
      </c>
      <c r="E37" s="9">
        <f>IF(Inputs!$C$7&lt;&gt;"",INDEX(Mobs!$H$4:$H$74,MATCH(Inputs!$C$7,Mobs!$A$4:$A$74,0)),IFERROR(AVERAGEIFS(Mobs!$H$4:$H$74,Mobs!$B$4:$B$74,"&gt;="&amp;(B37-Inputs!$C$8),Mobs!$B$4:$B$74,"&lt;="&amp;(B37+Inputs!$C$8),Mobs!$M$4:$M$74,1),0))</f>
        <v/>
      </c>
      <c r="F37" s="16">
        <f>IF(Inputs!$C$7&lt;&gt;"",INDEX(Mobs!$I$4:$I$74,MATCH(Inputs!$C$7,Mobs!$A$4:$A$74,0)),IFERROR(AVERAGEIFS(Mobs!$I$4:$I$74,Mobs!$B$4:$B$74,"&gt;="&amp;(B37-Inputs!$C$8),Mobs!$B$4:$B$74,"&lt;="&amp;(B37+Inputs!$C$8),Mobs!$M$4:$M$74,1),0))</f>
        <v/>
      </c>
      <c r="G37" s="9">
        <f>IF(Inputs!$C$7&lt;&gt;"",INDEX(Mobs!$J$4:$J$74,MATCH(Inputs!$C$7,Mobs!$A$4:$A$74,0)),IFERROR(AVERAGEIFS(Mobs!$J$4:$J$74,Mobs!$B$4:$B$74,"&gt;="&amp;(B37-Inputs!$C$8),Mobs!$B$4:$B$74,"&lt;="&amp;(B37+Inputs!$C$8),Mobs!$M$4:$M$74,1),0))</f>
        <v/>
      </c>
      <c r="H37" s="14">
        <f>IF(Inputs!$C$7&lt;&gt;"",1,COUNTIFS(Mobs!$B$4:$B$74,"&gt;="&amp;(B37-Inputs!$C$8),Mobs!$B$4:$B$74,"&lt;="&amp;(B37+Inputs!$C$8),Mobs!$M$4:$M$74,1))</f>
        <v/>
      </c>
    </row>
    <row r="38">
      <c r="A38" s="8" t="n">
        <v>35</v>
      </c>
      <c r="B38" s="14">
        <f>IF(Inputs!$C$7&lt;&gt;"",INDEX(Mobs!$B$4:$B$74,MATCH(Inputs!$C$7,Mobs!$A$4:$A$74,0)),MIN(49,MAX(1,A38+Inputs!$C$6)))</f>
        <v/>
      </c>
      <c r="C38" s="9">
        <f>IF(Inputs!$C$7&lt;&gt;"",INDEX(Mobs!$C$4:$C$74,MATCH(Inputs!$C$7,Mobs!$A$4:$A$74,0)),IFERROR(AVERAGEIFS(Mobs!$C$4:$C$74,Mobs!$B$4:$B$74,"&gt;="&amp;(B38-Inputs!$C$8),Mobs!$B$4:$B$74,"&lt;="&amp;(B38+Inputs!$C$8),Mobs!$M$4:$M$74,1),0))</f>
        <v/>
      </c>
      <c r="D38" s="9">
        <f>IF(Inputs!$C$7&lt;&gt;"",INDEX(Mobs!$G$4:$G$74,MATCH(Inputs!$C$7,Mobs!$A$4:$A$74,0)),IFERROR(AVERAGEIFS(Mobs!$G$4:$G$74,Mobs!$B$4:$B$74,"&gt;="&amp;(B38-Inputs!$C$8),Mobs!$B$4:$B$74,"&lt;="&amp;(B38+Inputs!$C$8),Mobs!$M$4:$M$74,1),0))</f>
        <v/>
      </c>
      <c r="E38" s="9">
        <f>IF(Inputs!$C$7&lt;&gt;"",INDEX(Mobs!$H$4:$H$74,MATCH(Inputs!$C$7,Mobs!$A$4:$A$74,0)),IFERROR(AVERAGEIFS(Mobs!$H$4:$H$74,Mobs!$B$4:$B$74,"&gt;="&amp;(B38-Inputs!$C$8),Mobs!$B$4:$B$74,"&lt;="&amp;(B38+Inputs!$C$8),Mobs!$M$4:$M$74,1),0))</f>
        <v/>
      </c>
      <c r="F38" s="16">
        <f>IF(Inputs!$C$7&lt;&gt;"",INDEX(Mobs!$I$4:$I$74,MATCH(Inputs!$C$7,Mobs!$A$4:$A$74,0)),IFERROR(AVERAGEIFS(Mobs!$I$4:$I$74,Mobs!$B$4:$B$74,"&gt;="&amp;(B38-Inputs!$C$8),Mobs!$B$4:$B$74,"&lt;="&amp;(B38+Inputs!$C$8),Mobs!$M$4:$M$74,1),0))</f>
        <v/>
      </c>
      <c r="G38" s="9">
        <f>IF(Inputs!$C$7&lt;&gt;"",INDEX(Mobs!$J$4:$J$74,MATCH(Inputs!$C$7,Mobs!$A$4:$A$74,0)),IFERROR(AVERAGEIFS(Mobs!$J$4:$J$74,Mobs!$B$4:$B$74,"&gt;="&amp;(B38-Inputs!$C$8),Mobs!$B$4:$B$74,"&lt;="&amp;(B38+Inputs!$C$8),Mobs!$M$4:$M$74,1),0))</f>
        <v/>
      </c>
      <c r="H38" s="14">
        <f>IF(Inputs!$C$7&lt;&gt;"",1,COUNTIFS(Mobs!$B$4:$B$74,"&gt;="&amp;(B38-Inputs!$C$8),Mobs!$B$4:$B$74,"&lt;="&amp;(B38+Inputs!$C$8),Mobs!$M$4:$M$74,1))</f>
        <v/>
      </c>
    </row>
    <row r="39">
      <c r="A39" s="8" t="n">
        <v>36</v>
      </c>
      <c r="B39" s="14">
        <f>IF(Inputs!$C$7&lt;&gt;"",INDEX(Mobs!$B$4:$B$74,MATCH(Inputs!$C$7,Mobs!$A$4:$A$74,0)),MIN(49,MAX(1,A39+Inputs!$C$6)))</f>
        <v/>
      </c>
      <c r="C39" s="9">
        <f>IF(Inputs!$C$7&lt;&gt;"",INDEX(Mobs!$C$4:$C$74,MATCH(Inputs!$C$7,Mobs!$A$4:$A$74,0)),IFERROR(AVERAGEIFS(Mobs!$C$4:$C$74,Mobs!$B$4:$B$74,"&gt;="&amp;(B39-Inputs!$C$8),Mobs!$B$4:$B$74,"&lt;="&amp;(B39+Inputs!$C$8),Mobs!$M$4:$M$74,1),0))</f>
        <v/>
      </c>
      <c r="D39" s="9">
        <f>IF(Inputs!$C$7&lt;&gt;"",INDEX(Mobs!$G$4:$G$74,MATCH(Inputs!$C$7,Mobs!$A$4:$A$74,0)),IFERROR(AVERAGEIFS(Mobs!$G$4:$G$74,Mobs!$B$4:$B$74,"&gt;="&amp;(B39-Inputs!$C$8),Mobs!$B$4:$B$74,"&lt;="&amp;(B39+Inputs!$C$8),Mobs!$M$4:$M$74,1),0))</f>
        <v/>
      </c>
      <c r="E39" s="9">
        <f>IF(Inputs!$C$7&lt;&gt;"",INDEX(Mobs!$H$4:$H$74,MATCH(Inputs!$C$7,Mobs!$A$4:$A$74,0)),IFERROR(AVERAGEIFS(Mobs!$H$4:$H$74,Mobs!$B$4:$B$74,"&gt;="&amp;(B39-Inputs!$C$8),Mobs!$B$4:$B$74,"&lt;="&amp;(B39+Inputs!$C$8),Mobs!$M$4:$M$74,1),0))</f>
        <v/>
      </c>
      <c r="F39" s="16">
        <f>IF(Inputs!$C$7&lt;&gt;"",INDEX(Mobs!$I$4:$I$74,MATCH(Inputs!$C$7,Mobs!$A$4:$A$74,0)),IFERROR(AVERAGEIFS(Mobs!$I$4:$I$74,Mobs!$B$4:$B$74,"&gt;="&amp;(B39-Inputs!$C$8),Mobs!$B$4:$B$74,"&lt;="&amp;(B39+Inputs!$C$8),Mobs!$M$4:$M$74,1),0))</f>
        <v/>
      </c>
      <c r="G39" s="9">
        <f>IF(Inputs!$C$7&lt;&gt;"",INDEX(Mobs!$J$4:$J$74,MATCH(Inputs!$C$7,Mobs!$A$4:$A$74,0)),IFERROR(AVERAGEIFS(Mobs!$J$4:$J$74,Mobs!$B$4:$B$74,"&gt;="&amp;(B39-Inputs!$C$8),Mobs!$B$4:$B$74,"&lt;="&amp;(B39+Inputs!$C$8),Mobs!$M$4:$M$74,1),0))</f>
        <v/>
      </c>
      <c r="H39" s="14">
        <f>IF(Inputs!$C$7&lt;&gt;"",1,COUNTIFS(Mobs!$B$4:$B$74,"&gt;="&amp;(B39-Inputs!$C$8),Mobs!$B$4:$B$74,"&lt;="&amp;(B39+Inputs!$C$8),Mobs!$M$4:$M$74,1))</f>
        <v/>
      </c>
    </row>
    <row r="40">
      <c r="A40" s="8" t="n">
        <v>37</v>
      </c>
      <c r="B40" s="14">
        <f>IF(Inputs!$C$7&lt;&gt;"",INDEX(Mobs!$B$4:$B$74,MATCH(Inputs!$C$7,Mobs!$A$4:$A$74,0)),MIN(49,MAX(1,A40+Inputs!$C$6)))</f>
        <v/>
      </c>
      <c r="C40" s="9">
        <f>IF(Inputs!$C$7&lt;&gt;"",INDEX(Mobs!$C$4:$C$74,MATCH(Inputs!$C$7,Mobs!$A$4:$A$74,0)),IFERROR(AVERAGEIFS(Mobs!$C$4:$C$74,Mobs!$B$4:$B$74,"&gt;="&amp;(B40-Inputs!$C$8),Mobs!$B$4:$B$74,"&lt;="&amp;(B40+Inputs!$C$8),Mobs!$M$4:$M$74,1),0))</f>
        <v/>
      </c>
      <c r="D40" s="9">
        <f>IF(Inputs!$C$7&lt;&gt;"",INDEX(Mobs!$G$4:$G$74,MATCH(Inputs!$C$7,Mobs!$A$4:$A$74,0)),IFERROR(AVERAGEIFS(Mobs!$G$4:$G$74,Mobs!$B$4:$B$74,"&gt;="&amp;(B40-Inputs!$C$8),Mobs!$B$4:$B$74,"&lt;="&amp;(B40+Inputs!$C$8),Mobs!$M$4:$M$74,1),0))</f>
        <v/>
      </c>
      <c r="E40" s="9">
        <f>IF(Inputs!$C$7&lt;&gt;"",INDEX(Mobs!$H$4:$H$74,MATCH(Inputs!$C$7,Mobs!$A$4:$A$74,0)),IFERROR(AVERAGEIFS(Mobs!$H$4:$H$74,Mobs!$B$4:$B$74,"&gt;="&amp;(B40-Inputs!$C$8),Mobs!$B$4:$B$74,"&lt;="&amp;(B40+Inputs!$C$8),Mobs!$M$4:$M$74,1),0))</f>
        <v/>
      </c>
      <c r="F40" s="16">
        <f>IF(Inputs!$C$7&lt;&gt;"",INDEX(Mobs!$I$4:$I$74,MATCH(Inputs!$C$7,Mobs!$A$4:$A$74,0)),IFERROR(AVERAGEIFS(Mobs!$I$4:$I$74,Mobs!$B$4:$B$74,"&gt;="&amp;(B40-Inputs!$C$8),Mobs!$B$4:$B$74,"&lt;="&amp;(B40+Inputs!$C$8),Mobs!$M$4:$M$74,1),0))</f>
        <v/>
      </c>
      <c r="G40" s="9">
        <f>IF(Inputs!$C$7&lt;&gt;"",INDEX(Mobs!$J$4:$J$74,MATCH(Inputs!$C$7,Mobs!$A$4:$A$74,0)),IFERROR(AVERAGEIFS(Mobs!$J$4:$J$74,Mobs!$B$4:$B$74,"&gt;="&amp;(B40-Inputs!$C$8),Mobs!$B$4:$B$74,"&lt;="&amp;(B40+Inputs!$C$8),Mobs!$M$4:$M$74,1),0))</f>
        <v/>
      </c>
      <c r="H40" s="14">
        <f>IF(Inputs!$C$7&lt;&gt;"",1,COUNTIFS(Mobs!$B$4:$B$74,"&gt;="&amp;(B40-Inputs!$C$8),Mobs!$B$4:$B$74,"&lt;="&amp;(B40+Inputs!$C$8),Mobs!$M$4:$M$74,1))</f>
        <v/>
      </c>
    </row>
    <row r="41">
      <c r="A41" s="8" t="n">
        <v>38</v>
      </c>
      <c r="B41" s="14">
        <f>IF(Inputs!$C$7&lt;&gt;"",INDEX(Mobs!$B$4:$B$74,MATCH(Inputs!$C$7,Mobs!$A$4:$A$74,0)),MIN(49,MAX(1,A41+Inputs!$C$6)))</f>
        <v/>
      </c>
      <c r="C41" s="9">
        <f>IF(Inputs!$C$7&lt;&gt;"",INDEX(Mobs!$C$4:$C$74,MATCH(Inputs!$C$7,Mobs!$A$4:$A$74,0)),IFERROR(AVERAGEIFS(Mobs!$C$4:$C$74,Mobs!$B$4:$B$74,"&gt;="&amp;(B41-Inputs!$C$8),Mobs!$B$4:$B$74,"&lt;="&amp;(B41+Inputs!$C$8),Mobs!$M$4:$M$74,1),0))</f>
        <v/>
      </c>
      <c r="D41" s="9">
        <f>IF(Inputs!$C$7&lt;&gt;"",INDEX(Mobs!$G$4:$G$74,MATCH(Inputs!$C$7,Mobs!$A$4:$A$74,0)),IFERROR(AVERAGEIFS(Mobs!$G$4:$G$74,Mobs!$B$4:$B$74,"&gt;="&amp;(B41-Inputs!$C$8),Mobs!$B$4:$B$74,"&lt;="&amp;(B41+Inputs!$C$8),Mobs!$M$4:$M$74,1),0))</f>
        <v/>
      </c>
      <c r="E41" s="9">
        <f>IF(Inputs!$C$7&lt;&gt;"",INDEX(Mobs!$H$4:$H$74,MATCH(Inputs!$C$7,Mobs!$A$4:$A$74,0)),IFERROR(AVERAGEIFS(Mobs!$H$4:$H$74,Mobs!$B$4:$B$74,"&gt;="&amp;(B41-Inputs!$C$8),Mobs!$B$4:$B$74,"&lt;="&amp;(B41+Inputs!$C$8),Mobs!$M$4:$M$74,1),0))</f>
        <v/>
      </c>
      <c r="F41" s="16">
        <f>IF(Inputs!$C$7&lt;&gt;"",INDEX(Mobs!$I$4:$I$74,MATCH(Inputs!$C$7,Mobs!$A$4:$A$74,0)),IFERROR(AVERAGEIFS(Mobs!$I$4:$I$74,Mobs!$B$4:$B$74,"&gt;="&amp;(B41-Inputs!$C$8),Mobs!$B$4:$B$74,"&lt;="&amp;(B41+Inputs!$C$8),Mobs!$M$4:$M$74,1),0))</f>
        <v/>
      </c>
      <c r="G41" s="9">
        <f>IF(Inputs!$C$7&lt;&gt;"",INDEX(Mobs!$J$4:$J$74,MATCH(Inputs!$C$7,Mobs!$A$4:$A$74,0)),IFERROR(AVERAGEIFS(Mobs!$J$4:$J$74,Mobs!$B$4:$B$74,"&gt;="&amp;(B41-Inputs!$C$8),Mobs!$B$4:$B$74,"&lt;="&amp;(B41+Inputs!$C$8),Mobs!$M$4:$M$74,1),0))</f>
        <v/>
      </c>
      <c r="H41" s="14">
        <f>IF(Inputs!$C$7&lt;&gt;"",1,COUNTIFS(Mobs!$B$4:$B$74,"&gt;="&amp;(B41-Inputs!$C$8),Mobs!$B$4:$B$74,"&lt;="&amp;(B41+Inputs!$C$8),Mobs!$M$4:$M$74,1))</f>
        <v/>
      </c>
    </row>
    <row r="42">
      <c r="A42" s="8" t="n">
        <v>39</v>
      </c>
      <c r="B42" s="14">
        <f>IF(Inputs!$C$7&lt;&gt;"",INDEX(Mobs!$B$4:$B$74,MATCH(Inputs!$C$7,Mobs!$A$4:$A$74,0)),MIN(49,MAX(1,A42+Inputs!$C$6)))</f>
        <v/>
      </c>
      <c r="C42" s="9">
        <f>IF(Inputs!$C$7&lt;&gt;"",INDEX(Mobs!$C$4:$C$74,MATCH(Inputs!$C$7,Mobs!$A$4:$A$74,0)),IFERROR(AVERAGEIFS(Mobs!$C$4:$C$74,Mobs!$B$4:$B$74,"&gt;="&amp;(B42-Inputs!$C$8),Mobs!$B$4:$B$74,"&lt;="&amp;(B42+Inputs!$C$8),Mobs!$M$4:$M$74,1),0))</f>
        <v/>
      </c>
      <c r="D42" s="9">
        <f>IF(Inputs!$C$7&lt;&gt;"",INDEX(Mobs!$G$4:$G$74,MATCH(Inputs!$C$7,Mobs!$A$4:$A$74,0)),IFERROR(AVERAGEIFS(Mobs!$G$4:$G$74,Mobs!$B$4:$B$74,"&gt;="&amp;(B42-Inputs!$C$8),Mobs!$B$4:$B$74,"&lt;="&amp;(B42+Inputs!$C$8),Mobs!$M$4:$M$74,1),0))</f>
        <v/>
      </c>
      <c r="E42" s="9">
        <f>IF(Inputs!$C$7&lt;&gt;"",INDEX(Mobs!$H$4:$H$74,MATCH(Inputs!$C$7,Mobs!$A$4:$A$74,0)),IFERROR(AVERAGEIFS(Mobs!$H$4:$H$74,Mobs!$B$4:$B$74,"&gt;="&amp;(B42-Inputs!$C$8),Mobs!$B$4:$B$74,"&lt;="&amp;(B42+Inputs!$C$8),Mobs!$M$4:$M$74,1),0))</f>
        <v/>
      </c>
      <c r="F42" s="16">
        <f>IF(Inputs!$C$7&lt;&gt;"",INDEX(Mobs!$I$4:$I$74,MATCH(Inputs!$C$7,Mobs!$A$4:$A$74,0)),IFERROR(AVERAGEIFS(Mobs!$I$4:$I$74,Mobs!$B$4:$B$74,"&gt;="&amp;(B42-Inputs!$C$8),Mobs!$B$4:$B$74,"&lt;="&amp;(B42+Inputs!$C$8),Mobs!$M$4:$M$74,1),0))</f>
        <v/>
      </c>
      <c r="G42" s="9">
        <f>IF(Inputs!$C$7&lt;&gt;"",INDEX(Mobs!$J$4:$J$74,MATCH(Inputs!$C$7,Mobs!$A$4:$A$74,0)),IFERROR(AVERAGEIFS(Mobs!$J$4:$J$74,Mobs!$B$4:$B$74,"&gt;="&amp;(B42-Inputs!$C$8),Mobs!$B$4:$B$74,"&lt;="&amp;(B42+Inputs!$C$8),Mobs!$M$4:$M$74,1),0))</f>
        <v/>
      </c>
      <c r="H42" s="14">
        <f>IF(Inputs!$C$7&lt;&gt;"",1,COUNTIFS(Mobs!$B$4:$B$74,"&gt;="&amp;(B42-Inputs!$C$8),Mobs!$B$4:$B$74,"&lt;="&amp;(B42+Inputs!$C$8),Mobs!$M$4:$M$74,1))</f>
        <v/>
      </c>
    </row>
    <row r="43">
      <c r="A43" s="8" t="n">
        <v>40</v>
      </c>
      <c r="B43" s="14">
        <f>IF(Inputs!$C$7&lt;&gt;"",INDEX(Mobs!$B$4:$B$74,MATCH(Inputs!$C$7,Mobs!$A$4:$A$74,0)),MIN(49,MAX(1,A43+Inputs!$C$6)))</f>
        <v/>
      </c>
      <c r="C43" s="9">
        <f>IF(Inputs!$C$7&lt;&gt;"",INDEX(Mobs!$C$4:$C$74,MATCH(Inputs!$C$7,Mobs!$A$4:$A$74,0)),IFERROR(AVERAGEIFS(Mobs!$C$4:$C$74,Mobs!$B$4:$B$74,"&gt;="&amp;(B43-Inputs!$C$8),Mobs!$B$4:$B$74,"&lt;="&amp;(B43+Inputs!$C$8),Mobs!$M$4:$M$74,1),0))</f>
        <v/>
      </c>
      <c r="D43" s="9">
        <f>IF(Inputs!$C$7&lt;&gt;"",INDEX(Mobs!$G$4:$G$74,MATCH(Inputs!$C$7,Mobs!$A$4:$A$74,0)),IFERROR(AVERAGEIFS(Mobs!$G$4:$G$74,Mobs!$B$4:$B$74,"&gt;="&amp;(B43-Inputs!$C$8),Mobs!$B$4:$B$74,"&lt;="&amp;(B43+Inputs!$C$8),Mobs!$M$4:$M$74,1),0))</f>
        <v/>
      </c>
      <c r="E43" s="9">
        <f>IF(Inputs!$C$7&lt;&gt;"",INDEX(Mobs!$H$4:$H$74,MATCH(Inputs!$C$7,Mobs!$A$4:$A$74,0)),IFERROR(AVERAGEIFS(Mobs!$H$4:$H$74,Mobs!$B$4:$B$74,"&gt;="&amp;(B43-Inputs!$C$8),Mobs!$B$4:$B$74,"&lt;="&amp;(B43+Inputs!$C$8),Mobs!$M$4:$M$74,1),0))</f>
        <v/>
      </c>
      <c r="F43" s="16">
        <f>IF(Inputs!$C$7&lt;&gt;"",INDEX(Mobs!$I$4:$I$74,MATCH(Inputs!$C$7,Mobs!$A$4:$A$74,0)),IFERROR(AVERAGEIFS(Mobs!$I$4:$I$74,Mobs!$B$4:$B$74,"&gt;="&amp;(B43-Inputs!$C$8),Mobs!$B$4:$B$74,"&lt;="&amp;(B43+Inputs!$C$8),Mobs!$M$4:$M$74,1),0))</f>
        <v/>
      </c>
      <c r="G43" s="9">
        <f>IF(Inputs!$C$7&lt;&gt;"",INDEX(Mobs!$J$4:$J$74,MATCH(Inputs!$C$7,Mobs!$A$4:$A$74,0)),IFERROR(AVERAGEIFS(Mobs!$J$4:$J$74,Mobs!$B$4:$B$74,"&gt;="&amp;(B43-Inputs!$C$8),Mobs!$B$4:$B$74,"&lt;="&amp;(B43+Inputs!$C$8),Mobs!$M$4:$M$74,1),0))</f>
        <v/>
      </c>
      <c r="H43" s="14">
        <f>IF(Inputs!$C$7&lt;&gt;"",1,COUNTIFS(Mobs!$B$4:$B$74,"&gt;="&amp;(B43-Inputs!$C$8),Mobs!$B$4:$B$74,"&lt;="&amp;(B43+Inputs!$C$8),Mobs!$M$4:$M$74,1))</f>
        <v/>
      </c>
    </row>
    <row r="44">
      <c r="A44" s="8" t="n">
        <v>41</v>
      </c>
      <c r="B44" s="14">
        <f>IF(Inputs!$C$7&lt;&gt;"",INDEX(Mobs!$B$4:$B$74,MATCH(Inputs!$C$7,Mobs!$A$4:$A$74,0)),MIN(49,MAX(1,A44+Inputs!$C$6)))</f>
        <v/>
      </c>
      <c r="C44" s="9">
        <f>IF(Inputs!$C$7&lt;&gt;"",INDEX(Mobs!$C$4:$C$74,MATCH(Inputs!$C$7,Mobs!$A$4:$A$74,0)),IFERROR(AVERAGEIFS(Mobs!$C$4:$C$74,Mobs!$B$4:$B$74,"&gt;="&amp;(B44-Inputs!$C$8),Mobs!$B$4:$B$74,"&lt;="&amp;(B44+Inputs!$C$8),Mobs!$M$4:$M$74,1),0))</f>
        <v/>
      </c>
      <c r="D44" s="9">
        <f>IF(Inputs!$C$7&lt;&gt;"",INDEX(Mobs!$G$4:$G$74,MATCH(Inputs!$C$7,Mobs!$A$4:$A$74,0)),IFERROR(AVERAGEIFS(Mobs!$G$4:$G$74,Mobs!$B$4:$B$74,"&gt;="&amp;(B44-Inputs!$C$8),Mobs!$B$4:$B$74,"&lt;="&amp;(B44+Inputs!$C$8),Mobs!$M$4:$M$74,1),0))</f>
        <v/>
      </c>
      <c r="E44" s="9">
        <f>IF(Inputs!$C$7&lt;&gt;"",INDEX(Mobs!$H$4:$H$74,MATCH(Inputs!$C$7,Mobs!$A$4:$A$74,0)),IFERROR(AVERAGEIFS(Mobs!$H$4:$H$74,Mobs!$B$4:$B$74,"&gt;="&amp;(B44-Inputs!$C$8),Mobs!$B$4:$B$74,"&lt;="&amp;(B44+Inputs!$C$8),Mobs!$M$4:$M$74,1),0))</f>
        <v/>
      </c>
      <c r="F44" s="16">
        <f>IF(Inputs!$C$7&lt;&gt;"",INDEX(Mobs!$I$4:$I$74,MATCH(Inputs!$C$7,Mobs!$A$4:$A$74,0)),IFERROR(AVERAGEIFS(Mobs!$I$4:$I$74,Mobs!$B$4:$B$74,"&gt;="&amp;(B44-Inputs!$C$8),Mobs!$B$4:$B$74,"&lt;="&amp;(B44+Inputs!$C$8),Mobs!$M$4:$M$74,1),0))</f>
        <v/>
      </c>
      <c r="G44" s="9">
        <f>IF(Inputs!$C$7&lt;&gt;"",INDEX(Mobs!$J$4:$J$74,MATCH(Inputs!$C$7,Mobs!$A$4:$A$74,0)),IFERROR(AVERAGEIFS(Mobs!$J$4:$J$74,Mobs!$B$4:$B$74,"&gt;="&amp;(B44-Inputs!$C$8),Mobs!$B$4:$B$74,"&lt;="&amp;(B44+Inputs!$C$8),Mobs!$M$4:$M$74,1),0))</f>
        <v/>
      </c>
      <c r="H44" s="14">
        <f>IF(Inputs!$C$7&lt;&gt;"",1,COUNTIFS(Mobs!$B$4:$B$74,"&gt;="&amp;(B44-Inputs!$C$8),Mobs!$B$4:$B$74,"&lt;="&amp;(B44+Inputs!$C$8),Mobs!$M$4:$M$74,1))</f>
        <v/>
      </c>
    </row>
    <row r="45">
      <c r="A45" s="8" t="n">
        <v>42</v>
      </c>
      <c r="B45" s="14">
        <f>IF(Inputs!$C$7&lt;&gt;"",INDEX(Mobs!$B$4:$B$74,MATCH(Inputs!$C$7,Mobs!$A$4:$A$74,0)),MIN(49,MAX(1,A45+Inputs!$C$6)))</f>
        <v/>
      </c>
      <c r="C45" s="9">
        <f>IF(Inputs!$C$7&lt;&gt;"",INDEX(Mobs!$C$4:$C$74,MATCH(Inputs!$C$7,Mobs!$A$4:$A$74,0)),IFERROR(AVERAGEIFS(Mobs!$C$4:$C$74,Mobs!$B$4:$B$74,"&gt;="&amp;(B45-Inputs!$C$8),Mobs!$B$4:$B$74,"&lt;="&amp;(B45+Inputs!$C$8),Mobs!$M$4:$M$74,1),0))</f>
        <v/>
      </c>
      <c r="D45" s="9">
        <f>IF(Inputs!$C$7&lt;&gt;"",INDEX(Mobs!$G$4:$G$74,MATCH(Inputs!$C$7,Mobs!$A$4:$A$74,0)),IFERROR(AVERAGEIFS(Mobs!$G$4:$G$74,Mobs!$B$4:$B$74,"&gt;="&amp;(B45-Inputs!$C$8),Mobs!$B$4:$B$74,"&lt;="&amp;(B45+Inputs!$C$8),Mobs!$M$4:$M$74,1),0))</f>
        <v/>
      </c>
      <c r="E45" s="9">
        <f>IF(Inputs!$C$7&lt;&gt;"",INDEX(Mobs!$H$4:$H$74,MATCH(Inputs!$C$7,Mobs!$A$4:$A$74,0)),IFERROR(AVERAGEIFS(Mobs!$H$4:$H$74,Mobs!$B$4:$B$74,"&gt;="&amp;(B45-Inputs!$C$8),Mobs!$B$4:$B$74,"&lt;="&amp;(B45+Inputs!$C$8),Mobs!$M$4:$M$74,1),0))</f>
        <v/>
      </c>
      <c r="F45" s="16">
        <f>IF(Inputs!$C$7&lt;&gt;"",INDEX(Mobs!$I$4:$I$74,MATCH(Inputs!$C$7,Mobs!$A$4:$A$74,0)),IFERROR(AVERAGEIFS(Mobs!$I$4:$I$74,Mobs!$B$4:$B$74,"&gt;="&amp;(B45-Inputs!$C$8),Mobs!$B$4:$B$74,"&lt;="&amp;(B45+Inputs!$C$8),Mobs!$M$4:$M$74,1),0))</f>
        <v/>
      </c>
      <c r="G45" s="9">
        <f>IF(Inputs!$C$7&lt;&gt;"",INDEX(Mobs!$J$4:$J$74,MATCH(Inputs!$C$7,Mobs!$A$4:$A$74,0)),IFERROR(AVERAGEIFS(Mobs!$J$4:$J$74,Mobs!$B$4:$B$74,"&gt;="&amp;(B45-Inputs!$C$8),Mobs!$B$4:$B$74,"&lt;="&amp;(B45+Inputs!$C$8),Mobs!$M$4:$M$74,1),0))</f>
        <v/>
      </c>
      <c r="H45" s="14">
        <f>IF(Inputs!$C$7&lt;&gt;"",1,COUNTIFS(Mobs!$B$4:$B$74,"&gt;="&amp;(B45-Inputs!$C$8),Mobs!$B$4:$B$74,"&lt;="&amp;(B45+Inputs!$C$8),Mobs!$M$4:$M$74,1))</f>
        <v/>
      </c>
    </row>
    <row r="46">
      <c r="A46" s="8" t="n">
        <v>43</v>
      </c>
      <c r="B46" s="14">
        <f>IF(Inputs!$C$7&lt;&gt;"",INDEX(Mobs!$B$4:$B$74,MATCH(Inputs!$C$7,Mobs!$A$4:$A$74,0)),MIN(49,MAX(1,A46+Inputs!$C$6)))</f>
        <v/>
      </c>
      <c r="C46" s="9">
        <f>IF(Inputs!$C$7&lt;&gt;"",INDEX(Mobs!$C$4:$C$74,MATCH(Inputs!$C$7,Mobs!$A$4:$A$74,0)),IFERROR(AVERAGEIFS(Mobs!$C$4:$C$74,Mobs!$B$4:$B$74,"&gt;="&amp;(B46-Inputs!$C$8),Mobs!$B$4:$B$74,"&lt;="&amp;(B46+Inputs!$C$8),Mobs!$M$4:$M$74,1),0))</f>
        <v/>
      </c>
      <c r="D46" s="9">
        <f>IF(Inputs!$C$7&lt;&gt;"",INDEX(Mobs!$G$4:$G$74,MATCH(Inputs!$C$7,Mobs!$A$4:$A$74,0)),IFERROR(AVERAGEIFS(Mobs!$G$4:$G$74,Mobs!$B$4:$B$74,"&gt;="&amp;(B46-Inputs!$C$8),Mobs!$B$4:$B$74,"&lt;="&amp;(B46+Inputs!$C$8),Mobs!$M$4:$M$74,1),0))</f>
        <v/>
      </c>
      <c r="E46" s="9">
        <f>IF(Inputs!$C$7&lt;&gt;"",INDEX(Mobs!$H$4:$H$74,MATCH(Inputs!$C$7,Mobs!$A$4:$A$74,0)),IFERROR(AVERAGEIFS(Mobs!$H$4:$H$74,Mobs!$B$4:$B$74,"&gt;="&amp;(B46-Inputs!$C$8),Mobs!$B$4:$B$74,"&lt;="&amp;(B46+Inputs!$C$8),Mobs!$M$4:$M$74,1),0))</f>
        <v/>
      </c>
      <c r="F46" s="16">
        <f>IF(Inputs!$C$7&lt;&gt;"",INDEX(Mobs!$I$4:$I$74,MATCH(Inputs!$C$7,Mobs!$A$4:$A$74,0)),IFERROR(AVERAGEIFS(Mobs!$I$4:$I$74,Mobs!$B$4:$B$74,"&gt;="&amp;(B46-Inputs!$C$8),Mobs!$B$4:$B$74,"&lt;="&amp;(B46+Inputs!$C$8),Mobs!$M$4:$M$74,1),0))</f>
        <v/>
      </c>
      <c r="G46" s="9">
        <f>IF(Inputs!$C$7&lt;&gt;"",INDEX(Mobs!$J$4:$J$74,MATCH(Inputs!$C$7,Mobs!$A$4:$A$74,0)),IFERROR(AVERAGEIFS(Mobs!$J$4:$J$74,Mobs!$B$4:$B$74,"&gt;="&amp;(B46-Inputs!$C$8),Mobs!$B$4:$B$74,"&lt;="&amp;(B46+Inputs!$C$8),Mobs!$M$4:$M$74,1),0))</f>
        <v/>
      </c>
      <c r="H46" s="14">
        <f>IF(Inputs!$C$7&lt;&gt;"",1,COUNTIFS(Mobs!$B$4:$B$74,"&gt;="&amp;(B46-Inputs!$C$8),Mobs!$B$4:$B$74,"&lt;="&amp;(B46+Inputs!$C$8),Mobs!$M$4:$M$74,1))</f>
        <v/>
      </c>
    </row>
    <row r="47">
      <c r="A47" s="8" t="n">
        <v>44</v>
      </c>
      <c r="B47" s="14">
        <f>IF(Inputs!$C$7&lt;&gt;"",INDEX(Mobs!$B$4:$B$74,MATCH(Inputs!$C$7,Mobs!$A$4:$A$74,0)),MIN(49,MAX(1,A47+Inputs!$C$6)))</f>
        <v/>
      </c>
      <c r="C47" s="9">
        <f>IF(Inputs!$C$7&lt;&gt;"",INDEX(Mobs!$C$4:$C$74,MATCH(Inputs!$C$7,Mobs!$A$4:$A$74,0)),IFERROR(AVERAGEIFS(Mobs!$C$4:$C$74,Mobs!$B$4:$B$74,"&gt;="&amp;(B47-Inputs!$C$8),Mobs!$B$4:$B$74,"&lt;="&amp;(B47+Inputs!$C$8),Mobs!$M$4:$M$74,1),0))</f>
        <v/>
      </c>
      <c r="D47" s="9">
        <f>IF(Inputs!$C$7&lt;&gt;"",INDEX(Mobs!$G$4:$G$74,MATCH(Inputs!$C$7,Mobs!$A$4:$A$74,0)),IFERROR(AVERAGEIFS(Mobs!$G$4:$G$74,Mobs!$B$4:$B$74,"&gt;="&amp;(B47-Inputs!$C$8),Mobs!$B$4:$B$74,"&lt;="&amp;(B47+Inputs!$C$8),Mobs!$M$4:$M$74,1),0))</f>
        <v/>
      </c>
      <c r="E47" s="9">
        <f>IF(Inputs!$C$7&lt;&gt;"",INDEX(Mobs!$H$4:$H$74,MATCH(Inputs!$C$7,Mobs!$A$4:$A$74,0)),IFERROR(AVERAGEIFS(Mobs!$H$4:$H$74,Mobs!$B$4:$B$74,"&gt;="&amp;(B47-Inputs!$C$8),Mobs!$B$4:$B$74,"&lt;="&amp;(B47+Inputs!$C$8),Mobs!$M$4:$M$74,1),0))</f>
        <v/>
      </c>
      <c r="F47" s="16">
        <f>IF(Inputs!$C$7&lt;&gt;"",INDEX(Mobs!$I$4:$I$74,MATCH(Inputs!$C$7,Mobs!$A$4:$A$74,0)),IFERROR(AVERAGEIFS(Mobs!$I$4:$I$74,Mobs!$B$4:$B$74,"&gt;="&amp;(B47-Inputs!$C$8),Mobs!$B$4:$B$74,"&lt;="&amp;(B47+Inputs!$C$8),Mobs!$M$4:$M$74,1),0))</f>
        <v/>
      </c>
      <c r="G47" s="9">
        <f>IF(Inputs!$C$7&lt;&gt;"",INDEX(Mobs!$J$4:$J$74,MATCH(Inputs!$C$7,Mobs!$A$4:$A$74,0)),IFERROR(AVERAGEIFS(Mobs!$J$4:$J$74,Mobs!$B$4:$B$74,"&gt;="&amp;(B47-Inputs!$C$8),Mobs!$B$4:$B$74,"&lt;="&amp;(B47+Inputs!$C$8),Mobs!$M$4:$M$74,1),0))</f>
        <v/>
      </c>
      <c r="H47" s="14">
        <f>IF(Inputs!$C$7&lt;&gt;"",1,COUNTIFS(Mobs!$B$4:$B$74,"&gt;="&amp;(B47-Inputs!$C$8),Mobs!$B$4:$B$74,"&lt;="&amp;(B47+Inputs!$C$8),Mobs!$M$4:$M$74,1))</f>
        <v/>
      </c>
    </row>
    <row r="48">
      <c r="A48" s="8" t="n">
        <v>45</v>
      </c>
      <c r="B48" s="14">
        <f>IF(Inputs!$C$7&lt;&gt;"",INDEX(Mobs!$B$4:$B$74,MATCH(Inputs!$C$7,Mobs!$A$4:$A$74,0)),MIN(49,MAX(1,A48+Inputs!$C$6)))</f>
        <v/>
      </c>
      <c r="C48" s="9">
        <f>IF(Inputs!$C$7&lt;&gt;"",INDEX(Mobs!$C$4:$C$74,MATCH(Inputs!$C$7,Mobs!$A$4:$A$74,0)),IFERROR(AVERAGEIFS(Mobs!$C$4:$C$74,Mobs!$B$4:$B$74,"&gt;="&amp;(B48-Inputs!$C$8),Mobs!$B$4:$B$74,"&lt;="&amp;(B48+Inputs!$C$8),Mobs!$M$4:$M$74,1),0))</f>
        <v/>
      </c>
      <c r="D48" s="9">
        <f>IF(Inputs!$C$7&lt;&gt;"",INDEX(Mobs!$G$4:$G$74,MATCH(Inputs!$C$7,Mobs!$A$4:$A$74,0)),IFERROR(AVERAGEIFS(Mobs!$G$4:$G$74,Mobs!$B$4:$B$74,"&gt;="&amp;(B48-Inputs!$C$8),Mobs!$B$4:$B$74,"&lt;="&amp;(B48+Inputs!$C$8),Mobs!$M$4:$M$74,1),0))</f>
        <v/>
      </c>
      <c r="E48" s="9">
        <f>IF(Inputs!$C$7&lt;&gt;"",INDEX(Mobs!$H$4:$H$74,MATCH(Inputs!$C$7,Mobs!$A$4:$A$74,0)),IFERROR(AVERAGEIFS(Mobs!$H$4:$H$74,Mobs!$B$4:$B$74,"&gt;="&amp;(B48-Inputs!$C$8),Mobs!$B$4:$B$74,"&lt;="&amp;(B48+Inputs!$C$8),Mobs!$M$4:$M$74,1),0))</f>
        <v/>
      </c>
      <c r="F48" s="16">
        <f>IF(Inputs!$C$7&lt;&gt;"",INDEX(Mobs!$I$4:$I$74,MATCH(Inputs!$C$7,Mobs!$A$4:$A$74,0)),IFERROR(AVERAGEIFS(Mobs!$I$4:$I$74,Mobs!$B$4:$B$74,"&gt;="&amp;(B48-Inputs!$C$8),Mobs!$B$4:$B$74,"&lt;="&amp;(B48+Inputs!$C$8),Mobs!$M$4:$M$74,1),0))</f>
        <v/>
      </c>
      <c r="G48" s="9">
        <f>IF(Inputs!$C$7&lt;&gt;"",INDEX(Mobs!$J$4:$J$74,MATCH(Inputs!$C$7,Mobs!$A$4:$A$74,0)),IFERROR(AVERAGEIFS(Mobs!$J$4:$J$74,Mobs!$B$4:$B$74,"&gt;="&amp;(B48-Inputs!$C$8),Mobs!$B$4:$B$74,"&lt;="&amp;(B48+Inputs!$C$8),Mobs!$M$4:$M$74,1),0))</f>
        <v/>
      </c>
      <c r="H48" s="14">
        <f>IF(Inputs!$C$7&lt;&gt;"",1,COUNTIFS(Mobs!$B$4:$B$74,"&gt;="&amp;(B48-Inputs!$C$8),Mobs!$B$4:$B$74,"&lt;="&amp;(B48+Inputs!$C$8),Mobs!$M$4:$M$74,1))</f>
        <v/>
      </c>
    </row>
    <row r="49">
      <c r="A49" s="8" t="n">
        <v>46</v>
      </c>
      <c r="B49" s="14">
        <f>IF(Inputs!$C$7&lt;&gt;"",INDEX(Mobs!$B$4:$B$74,MATCH(Inputs!$C$7,Mobs!$A$4:$A$74,0)),MIN(49,MAX(1,A49+Inputs!$C$6)))</f>
        <v/>
      </c>
      <c r="C49" s="9">
        <f>IF(Inputs!$C$7&lt;&gt;"",INDEX(Mobs!$C$4:$C$74,MATCH(Inputs!$C$7,Mobs!$A$4:$A$74,0)),IFERROR(AVERAGEIFS(Mobs!$C$4:$C$74,Mobs!$B$4:$B$74,"&gt;="&amp;(B49-Inputs!$C$8),Mobs!$B$4:$B$74,"&lt;="&amp;(B49+Inputs!$C$8),Mobs!$M$4:$M$74,1),0))</f>
        <v/>
      </c>
      <c r="D49" s="9">
        <f>IF(Inputs!$C$7&lt;&gt;"",INDEX(Mobs!$G$4:$G$74,MATCH(Inputs!$C$7,Mobs!$A$4:$A$74,0)),IFERROR(AVERAGEIFS(Mobs!$G$4:$G$74,Mobs!$B$4:$B$74,"&gt;="&amp;(B49-Inputs!$C$8),Mobs!$B$4:$B$74,"&lt;="&amp;(B49+Inputs!$C$8),Mobs!$M$4:$M$74,1),0))</f>
        <v/>
      </c>
      <c r="E49" s="9">
        <f>IF(Inputs!$C$7&lt;&gt;"",INDEX(Mobs!$H$4:$H$74,MATCH(Inputs!$C$7,Mobs!$A$4:$A$74,0)),IFERROR(AVERAGEIFS(Mobs!$H$4:$H$74,Mobs!$B$4:$B$74,"&gt;="&amp;(B49-Inputs!$C$8),Mobs!$B$4:$B$74,"&lt;="&amp;(B49+Inputs!$C$8),Mobs!$M$4:$M$74,1),0))</f>
        <v/>
      </c>
      <c r="F49" s="16">
        <f>IF(Inputs!$C$7&lt;&gt;"",INDEX(Mobs!$I$4:$I$74,MATCH(Inputs!$C$7,Mobs!$A$4:$A$74,0)),IFERROR(AVERAGEIFS(Mobs!$I$4:$I$74,Mobs!$B$4:$B$74,"&gt;="&amp;(B49-Inputs!$C$8),Mobs!$B$4:$B$74,"&lt;="&amp;(B49+Inputs!$C$8),Mobs!$M$4:$M$74,1),0))</f>
        <v/>
      </c>
      <c r="G49" s="9">
        <f>IF(Inputs!$C$7&lt;&gt;"",INDEX(Mobs!$J$4:$J$74,MATCH(Inputs!$C$7,Mobs!$A$4:$A$74,0)),IFERROR(AVERAGEIFS(Mobs!$J$4:$J$74,Mobs!$B$4:$B$74,"&gt;="&amp;(B49-Inputs!$C$8),Mobs!$B$4:$B$74,"&lt;="&amp;(B49+Inputs!$C$8),Mobs!$M$4:$M$74,1),0))</f>
        <v/>
      </c>
      <c r="H49" s="14">
        <f>IF(Inputs!$C$7&lt;&gt;"",1,COUNTIFS(Mobs!$B$4:$B$74,"&gt;="&amp;(B49-Inputs!$C$8),Mobs!$B$4:$B$74,"&lt;="&amp;(B49+Inputs!$C$8),Mobs!$M$4:$M$74,1))</f>
        <v/>
      </c>
    </row>
    <row r="50">
      <c r="A50" s="8" t="n">
        <v>47</v>
      </c>
      <c r="B50" s="14">
        <f>IF(Inputs!$C$7&lt;&gt;"",INDEX(Mobs!$B$4:$B$74,MATCH(Inputs!$C$7,Mobs!$A$4:$A$74,0)),MIN(49,MAX(1,A50+Inputs!$C$6)))</f>
        <v/>
      </c>
      <c r="C50" s="9">
        <f>IF(Inputs!$C$7&lt;&gt;"",INDEX(Mobs!$C$4:$C$74,MATCH(Inputs!$C$7,Mobs!$A$4:$A$74,0)),IFERROR(AVERAGEIFS(Mobs!$C$4:$C$74,Mobs!$B$4:$B$74,"&gt;="&amp;(B50-Inputs!$C$8),Mobs!$B$4:$B$74,"&lt;="&amp;(B50+Inputs!$C$8),Mobs!$M$4:$M$74,1),0))</f>
        <v/>
      </c>
      <c r="D50" s="9">
        <f>IF(Inputs!$C$7&lt;&gt;"",INDEX(Mobs!$G$4:$G$74,MATCH(Inputs!$C$7,Mobs!$A$4:$A$74,0)),IFERROR(AVERAGEIFS(Mobs!$G$4:$G$74,Mobs!$B$4:$B$74,"&gt;="&amp;(B50-Inputs!$C$8),Mobs!$B$4:$B$74,"&lt;="&amp;(B50+Inputs!$C$8),Mobs!$M$4:$M$74,1),0))</f>
        <v/>
      </c>
      <c r="E50" s="9">
        <f>IF(Inputs!$C$7&lt;&gt;"",INDEX(Mobs!$H$4:$H$74,MATCH(Inputs!$C$7,Mobs!$A$4:$A$74,0)),IFERROR(AVERAGEIFS(Mobs!$H$4:$H$74,Mobs!$B$4:$B$74,"&gt;="&amp;(B50-Inputs!$C$8),Mobs!$B$4:$B$74,"&lt;="&amp;(B50+Inputs!$C$8),Mobs!$M$4:$M$74,1),0))</f>
        <v/>
      </c>
      <c r="F50" s="16">
        <f>IF(Inputs!$C$7&lt;&gt;"",INDEX(Mobs!$I$4:$I$74,MATCH(Inputs!$C$7,Mobs!$A$4:$A$74,0)),IFERROR(AVERAGEIFS(Mobs!$I$4:$I$74,Mobs!$B$4:$B$74,"&gt;="&amp;(B50-Inputs!$C$8),Mobs!$B$4:$B$74,"&lt;="&amp;(B50+Inputs!$C$8),Mobs!$M$4:$M$74,1),0))</f>
        <v/>
      </c>
      <c r="G50" s="9">
        <f>IF(Inputs!$C$7&lt;&gt;"",INDEX(Mobs!$J$4:$J$74,MATCH(Inputs!$C$7,Mobs!$A$4:$A$74,0)),IFERROR(AVERAGEIFS(Mobs!$J$4:$J$74,Mobs!$B$4:$B$74,"&gt;="&amp;(B50-Inputs!$C$8),Mobs!$B$4:$B$74,"&lt;="&amp;(B50+Inputs!$C$8),Mobs!$M$4:$M$74,1),0))</f>
        <v/>
      </c>
      <c r="H50" s="14">
        <f>IF(Inputs!$C$7&lt;&gt;"",1,COUNTIFS(Mobs!$B$4:$B$74,"&gt;="&amp;(B50-Inputs!$C$8),Mobs!$B$4:$B$74,"&lt;="&amp;(B50+Inputs!$C$8),Mobs!$M$4:$M$74,1))</f>
        <v/>
      </c>
    </row>
    <row r="51">
      <c r="A51" s="8" t="n">
        <v>48</v>
      </c>
      <c r="B51" s="14">
        <f>IF(Inputs!$C$7&lt;&gt;"",INDEX(Mobs!$B$4:$B$74,MATCH(Inputs!$C$7,Mobs!$A$4:$A$74,0)),MIN(49,MAX(1,A51+Inputs!$C$6)))</f>
        <v/>
      </c>
      <c r="C51" s="9">
        <f>IF(Inputs!$C$7&lt;&gt;"",INDEX(Mobs!$C$4:$C$74,MATCH(Inputs!$C$7,Mobs!$A$4:$A$74,0)),IFERROR(AVERAGEIFS(Mobs!$C$4:$C$74,Mobs!$B$4:$B$74,"&gt;="&amp;(B51-Inputs!$C$8),Mobs!$B$4:$B$74,"&lt;="&amp;(B51+Inputs!$C$8),Mobs!$M$4:$M$74,1),0))</f>
        <v/>
      </c>
      <c r="D51" s="9">
        <f>IF(Inputs!$C$7&lt;&gt;"",INDEX(Mobs!$G$4:$G$74,MATCH(Inputs!$C$7,Mobs!$A$4:$A$74,0)),IFERROR(AVERAGEIFS(Mobs!$G$4:$G$74,Mobs!$B$4:$B$74,"&gt;="&amp;(B51-Inputs!$C$8),Mobs!$B$4:$B$74,"&lt;="&amp;(B51+Inputs!$C$8),Mobs!$M$4:$M$74,1),0))</f>
        <v/>
      </c>
      <c r="E51" s="9">
        <f>IF(Inputs!$C$7&lt;&gt;"",INDEX(Mobs!$H$4:$H$74,MATCH(Inputs!$C$7,Mobs!$A$4:$A$74,0)),IFERROR(AVERAGEIFS(Mobs!$H$4:$H$74,Mobs!$B$4:$B$74,"&gt;="&amp;(B51-Inputs!$C$8),Mobs!$B$4:$B$74,"&lt;="&amp;(B51+Inputs!$C$8),Mobs!$M$4:$M$74,1),0))</f>
        <v/>
      </c>
      <c r="F51" s="16">
        <f>IF(Inputs!$C$7&lt;&gt;"",INDEX(Mobs!$I$4:$I$74,MATCH(Inputs!$C$7,Mobs!$A$4:$A$74,0)),IFERROR(AVERAGEIFS(Mobs!$I$4:$I$74,Mobs!$B$4:$B$74,"&gt;="&amp;(B51-Inputs!$C$8),Mobs!$B$4:$B$74,"&lt;="&amp;(B51+Inputs!$C$8),Mobs!$M$4:$M$74,1),0))</f>
        <v/>
      </c>
      <c r="G51" s="9">
        <f>IF(Inputs!$C$7&lt;&gt;"",INDEX(Mobs!$J$4:$J$74,MATCH(Inputs!$C$7,Mobs!$A$4:$A$74,0)),IFERROR(AVERAGEIFS(Mobs!$J$4:$J$74,Mobs!$B$4:$B$74,"&gt;="&amp;(B51-Inputs!$C$8),Mobs!$B$4:$B$74,"&lt;="&amp;(B51+Inputs!$C$8),Mobs!$M$4:$M$74,1),0))</f>
        <v/>
      </c>
      <c r="H51" s="14">
        <f>IF(Inputs!$C$7&lt;&gt;"",1,COUNTIFS(Mobs!$B$4:$B$74,"&gt;="&amp;(B51-Inputs!$C$8),Mobs!$B$4:$B$74,"&lt;="&amp;(B51+Inputs!$C$8),Mobs!$M$4:$M$74,1))</f>
        <v/>
      </c>
    </row>
    <row r="52">
      <c r="A52" s="8" t="n">
        <v>49</v>
      </c>
      <c r="B52" s="14">
        <f>IF(Inputs!$C$7&lt;&gt;"",INDEX(Mobs!$B$4:$B$74,MATCH(Inputs!$C$7,Mobs!$A$4:$A$74,0)),MIN(49,MAX(1,A52+Inputs!$C$6)))</f>
        <v/>
      </c>
      <c r="C52" s="9">
        <f>IF(Inputs!$C$7&lt;&gt;"",INDEX(Mobs!$C$4:$C$74,MATCH(Inputs!$C$7,Mobs!$A$4:$A$74,0)),IFERROR(AVERAGEIFS(Mobs!$C$4:$C$74,Mobs!$B$4:$B$74,"&gt;="&amp;(B52-Inputs!$C$8),Mobs!$B$4:$B$74,"&lt;="&amp;(B52+Inputs!$C$8),Mobs!$M$4:$M$74,1),0))</f>
        <v/>
      </c>
      <c r="D52" s="9">
        <f>IF(Inputs!$C$7&lt;&gt;"",INDEX(Mobs!$G$4:$G$74,MATCH(Inputs!$C$7,Mobs!$A$4:$A$74,0)),IFERROR(AVERAGEIFS(Mobs!$G$4:$G$74,Mobs!$B$4:$B$74,"&gt;="&amp;(B52-Inputs!$C$8),Mobs!$B$4:$B$74,"&lt;="&amp;(B52+Inputs!$C$8),Mobs!$M$4:$M$74,1),0))</f>
        <v/>
      </c>
      <c r="E52" s="9">
        <f>IF(Inputs!$C$7&lt;&gt;"",INDEX(Mobs!$H$4:$H$74,MATCH(Inputs!$C$7,Mobs!$A$4:$A$74,0)),IFERROR(AVERAGEIFS(Mobs!$H$4:$H$74,Mobs!$B$4:$B$74,"&gt;="&amp;(B52-Inputs!$C$8),Mobs!$B$4:$B$74,"&lt;="&amp;(B52+Inputs!$C$8),Mobs!$M$4:$M$74,1),0))</f>
        <v/>
      </c>
      <c r="F52" s="16">
        <f>IF(Inputs!$C$7&lt;&gt;"",INDEX(Mobs!$I$4:$I$74,MATCH(Inputs!$C$7,Mobs!$A$4:$A$74,0)),IFERROR(AVERAGEIFS(Mobs!$I$4:$I$74,Mobs!$B$4:$B$74,"&gt;="&amp;(B52-Inputs!$C$8),Mobs!$B$4:$B$74,"&lt;="&amp;(B52+Inputs!$C$8),Mobs!$M$4:$M$74,1),0))</f>
        <v/>
      </c>
      <c r="G52" s="9">
        <f>IF(Inputs!$C$7&lt;&gt;"",INDEX(Mobs!$J$4:$J$74,MATCH(Inputs!$C$7,Mobs!$A$4:$A$74,0)),IFERROR(AVERAGEIFS(Mobs!$J$4:$J$74,Mobs!$B$4:$B$74,"&gt;="&amp;(B52-Inputs!$C$8),Mobs!$B$4:$B$74,"&lt;="&amp;(B52+Inputs!$C$8),Mobs!$M$4:$M$74,1),0))</f>
        <v/>
      </c>
      <c r="H52" s="14">
        <f>IF(Inputs!$C$7&lt;&gt;"",1,COUNTIFS(Mobs!$B$4:$B$74,"&gt;="&amp;(B52-Inputs!$C$8),Mobs!$B$4:$B$74,"&lt;="&amp;(B52+Inputs!$C$8),Mobs!$M$4:$M$74,1))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T5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1.5"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11.5" customWidth="1" min="20" max="20"/>
    <col width="11.5" customWidth="1" min="21" max="21"/>
    <col width="11.5" customWidth="1" min="22" max="22"/>
    <col width="11.5" customWidth="1" min="23" max="23"/>
    <col width="11.5" customWidth="1" min="24" max="24"/>
    <col width="11.5" customWidth="1" min="25" max="25"/>
    <col width="11.5" customWidth="1" min="26" max="26"/>
    <col width="11.5" customWidth="1" min="27" max="27"/>
    <col width="11.5" customWidth="1" min="28" max="28"/>
    <col width="11.5" customWidth="1" min="29" max="29"/>
    <col width="11.5" customWidth="1" min="30" max="30"/>
    <col width="11.5" customWidth="1" min="31" max="31"/>
    <col width="11.5" customWidth="1" min="32" max="32"/>
    <col width="11.5" customWidth="1" min="33" max="33"/>
    <col width="11.5" customWidth="1" min="34" max="34"/>
    <col width="11.5" customWidth="1" min="35" max="35"/>
    <col width="11.5" customWidth="1" min="36" max="36"/>
    <col width="11.5" customWidth="1" min="37" max="37"/>
    <col width="11.5" customWidth="1" min="38" max="38"/>
    <col width="11.5" customWidth="1" min="39" max="39"/>
    <col width="11.5" customWidth="1" min="40" max="40"/>
    <col width="11.5" customWidth="1" min="41" max="41"/>
    <col width="11.5" customWidth="1" min="42" max="42"/>
    <col width="11.5" customWidth="1" min="43" max="43"/>
    <col width="11.5" customWidth="1" min="44" max="44"/>
    <col width="11.5" customWidth="1" min="45" max="45"/>
    <col width="11.5" customWidth="1" min="46" max="46"/>
  </cols>
  <sheetData>
    <row r="1">
      <c r="A1" s="1" t="inlineStr">
        <is>
          <t>Warrior - expected damage by level</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row>
    <row r="2">
      <c r="A2" s="42" t="inlineStr">
        <is>
          <t>Melee + Rampant Rage / Savage Fury chomps + Berserker, averaged by uptime.</t>
        </is>
      </c>
      <c r="B2" s="6" t="inlineStr">
        <is>
          <t>Opponent</t>
        </is>
      </c>
      <c r="G2" s="6" t="inlineStr">
        <is>
          <t>Gear / class</t>
        </is>
      </c>
      <c r="S2" s="6" t="inlineStr">
        <is>
          <t>Melee (no cooldowns)</t>
        </is>
      </c>
      <c r="W2" s="6" t="inlineStr">
        <is>
          <t>Berserker</t>
        </is>
      </c>
      <c r="AD2" s="6" t="inlineStr">
        <is>
          <t>Rampant Rage / Savage Fury</t>
        </is>
      </c>
      <c r="AK2" s="6" t="inlineStr">
        <is>
          <t>Result</t>
        </is>
      </c>
      <c r="AO2" s="6" t="inlineStr">
        <is>
          <t>Survival</t>
        </is>
      </c>
    </row>
    <row r="3" ht="45" customHeight="1">
      <c r="A3" s="7" t="inlineStr">
        <is>
          <t>Level</t>
        </is>
      </c>
      <c r="B3" s="7" t="inlineStr">
        <is>
          <t>Mob level</t>
        </is>
      </c>
      <c r="C3" s="7" t="inlineStr">
        <is>
          <t>Mob HP</t>
        </is>
      </c>
      <c r="D3" s="7" t="inlineStr">
        <is>
          <t>Mob eff. AC</t>
        </is>
      </c>
      <c r="E3" s="7" t="inlineStr">
        <is>
          <t>Mob base hit</t>
        </is>
      </c>
      <c r="F3" s="7" t="inlineStr">
        <is>
          <t>Mob atk s</t>
        </is>
      </c>
      <c r="G3" s="7" t="inlineStr">
        <is>
          <t>Weapon dmg</t>
        </is>
      </c>
      <c r="H3" s="7" t="inlineStr">
        <is>
          <t>Weapon delay</t>
        </is>
      </c>
      <c r="I3" s="7" t="inlineStr">
        <is>
          <t>STR (gear + priest buff)</t>
        </is>
      </c>
      <c r="J3" s="7" t="inlineStr">
        <is>
          <t>Spell dmg %</t>
        </is>
      </c>
      <c r="K3" s="7" t="inlineStr">
        <is>
          <t>Spell crit %</t>
        </is>
      </c>
      <c r="L3" s="7" t="inlineStr">
        <is>
          <t>Melee dmg %</t>
        </is>
      </c>
      <c r="M3" s="7" t="inlineStr">
        <is>
          <t>Melee crit %</t>
        </is>
      </c>
      <c r="N3" s="7" t="inlineStr">
        <is>
          <t>Haste %</t>
        </is>
      </c>
      <c r="O3" s="7" t="inlineStr">
        <is>
          <t>Player max HP</t>
        </is>
      </c>
      <c r="P3" s="7" t="inlineStr">
        <is>
          <t>Player max MP</t>
        </is>
      </c>
      <c r="Q3" s="7" t="inlineStr">
        <is>
          <t>Player AC</t>
        </is>
      </c>
      <c r="R3" s="7" t="inlineStr">
        <is>
          <t>Dmg reduce %</t>
        </is>
      </c>
      <c r="S3" s="7" t="inlineStr">
        <is>
          <t>Raw melee hit</t>
        </is>
      </c>
      <c r="T3" s="7" t="inlineStr">
        <is>
          <t>Melee hit vs mob</t>
        </is>
      </c>
      <c r="U3" s="7" t="inlineStr">
        <is>
          <t>Swing s</t>
        </is>
      </c>
      <c r="V3" s="7" t="inlineStr">
        <is>
          <t>Melee DPS</t>
        </is>
      </c>
      <c r="W3" s="7" t="inlineStr">
        <is>
          <t>Berserker STR</t>
        </is>
      </c>
      <c r="X3" s="7" t="inlineStr">
        <is>
          <t>Berserker haste</t>
        </is>
      </c>
      <c r="Y3" s="7" t="inlineStr">
        <is>
          <t>Berserker uptime</t>
        </is>
      </c>
      <c r="Z3" s="7" t="inlineStr">
        <is>
          <t>Raw melee hit (berserk)</t>
        </is>
      </c>
      <c r="AA3" s="7" t="inlineStr">
        <is>
          <t>Melee hit vs mob (berserk)</t>
        </is>
      </c>
      <c r="AB3" s="7" t="inlineStr">
        <is>
          <t>Swing s (berserk)</t>
        </is>
      </c>
      <c r="AC3" s="7" t="inlineStr">
        <is>
          <t>Melee DPS (berserk)</t>
        </is>
      </c>
      <c r="AD3" s="7" t="inlineStr">
        <is>
          <t>Rage uptime</t>
        </is>
      </c>
      <c r="AE3" s="7" t="inlineStr">
        <is>
          <t>Fury uptime</t>
        </is>
      </c>
      <c r="AF3" s="7" t="inlineStr">
        <is>
          <t>Rage targets per chomp</t>
        </is>
      </c>
      <c r="AG3" s="7" t="inlineStr">
        <is>
          <t>Fury targets per chomp</t>
        </is>
      </c>
      <c r="AH3" s="7" t="inlineStr">
        <is>
          <t>Avg chomp coef x targets / swing</t>
        </is>
      </c>
      <c r="AI3" s="7" t="inlineStr">
        <is>
          <t>Chomp dmg / swing</t>
        </is>
      </c>
      <c r="AJ3" s="7" t="inlineStr">
        <is>
          <t>Chomp dmg / swing (berserk)</t>
        </is>
      </c>
      <c r="AK3" s="7" t="inlineStr">
        <is>
          <t>SUSTAINED DPS</t>
        </is>
      </c>
      <c r="AL3" s="7" t="inlineStr">
        <is>
          <t>Burst DPS (all buffs up)</t>
        </is>
      </c>
      <c r="AM3" s="7" t="inlineStr">
        <is>
          <t>Chomp share of dmg</t>
        </is>
      </c>
      <c r="AN3" s="7" t="inlineStr">
        <is>
          <t>Swings to kill (melee only)</t>
        </is>
      </c>
      <c r="AO3" s="7" t="inlineStr">
        <is>
          <t>Time to kill s</t>
        </is>
      </c>
      <c r="AP3" s="7" t="inlineStr">
        <is>
          <t>Mob hit on player</t>
        </is>
      </c>
      <c r="AQ3" s="7" t="inlineStr">
        <is>
          <t>Dmg taken per kill</t>
        </is>
      </c>
      <c r="AR3" s="7" t="inlineStr">
        <is>
          <t>% HP lost per kill</t>
        </is>
      </c>
      <c r="AS3" s="7" t="inlineStr">
        <is>
          <t>HP regen per kill</t>
        </is>
      </c>
      <c r="AT3" s="7" t="inlineStr">
        <is>
          <t>Net % HP per kill (after regen)</t>
        </is>
      </c>
    </row>
    <row r="4">
      <c r="A4" s="8" t="n">
        <v>1</v>
      </c>
      <c r="B4" s="14">
        <f>'Mob by Level'!B4</f>
        <v/>
      </c>
      <c r="C4" s="9">
        <f>'Mob by Level'!C4</f>
        <v/>
      </c>
      <c r="D4" s="9">
        <f>'Mob by Level'!D4</f>
        <v/>
      </c>
      <c r="E4" s="9">
        <f>'Mob by Level'!E4</f>
        <v/>
      </c>
      <c r="F4" s="16">
        <f>'Mob by Level'!F4</f>
        <v/>
      </c>
      <c r="G4" s="14">
        <f>SUMIFS(Gear!$D$4:$D$603,Gear!$A$4:$A$603,A4,Gear!$B$4:$B$603,"Warrior",Gear!$C$4:$C$603,Inputs!$C$5)</f>
        <v/>
      </c>
      <c r="H4" s="14">
        <f>SUMIFS(Gear!$E$4:$E$603,Gear!$A$4:$A$603,A4,Gear!$B$4:$B$603,"Warrior",Gear!$C$4:$C$603,Inputs!$C$5)</f>
        <v/>
      </c>
      <c r="I4" s="14">
        <f>SUMIFS(Gear!$F$4:$F$603,Gear!$A$4:$A$603,A4,Gear!$B$4:$B$603,"Warrior",Gear!$C$4:$C$603,Inputs!$C$5)+Inputs!$C$17*IFERROR(LOOKUP(A4,Abilities!$A$49:$A$53,Abilities!$C$49:$C$53),0)</f>
        <v/>
      </c>
      <c r="J4" s="13">
        <f>SUMIFS(Gear!$J$4:$J$603,Gear!$A$4:$A$603,A4,Gear!$B$4:$B$603,"Warrior",Gear!$C$4:$C$603,Inputs!$C$5)</f>
        <v/>
      </c>
      <c r="K4" s="13">
        <f>SUMIFS(Gear!$K$4:$K$603,Gear!$A$4:$A$603,A4,Gear!$B$4:$B$603,"Warrior",Gear!$C$4:$C$603,Inputs!$C$5)</f>
        <v/>
      </c>
      <c r="L4" s="13">
        <f>SUMIFS(Gear!$L$4:$L$603,Gear!$A$4:$A$603,A4,Gear!$B$4:$B$603,"Warrior",Gear!$C$4:$C$603,Inputs!$C$5)</f>
        <v/>
      </c>
      <c r="M4" s="13">
        <f>SUMIFS(Gear!$M$4:$M$603,Gear!$A$4:$A$603,A4,Gear!$B$4:$B$603,"Warrior",Gear!$C$4:$C$603,Inputs!$C$5)</f>
        <v/>
      </c>
      <c r="N4" s="13">
        <f>SUMIFS(Gear!$N$4:$N$603,Gear!$A$4:$A$603,A4,Gear!$B$4:$B$603,"Warrior",Gear!$C$4:$C$603,Inputs!$C$5)</f>
        <v/>
      </c>
      <c r="O4" s="9">
        <f>INDEX('Class Table'!$E$4:$E$53,A4)+SUMIFS(Gear!$G$4:$G$603,Gear!$A$4:$A$603,A4,Gear!$B$4:$B$603,"Warrior",Gear!$C$4:$C$603,Inputs!$C$5)</f>
        <v/>
      </c>
      <c r="P4" s="9">
        <f>INDEX('Class Table'!$F$4:$F$53,A4)+SUMIFS(Gear!$H$4:$H$603,Gear!$A$4:$A$603,A4,Gear!$B$4:$B$603,"Warrior",Gear!$C$4:$C$603,Inputs!$C$5)</f>
        <v/>
      </c>
      <c r="Q4" s="9">
        <f>INDEX('Class Table'!$G$4:$G$53,A4)+SUMIFS(Gear!$I$4:$I$603,Gear!$A$4:$A$603,A4,Gear!$B$4:$B$603,"Warrior",Gear!$C$4:$C$603,Inputs!$C$5)</f>
        <v/>
      </c>
      <c r="R4" s="13">
        <f>SUMIFS(Gear!$O$4:$O$603,Gear!$A$4:$A$603,A4,Gear!$B$4:$B$603,"Warrior",Gear!$C$4:$C$603,Inputs!$C$5)</f>
        <v/>
      </c>
      <c r="S4" s="26">
        <f>I4+0+G4+A4+MAX(1,A4/2)+(A4-B4)</f>
        <v/>
      </c>
      <c r="T4" s="9">
        <f>MAX(0,S4*(1+M4)*(1+L4)*Inputs!$C$20*(1-D4/Inputs!$C$19)-D4/25)</f>
        <v/>
      </c>
      <c r="U4" s="16">
        <f>H4/10*(1-MIN(0.95,N4+0))*Inputs!$C$21</f>
        <v/>
      </c>
      <c r="V4" s="27">
        <f>T4/U4</f>
        <v/>
      </c>
      <c r="W4" s="14">
        <f>IFERROR(LOOKUP(A4,Abilities!$A$27:$A$29,Abilities!$C$27:$C$29),0)</f>
        <v/>
      </c>
      <c r="X4" s="13">
        <f>IFERROR(LOOKUP(A4,Abilities!$A$27:$A$29,Abilities!$D$27:$D$29),0)</f>
        <v/>
      </c>
      <c r="Y4" s="13">
        <f>Inputs!$C$16*IFERROR(LOOKUP(A4,Abilities!$A$27:$A$29,Abilities!$E$27:$E$29),0)/IFERROR(LOOKUP(A4,Abilities!$A$27:$A$29,Abilities!$F$27:$F$29),1)</f>
        <v/>
      </c>
      <c r="Z4" s="26">
        <f>I4+W4+G4+A4+MAX(1,A4/2)+(A4-B4)</f>
        <v/>
      </c>
      <c r="AA4" s="9">
        <f>MAX(0,Z4*(1+M4)*(1+L4)*Inputs!$C$20*(1-D4/Inputs!$C$19)-D4/25)</f>
        <v/>
      </c>
      <c r="AB4" s="16">
        <f>H4/10*(1-MIN(0.95,N4+X4))*Inputs!$C$21</f>
        <v/>
      </c>
      <c r="AC4" s="27">
        <f>AA4/AB4</f>
        <v/>
      </c>
      <c r="AD4" s="13">
        <f>Inputs!$C$16*IF(A4&gt;=INDEX(Abilities!$A$33:$A$34,1),INDEX(Abilities!$D$33:$D$34,1)/INDEX(Abilities!$E$33:$E$34,1),0)</f>
        <v/>
      </c>
      <c r="AE4" s="13">
        <f>Inputs!$C$16*IF(A4&gt;=INDEX(Abilities!$A$33:$A$34,2),INDEX(Abilities!$D$33:$D$34,2)/INDEX(Abilities!$E$33:$E$34,2),0)</f>
        <v/>
      </c>
      <c r="AF4" s="16">
        <f>CHOOSE(Inputs!$C$13,1,INDEX(Abilities!$J$33:$J$34,1),INDEX(Abilities!$I$33:$I$34,1))</f>
        <v/>
      </c>
      <c r="AG4" s="16">
        <f>CHOOSE(Inputs!$C$13,1,INDEX(Abilities!$J$33:$J$34,2),INDEX(Abilities!$I$33:$I$34,2))</f>
        <v/>
      </c>
      <c r="AH4" s="16">
        <f>INDEX(Abilities!$C$33:$C$34,2)*AG4*AE4+INDEX(Abilities!$C$33:$C$34,1)*AF4*MIN(AD4,1-AE4)</f>
        <v/>
      </c>
      <c r="AI4" s="9">
        <f>AH4*(I4+G4+A4)*(1+J4)*(1+K4)*Inputs!$C$20</f>
        <v/>
      </c>
      <c r="AJ4" s="9">
        <f>AH4*(I4+W4+G4+A4)*(1+J4)*(1+K4)*Inputs!$C$20</f>
        <v/>
      </c>
      <c r="AK4" s="27">
        <f>(1-Y4)*(T4+AI4)/U4+Y4*(AA4+AJ4)/AB4</f>
        <v/>
      </c>
      <c r="AL4" s="17">
        <f>(AA4+IF(A4&gt;=INDEX(Abilities!$A$33:$A$34,2),INDEX(Abilities!$C$33:$C$34,2)*AG4,IF(A4&gt;=INDEX(Abilities!$A$33:$A$34,1),INDEX(Abilities!$C$33:$C$34,1)*AF4,0))*(I4+W4+G4+A4)*(1+J4)*(1+K4)*Inputs!$C$20)/AB4</f>
        <v/>
      </c>
      <c r="AM4" s="28">
        <f>IFERROR(((1-Y4)*AI4/U4+Y4*AJ4/AB4)/AK4,0)</f>
        <v/>
      </c>
      <c r="AN4" s="8">
        <f>IFERROR(ROUNDUP(C4/T4,0),"-")</f>
        <v/>
      </c>
      <c r="AO4" s="60">
        <f>IFERROR(C4/AK4,"-")</f>
        <v/>
      </c>
      <c r="AP4" s="9">
        <f>MAX(0,(E4+(B4-A4))*(1-R4)*(1-Q4*'Class Table'!$O$6/Inputs!$C$19)-Q4*'Class Table'!$O$6/25)</f>
        <v/>
      </c>
      <c r="AQ4" s="26">
        <f>IFERROR(AP4/F4*AO4,"-")</f>
        <v/>
      </c>
      <c r="AR4" s="28">
        <f>IFERROR(AQ4/O4,"-")</f>
        <v/>
      </c>
      <c r="AS4" s="9">
        <f>IFERROR(O4*Inputs!$C$24/Inputs!$C$22*AO4,"-")</f>
        <v/>
      </c>
      <c r="AT4" s="28">
        <f>IFERROR(MAX(0,AQ4-AS4)/O4,"-")</f>
        <v/>
      </c>
    </row>
    <row r="5">
      <c r="A5" s="8" t="n">
        <v>2</v>
      </c>
      <c r="B5" s="14">
        <f>'Mob by Level'!B5</f>
        <v/>
      </c>
      <c r="C5" s="9">
        <f>'Mob by Level'!C5</f>
        <v/>
      </c>
      <c r="D5" s="9">
        <f>'Mob by Level'!D5</f>
        <v/>
      </c>
      <c r="E5" s="9">
        <f>'Mob by Level'!E5</f>
        <v/>
      </c>
      <c r="F5" s="16">
        <f>'Mob by Level'!F5</f>
        <v/>
      </c>
      <c r="G5" s="14">
        <f>SUMIFS(Gear!$D$4:$D$603,Gear!$A$4:$A$603,A5,Gear!$B$4:$B$603,"Warrior",Gear!$C$4:$C$603,Inputs!$C$5)</f>
        <v/>
      </c>
      <c r="H5" s="14">
        <f>SUMIFS(Gear!$E$4:$E$603,Gear!$A$4:$A$603,A5,Gear!$B$4:$B$603,"Warrior",Gear!$C$4:$C$603,Inputs!$C$5)</f>
        <v/>
      </c>
      <c r="I5" s="14">
        <f>SUMIFS(Gear!$F$4:$F$603,Gear!$A$4:$A$603,A5,Gear!$B$4:$B$603,"Warrior",Gear!$C$4:$C$603,Inputs!$C$5)+Inputs!$C$17*IFERROR(LOOKUP(A5,Abilities!$A$49:$A$53,Abilities!$C$49:$C$53),0)</f>
        <v/>
      </c>
      <c r="J5" s="13">
        <f>SUMIFS(Gear!$J$4:$J$603,Gear!$A$4:$A$603,A5,Gear!$B$4:$B$603,"Warrior",Gear!$C$4:$C$603,Inputs!$C$5)</f>
        <v/>
      </c>
      <c r="K5" s="13">
        <f>SUMIFS(Gear!$K$4:$K$603,Gear!$A$4:$A$603,A5,Gear!$B$4:$B$603,"Warrior",Gear!$C$4:$C$603,Inputs!$C$5)</f>
        <v/>
      </c>
      <c r="L5" s="13">
        <f>SUMIFS(Gear!$L$4:$L$603,Gear!$A$4:$A$603,A5,Gear!$B$4:$B$603,"Warrior",Gear!$C$4:$C$603,Inputs!$C$5)</f>
        <v/>
      </c>
      <c r="M5" s="13">
        <f>SUMIFS(Gear!$M$4:$M$603,Gear!$A$4:$A$603,A5,Gear!$B$4:$B$603,"Warrior",Gear!$C$4:$C$603,Inputs!$C$5)</f>
        <v/>
      </c>
      <c r="N5" s="13">
        <f>SUMIFS(Gear!$N$4:$N$603,Gear!$A$4:$A$603,A5,Gear!$B$4:$B$603,"Warrior",Gear!$C$4:$C$603,Inputs!$C$5)</f>
        <v/>
      </c>
      <c r="O5" s="9">
        <f>INDEX('Class Table'!$E$4:$E$53,A5)+SUMIFS(Gear!$G$4:$G$603,Gear!$A$4:$A$603,A5,Gear!$B$4:$B$603,"Warrior",Gear!$C$4:$C$603,Inputs!$C$5)</f>
        <v/>
      </c>
      <c r="P5" s="9">
        <f>INDEX('Class Table'!$F$4:$F$53,A5)+SUMIFS(Gear!$H$4:$H$603,Gear!$A$4:$A$603,A5,Gear!$B$4:$B$603,"Warrior",Gear!$C$4:$C$603,Inputs!$C$5)</f>
        <v/>
      </c>
      <c r="Q5" s="9">
        <f>INDEX('Class Table'!$G$4:$G$53,A5)+SUMIFS(Gear!$I$4:$I$603,Gear!$A$4:$A$603,A5,Gear!$B$4:$B$603,"Warrior",Gear!$C$4:$C$603,Inputs!$C$5)</f>
        <v/>
      </c>
      <c r="R5" s="13">
        <f>SUMIFS(Gear!$O$4:$O$603,Gear!$A$4:$A$603,A5,Gear!$B$4:$B$603,"Warrior",Gear!$C$4:$C$603,Inputs!$C$5)</f>
        <v/>
      </c>
      <c r="S5" s="26">
        <f>I5+0+G5+A5+MAX(1,A5/2)+(A5-B5)</f>
        <v/>
      </c>
      <c r="T5" s="9">
        <f>MAX(0,S5*(1+M5)*(1+L5)*Inputs!$C$20*(1-D5/Inputs!$C$19)-D5/25)</f>
        <v/>
      </c>
      <c r="U5" s="16">
        <f>H5/10*(1-MIN(0.95,N5+0))*Inputs!$C$21</f>
        <v/>
      </c>
      <c r="V5" s="27">
        <f>T5/U5</f>
        <v/>
      </c>
      <c r="W5" s="14">
        <f>IFERROR(LOOKUP(A5,Abilities!$A$27:$A$29,Abilities!$C$27:$C$29),0)</f>
        <v/>
      </c>
      <c r="X5" s="13">
        <f>IFERROR(LOOKUP(A5,Abilities!$A$27:$A$29,Abilities!$D$27:$D$29),0)</f>
        <v/>
      </c>
      <c r="Y5" s="13">
        <f>Inputs!$C$16*IFERROR(LOOKUP(A5,Abilities!$A$27:$A$29,Abilities!$E$27:$E$29),0)/IFERROR(LOOKUP(A5,Abilities!$A$27:$A$29,Abilities!$F$27:$F$29),1)</f>
        <v/>
      </c>
      <c r="Z5" s="26">
        <f>I5+W5+G5+A5+MAX(1,A5/2)+(A5-B5)</f>
        <v/>
      </c>
      <c r="AA5" s="9">
        <f>MAX(0,Z5*(1+M5)*(1+L5)*Inputs!$C$20*(1-D5/Inputs!$C$19)-D5/25)</f>
        <v/>
      </c>
      <c r="AB5" s="16">
        <f>H5/10*(1-MIN(0.95,N5+X5))*Inputs!$C$21</f>
        <v/>
      </c>
      <c r="AC5" s="27">
        <f>AA5/AB5</f>
        <v/>
      </c>
      <c r="AD5" s="13">
        <f>Inputs!$C$16*IF(A5&gt;=INDEX(Abilities!$A$33:$A$34,1),INDEX(Abilities!$D$33:$D$34,1)/INDEX(Abilities!$E$33:$E$34,1),0)</f>
        <v/>
      </c>
      <c r="AE5" s="13">
        <f>Inputs!$C$16*IF(A5&gt;=INDEX(Abilities!$A$33:$A$34,2),INDEX(Abilities!$D$33:$D$34,2)/INDEX(Abilities!$E$33:$E$34,2),0)</f>
        <v/>
      </c>
      <c r="AF5" s="16">
        <f>CHOOSE(Inputs!$C$13,1,INDEX(Abilities!$J$33:$J$34,1),INDEX(Abilities!$I$33:$I$34,1))</f>
        <v/>
      </c>
      <c r="AG5" s="16">
        <f>CHOOSE(Inputs!$C$13,1,INDEX(Abilities!$J$33:$J$34,2),INDEX(Abilities!$I$33:$I$34,2))</f>
        <v/>
      </c>
      <c r="AH5" s="16">
        <f>INDEX(Abilities!$C$33:$C$34,2)*AG5*AE5+INDEX(Abilities!$C$33:$C$34,1)*AF5*MIN(AD5,1-AE5)</f>
        <v/>
      </c>
      <c r="AI5" s="9">
        <f>AH5*(I5+G5+A5)*(1+J5)*(1+K5)*Inputs!$C$20</f>
        <v/>
      </c>
      <c r="AJ5" s="9">
        <f>AH5*(I5+W5+G5+A5)*(1+J5)*(1+K5)*Inputs!$C$20</f>
        <v/>
      </c>
      <c r="AK5" s="27">
        <f>(1-Y5)*(T5+AI5)/U5+Y5*(AA5+AJ5)/AB5</f>
        <v/>
      </c>
      <c r="AL5" s="17">
        <f>(AA5+IF(A5&gt;=INDEX(Abilities!$A$33:$A$34,2),INDEX(Abilities!$C$33:$C$34,2)*AG5,IF(A5&gt;=INDEX(Abilities!$A$33:$A$34,1),INDEX(Abilities!$C$33:$C$34,1)*AF5,0))*(I5+W5+G5+A5)*(1+J5)*(1+K5)*Inputs!$C$20)/AB5</f>
        <v/>
      </c>
      <c r="AM5" s="28">
        <f>IFERROR(((1-Y5)*AI5/U5+Y5*AJ5/AB5)/AK5,0)</f>
        <v/>
      </c>
      <c r="AN5" s="8">
        <f>IFERROR(ROUNDUP(C5/T5,0),"-")</f>
        <v/>
      </c>
      <c r="AO5" s="60">
        <f>IFERROR(C5/AK5,"-")</f>
        <v/>
      </c>
      <c r="AP5" s="9">
        <f>MAX(0,(E5+(B5-A5))*(1-R5)*(1-Q5*'Class Table'!$O$6/Inputs!$C$19)-Q5*'Class Table'!$O$6/25)</f>
        <v/>
      </c>
      <c r="AQ5" s="26">
        <f>IFERROR(AP5/F5*AO5,"-")</f>
        <v/>
      </c>
      <c r="AR5" s="28">
        <f>IFERROR(AQ5/O5,"-")</f>
        <v/>
      </c>
      <c r="AS5" s="9">
        <f>IFERROR(O5*Inputs!$C$24/Inputs!$C$22*AO5,"-")</f>
        <v/>
      </c>
      <c r="AT5" s="28">
        <f>IFERROR(MAX(0,AQ5-AS5)/O5,"-")</f>
        <v/>
      </c>
    </row>
    <row r="6">
      <c r="A6" s="8" t="n">
        <v>3</v>
      </c>
      <c r="B6" s="14">
        <f>'Mob by Level'!B6</f>
        <v/>
      </c>
      <c r="C6" s="9">
        <f>'Mob by Level'!C6</f>
        <v/>
      </c>
      <c r="D6" s="9">
        <f>'Mob by Level'!D6</f>
        <v/>
      </c>
      <c r="E6" s="9">
        <f>'Mob by Level'!E6</f>
        <v/>
      </c>
      <c r="F6" s="16">
        <f>'Mob by Level'!F6</f>
        <v/>
      </c>
      <c r="G6" s="14">
        <f>SUMIFS(Gear!$D$4:$D$603,Gear!$A$4:$A$603,A6,Gear!$B$4:$B$603,"Warrior",Gear!$C$4:$C$603,Inputs!$C$5)</f>
        <v/>
      </c>
      <c r="H6" s="14">
        <f>SUMIFS(Gear!$E$4:$E$603,Gear!$A$4:$A$603,A6,Gear!$B$4:$B$603,"Warrior",Gear!$C$4:$C$603,Inputs!$C$5)</f>
        <v/>
      </c>
      <c r="I6" s="14">
        <f>SUMIFS(Gear!$F$4:$F$603,Gear!$A$4:$A$603,A6,Gear!$B$4:$B$603,"Warrior",Gear!$C$4:$C$603,Inputs!$C$5)+Inputs!$C$17*IFERROR(LOOKUP(A6,Abilities!$A$49:$A$53,Abilities!$C$49:$C$53),0)</f>
        <v/>
      </c>
      <c r="J6" s="13">
        <f>SUMIFS(Gear!$J$4:$J$603,Gear!$A$4:$A$603,A6,Gear!$B$4:$B$603,"Warrior",Gear!$C$4:$C$603,Inputs!$C$5)</f>
        <v/>
      </c>
      <c r="K6" s="13">
        <f>SUMIFS(Gear!$K$4:$K$603,Gear!$A$4:$A$603,A6,Gear!$B$4:$B$603,"Warrior",Gear!$C$4:$C$603,Inputs!$C$5)</f>
        <v/>
      </c>
      <c r="L6" s="13">
        <f>SUMIFS(Gear!$L$4:$L$603,Gear!$A$4:$A$603,A6,Gear!$B$4:$B$603,"Warrior",Gear!$C$4:$C$603,Inputs!$C$5)</f>
        <v/>
      </c>
      <c r="M6" s="13">
        <f>SUMIFS(Gear!$M$4:$M$603,Gear!$A$4:$A$603,A6,Gear!$B$4:$B$603,"Warrior",Gear!$C$4:$C$603,Inputs!$C$5)</f>
        <v/>
      </c>
      <c r="N6" s="13">
        <f>SUMIFS(Gear!$N$4:$N$603,Gear!$A$4:$A$603,A6,Gear!$B$4:$B$603,"Warrior",Gear!$C$4:$C$603,Inputs!$C$5)</f>
        <v/>
      </c>
      <c r="O6" s="9">
        <f>INDEX('Class Table'!$E$4:$E$53,A6)+SUMIFS(Gear!$G$4:$G$603,Gear!$A$4:$A$603,A6,Gear!$B$4:$B$603,"Warrior",Gear!$C$4:$C$603,Inputs!$C$5)</f>
        <v/>
      </c>
      <c r="P6" s="9">
        <f>INDEX('Class Table'!$F$4:$F$53,A6)+SUMIFS(Gear!$H$4:$H$603,Gear!$A$4:$A$603,A6,Gear!$B$4:$B$603,"Warrior",Gear!$C$4:$C$603,Inputs!$C$5)</f>
        <v/>
      </c>
      <c r="Q6" s="9">
        <f>INDEX('Class Table'!$G$4:$G$53,A6)+SUMIFS(Gear!$I$4:$I$603,Gear!$A$4:$A$603,A6,Gear!$B$4:$B$603,"Warrior",Gear!$C$4:$C$603,Inputs!$C$5)</f>
        <v/>
      </c>
      <c r="R6" s="13">
        <f>SUMIFS(Gear!$O$4:$O$603,Gear!$A$4:$A$603,A6,Gear!$B$4:$B$603,"Warrior",Gear!$C$4:$C$603,Inputs!$C$5)</f>
        <v/>
      </c>
      <c r="S6" s="26">
        <f>I6+0+G6+A6+MAX(1,A6/2)+(A6-B6)</f>
        <v/>
      </c>
      <c r="T6" s="9">
        <f>MAX(0,S6*(1+M6)*(1+L6)*Inputs!$C$20*(1-D6/Inputs!$C$19)-D6/25)</f>
        <v/>
      </c>
      <c r="U6" s="16">
        <f>H6/10*(1-MIN(0.95,N6+0))*Inputs!$C$21</f>
        <v/>
      </c>
      <c r="V6" s="27">
        <f>T6/U6</f>
        <v/>
      </c>
      <c r="W6" s="14">
        <f>IFERROR(LOOKUP(A6,Abilities!$A$27:$A$29,Abilities!$C$27:$C$29),0)</f>
        <v/>
      </c>
      <c r="X6" s="13">
        <f>IFERROR(LOOKUP(A6,Abilities!$A$27:$A$29,Abilities!$D$27:$D$29),0)</f>
        <v/>
      </c>
      <c r="Y6" s="13">
        <f>Inputs!$C$16*IFERROR(LOOKUP(A6,Abilities!$A$27:$A$29,Abilities!$E$27:$E$29),0)/IFERROR(LOOKUP(A6,Abilities!$A$27:$A$29,Abilities!$F$27:$F$29),1)</f>
        <v/>
      </c>
      <c r="Z6" s="26">
        <f>I6+W6+G6+A6+MAX(1,A6/2)+(A6-B6)</f>
        <v/>
      </c>
      <c r="AA6" s="9">
        <f>MAX(0,Z6*(1+M6)*(1+L6)*Inputs!$C$20*(1-D6/Inputs!$C$19)-D6/25)</f>
        <v/>
      </c>
      <c r="AB6" s="16">
        <f>H6/10*(1-MIN(0.95,N6+X6))*Inputs!$C$21</f>
        <v/>
      </c>
      <c r="AC6" s="27">
        <f>AA6/AB6</f>
        <v/>
      </c>
      <c r="AD6" s="13">
        <f>Inputs!$C$16*IF(A6&gt;=INDEX(Abilities!$A$33:$A$34,1),INDEX(Abilities!$D$33:$D$34,1)/INDEX(Abilities!$E$33:$E$34,1),0)</f>
        <v/>
      </c>
      <c r="AE6" s="13">
        <f>Inputs!$C$16*IF(A6&gt;=INDEX(Abilities!$A$33:$A$34,2),INDEX(Abilities!$D$33:$D$34,2)/INDEX(Abilities!$E$33:$E$34,2),0)</f>
        <v/>
      </c>
      <c r="AF6" s="16">
        <f>CHOOSE(Inputs!$C$13,1,INDEX(Abilities!$J$33:$J$34,1),INDEX(Abilities!$I$33:$I$34,1))</f>
        <v/>
      </c>
      <c r="AG6" s="16">
        <f>CHOOSE(Inputs!$C$13,1,INDEX(Abilities!$J$33:$J$34,2),INDEX(Abilities!$I$33:$I$34,2))</f>
        <v/>
      </c>
      <c r="AH6" s="16">
        <f>INDEX(Abilities!$C$33:$C$34,2)*AG6*AE6+INDEX(Abilities!$C$33:$C$34,1)*AF6*MIN(AD6,1-AE6)</f>
        <v/>
      </c>
      <c r="AI6" s="9">
        <f>AH6*(I6+G6+A6)*(1+J6)*(1+K6)*Inputs!$C$20</f>
        <v/>
      </c>
      <c r="AJ6" s="9">
        <f>AH6*(I6+W6+G6+A6)*(1+J6)*(1+K6)*Inputs!$C$20</f>
        <v/>
      </c>
      <c r="AK6" s="27">
        <f>(1-Y6)*(T6+AI6)/U6+Y6*(AA6+AJ6)/AB6</f>
        <v/>
      </c>
      <c r="AL6" s="17">
        <f>(AA6+IF(A6&gt;=INDEX(Abilities!$A$33:$A$34,2),INDEX(Abilities!$C$33:$C$34,2)*AG6,IF(A6&gt;=INDEX(Abilities!$A$33:$A$34,1),INDEX(Abilities!$C$33:$C$34,1)*AF6,0))*(I6+W6+G6+A6)*(1+J6)*(1+K6)*Inputs!$C$20)/AB6</f>
        <v/>
      </c>
      <c r="AM6" s="28">
        <f>IFERROR(((1-Y6)*AI6/U6+Y6*AJ6/AB6)/AK6,0)</f>
        <v/>
      </c>
      <c r="AN6" s="8">
        <f>IFERROR(ROUNDUP(C6/T6,0),"-")</f>
        <v/>
      </c>
      <c r="AO6" s="60">
        <f>IFERROR(C6/AK6,"-")</f>
        <v/>
      </c>
      <c r="AP6" s="9">
        <f>MAX(0,(E6+(B6-A6))*(1-R6)*(1-Q6*'Class Table'!$O$6/Inputs!$C$19)-Q6*'Class Table'!$O$6/25)</f>
        <v/>
      </c>
      <c r="AQ6" s="26">
        <f>IFERROR(AP6/F6*AO6,"-")</f>
        <v/>
      </c>
      <c r="AR6" s="28">
        <f>IFERROR(AQ6/O6,"-")</f>
        <v/>
      </c>
      <c r="AS6" s="9">
        <f>IFERROR(O6*Inputs!$C$24/Inputs!$C$22*AO6,"-")</f>
        <v/>
      </c>
      <c r="AT6" s="28">
        <f>IFERROR(MAX(0,AQ6-AS6)/O6,"-")</f>
        <v/>
      </c>
    </row>
    <row r="7">
      <c r="A7" s="8" t="n">
        <v>4</v>
      </c>
      <c r="B7" s="14">
        <f>'Mob by Level'!B7</f>
        <v/>
      </c>
      <c r="C7" s="9">
        <f>'Mob by Level'!C7</f>
        <v/>
      </c>
      <c r="D7" s="9">
        <f>'Mob by Level'!D7</f>
        <v/>
      </c>
      <c r="E7" s="9">
        <f>'Mob by Level'!E7</f>
        <v/>
      </c>
      <c r="F7" s="16">
        <f>'Mob by Level'!F7</f>
        <v/>
      </c>
      <c r="G7" s="14">
        <f>SUMIFS(Gear!$D$4:$D$603,Gear!$A$4:$A$603,A7,Gear!$B$4:$B$603,"Warrior",Gear!$C$4:$C$603,Inputs!$C$5)</f>
        <v/>
      </c>
      <c r="H7" s="14">
        <f>SUMIFS(Gear!$E$4:$E$603,Gear!$A$4:$A$603,A7,Gear!$B$4:$B$603,"Warrior",Gear!$C$4:$C$603,Inputs!$C$5)</f>
        <v/>
      </c>
      <c r="I7" s="14">
        <f>SUMIFS(Gear!$F$4:$F$603,Gear!$A$4:$A$603,A7,Gear!$B$4:$B$603,"Warrior",Gear!$C$4:$C$603,Inputs!$C$5)+Inputs!$C$17*IFERROR(LOOKUP(A7,Abilities!$A$49:$A$53,Abilities!$C$49:$C$53),0)</f>
        <v/>
      </c>
      <c r="J7" s="13">
        <f>SUMIFS(Gear!$J$4:$J$603,Gear!$A$4:$A$603,A7,Gear!$B$4:$B$603,"Warrior",Gear!$C$4:$C$603,Inputs!$C$5)</f>
        <v/>
      </c>
      <c r="K7" s="13">
        <f>SUMIFS(Gear!$K$4:$K$603,Gear!$A$4:$A$603,A7,Gear!$B$4:$B$603,"Warrior",Gear!$C$4:$C$603,Inputs!$C$5)</f>
        <v/>
      </c>
      <c r="L7" s="13">
        <f>SUMIFS(Gear!$L$4:$L$603,Gear!$A$4:$A$603,A7,Gear!$B$4:$B$603,"Warrior",Gear!$C$4:$C$603,Inputs!$C$5)</f>
        <v/>
      </c>
      <c r="M7" s="13">
        <f>SUMIFS(Gear!$M$4:$M$603,Gear!$A$4:$A$603,A7,Gear!$B$4:$B$603,"Warrior",Gear!$C$4:$C$603,Inputs!$C$5)</f>
        <v/>
      </c>
      <c r="N7" s="13">
        <f>SUMIFS(Gear!$N$4:$N$603,Gear!$A$4:$A$603,A7,Gear!$B$4:$B$603,"Warrior",Gear!$C$4:$C$603,Inputs!$C$5)</f>
        <v/>
      </c>
      <c r="O7" s="9">
        <f>INDEX('Class Table'!$E$4:$E$53,A7)+SUMIFS(Gear!$G$4:$G$603,Gear!$A$4:$A$603,A7,Gear!$B$4:$B$603,"Warrior",Gear!$C$4:$C$603,Inputs!$C$5)</f>
        <v/>
      </c>
      <c r="P7" s="9">
        <f>INDEX('Class Table'!$F$4:$F$53,A7)+SUMIFS(Gear!$H$4:$H$603,Gear!$A$4:$A$603,A7,Gear!$B$4:$B$603,"Warrior",Gear!$C$4:$C$603,Inputs!$C$5)</f>
        <v/>
      </c>
      <c r="Q7" s="9">
        <f>INDEX('Class Table'!$G$4:$G$53,A7)+SUMIFS(Gear!$I$4:$I$603,Gear!$A$4:$A$603,A7,Gear!$B$4:$B$603,"Warrior",Gear!$C$4:$C$603,Inputs!$C$5)</f>
        <v/>
      </c>
      <c r="R7" s="13">
        <f>SUMIFS(Gear!$O$4:$O$603,Gear!$A$4:$A$603,A7,Gear!$B$4:$B$603,"Warrior",Gear!$C$4:$C$603,Inputs!$C$5)</f>
        <v/>
      </c>
      <c r="S7" s="26">
        <f>I7+0+G7+A7+MAX(1,A7/2)+(A7-B7)</f>
        <v/>
      </c>
      <c r="T7" s="9">
        <f>MAX(0,S7*(1+M7)*(1+L7)*Inputs!$C$20*(1-D7/Inputs!$C$19)-D7/25)</f>
        <v/>
      </c>
      <c r="U7" s="16">
        <f>H7/10*(1-MIN(0.95,N7+0))*Inputs!$C$21</f>
        <v/>
      </c>
      <c r="V7" s="27">
        <f>T7/U7</f>
        <v/>
      </c>
      <c r="W7" s="14">
        <f>IFERROR(LOOKUP(A7,Abilities!$A$27:$A$29,Abilities!$C$27:$C$29),0)</f>
        <v/>
      </c>
      <c r="X7" s="13">
        <f>IFERROR(LOOKUP(A7,Abilities!$A$27:$A$29,Abilities!$D$27:$D$29),0)</f>
        <v/>
      </c>
      <c r="Y7" s="13">
        <f>Inputs!$C$16*IFERROR(LOOKUP(A7,Abilities!$A$27:$A$29,Abilities!$E$27:$E$29),0)/IFERROR(LOOKUP(A7,Abilities!$A$27:$A$29,Abilities!$F$27:$F$29),1)</f>
        <v/>
      </c>
      <c r="Z7" s="26">
        <f>I7+W7+G7+A7+MAX(1,A7/2)+(A7-B7)</f>
        <v/>
      </c>
      <c r="AA7" s="9">
        <f>MAX(0,Z7*(1+M7)*(1+L7)*Inputs!$C$20*(1-D7/Inputs!$C$19)-D7/25)</f>
        <v/>
      </c>
      <c r="AB7" s="16">
        <f>H7/10*(1-MIN(0.95,N7+X7))*Inputs!$C$21</f>
        <v/>
      </c>
      <c r="AC7" s="27">
        <f>AA7/AB7</f>
        <v/>
      </c>
      <c r="AD7" s="13">
        <f>Inputs!$C$16*IF(A7&gt;=INDEX(Abilities!$A$33:$A$34,1),INDEX(Abilities!$D$33:$D$34,1)/INDEX(Abilities!$E$33:$E$34,1),0)</f>
        <v/>
      </c>
      <c r="AE7" s="13">
        <f>Inputs!$C$16*IF(A7&gt;=INDEX(Abilities!$A$33:$A$34,2),INDEX(Abilities!$D$33:$D$34,2)/INDEX(Abilities!$E$33:$E$34,2),0)</f>
        <v/>
      </c>
      <c r="AF7" s="16">
        <f>CHOOSE(Inputs!$C$13,1,INDEX(Abilities!$J$33:$J$34,1),INDEX(Abilities!$I$33:$I$34,1))</f>
        <v/>
      </c>
      <c r="AG7" s="16">
        <f>CHOOSE(Inputs!$C$13,1,INDEX(Abilities!$J$33:$J$34,2),INDEX(Abilities!$I$33:$I$34,2))</f>
        <v/>
      </c>
      <c r="AH7" s="16">
        <f>INDEX(Abilities!$C$33:$C$34,2)*AG7*AE7+INDEX(Abilities!$C$33:$C$34,1)*AF7*MIN(AD7,1-AE7)</f>
        <v/>
      </c>
      <c r="AI7" s="9">
        <f>AH7*(I7+G7+A7)*(1+J7)*(1+K7)*Inputs!$C$20</f>
        <v/>
      </c>
      <c r="AJ7" s="9">
        <f>AH7*(I7+W7+G7+A7)*(1+J7)*(1+K7)*Inputs!$C$20</f>
        <v/>
      </c>
      <c r="AK7" s="27">
        <f>(1-Y7)*(T7+AI7)/U7+Y7*(AA7+AJ7)/AB7</f>
        <v/>
      </c>
      <c r="AL7" s="17">
        <f>(AA7+IF(A7&gt;=INDEX(Abilities!$A$33:$A$34,2),INDEX(Abilities!$C$33:$C$34,2)*AG7,IF(A7&gt;=INDEX(Abilities!$A$33:$A$34,1),INDEX(Abilities!$C$33:$C$34,1)*AF7,0))*(I7+W7+G7+A7)*(1+J7)*(1+K7)*Inputs!$C$20)/AB7</f>
        <v/>
      </c>
      <c r="AM7" s="28">
        <f>IFERROR(((1-Y7)*AI7/U7+Y7*AJ7/AB7)/AK7,0)</f>
        <v/>
      </c>
      <c r="AN7" s="8">
        <f>IFERROR(ROUNDUP(C7/T7,0),"-")</f>
        <v/>
      </c>
      <c r="AO7" s="60">
        <f>IFERROR(C7/AK7,"-")</f>
        <v/>
      </c>
      <c r="AP7" s="9">
        <f>MAX(0,(E7+(B7-A7))*(1-R7)*(1-Q7*'Class Table'!$O$6/Inputs!$C$19)-Q7*'Class Table'!$O$6/25)</f>
        <v/>
      </c>
      <c r="AQ7" s="26">
        <f>IFERROR(AP7/F7*AO7,"-")</f>
        <v/>
      </c>
      <c r="AR7" s="28">
        <f>IFERROR(AQ7/O7,"-")</f>
        <v/>
      </c>
      <c r="AS7" s="9">
        <f>IFERROR(O7*Inputs!$C$24/Inputs!$C$22*AO7,"-")</f>
        <v/>
      </c>
      <c r="AT7" s="28">
        <f>IFERROR(MAX(0,AQ7-AS7)/O7,"-")</f>
        <v/>
      </c>
    </row>
    <row r="8">
      <c r="A8" s="8" t="n">
        <v>5</v>
      </c>
      <c r="B8" s="14">
        <f>'Mob by Level'!B8</f>
        <v/>
      </c>
      <c r="C8" s="9">
        <f>'Mob by Level'!C8</f>
        <v/>
      </c>
      <c r="D8" s="9">
        <f>'Mob by Level'!D8</f>
        <v/>
      </c>
      <c r="E8" s="9">
        <f>'Mob by Level'!E8</f>
        <v/>
      </c>
      <c r="F8" s="16">
        <f>'Mob by Level'!F8</f>
        <v/>
      </c>
      <c r="G8" s="14">
        <f>SUMIFS(Gear!$D$4:$D$603,Gear!$A$4:$A$603,A8,Gear!$B$4:$B$603,"Warrior",Gear!$C$4:$C$603,Inputs!$C$5)</f>
        <v/>
      </c>
      <c r="H8" s="14">
        <f>SUMIFS(Gear!$E$4:$E$603,Gear!$A$4:$A$603,A8,Gear!$B$4:$B$603,"Warrior",Gear!$C$4:$C$603,Inputs!$C$5)</f>
        <v/>
      </c>
      <c r="I8" s="14">
        <f>SUMIFS(Gear!$F$4:$F$603,Gear!$A$4:$A$603,A8,Gear!$B$4:$B$603,"Warrior",Gear!$C$4:$C$603,Inputs!$C$5)+Inputs!$C$17*IFERROR(LOOKUP(A8,Abilities!$A$49:$A$53,Abilities!$C$49:$C$53),0)</f>
        <v/>
      </c>
      <c r="J8" s="13">
        <f>SUMIFS(Gear!$J$4:$J$603,Gear!$A$4:$A$603,A8,Gear!$B$4:$B$603,"Warrior",Gear!$C$4:$C$603,Inputs!$C$5)</f>
        <v/>
      </c>
      <c r="K8" s="13">
        <f>SUMIFS(Gear!$K$4:$K$603,Gear!$A$4:$A$603,A8,Gear!$B$4:$B$603,"Warrior",Gear!$C$4:$C$603,Inputs!$C$5)</f>
        <v/>
      </c>
      <c r="L8" s="13">
        <f>SUMIFS(Gear!$L$4:$L$603,Gear!$A$4:$A$603,A8,Gear!$B$4:$B$603,"Warrior",Gear!$C$4:$C$603,Inputs!$C$5)</f>
        <v/>
      </c>
      <c r="M8" s="13">
        <f>SUMIFS(Gear!$M$4:$M$603,Gear!$A$4:$A$603,A8,Gear!$B$4:$B$603,"Warrior",Gear!$C$4:$C$603,Inputs!$C$5)</f>
        <v/>
      </c>
      <c r="N8" s="13">
        <f>SUMIFS(Gear!$N$4:$N$603,Gear!$A$4:$A$603,A8,Gear!$B$4:$B$603,"Warrior",Gear!$C$4:$C$603,Inputs!$C$5)</f>
        <v/>
      </c>
      <c r="O8" s="9">
        <f>INDEX('Class Table'!$E$4:$E$53,A8)+SUMIFS(Gear!$G$4:$G$603,Gear!$A$4:$A$603,A8,Gear!$B$4:$B$603,"Warrior",Gear!$C$4:$C$603,Inputs!$C$5)</f>
        <v/>
      </c>
      <c r="P8" s="9">
        <f>INDEX('Class Table'!$F$4:$F$53,A8)+SUMIFS(Gear!$H$4:$H$603,Gear!$A$4:$A$603,A8,Gear!$B$4:$B$603,"Warrior",Gear!$C$4:$C$603,Inputs!$C$5)</f>
        <v/>
      </c>
      <c r="Q8" s="9">
        <f>INDEX('Class Table'!$G$4:$G$53,A8)+SUMIFS(Gear!$I$4:$I$603,Gear!$A$4:$A$603,A8,Gear!$B$4:$B$603,"Warrior",Gear!$C$4:$C$603,Inputs!$C$5)</f>
        <v/>
      </c>
      <c r="R8" s="13">
        <f>SUMIFS(Gear!$O$4:$O$603,Gear!$A$4:$A$603,A8,Gear!$B$4:$B$603,"Warrior",Gear!$C$4:$C$603,Inputs!$C$5)</f>
        <v/>
      </c>
      <c r="S8" s="26">
        <f>I8+0+G8+A8+MAX(1,A8/2)+(A8-B8)</f>
        <v/>
      </c>
      <c r="T8" s="9">
        <f>MAX(0,S8*(1+M8)*(1+L8)*Inputs!$C$20*(1-D8/Inputs!$C$19)-D8/25)</f>
        <v/>
      </c>
      <c r="U8" s="16">
        <f>H8/10*(1-MIN(0.95,N8+0))*Inputs!$C$21</f>
        <v/>
      </c>
      <c r="V8" s="27">
        <f>T8/U8</f>
        <v/>
      </c>
      <c r="W8" s="14">
        <f>IFERROR(LOOKUP(A8,Abilities!$A$27:$A$29,Abilities!$C$27:$C$29),0)</f>
        <v/>
      </c>
      <c r="X8" s="13">
        <f>IFERROR(LOOKUP(A8,Abilities!$A$27:$A$29,Abilities!$D$27:$D$29),0)</f>
        <v/>
      </c>
      <c r="Y8" s="13">
        <f>Inputs!$C$16*IFERROR(LOOKUP(A8,Abilities!$A$27:$A$29,Abilities!$E$27:$E$29),0)/IFERROR(LOOKUP(A8,Abilities!$A$27:$A$29,Abilities!$F$27:$F$29),1)</f>
        <v/>
      </c>
      <c r="Z8" s="26">
        <f>I8+W8+G8+A8+MAX(1,A8/2)+(A8-B8)</f>
        <v/>
      </c>
      <c r="AA8" s="9">
        <f>MAX(0,Z8*(1+M8)*(1+L8)*Inputs!$C$20*(1-D8/Inputs!$C$19)-D8/25)</f>
        <v/>
      </c>
      <c r="AB8" s="16">
        <f>H8/10*(1-MIN(0.95,N8+X8))*Inputs!$C$21</f>
        <v/>
      </c>
      <c r="AC8" s="27">
        <f>AA8/AB8</f>
        <v/>
      </c>
      <c r="AD8" s="13">
        <f>Inputs!$C$16*IF(A8&gt;=INDEX(Abilities!$A$33:$A$34,1),INDEX(Abilities!$D$33:$D$34,1)/INDEX(Abilities!$E$33:$E$34,1),0)</f>
        <v/>
      </c>
      <c r="AE8" s="13">
        <f>Inputs!$C$16*IF(A8&gt;=INDEX(Abilities!$A$33:$A$34,2),INDEX(Abilities!$D$33:$D$34,2)/INDEX(Abilities!$E$33:$E$34,2),0)</f>
        <v/>
      </c>
      <c r="AF8" s="16">
        <f>CHOOSE(Inputs!$C$13,1,INDEX(Abilities!$J$33:$J$34,1),INDEX(Abilities!$I$33:$I$34,1))</f>
        <v/>
      </c>
      <c r="AG8" s="16">
        <f>CHOOSE(Inputs!$C$13,1,INDEX(Abilities!$J$33:$J$34,2),INDEX(Abilities!$I$33:$I$34,2))</f>
        <v/>
      </c>
      <c r="AH8" s="16">
        <f>INDEX(Abilities!$C$33:$C$34,2)*AG8*AE8+INDEX(Abilities!$C$33:$C$34,1)*AF8*MIN(AD8,1-AE8)</f>
        <v/>
      </c>
      <c r="AI8" s="9">
        <f>AH8*(I8+G8+A8)*(1+J8)*(1+K8)*Inputs!$C$20</f>
        <v/>
      </c>
      <c r="AJ8" s="9">
        <f>AH8*(I8+W8+G8+A8)*(1+J8)*(1+K8)*Inputs!$C$20</f>
        <v/>
      </c>
      <c r="AK8" s="27">
        <f>(1-Y8)*(T8+AI8)/U8+Y8*(AA8+AJ8)/AB8</f>
        <v/>
      </c>
      <c r="AL8" s="17">
        <f>(AA8+IF(A8&gt;=INDEX(Abilities!$A$33:$A$34,2),INDEX(Abilities!$C$33:$C$34,2)*AG8,IF(A8&gt;=INDEX(Abilities!$A$33:$A$34,1),INDEX(Abilities!$C$33:$C$34,1)*AF8,0))*(I8+W8+G8+A8)*(1+J8)*(1+K8)*Inputs!$C$20)/AB8</f>
        <v/>
      </c>
      <c r="AM8" s="28">
        <f>IFERROR(((1-Y8)*AI8/U8+Y8*AJ8/AB8)/AK8,0)</f>
        <v/>
      </c>
      <c r="AN8" s="8">
        <f>IFERROR(ROUNDUP(C8/T8,0),"-")</f>
        <v/>
      </c>
      <c r="AO8" s="60">
        <f>IFERROR(C8/AK8,"-")</f>
        <v/>
      </c>
      <c r="AP8" s="9">
        <f>MAX(0,(E8+(B8-A8))*(1-R8)*(1-Q8*'Class Table'!$O$6/Inputs!$C$19)-Q8*'Class Table'!$O$6/25)</f>
        <v/>
      </c>
      <c r="AQ8" s="26">
        <f>IFERROR(AP8/F8*AO8,"-")</f>
        <v/>
      </c>
      <c r="AR8" s="28">
        <f>IFERROR(AQ8/O8,"-")</f>
        <v/>
      </c>
      <c r="AS8" s="9">
        <f>IFERROR(O8*Inputs!$C$24/Inputs!$C$22*AO8,"-")</f>
        <v/>
      </c>
      <c r="AT8" s="28">
        <f>IFERROR(MAX(0,AQ8-AS8)/O8,"-")</f>
        <v/>
      </c>
    </row>
    <row r="9">
      <c r="A9" s="8" t="n">
        <v>6</v>
      </c>
      <c r="B9" s="14">
        <f>'Mob by Level'!B9</f>
        <v/>
      </c>
      <c r="C9" s="9">
        <f>'Mob by Level'!C9</f>
        <v/>
      </c>
      <c r="D9" s="9">
        <f>'Mob by Level'!D9</f>
        <v/>
      </c>
      <c r="E9" s="9">
        <f>'Mob by Level'!E9</f>
        <v/>
      </c>
      <c r="F9" s="16">
        <f>'Mob by Level'!F9</f>
        <v/>
      </c>
      <c r="G9" s="14">
        <f>SUMIFS(Gear!$D$4:$D$603,Gear!$A$4:$A$603,A9,Gear!$B$4:$B$603,"Warrior",Gear!$C$4:$C$603,Inputs!$C$5)</f>
        <v/>
      </c>
      <c r="H9" s="14">
        <f>SUMIFS(Gear!$E$4:$E$603,Gear!$A$4:$A$603,A9,Gear!$B$4:$B$603,"Warrior",Gear!$C$4:$C$603,Inputs!$C$5)</f>
        <v/>
      </c>
      <c r="I9" s="14">
        <f>SUMIFS(Gear!$F$4:$F$603,Gear!$A$4:$A$603,A9,Gear!$B$4:$B$603,"Warrior",Gear!$C$4:$C$603,Inputs!$C$5)+Inputs!$C$17*IFERROR(LOOKUP(A9,Abilities!$A$49:$A$53,Abilities!$C$49:$C$53),0)</f>
        <v/>
      </c>
      <c r="J9" s="13">
        <f>SUMIFS(Gear!$J$4:$J$603,Gear!$A$4:$A$603,A9,Gear!$B$4:$B$603,"Warrior",Gear!$C$4:$C$603,Inputs!$C$5)</f>
        <v/>
      </c>
      <c r="K9" s="13">
        <f>SUMIFS(Gear!$K$4:$K$603,Gear!$A$4:$A$603,A9,Gear!$B$4:$B$603,"Warrior",Gear!$C$4:$C$603,Inputs!$C$5)</f>
        <v/>
      </c>
      <c r="L9" s="13">
        <f>SUMIFS(Gear!$L$4:$L$603,Gear!$A$4:$A$603,A9,Gear!$B$4:$B$603,"Warrior",Gear!$C$4:$C$603,Inputs!$C$5)</f>
        <v/>
      </c>
      <c r="M9" s="13">
        <f>SUMIFS(Gear!$M$4:$M$603,Gear!$A$4:$A$603,A9,Gear!$B$4:$B$603,"Warrior",Gear!$C$4:$C$603,Inputs!$C$5)</f>
        <v/>
      </c>
      <c r="N9" s="13">
        <f>SUMIFS(Gear!$N$4:$N$603,Gear!$A$4:$A$603,A9,Gear!$B$4:$B$603,"Warrior",Gear!$C$4:$C$603,Inputs!$C$5)</f>
        <v/>
      </c>
      <c r="O9" s="9">
        <f>INDEX('Class Table'!$E$4:$E$53,A9)+SUMIFS(Gear!$G$4:$G$603,Gear!$A$4:$A$603,A9,Gear!$B$4:$B$603,"Warrior",Gear!$C$4:$C$603,Inputs!$C$5)</f>
        <v/>
      </c>
      <c r="P9" s="9">
        <f>INDEX('Class Table'!$F$4:$F$53,A9)+SUMIFS(Gear!$H$4:$H$603,Gear!$A$4:$A$603,A9,Gear!$B$4:$B$603,"Warrior",Gear!$C$4:$C$603,Inputs!$C$5)</f>
        <v/>
      </c>
      <c r="Q9" s="9">
        <f>INDEX('Class Table'!$G$4:$G$53,A9)+SUMIFS(Gear!$I$4:$I$603,Gear!$A$4:$A$603,A9,Gear!$B$4:$B$603,"Warrior",Gear!$C$4:$C$603,Inputs!$C$5)</f>
        <v/>
      </c>
      <c r="R9" s="13">
        <f>SUMIFS(Gear!$O$4:$O$603,Gear!$A$4:$A$603,A9,Gear!$B$4:$B$603,"Warrior",Gear!$C$4:$C$603,Inputs!$C$5)</f>
        <v/>
      </c>
      <c r="S9" s="26">
        <f>I9+0+G9+A9+MAX(1,A9/2)+(A9-B9)</f>
        <v/>
      </c>
      <c r="T9" s="9">
        <f>MAX(0,S9*(1+M9)*(1+L9)*Inputs!$C$20*(1-D9/Inputs!$C$19)-D9/25)</f>
        <v/>
      </c>
      <c r="U9" s="16">
        <f>H9/10*(1-MIN(0.95,N9+0))*Inputs!$C$21</f>
        <v/>
      </c>
      <c r="V9" s="27">
        <f>T9/U9</f>
        <v/>
      </c>
      <c r="W9" s="14">
        <f>IFERROR(LOOKUP(A9,Abilities!$A$27:$A$29,Abilities!$C$27:$C$29),0)</f>
        <v/>
      </c>
      <c r="X9" s="13">
        <f>IFERROR(LOOKUP(A9,Abilities!$A$27:$A$29,Abilities!$D$27:$D$29),0)</f>
        <v/>
      </c>
      <c r="Y9" s="13">
        <f>Inputs!$C$16*IFERROR(LOOKUP(A9,Abilities!$A$27:$A$29,Abilities!$E$27:$E$29),0)/IFERROR(LOOKUP(A9,Abilities!$A$27:$A$29,Abilities!$F$27:$F$29),1)</f>
        <v/>
      </c>
      <c r="Z9" s="26">
        <f>I9+W9+G9+A9+MAX(1,A9/2)+(A9-B9)</f>
        <v/>
      </c>
      <c r="AA9" s="9">
        <f>MAX(0,Z9*(1+M9)*(1+L9)*Inputs!$C$20*(1-D9/Inputs!$C$19)-D9/25)</f>
        <v/>
      </c>
      <c r="AB9" s="16">
        <f>H9/10*(1-MIN(0.95,N9+X9))*Inputs!$C$21</f>
        <v/>
      </c>
      <c r="AC9" s="27">
        <f>AA9/AB9</f>
        <v/>
      </c>
      <c r="AD9" s="13">
        <f>Inputs!$C$16*IF(A9&gt;=INDEX(Abilities!$A$33:$A$34,1),INDEX(Abilities!$D$33:$D$34,1)/INDEX(Abilities!$E$33:$E$34,1),0)</f>
        <v/>
      </c>
      <c r="AE9" s="13">
        <f>Inputs!$C$16*IF(A9&gt;=INDEX(Abilities!$A$33:$A$34,2),INDEX(Abilities!$D$33:$D$34,2)/INDEX(Abilities!$E$33:$E$34,2),0)</f>
        <v/>
      </c>
      <c r="AF9" s="16">
        <f>CHOOSE(Inputs!$C$13,1,INDEX(Abilities!$J$33:$J$34,1),INDEX(Abilities!$I$33:$I$34,1))</f>
        <v/>
      </c>
      <c r="AG9" s="16">
        <f>CHOOSE(Inputs!$C$13,1,INDEX(Abilities!$J$33:$J$34,2),INDEX(Abilities!$I$33:$I$34,2))</f>
        <v/>
      </c>
      <c r="AH9" s="16">
        <f>INDEX(Abilities!$C$33:$C$34,2)*AG9*AE9+INDEX(Abilities!$C$33:$C$34,1)*AF9*MIN(AD9,1-AE9)</f>
        <v/>
      </c>
      <c r="AI9" s="9">
        <f>AH9*(I9+G9+A9)*(1+J9)*(1+K9)*Inputs!$C$20</f>
        <v/>
      </c>
      <c r="AJ9" s="9">
        <f>AH9*(I9+W9+G9+A9)*(1+J9)*(1+K9)*Inputs!$C$20</f>
        <v/>
      </c>
      <c r="AK9" s="27">
        <f>(1-Y9)*(T9+AI9)/U9+Y9*(AA9+AJ9)/AB9</f>
        <v/>
      </c>
      <c r="AL9" s="17">
        <f>(AA9+IF(A9&gt;=INDEX(Abilities!$A$33:$A$34,2),INDEX(Abilities!$C$33:$C$34,2)*AG9,IF(A9&gt;=INDEX(Abilities!$A$33:$A$34,1),INDEX(Abilities!$C$33:$C$34,1)*AF9,0))*(I9+W9+G9+A9)*(1+J9)*(1+K9)*Inputs!$C$20)/AB9</f>
        <v/>
      </c>
      <c r="AM9" s="28">
        <f>IFERROR(((1-Y9)*AI9/U9+Y9*AJ9/AB9)/AK9,0)</f>
        <v/>
      </c>
      <c r="AN9" s="8">
        <f>IFERROR(ROUNDUP(C9/T9,0),"-")</f>
        <v/>
      </c>
      <c r="AO9" s="60">
        <f>IFERROR(C9/AK9,"-")</f>
        <v/>
      </c>
      <c r="AP9" s="9">
        <f>MAX(0,(E9+(B9-A9))*(1-R9)*(1-Q9*'Class Table'!$O$6/Inputs!$C$19)-Q9*'Class Table'!$O$6/25)</f>
        <v/>
      </c>
      <c r="AQ9" s="26">
        <f>IFERROR(AP9/F9*AO9,"-")</f>
        <v/>
      </c>
      <c r="AR9" s="28">
        <f>IFERROR(AQ9/O9,"-")</f>
        <v/>
      </c>
      <c r="AS9" s="9">
        <f>IFERROR(O9*Inputs!$C$24/Inputs!$C$22*AO9,"-")</f>
        <v/>
      </c>
      <c r="AT9" s="28">
        <f>IFERROR(MAX(0,AQ9-AS9)/O9,"-")</f>
        <v/>
      </c>
    </row>
    <row r="10">
      <c r="A10" s="8" t="n">
        <v>7</v>
      </c>
      <c r="B10" s="14">
        <f>'Mob by Level'!B10</f>
        <v/>
      </c>
      <c r="C10" s="9">
        <f>'Mob by Level'!C10</f>
        <v/>
      </c>
      <c r="D10" s="9">
        <f>'Mob by Level'!D10</f>
        <v/>
      </c>
      <c r="E10" s="9">
        <f>'Mob by Level'!E10</f>
        <v/>
      </c>
      <c r="F10" s="16">
        <f>'Mob by Level'!F10</f>
        <v/>
      </c>
      <c r="G10" s="14">
        <f>SUMIFS(Gear!$D$4:$D$603,Gear!$A$4:$A$603,A10,Gear!$B$4:$B$603,"Warrior",Gear!$C$4:$C$603,Inputs!$C$5)</f>
        <v/>
      </c>
      <c r="H10" s="14">
        <f>SUMIFS(Gear!$E$4:$E$603,Gear!$A$4:$A$603,A10,Gear!$B$4:$B$603,"Warrior",Gear!$C$4:$C$603,Inputs!$C$5)</f>
        <v/>
      </c>
      <c r="I10" s="14">
        <f>SUMIFS(Gear!$F$4:$F$603,Gear!$A$4:$A$603,A10,Gear!$B$4:$B$603,"Warrior",Gear!$C$4:$C$603,Inputs!$C$5)+Inputs!$C$17*IFERROR(LOOKUP(A10,Abilities!$A$49:$A$53,Abilities!$C$49:$C$53),0)</f>
        <v/>
      </c>
      <c r="J10" s="13">
        <f>SUMIFS(Gear!$J$4:$J$603,Gear!$A$4:$A$603,A10,Gear!$B$4:$B$603,"Warrior",Gear!$C$4:$C$603,Inputs!$C$5)</f>
        <v/>
      </c>
      <c r="K10" s="13">
        <f>SUMIFS(Gear!$K$4:$K$603,Gear!$A$4:$A$603,A10,Gear!$B$4:$B$603,"Warrior",Gear!$C$4:$C$603,Inputs!$C$5)</f>
        <v/>
      </c>
      <c r="L10" s="13">
        <f>SUMIFS(Gear!$L$4:$L$603,Gear!$A$4:$A$603,A10,Gear!$B$4:$B$603,"Warrior",Gear!$C$4:$C$603,Inputs!$C$5)</f>
        <v/>
      </c>
      <c r="M10" s="13">
        <f>SUMIFS(Gear!$M$4:$M$603,Gear!$A$4:$A$603,A10,Gear!$B$4:$B$603,"Warrior",Gear!$C$4:$C$603,Inputs!$C$5)</f>
        <v/>
      </c>
      <c r="N10" s="13">
        <f>SUMIFS(Gear!$N$4:$N$603,Gear!$A$4:$A$603,A10,Gear!$B$4:$B$603,"Warrior",Gear!$C$4:$C$603,Inputs!$C$5)</f>
        <v/>
      </c>
      <c r="O10" s="9">
        <f>INDEX('Class Table'!$E$4:$E$53,A10)+SUMIFS(Gear!$G$4:$G$603,Gear!$A$4:$A$603,A10,Gear!$B$4:$B$603,"Warrior",Gear!$C$4:$C$603,Inputs!$C$5)</f>
        <v/>
      </c>
      <c r="P10" s="9">
        <f>INDEX('Class Table'!$F$4:$F$53,A10)+SUMIFS(Gear!$H$4:$H$603,Gear!$A$4:$A$603,A10,Gear!$B$4:$B$603,"Warrior",Gear!$C$4:$C$603,Inputs!$C$5)</f>
        <v/>
      </c>
      <c r="Q10" s="9">
        <f>INDEX('Class Table'!$G$4:$G$53,A10)+SUMIFS(Gear!$I$4:$I$603,Gear!$A$4:$A$603,A10,Gear!$B$4:$B$603,"Warrior",Gear!$C$4:$C$603,Inputs!$C$5)</f>
        <v/>
      </c>
      <c r="R10" s="13">
        <f>SUMIFS(Gear!$O$4:$O$603,Gear!$A$4:$A$603,A10,Gear!$B$4:$B$603,"Warrior",Gear!$C$4:$C$603,Inputs!$C$5)</f>
        <v/>
      </c>
      <c r="S10" s="26">
        <f>I10+0+G10+A10+MAX(1,A10/2)+(A10-B10)</f>
        <v/>
      </c>
      <c r="T10" s="9">
        <f>MAX(0,S10*(1+M10)*(1+L10)*Inputs!$C$20*(1-D10/Inputs!$C$19)-D10/25)</f>
        <v/>
      </c>
      <c r="U10" s="16">
        <f>H10/10*(1-MIN(0.95,N10+0))*Inputs!$C$21</f>
        <v/>
      </c>
      <c r="V10" s="27">
        <f>T10/U10</f>
        <v/>
      </c>
      <c r="W10" s="14">
        <f>IFERROR(LOOKUP(A10,Abilities!$A$27:$A$29,Abilities!$C$27:$C$29),0)</f>
        <v/>
      </c>
      <c r="X10" s="13">
        <f>IFERROR(LOOKUP(A10,Abilities!$A$27:$A$29,Abilities!$D$27:$D$29),0)</f>
        <v/>
      </c>
      <c r="Y10" s="13">
        <f>Inputs!$C$16*IFERROR(LOOKUP(A10,Abilities!$A$27:$A$29,Abilities!$E$27:$E$29),0)/IFERROR(LOOKUP(A10,Abilities!$A$27:$A$29,Abilities!$F$27:$F$29),1)</f>
        <v/>
      </c>
      <c r="Z10" s="26">
        <f>I10+W10+G10+A10+MAX(1,A10/2)+(A10-B10)</f>
        <v/>
      </c>
      <c r="AA10" s="9">
        <f>MAX(0,Z10*(1+M10)*(1+L10)*Inputs!$C$20*(1-D10/Inputs!$C$19)-D10/25)</f>
        <v/>
      </c>
      <c r="AB10" s="16">
        <f>H10/10*(1-MIN(0.95,N10+X10))*Inputs!$C$21</f>
        <v/>
      </c>
      <c r="AC10" s="27">
        <f>AA10/AB10</f>
        <v/>
      </c>
      <c r="AD10" s="13">
        <f>Inputs!$C$16*IF(A10&gt;=INDEX(Abilities!$A$33:$A$34,1),INDEX(Abilities!$D$33:$D$34,1)/INDEX(Abilities!$E$33:$E$34,1),0)</f>
        <v/>
      </c>
      <c r="AE10" s="13">
        <f>Inputs!$C$16*IF(A10&gt;=INDEX(Abilities!$A$33:$A$34,2),INDEX(Abilities!$D$33:$D$34,2)/INDEX(Abilities!$E$33:$E$34,2),0)</f>
        <v/>
      </c>
      <c r="AF10" s="16">
        <f>CHOOSE(Inputs!$C$13,1,INDEX(Abilities!$J$33:$J$34,1),INDEX(Abilities!$I$33:$I$34,1))</f>
        <v/>
      </c>
      <c r="AG10" s="16">
        <f>CHOOSE(Inputs!$C$13,1,INDEX(Abilities!$J$33:$J$34,2),INDEX(Abilities!$I$33:$I$34,2))</f>
        <v/>
      </c>
      <c r="AH10" s="16">
        <f>INDEX(Abilities!$C$33:$C$34,2)*AG10*AE10+INDEX(Abilities!$C$33:$C$34,1)*AF10*MIN(AD10,1-AE10)</f>
        <v/>
      </c>
      <c r="AI10" s="9">
        <f>AH10*(I10+G10+A10)*(1+J10)*(1+K10)*Inputs!$C$20</f>
        <v/>
      </c>
      <c r="AJ10" s="9">
        <f>AH10*(I10+W10+G10+A10)*(1+J10)*(1+K10)*Inputs!$C$20</f>
        <v/>
      </c>
      <c r="AK10" s="27">
        <f>(1-Y10)*(T10+AI10)/U10+Y10*(AA10+AJ10)/AB10</f>
        <v/>
      </c>
      <c r="AL10" s="17">
        <f>(AA10+IF(A10&gt;=INDEX(Abilities!$A$33:$A$34,2),INDEX(Abilities!$C$33:$C$34,2)*AG10,IF(A10&gt;=INDEX(Abilities!$A$33:$A$34,1),INDEX(Abilities!$C$33:$C$34,1)*AF10,0))*(I10+W10+G10+A10)*(1+J10)*(1+K10)*Inputs!$C$20)/AB10</f>
        <v/>
      </c>
      <c r="AM10" s="28">
        <f>IFERROR(((1-Y10)*AI10/U10+Y10*AJ10/AB10)/AK10,0)</f>
        <v/>
      </c>
      <c r="AN10" s="8">
        <f>IFERROR(ROUNDUP(C10/T10,0),"-")</f>
        <v/>
      </c>
      <c r="AO10" s="60">
        <f>IFERROR(C10/AK10,"-")</f>
        <v/>
      </c>
      <c r="AP10" s="9">
        <f>MAX(0,(E10+(B10-A10))*(1-R10)*(1-Q10*'Class Table'!$O$6/Inputs!$C$19)-Q10*'Class Table'!$O$6/25)</f>
        <v/>
      </c>
      <c r="AQ10" s="26">
        <f>IFERROR(AP10/F10*AO10,"-")</f>
        <v/>
      </c>
      <c r="AR10" s="28">
        <f>IFERROR(AQ10/O10,"-")</f>
        <v/>
      </c>
      <c r="AS10" s="9">
        <f>IFERROR(O10*Inputs!$C$24/Inputs!$C$22*AO10,"-")</f>
        <v/>
      </c>
      <c r="AT10" s="28">
        <f>IFERROR(MAX(0,AQ10-AS10)/O10,"-")</f>
        <v/>
      </c>
    </row>
    <row r="11">
      <c r="A11" s="8" t="n">
        <v>8</v>
      </c>
      <c r="B11" s="14">
        <f>'Mob by Level'!B11</f>
        <v/>
      </c>
      <c r="C11" s="9">
        <f>'Mob by Level'!C11</f>
        <v/>
      </c>
      <c r="D11" s="9">
        <f>'Mob by Level'!D11</f>
        <v/>
      </c>
      <c r="E11" s="9">
        <f>'Mob by Level'!E11</f>
        <v/>
      </c>
      <c r="F11" s="16">
        <f>'Mob by Level'!F11</f>
        <v/>
      </c>
      <c r="G11" s="14">
        <f>SUMIFS(Gear!$D$4:$D$603,Gear!$A$4:$A$603,A11,Gear!$B$4:$B$603,"Warrior",Gear!$C$4:$C$603,Inputs!$C$5)</f>
        <v/>
      </c>
      <c r="H11" s="14">
        <f>SUMIFS(Gear!$E$4:$E$603,Gear!$A$4:$A$603,A11,Gear!$B$4:$B$603,"Warrior",Gear!$C$4:$C$603,Inputs!$C$5)</f>
        <v/>
      </c>
      <c r="I11" s="14">
        <f>SUMIFS(Gear!$F$4:$F$603,Gear!$A$4:$A$603,A11,Gear!$B$4:$B$603,"Warrior",Gear!$C$4:$C$603,Inputs!$C$5)+Inputs!$C$17*IFERROR(LOOKUP(A11,Abilities!$A$49:$A$53,Abilities!$C$49:$C$53),0)</f>
        <v/>
      </c>
      <c r="J11" s="13">
        <f>SUMIFS(Gear!$J$4:$J$603,Gear!$A$4:$A$603,A11,Gear!$B$4:$B$603,"Warrior",Gear!$C$4:$C$603,Inputs!$C$5)</f>
        <v/>
      </c>
      <c r="K11" s="13">
        <f>SUMIFS(Gear!$K$4:$K$603,Gear!$A$4:$A$603,A11,Gear!$B$4:$B$603,"Warrior",Gear!$C$4:$C$603,Inputs!$C$5)</f>
        <v/>
      </c>
      <c r="L11" s="13">
        <f>SUMIFS(Gear!$L$4:$L$603,Gear!$A$4:$A$603,A11,Gear!$B$4:$B$603,"Warrior",Gear!$C$4:$C$603,Inputs!$C$5)</f>
        <v/>
      </c>
      <c r="M11" s="13">
        <f>SUMIFS(Gear!$M$4:$M$603,Gear!$A$4:$A$603,A11,Gear!$B$4:$B$603,"Warrior",Gear!$C$4:$C$603,Inputs!$C$5)</f>
        <v/>
      </c>
      <c r="N11" s="13">
        <f>SUMIFS(Gear!$N$4:$N$603,Gear!$A$4:$A$603,A11,Gear!$B$4:$B$603,"Warrior",Gear!$C$4:$C$603,Inputs!$C$5)</f>
        <v/>
      </c>
      <c r="O11" s="9">
        <f>INDEX('Class Table'!$E$4:$E$53,A11)+SUMIFS(Gear!$G$4:$G$603,Gear!$A$4:$A$603,A11,Gear!$B$4:$B$603,"Warrior",Gear!$C$4:$C$603,Inputs!$C$5)</f>
        <v/>
      </c>
      <c r="P11" s="9">
        <f>INDEX('Class Table'!$F$4:$F$53,A11)+SUMIFS(Gear!$H$4:$H$603,Gear!$A$4:$A$603,A11,Gear!$B$4:$B$603,"Warrior",Gear!$C$4:$C$603,Inputs!$C$5)</f>
        <v/>
      </c>
      <c r="Q11" s="9">
        <f>INDEX('Class Table'!$G$4:$G$53,A11)+SUMIFS(Gear!$I$4:$I$603,Gear!$A$4:$A$603,A11,Gear!$B$4:$B$603,"Warrior",Gear!$C$4:$C$603,Inputs!$C$5)</f>
        <v/>
      </c>
      <c r="R11" s="13">
        <f>SUMIFS(Gear!$O$4:$O$603,Gear!$A$4:$A$603,A11,Gear!$B$4:$B$603,"Warrior",Gear!$C$4:$C$603,Inputs!$C$5)</f>
        <v/>
      </c>
      <c r="S11" s="26">
        <f>I11+0+G11+A11+MAX(1,A11/2)+(A11-B11)</f>
        <v/>
      </c>
      <c r="T11" s="9">
        <f>MAX(0,S11*(1+M11)*(1+L11)*Inputs!$C$20*(1-D11/Inputs!$C$19)-D11/25)</f>
        <v/>
      </c>
      <c r="U11" s="16">
        <f>H11/10*(1-MIN(0.95,N11+0))*Inputs!$C$21</f>
        <v/>
      </c>
      <c r="V11" s="27">
        <f>T11/U11</f>
        <v/>
      </c>
      <c r="W11" s="14">
        <f>IFERROR(LOOKUP(A11,Abilities!$A$27:$A$29,Abilities!$C$27:$C$29),0)</f>
        <v/>
      </c>
      <c r="X11" s="13">
        <f>IFERROR(LOOKUP(A11,Abilities!$A$27:$A$29,Abilities!$D$27:$D$29),0)</f>
        <v/>
      </c>
      <c r="Y11" s="13">
        <f>Inputs!$C$16*IFERROR(LOOKUP(A11,Abilities!$A$27:$A$29,Abilities!$E$27:$E$29),0)/IFERROR(LOOKUP(A11,Abilities!$A$27:$A$29,Abilities!$F$27:$F$29),1)</f>
        <v/>
      </c>
      <c r="Z11" s="26">
        <f>I11+W11+G11+A11+MAX(1,A11/2)+(A11-B11)</f>
        <v/>
      </c>
      <c r="AA11" s="9">
        <f>MAX(0,Z11*(1+M11)*(1+L11)*Inputs!$C$20*(1-D11/Inputs!$C$19)-D11/25)</f>
        <v/>
      </c>
      <c r="AB11" s="16">
        <f>H11/10*(1-MIN(0.95,N11+X11))*Inputs!$C$21</f>
        <v/>
      </c>
      <c r="AC11" s="27">
        <f>AA11/AB11</f>
        <v/>
      </c>
      <c r="AD11" s="13">
        <f>Inputs!$C$16*IF(A11&gt;=INDEX(Abilities!$A$33:$A$34,1),INDEX(Abilities!$D$33:$D$34,1)/INDEX(Abilities!$E$33:$E$34,1),0)</f>
        <v/>
      </c>
      <c r="AE11" s="13">
        <f>Inputs!$C$16*IF(A11&gt;=INDEX(Abilities!$A$33:$A$34,2),INDEX(Abilities!$D$33:$D$34,2)/INDEX(Abilities!$E$33:$E$34,2),0)</f>
        <v/>
      </c>
      <c r="AF11" s="16">
        <f>CHOOSE(Inputs!$C$13,1,INDEX(Abilities!$J$33:$J$34,1),INDEX(Abilities!$I$33:$I$34,1))</f>
        <v/>
      </c>
      <c r="AG11" s="16">
        <f>CHOOSE(Inputs!$C$13,1,INDEX(Abilities!$J$33:$J$34,2),INDEX(Abilities!$I$33:$I$34,2))</f>
        <v/>
      </c>
      <c r="AH11" s="16">
        <f>INDEX(Abilities!$C$33:$C$34,2)*AG11*AE11+INDEX(Abilities!$C$33:$C$34,1)*AF11*MIN(AD11,1-AE11)</f>
        <v/>
      </c>
      <c r="AI11" s="9">
        <f>AH11*(I11+G11+A11)*(1+J11)*(1+K11)*Inputs!$C$20</f>
        <v/>
      </c>
      <c r="AJ11" s="9">
        <f>AH11*(I11+W11+G11+A11)*(1+J11)*(1+K11)*Inputs!$C$20</f>
        <v/>
      </c>
      <c r="AK11" s="27">
        <f>(1-Y11)*(T11+AI11)/U11+Y11*(AA11+AJ11)/AB11</f>
        <v/>
      </c>
      <c r="AL11" s="17">
        <f>(AA11+IF(A11&gt;=INDEX(Abilities!$A$33:$A$34,2),INDEX(Abilities!$C$33:$C$34,2)*AG11,IF(A11&gt;=INDEX(Abilities!$A$33:$A$34,1),INDEX(Abilities!$C$33:$C$34,1)*AF11,0))*(I11+W11+G11+A11)*(1+J11)*(1+K11)*Inputs!$C$20)/AB11</f>
        <v/>
      </c>
      <c r="AM11" s="28">
        <f>IFERROR(((1-Y11)*AI11/U11+Y11*AJ11/AB11)/AK11,0)</f>
        <v/>
      </c>
      <c r="AN11" s="8">
        <f>IFERROR(ROUNDUP(C11/T11,0),"-")</f>
        <v/>
      </c>
      <c r="AO11" s="60">
        <f>IFERROR(C11/AK11,"-")</f>
        <v/>
      </c>
      <c r="AP11" s="9">
        <f>MAX(0,(E11+(B11-A11))*(1-R11)*(1-Q11*'Class Table'!$O$6/Inputs!$C$19)-Q11*'Class Table'!$O$6/25)</f>
        <v/>
      </c>
      <c r="AQ11" s="26">
        <f>IFERROR(AP11/F11*AO11,"-")</f>
        <v/>
      </c>
      <c r="AR11" s="28">
        <f>IFERROR(AQ11/O11,"-")</f>
        <v/>
      </c>
      <c r="AS11" s="9">
        <f>IFERROR(O11*Inputs!$C$24/Inputs!$C$22*AO11,"-")</f>
        <v/>
      </c>
      <c r="AT11" s="28">
        <f>IFERROR(MAX(0,AQ11-AS11)/O11,"-")</f>
        <v/>
      </c>
    </row>
    <row r="12">
      <c r="A12" s="8" t="n">
        <v>9</v>
      </c>
      <c r="B12" s="14">
        <f>'Mob by Level'!B12</f>
        <v/>
      </c>
      <c r="C12" s="9">
        <f>'Mob by Level'!C12</f>
        <v/>
      </c>
      <c r="D12" s="9">
        <f>'Mob by Level'!D12</f>
        <v/>
      </c>
      <c r="E12" s="9">
        <f>'Mob by Level'!E12</f>
        <v/>
      </c>
      <c r="F12" s="16">
        <f>'Mob by Level'!F12</f>
        <v/>
      </c>
      <c r="G12" s="14">
        <f>SUMIFS(Gear!$D$4:$D$603,Gear!$A$4:$A$603,A12,Gear!$B$4:$B$603,"Warrior",Gear!$C$4:$C$603,Inputs!$C$5)</f>
        <v/>
      </c>
      <c r="H12" s="14">
        <f>SUMIFS(Gear!$E$4:$E$603,Gear!$A$4:$A$603,A12,Gear!$B$4:$B$603,"Warrior",Gear!$C$4:$C$603,Inputs!$C$5)</f>
        <v/>
      </c>
      <c r="I12" s="14">
        <f>SUMIFS(Gear!$F$4:$F$603,Gear!$A$4:$A$603,A12,Gear!$B$4:$B$603,"Warrior",Gear!$C$4:$C$603,Inputs!$C$5)+Inputs!$C$17*IFERROR(LOOKUP(A12,Abilities!$A$49:$A$53,Abilities!$C$49:$C$53),0)</f>
        <v/>
      </c>
      <c r="J12" s="13">
        <f>SUMIFS(Gear!$J$4:$J$603,Gear!$A$4:$A$603,A12,Gear!$B$4:$B$603,"Warrior",Gear!$C$4:$C$603,Inputs!$C$5)</f>
        <v/>
      </c>
      <c r="K12" s="13">
        <f>SUMIFS(Gear!$K$4:$K$603,Gear!$A$4:$A$603,A12,Gear!$B$4:$B$603,"Warrior",Gear!$C$4:$C$603,Inputs!$C$5)</f>
        <v/>
      </c>
      <c r="L12" s="13">
        <f>SUMIFS(Gear!$L$4:$L$603,Gear!$A$4:$A$603,A12,Gear!$B$4:$B$603,"Warrior",Gear!$C$4:$C$603,Inputs!$C$5)</f>
        <v/>
      </c>
      <c r="M12" s="13">
        <f>SUMIFS(Gear!$M$4:$M$603,Gear!$A$4:$A$603,A12,Gear!$B$4:$B$603,"Warrior",Gear!$C$4:$C$603,Inputs!$C$5)</f>
        <v/>
      </c>
      <c r="N12" s="13">
        <f>SUMIFS(Gear!$N$4:$N$603,Gear!$A$4:$A$603,A12,Gear!$B$4:$B$603,"Warrior",Gear!$C$4:$C$603,Inputs!$C$5)</f>
        <v/>
      </c>
      <c r="O12" s="9">
        <f>INDEX('Class Table'!$E$4:$E$53,A12)+SUMIFS(Gear!$G$4:$G$603,Gear!$A$4:$A$603,A12,Gear!$B$4:$B$603,"Warrior",Gear!$C$4:$C$603,Inputs!$C$5)</f>
        <v/>
      </c>
      <c r="P12" s="9">
        <f>INDEX('Class Table'!$F$4:$F$53,A12)+SUMIFS(Gear!$H$4:$H$603,Gear!$A$4:$A$603,A12,Gear!$B$4:$B$603,"Warrior",Gear!$C$4:$C$603,Inputs!$C$5)</f>
        <v/>
      </c>
      <c r="Q12" s="9">
        <f>INDEX('Class Table'!$G$4:$G$53,A12)+SUMIFS(Gear!$I$4:$I$603,Gear!$A$4:$A$603,A12,Gear!$B$4:$B$603,"Warrior",Gear!$C$4:$C$603,Inputs!$C$5)</f>
        <v/>
      </c>
      <c r="R12" s="13">
        <f>SUMIFS(Gear!$O$4:$O$603,Gear!$A$4:$A$603,A12,Gear!$B$4:$B$603,"Warrior",Gear!$C$4:$C$603,Inputs!$C$5)</f>
        <v/>
      </c>
      <c r="S12" s="26">
        <f>I12+0+G12+A12+MAX(1,A12/2)+(A12-B12)</f>
        <v/>
      </c>
      <c r="T12" s="9">
        <f>MAX(0,S12*(1+M12)*(1+L12)*Inputs!$C$20*(1-D12/Inputs!$C$19)-D12/25)</f>
        <v/>
      </c>
      <c r="U12" s="16">
        <f>H12/10*(1-MIN(0.95,N12+0))*Inputs!$C$21</f>
        <v/>
      </c>
      <c r="V12" s="27">
        <f>T12/U12</f>
        <v/>
      </c>
      <c r="W12" s="14">
        <f>IFERROR(LOOKUP(A12,Abilities!$A$27:$A$29,Abilities!$C$27:$C$29),0)</f>
        <v/>
      </c>
      <c r="X12" s="13">
        <f>IFERROR(LOOKUP(A12,Abilities!$A$27:$A$29,Abilities!$D$27:$D$29),0)</f>
        <v/>
      </c>
      <c r="Y12" s="13">
        <f>Inputs!$C$16*IFERROR(LOOKUP(A12,Abilities!$A$27:$A$29,Abilities!$E$27:$E$29),0)/IFERROR(LOOKUP(A12,Abilities!$A$27:$A$29,Abilities!$F$27:$F$29),1)</f>
        <v/>
      </c>
      <c r="Z12" s="26">
        <f>I12+W12+G12+A12+MAX(1,A12/2)+(A12-B12)</f>
        <v/>
      </c>
      <c r="AA12" s="9">
        <f>MAX(0,Z12*(1+M12)*(1+L12)*Inputs!$C$20*(1-D12/Inputs!$C$19)-D12/25)</f>
        <v/>
      </c>
      <c r="AB12" s="16">
        <f>H12/10*(1-MIN(0.95,N12+X12))*Inputs!$C$21</f>
        <v/>
      </c>
      <c r="AC12" s="27">
        <f>AA12/AB12</f>
        <v/>
      </c>
      <c r="AD12" s="13">
        <f>Inputs!$C$16*IF(A12&gt;=INDEX(Abilities!$A$33:$A$34,1),INDEX(Abilities!$D$33:$D$34,1)/INDEX(Abilities!$E$33:$E$34,1),0)</f>
        <v/>
      </c>
      <c r="AE12" s="13">
        <f>Inputs!$C$16*IF(A12&gt;=INDEX(Abilities!$A$33:$A$34,2),INDEX(Abilities!$D$33:$D$34,2)/INDEX(Abilities!$E$33:$E$34,2),0)</f>
        <v/>
      </c>
      <c r="AF12" s="16">
        <f>CHOOSE(Inputs!$C$13,1,INDEX(Abilities!$J$33:$J$34,1),INDEX(Abilities!$I$33:$I$34,1))</f>
        <v/>
      </c>
      <c r="AG12" s="16">
        <f>CHOOSE(Inputs!$C$13,1,INDEX(Abilities!$J$33:$J$34,2),INDEX(Abilities!$I$33:$I$34,2))</f>
        <v/>
      </c>
      <c r="AH12" s="16">
        <f>INDEX(Abilities!$C$33:$C$34,2)*AG12*AE12+INDEX(Abilities!$C$33:$C$34,1)*AF12*MIN(AD12,1-AE12)</f>
        <v/>
      </c>
      <c r="AI12" s="9">
        <f>AH12*(I12+G12+A12)*(1+J12)*(1+K12)*Inputs!$C$20</f>
        <v/>
      </c>
      <c r="AJ12" s="9">
        <f>AH12*(I12+W12+G12+A12)*(1+J12)*(1+K12)*Inputs!$C$20</f>
        <v/>
      </c>
      <c r="AK12" s="27">
        <f>(1-Y12)*(T12+AI12)/U12+Y12*(AA12+AJ12)/AB12</f>
        <v/>
      </c>
      <c r="AL12" s="17">
        <f>(AA12+IF(A12&gt;=INDEX(Abilities!$A$33:$A$34,2),INDEX(Abilities!$C$33:$C$34,2)*AG12,IF(A12&gt;=INDEX(Abilities!$A$33:$A$34,1),INDEX(Abilities!$C$33:$C$34,1)*AF12,0))*(I12+W12+G12+A12)*(1+J12)*(1+K12)*Inputs!$C$20)/AB12</f>
        <v/>
      </c>
      <c r="AM12" s="28">
        <f>IFERROR(((1-Y12)*AI12/U12+Y12*AJ12/AB12)/AK12,0)</f>
        <v/>
      </c>
      <c r="AN12" s="8">
        <f>IFERROR(ROUNDUP(C12/T12,0),"-")</f>
        <v/>
      </c>
      <c r="AO12" s="60">
        <f>IFERROR(C12/AK12,"-")</f>
        <v/>
      </c>
      <c r="AP12" s="9">
        <f>MAX(0,(E12+(B12-A12))*(1-R12)*(1-Q12*'Class Table'!$O$6/Inputs!$C$19)-Q12*'Class Table'!$O$6/25)</f>
        <v/>
      </c>
      <c r="AQ12" s="26">
        <f>IFERROR(AP12/F12*AO12,"-")</f>
        <v/>
      </c>
      <c r="AR12" s="28">
        <f>IFERROR(AQ12/O12,"-")</f>
        <v/>
      </c>
      <c r="AS12" s="9">
        <f>IFERROR(O12*Inputs!$C$24/Inputs!$C$22*AO12,"-")</f>
        <v/>
      </c>
      <c r="AT12" s="28">
        <f>IFERROR(MAX(0,AQ12-AS12)/O12,"-")</f>
        <v/>
      </c>
    </row>
    <row r="13">
      <c r="A13" s="8" t="n">
        <v>10</v>
      </c>
      <c r="B13" s="14">
        <f>'Mob by Level'!B13</f>
        <v/>
      </c>
      <c r="C13" s="9">
        <f>'Mob by Level'!C13</f>
        <v/>
      </c>
      <c r="D13" s="9">
        <f>'Mob by Level'!D13</f>
        <v/>
      </c>
      <c r="E13" s="9">
        <f>'Mob by Level'!E13</f>
        <v/>
      </c>
      <c r="F13" s="16">
        <f>'Mob by Level'!F13</f>
        <v/>
      </c>
      <c r="G13" s="14">
        <f>SUMIFS(Gear!$D$4:$D$603,Gear!$A$4:$A$603,A13,Gear!$B$4:$B$603,"Warrior",Gear!$C$4:$C$603,Inputs!$C$5)</f>
        <v/>
      </c>
      <c r="H13" s="14">
        <f>SUMIFS(Gear!$E$4:$E$603,Gear!$A$4:$A$603,A13,Gear!$B$4:$B$603,"Warrior",Gear!$C$4:$C$603,Inputs!$C$5)</f>
        <v/>
      </c>
      <c r="I13" s="14">
        <f>SUMIFS(Gear!$F$4:$F$603,Gear!$A$4:$A$603,A13,Gear!$B$4:$B$603,"Warrior",Gear!$C$4:$C$603,Inputs!$C$5)+Inputs!$C$17*IFERROR(LOOKUP(A13,Abilities!$A$49:$A$53,Abilities!$C$49:$C$53),0)</f>
        <v/>
      </c>
      <c r="J13" s="13">
        <f>SUMIFS(Gear!$J$4:$J$603,Gear!$A$4:$A$603,A13,Gear!$B$4:$B$603,"Warrior",Gear!$C$4:$C$603,Inputs!$C$5)</f>
        <v/>
      </c>
      <c r="K13" s="13">
        <f>SUMIFS(Gear!$K$4:$K$603,Gear!$A$4:$A$603,A13,Gear!$B$4:$B$603,"Warrior",Gear!$C$4:$C$603,Inputs!$C$5)</f>
        <v/>
      </c>
      <c r="L13" s="13">
        <f>SUMIFS(Gear!$L$4:$L$603,Gear!$A$4:$A$603,A13,Gear!$B$4:$B$603,"Warrior",Gear!$C$4:$C$603,Inputs!$C$5)</f>
        <v/>
      </c>
      <c r="M13" s="13">
        <f>SUMIFS(Gear!$M$4:$M$603,Gear!$A$4:$A$603,A13,Gear!$B$4:$B$603,"Warrior",Gear!$C$4:$C$603,Inputs!$C$5)</f>
        <v/>
      </c>
      <c r="N13" s="13">
        <f>SUMIFS(Gear!$N$4:$N$603,Gear!$A$4:$A$603,A13,Gear!$B$4:$B$603,"Warrior",Gear!$C$4:$C$603,Inputs!$C$5)</f>
        <v/>
      </c>
      <c r="O13" s="9">
        <f>INDEX('Class Table'!$E$4:$E$53,A13)+SUMIFS(Gear!$G$4:$G$603,Gear!$A$4:$A$603,A13,Gear!$B$4:$B$603,"Warrior",Gear!$C$4:$C$603,Inputs!$C$5)</f>
        <v/>
      </c>
      <c r="P13" s="9">
        <f>INDEX('Class Table'!$F$4:$F$53,A13)+SUMIFS(Gear!$H$4:$H$603,Gear!$A$4:$A$603,A13,Gear!$B$4:$B$603,"Warrior",Gear!$C$4:$C$603,Inputs!$C$5)</f>
        <v/>
      </c>
      <c r="Q13" s="9">
        <f>INDEX('Class Table'!$G$4:$G$53,A13)+SUMIFS(Gear!$I$4:$I$603,Gear!$A$4:$A$603,A13,Gear!$B$4:$B$603,"Warrior",Gear!$C$4:$C$603,Inputs!$C$5)</f>
        <v/>
      </c>
      <c r="R13" s="13">
        <f>SUMIFS(Gear!$O$4:$O$603,Gear!$A$4:$A$603,A13,Gear!$B$4:$B$603,"Warrior",Gear!$C$4:$C$603,Inputs!$C$5)</f>
        <v/>
      </c>
      <c r="S13" s="26">
        <f>I13+0+G13+A13+MAX(1,A13/2)+(A13-B13)</f>
        <v/>
      </c>
      <c r="T13" s="9">
        <f>MAX(0,S13*(1+M13)*(1+L13)*Inputs!$C$20*(1-D13/Inputs!$C$19)-D13/25)</f>
        <v/>
      </c>
      <c r="U13" s="16">
        <f>H13/10*(1-MIN(0.95,N13+0))*Inputs!$C$21</f>
        <v/>
      </c>
      <c r="V13" s="27">
        <f>T13/U13</f>
        <v/>
      </c>
      <c r="W13" s="14">
        <f>IFERROR(LOOKUP(A13,Abilities!$A$27:$A$29,Abilities!$C$27:$C$29),0)</f>
        <v/>
      </c>
      <c r="X13" s="13">
        <f>IFERROR(LOOKUP(A13,Abilities!$A$27:$A$29,Abilities!$D$27:$D$29),0)</f>
        <v/>
      </c>
      <c r="Y13" s="13">
        <f>Inputs!$C$16*IFERROR(LOOKUP(A13,Abilities!$A$27:$A$29,Abilities!$E$27:$E$29),0)/IFERROR(LOOKUP(A13,Abilities!$A$27:$A$29,Abilities!$F$27:$F$29),1)</f>
        <v/>
      </c>
      <c r="Z13" s="26">
        <f>I13+W13+G13+A13+MAX(1,A13/2)+(A13-B13)</f>
        <v/>
      </c>
      <c r="AA13" s="9">
        <f>MAX(0,Z13*(1+M13)*(1+L13)*Inputs!$C$20*(1-D13/Inputs!$C$19)-D13/25)</f>
        <v/>
      </c>
      <c r="AB13" s="16">
        <f>H13/10*(1-MIN(0.95,N13+X13))*Inputs!$C$21</f>
        <v/>
      </c>
      <c r="AC13" s="27">
        <f>AA13/AB13</f>
        <v/>
      </c>
      <c r="AD13" s="13">
        <f>Inputs!$C$16*IF(A13&gt;=INDEX(Abilities!$A$33:$A$34,1),INDEX(Abilities!$D$33:$D$34,1)/INDEX(Abilities!$E$33:$E$34,1),0)</f>
        <v/>
      </c>
      <c r="AE13" s="13">
        <f>Inputs!$C$16*IF(A13&gt;=INDEX(Abilities!$A$33:$A$34,2),INDEX(Abilities!$D$33:$D$34,2)/INDEX(Abilities!$E$33:$E$34,2),0)</f>
        <v/>
      </c>
      <c r="AF13" s="16">
        <f>CHOOSE(Inputs!$C$13,1,INDEX(Abilities!$J$33:$J$34,1),INDEX(Abilities!$I$33:$I$34,1))</f>
        <v/>
      </c>
      <c r="AG13" s="16">
        <f>CHOOSE(Inputs!$C$13,1,INDEX(Abilities!$J$33:$J$34,2),INDEX(Abilities!$I$33:$I$34,2))</f>
        <v/>
      </c>
      <c r="AH13" s="16">
        <f>INDEX(Abilities!$C$33:$C$34,2)*AG13*AE13+INDEX(Abilities!$C$33:$C$34,1)*AF13*MIN(AD13,1-AE13)</f>
        <v/>
      </c>
      <c r="AI13" s="9">
        <f>AH13*(I13+G13+A13)*(1+J13)*(1+K13)*Inputs!$C$20</f>
        <v/>
      </c>
      <c r="AJ13" s="9">
        <f>AH13*(I13+W13+G13+A13)*(1+J13)*(1+K13)*Inputs!$C$20</f>
        <v/>
      </c>
      <c r="AK13" s="27">
        <f>(1-Y13)*(T13+AI13)/U13+Y13*(AA13+AJ13)/AB13</f>
        <v/>
      </c>
      <c r="AL13" s="17">
        <f>(AA13+IF(A13&gt;=INDEX(Abilities!$A$33:$A$34,2),INDEX(Abilities!$C$33:$C$34,2)*AG13,IF(A13&gt;=INDEX(Abilities!$A$33:$A$34,1),INDEX(Abilities!$C$33:$C$34,1)*AF13,0))*(I13+W13+G13+A13)*(1+J13)*(1+K13)*Inputs!$C$20)/AB13</f>
        <v/>
      </c>
      <c r="AM13" s="28">
        <f>IFERROR(((1-Y13)*AI13/U13+Y13*AJ13/AB13)/AK13,0)</f>
        <v/>
      </c>
      <c r="AN13" s="8">
        <f>IFERROR(ROUNDUP(C13/T13,0),"-")</f>
        <v/>
      </c>
      <c r="AO13" s="60">
        <f>IFERROR(C13/AK13,"-")</f>
        <v/>
      </c>
      <c r="AP13" s="9">
        <f>MAX(0,(E13+(B13-A13))*(1-R13)*(1-Q13*'Class Table'!$O$6/Inputs!$C$19)-Q13*'Class Table'!$O$6/25)</f>
        <v/>
      </c>
      <c r="AQ13" s="26">
        <f>IFERROR(AP13/F13*AO13,"-")</f>
        <v/>
      </c>
      <c r="AR13" s="28">
        <f>IFERROR(AQ13/O13,"-")</f>
        <v/>
      </c>
      <c r="AS13" s="9">
        <f>IFERROR(O13*Inputs!$C$24/Inputs!$C$22*AO13,"-")</f>
        <v/>
      </c>
      <c r="AT13" s="28">
        <f>IFERROR(MAX(0,AQ13-AS13)/O13,"-")</f>
        <v/>
      </c>
    </row>
    <row r="14">
      <c r="A14" s="8" t="n">
        <v>11</v>
      </c>
      <c r="B14" s="14">
        <f>'Mob by Level'!B14</f>
        <v/>
      </c>
      <c r="C14" s="9">
        <f>'Mob by Level'!C14</f>
        <v/>
      </c>
      <c r="D14" s="9">
        <f>'Mob by Level'!D14</f>
        <v/>
      </c>
      <c r="E14" s="9">
        <f>'Mob by Level'!E14</f>
        <v/>
      </c>
      <c r="F14" s="16">
        <f>'Mob by Level'!F14</f>
        <v/>
      </c>
      <c r="G14" s="14">
        <f>SUMIFS(Gear!$D$4:$D$603,Gear!$A$4:$A$603,A14,Gear!$B$4:$B$603,"Warrior",Gear!$C$4:$C$603,Inputs!$C$5)</f>
        <v/>
      </c>
      <c r="H14" s="14">
        <f>SUMIFS(Gear!$E$4:$E$603,Gear!$A$4:$A$603,A14,Gear!$B$4:$B$603,"Warrior",Gear!$C$4:$C$603,Inputs!$C$5)</f>
        <v/>
      </c>
      <c r="I14" s="14">
        <f>SUMIFS(Gear!$F$4:$F$603,Gear!$A$4:$A$603,A14,Gear!$B$4:$B$603,"Warrior",Gear!$C$4:$C$603,Inputs!$C$5)+Inputs!$C$17*IFERROR(LOOKUP(A14,Abilities!$A$49:$A$53,Abilities!$C$49:$C$53),0)</f>
        <v/>
      </c>
      <c r="J14" s="13">
        <f>SUMIFS(Gear!$J$4:$J$603,Gear!$A$4:$A$603,A14,Gear!$B$4:$B$603,"Warrior",Gear!$C$4:$C$603,Inputs!$C$5)</f>
        <v/>
      </c>
      <c r="K14" s="13">
        <f>SUMIFS(Gear!$K$4:$K$603,Gear!$A$4:$A$603,A14,Gear!$B$4:$B$603,"Warrior",Gear!$C$4:$C$603,Inputs!$C$5)</f>
        <v/>
      </c>
      <c r="L14" s="13">
        <f>SUMIFS(Gear!$L$4:$L$603,Gear!$A$4:$A$603,A14,Gear!$B$4:$B$603,"Warrior",Gear!$C$4:$C$603,Inputs!$C$5)</f>
        <v/>
      </c>
      <c r="M14" s="13">
        <f>SUMIFS(Gear!$M$4:$M$603,Gear!$A$4:$A$603,A14,Gear!$B$4:$B$603,"Warrior",Gear!$C$4:$C$603,Inputs!$C$5)</f>
        <v/>
      </c>
      <c r="N14" s="13">
        <f>SUMIFS(Gear!$N$4:$N$603,Gear!$A$4:$A$603,A14,Gear!$B$4:$B$603,"Warrior",Gear!$C$4:$C$603,Inputs!$C$5)</f>
        <v/>
      </c>
      <c r="O14" s="9">
        <f>INDEX('Class Table'!$E$4:$E$53,A14)+SUMIFS(Gear!$G$4:$G$603,Gear!$A$4:$A$603,A14,Gear!$B$4:$B$603,"Warrior",Gear!$C$4:$C$603,Inputs!$C$5)</f>
        <v/>
      </c>
      <c r="P14" s="9">
        <f>INDEX('Class Table'!$F$4:$F$53,A14)+SUMIFS(Gear!$H$4:$H$603,Gear!$A$4:$A$603,A14,Gear!$B$4:$B$603,"Warrior",Gear!$C$4:$C$603,Inputs!$C$5)</f>
        <v/>
      </c>
      <c r="Q14" s="9">
        <f>INDEX('Class Table'!$G$4:$G$53,A14)+SUMIFS(Gear!$I$4:$I$603,Gear!$A$4:$A$603,A14,Gear!$B$4:$B$603,"Warrior",Gear!$C$4:$C$603,Inputs!$C$5)</f>
        <v/>
      </c>
      <c r="R14" s="13">
        <f>SUMIFS(Gear!$O$4:$O$603,Gear!$A$4:$A$603,A14,Gear!$B$4:$B$603,"Warrior",Gear!$C$4:$C$603,Inputs!$C$5)</f>
        <v/>
      </c>
      <c r="S14" s="26">
        <f>I14+0+G14+A14+MAX(1,A14/2)+(A14-B14)</f>
        <v/>
      </c>
      <c r="T14" s="9">
        <f>MAX(0,S14*(1+M14)*(1+L14)*Inputs!$C$20*(1-D14/Inputs!$C$19)-D14/25)</f>
        <v/>
      </c>
      <c r="U14" s="16">
        <f>H14/10*(1-MIN(0.95,N14+0))*Inputs!$C$21</f>
        <v/>
      </c>
      <c r="V14" s="27">
        <f>T14/U14</f>
        <v/>
      </c>
      <c r="W14" s="14">
        <f>IFERROR(LOOKUP(A14,Abilities!$A$27:$A$29,Abilities!$C$27:$C$29),0)</f>
        <v/>
      </c>
      <c r="X14" s="13">
        <f>IFERROR(LOOKUP(A14,Abilities!$A$27:$A$29,Abilities!$D$27:$D$29),0)</f>
        <v/>
      </c>
      <c r="Y14" s="13">
        <f>Inputs!$C$16*IFERROR(LOOKUP(A14,Abilities!$A$27:$A$29,Abilities!$E$27:$E$29),0)/IFERROR(LOOKUP(A14,Abilities!$A$27:$A$29,Abilities!$F$27:$F$29),1)</f>
        <v/>
      </c>
      <c r="Z14" s="26">
        <f>I14+W14+G14+A14+MAX(1,A14/2)+(A14-B14)</f>
        <v/>
      </c>
      <c r="AA14" s="9">
        <f>MAX(0,Z14*(1+M14)*(1+L14)*Inputs!$C$20*(1-D14/Inputs!$C$19)-D14/25)</f>
        <v/>
      </c>
      <c r="AB14" s="16">
        <f>H14/10*(1-MIN(0.95,N14+X14))*Inputs!$C$21</f>
        <v/>
      </c>
      <c r="AC14" s="27">
        <f>AA14/AB14</f>
        <v/>
      </c>
      <c r="AD14" s="13">
        <f>Inputs!$C$16*IF(A14&gt;=INDEX(Abilities!$A$33:$A$34,1),INDEX(Abilities!$D$33:$D$34,1)/INDEX(Abilities!$E$33:$E$34,1),0)</f>
        <v/>
      </c>
      <c r="AE14" s="13">
        <f>Inputs!$C$16*IF(A14&gt;=INDEX(Abilities!$A$33:$A$34,2),INDEX(Abilities!$D$33:$D$34,2)/INDEX(Abilities!$E$33:$E$34,2),0)</f>
        <v/>
      </c>
      <c r="AF14" s="16">
        <f>CHOOSE(Inputs!$C$13,1,INDEX(Abilities!$J$33:$J$34,1),INDEX(Abilities!$I$33:$I$34,1))</f>
        <v/>
      </c>
      <c r="AG14" s="16">
        <f>CHOOSE(Inputs!$C$13,1,INDEX(Abilities!$J$33:$J$34,2),INDEX(Abilities!$I$33:$I$34,2))</f>
        <v/>
      </c>
      <c r="AH14" s="16">
        <f>INDEX(Abilities!$C$33:$C$34,2)*AG14*AE14+INDEX(Abilities!$C$33:$C$34,1)*AF14*MIN(AD14,1-AE14)</f>
        <v/>
      </c>
      <c r="AI14" s="9">
        <f>AH14*(I14+G14+A14)*(1+J14)*(1+K14)*Inputs!$C$20</f>
        <v/>
      </c>
      <c r="AJ14" s="9">
        <f>AH14*(I14+W14+G14+A14)*(1+J14)*(1+K14)*Inputs!$C$20</f>
        <v/>
      </c>
      <c r="AK14" s="27">
        <f>(1-Y14)*(T14+AI14)/U14+Y14*(AA14+AJ14)/AB14</f>
        <v/>
      </c>
      <c r="AL14" s="17">
        <f>(AA14+IF(A14&gt;=INDEX(Abilities!$A$33:$A$34,2),INDEX(Abilities!$C$33:$C$34,2)*AG14,IF(A14&gt;=INDEX(Abilities!$A$33:$A$34,1),INDEX(Abilities!$C$33:$C$34,1)*AF14,0))*(I14+W14+G14+A14)*(1+J14)*(1+K14)*Inputs!$C$20)/AB14</f>
        <v/>
      </c>
      <c r="AM14" s="28">
        <f>IFERROR(((1-Y14)*AI14/U14+Y14*AJ14/AB14)/AK14,0)</f>
        <v/>
      </c>
      <c r="AN14" s="8">
        <f>IFERROR(ROUNDUP(C14/T14,0),"-")</f>
        <v/>
      </c>
      <c r="AO14" s="60">
        <f>IFERROR(C14/AK14,"-")</f>
        <v/>
      </c>
      <c r="AP14" s="9">
        <f>MAX(0,(E14+(B14-A14))*(1-R14)*(1-Q14*'Class Table'!$O$6/Inputs!$C$19)-Q14*'Class Table'!$O$6/25)</f>
        <v/>
      </c>
      <c r="AQ14" s="26">
        <f>IFERROR(AP14/F14*AO14,"-")</f>
        <v/>
      </c>
      <c r="AR14" s="28">
        <f>IFERROR(AQ14/O14,"-")</f>
        <v/>
      </c>
      <c r="AS14" s="9">
        <f>IFERROR(O14*Inputs!$C$24/Inputs!$C$22*AO14,"-")</f>
        <v/>
      </c>
      <c r="AT14" s="28">
        <f>IFERROR(MAX(0,AQ14-AS14)/O14,"-")</f>
        <v/>
      </c>
    </row>
    <row r="15">
      <c r="A15" s="8" t="n">
        <v>12</v>
      </c>
      <c r="B15" s="14">
        <f>'Mob by Level'!B15</f>
        <v/>
      </c>
      <c r="C15" s="9">
        <f>'Mob by Level'!C15</f>
        <v/>
      </c>
      <c r="D15" s="9">
        <f>'Mob by Level'!D15</f>
        <v/>
      </c>
      <c r="E15" s="9">
        <f>'Mob by Level'!E15</f>
        <v/>
      </c>
      <c r="F15" s="16">
        <f>'Mob by Level'!F15</f>
        <v/>
      </c>
      <c r="G15" s="14">
        <f>SUMIFS(Gear!$D$4:$D$603,Gear!$A$4:$A$603,A15,Gear!$B$4:$B$603,"Warrior",Gear!$C$4:$C$603,Inputs!$C$5)</f>
        <v/>
      </c>
      <c r="H15" s="14">
        <f>SUMIFS(Gear!$E$4:$E$603,Gear!$A$4:$A$603,A15,Gear!$B$4:$B$603,"Warrior",Gear!$C$4:$C$603,Inputs!$C$5)</f>
        <v/>
      </c>
      <c r="I15" s="14">
        <f>SUMIFS(Gear!$F$4:$F$603,Gear!$A$4:$A$603,A15,Gear!$B$4:$B$603,"Warrior",Gear!$C$4:$C$603,Inputs!$C$5)+Inputs!$C$17*IFERROR(LOOKUP(A15,Abilities!$A$49:$A$53,Abilities!$C$49:$C$53),0)</f>
        <v/>
      </c>
      <c r="J15" s="13">
        <f>SUMIFS(Gear!$J$4:$J$603,Gear!$A$4:$A$603,A15,Gear!$B$4:$B$603,"Warrior",Gear!$C$4:$C$603,Inputs!$C$5)</f>
        <v/>
      </c>
      <c r="K15" s="13">
        <f>SUMIFS(Gear!$K$4:$K$603,Gear!$A$4:$A$603,A15,Gear!$B$4:$B$603,"Warrior",Gear!$C$4:$C$603,Inputs!$C$5)</f>
        <v/>
      </c>
      <c r="L15" s="13">
        <f>SUMIFS(Gear!$L$4:$L$603,Gear!$A$4:$A$603,A15,Gear!$B$4:$B$603,"Warrior",Gear!$C$4:$C$603,Inputs!$C$5)</f>
        <v/>
      </c>
      <c r="M15" s="13">
        <f>SUMIFS(Gear!$M$4:$M$603,Gear!$A$4:$A$603,A15,Gear!$B$4:$B$603,"Warrior",Gear!$C$4:$C$603,Inputs!$C$5)</f>
        <v/>
      </c>
      <c r="N15" s="13">
        <f>SUMIFS(Gear!$N$4:$N$603,Gear!$A$4:$A$603,A15,Gear!$B$4:$B$603,"Warrior",Gear!$C$4:$C$603,Inputs!$C$5)</f>
        <v/>
      </c>
      <c r="O15" s="9">
        <f>INDEX('Class Table'!$E$4:$E$53,A15)+SUMIFS(Gear!$G$4:$G$603,Gear!$A$4:$A$603,A15,Gear!$B$4:$B$603,"Warrior",Gear!$C$4:$C$603,Inputs!$C$5)</f>
        <v/>
      </c>
      <c r="P15" s="9">
        <f>INDEX('Class Table'!$F$4:$F$53,A15)+SUMIFS(Gear!$H$4:$H$603,Gear!$A$4:$A$603,A15,Gear!$B$4:$B$603,"Warrior",Gear!$C$4:$C$603,Inputs!$C$5)</f>
        <v/>
      </c>
      <c r="Q15" s="9">
        <f>INDEX('Class Table'!$G$4:$G$53,A15)+SUMIFS(Gear!$I$4:$I$603,Gear!$A$4:$A$603,A15,Gear!$B$4:$B$603,"Warrior",Gear!$C$4:$C$603,Inputs!$C$5)</f>
        <v/>
      </c>
      <c r="R15" s="13">
        <f>SUMIFS(Gear!$O$4:$O$603,Gear!$A$4:$A$603,A15,Gear!$B$4:$B$603,"Warrior",Gear!$C$4:$C$603,Inputs!$C$5)</f>
        <v/>
      </c>
      <c r="S15" s="26">
        <f>I15+0+G15+A15+MAX(1,A15/2)+(A15-B15)</f>
        <v/>
      </c>
      <c r="T15" s="9">
        <f>MAX(0,S15*(1+M15)*(1+L15)*Inputs!$C$20*(1-D15/Inputs!$C$19)-D15/25)</f>
        <v/>
      </c>
      <c r="U15" s="16">
        <f>H15/10*(1-MIN(0.95,N15+0))*Inputs!$C$21</f>
        <v/>
      </c>
      <c r="V15" s="27">
        <f>T15/U15</f>
        <v/>
      </c>
      <c r="W15" s="14">
        <f>IFERROR(LOOKUP(A15,Abilities!$A$27:$A$29,Abilities!$C$27:$C$29),0)</f>
        <v/>
      </c>
      <c r="X15" s="13">
        <f>IFERROR(LOOKUP(A15,Abilities!$A$27:$A$29,Abilities!$D$27:$D$29),0)</f>
        <v/>
      </c>
      <c r="Y15" s="13">
        <f>Inputs!$C$16*IFERROR(LOOKUP(A15,Abilities!$A$27:$A$29,Abilities!$E$27:$E$29),0)/IFERROR(LOOKUP(A15,Abilities!$A$27:$A$29,Abilities!$F$27:$F$29),1)</f>
        <v/>
      </c>
      <c r="Z15" s="26">
        <f>I15+W15+G15+A15+MAX(1,A15/2)+(A15-B15)</f>
        <v/>
      </c>
      <c r="AA15" s="9">
        <f>MAX(0,Z15*(1+M15)*(1+L15)*Inputs!$C$20*(1-D15/Inputs!$C$19)-D15/25)</f>
        <v/>
      </c>
      <c r="AB15" s="16">
        <f>H15/10*(1-MIN(0.95,N15+X15))*Inputs!$C$21</f>
        <v/>
      </c>
      <c r="AC15" s="27">
        <f>AA15/AB15</f>
        <v/>
      </c>
      <c r="AD15" s="13">
        <f>Inputs!$C$16*IF(A15&gt;=INDEX(Abilities!$A$33:$A$34,1),INDEX(Abilities!$D$33:$D$34,1)/INDEX(Abilities!$E$33:$E$34,1),0)</f>
        <v/>
      </c>
      <c r="AE15" s="13">
        <f>Inputs!$C$16*IF(A15&gt;=INDEX(Abilities!$A$33:$A$34,2),INDEX(Abilities!$D$33:$D$34,2)/INDEX(Abilities!$E$33:$E$34,2),0)</f>
        <v/>
      </c>
      <c r="AF15" s="16">
        <f>CHOOSE(Inputs!$C$13,1,INDEX(Abilities!$J$33:$J$34,1),INDEX(Abilities!$I$33:$I$34,1))</f>
        <v/>
      </c>
      <c r="AG15" s="16">
        <f>CHOOSE(Inputs!$C$13,1,INDEX(Abilities!$J$33:$J$34,2),INDEX(Abilities!$I$33:$I$34,2))</f>
        <v/>
      </c>
      <c r="AH15" s="16">
        <f>INDEX(Abilities!$C$33:$C$34,2)*AG15*AE15+INDEX(Abilities!$C$33:$C$34,1)*AF15*MIN(AD15,1-AE15)</f>
        <v/>
      </c>
      <c r="AI15" s="9">
        <f>AH15*(I15+G15+A15)*(1+J15)*(1+K15)*Inputs!$C$20</f>
        <v/>
      </c>
      <c r="AJ15" s="9">
        <f>AH15*(I15+W15+G15+A15)*(1+J15)*(1+K15)*Inputs!$C$20</f>
        <v/>
      </c>
      <c r="AK15" s="27">
        <f>(1-Y15)*(T15+AI15)/U15+Y15*(AA15+AJ15)/AB15</f>
        <v/>
      </c>
      <c r="AL15" s="17">
        <f>(AA15+IF(A15&gt;=INDEX(Abilities!$A$33:$A$34,2),INDEX(Abilities!$C$33:$C$34,2)*AG15,IF(A15&gt;=INDEX(Abilities!$A$33:$A$34,1),INDEX(Abilities!$C$33:$C$34,1)*AF15,0))*(I15+W15+G15+A15)*(1+J15)*(1+K15)*Inputs!$C$20)/AB15</f>
        <v/>
      </c>
      <c r="AM15" s="28">
        <f>IFERROR(((1-Y15)*AI15/U15+Y15*AJ15/AB15)/AK15,0)</f>
        <v/>
      </c>
      <c r="AN15" s="8">
        <f>IFERROR(ROUNDUP(C15/T15,0),"-")</f>
        <v/>
      </c>
      <c r="AO15" s="60">
        <f>IFERROR(C15/AK15,"-")</f>
        <v/>
      </c>
      <c r="AP15" s="9">
        <f>MAX(0,(E15+(B15-A15))*(1-R15)*(1-Q15*'Class Table'!$O$6/Inputs!$C$19)-Q15*'Class Table'!$O$6/25)</f>
        <v/>
      </c>
      <c r="AQ15" s="26">
        <f>IFERROR(AP15/F15*AO15,"-")</f>
        <v/>
      </c>
      <c r="AR15" s="28">
        <f>IFERROR(AQ15/O15,"-")</f>
        <v/>
      </c>
      <c r="AS15" s="9">
        <f>IFERROR(O15*Inputs!$C$24/Inputs!$C$22*AO15,"-")</f>
        <v/>
      </c>
      <c r="AT15" s="28">
        <f>IFERROR(MAX(0,AQ15-AS15)/O15,"-")</f>
        <v/>
      </c>
    </row>
    <row r="16">
      <c r="A16" s="8" t="n">
        <v>13</v>
      </c>
      <c r="B16" s="14">
        <f>'Mob by Level'!B16</f>
        <v/>
      </c>
      <c r="C16" s="9">
        <f>'Mob by Level'!C16</f>
        <v/>
      </c>
      <c r="D16" s="9">
        <f>'Mob by Level'!D16</f>
        <v/>
      </c>
      <c r="E16" s="9">
        <f>'Mob by Level'!E16</f>
        <v/>
      </c>
      <c r="F16" s="16">
        <f>'Mob by Level'!F16</f>
        <v/>
      </c>
      <c r="G16" s="14">
        <f>SUMIFS(Gear!$D$4:$D$603,Gear!$A$4:$A$603,A16,Gear!$B$4:$B$603,"Warrior",Gear!$C$4:$C$603,Inputs!$C$5)</f>
        <v/>
      </c>
      <c r="H16" s="14">
        <f>SUMIFS(Gear!$E$4:$E$603,Gear!$A$4:$A$603,A16,Gear!$B$4:$B$603,"Warrior",Gear!$C$4:$C$603,Inputs!$C$5)</f>
        <v/>
      </c>
      <c r="I16" s="14">
        <f>SUMIFS(Gear!$F$4:$F$603,Gear!$A$4:$A$603,A16,Gear!$B$4:$B$603,"Warrior",Gear!$C$4:$C$603,Inputs!$C$5)+Inputs!$C$17*IFERROR(LOOKUP(A16,Abilities!$A$49:$A$53,Abilities!$C$49:$C$53),0)</f>
        <v/>
      </c>
      <c r="J16" s="13">
        <f>SUMIFS(Gear!$J$4:$J$603,Gear!$A$4:$A$603,A16,Gear!$B$4:$B$603,"Warrior",Gear!$C$4:$C$603,Inputs!$C$5)</f>
        <v/>
      </c>
      <c r="K16" s="13">
        <f>SUMIFS(Gear!$K$4:$K$603,Gear!$A$4:$A$603,A16,Gear!$B$4:$B$603,"Warrior",Gear!$C$4:$C$603,Inputs!$C$5)</f>
        <v/>
      </c>
      <c r="L16" s="13">
        <f>SUMIFS(Gear!$L$4:$L$603,Gear!$A$4:$A$603,A16,Gear!$B$4:$B$603,"Warrior",Gear!$C$4:$C$603,Inputs!$C$5)</f>
        <v/>
      </c>
      <c r="M16" s="13">
        <f>SUMIFS(Gear!$M$4:$M$603,Gear!$A$4:$A$603,A16,Gear!$B$4:$B$603,"Warrior",Gear!$C$4:$C$603,Inputs!$C$5)</f>
        <v/>
      </c>
      <c r="N16" s="13">
        <f>SUMIFS(Gear!$N$4:$N$603,Gear!$A$4:$A$603,A16,Gear!$B$4:$B$603,"Warrior",Gear!$C$4:$C$603,Inputs!$C$5)</f>
        <v/>
      </c>
      <c r="O16" s="9">
        <f>INDEX('Class Table'!$E$4:$E$53,A16)+SUMIFS(Gear!$G$4:$G$603,Gear!$A$4:$A$603,A16,Gear!$B$4:$B$603,"Warrior",Gear!$C$4:$C$603,Inputs!$C$5)</f>
        <v/>
      </c>
      <c r="P16" s="9">
        <f>INDEX('Class Table'!$F$4:$F$53,A16)+SUMIFS(Gear!$H$4:$H$603,Gear!$A$4:$A$603,A16,Gear!$B$4:$B$603,"Warrior",Gear!$C$4:$C$603,Inputs!$C$5)</f>
        <v/>
      </c>
      <c r="Q16" s="9">
        <f>INDEX('Class Table'!$G$4:$G$53,A16)+SUMIFS(Gear!$I$4:$I$603,Gear!$A$4:$A$603,A16,Gear!$B$4:$B$603,"Warrior",Gear!$C$4:$C$603,Inputs!$C$5)</f>
        <v/>
      </c>
      <c r="R16" s="13">
        <f>SUMIFS(Gear!$O$4:$O$603,Gear!$A$4:$A$603,A16,Gear!$B$4:$B$603,"Warrior",Gear!$C$4:$C$603,Inputs!$C$5)</f>
        <v/>
      </c>
      <c r="S16" s="26">
        <f>I16+0+G16+A16+MAX(1,A16/2)+(A16-B16)</f>
        <v/>
      </c>
      <c r="T16" s="9">
        <f>MAX(0,S16*(1+M16)*(1+L16)*Inputs!$C$20*(1-D16/Inputs!$C$19)-D16/25)</f>
        <v/>
      </c>
      <c r="U16" s="16">
        <f>H16/10*(1-MIN(0.95,N16+0))*Inputs!$C$21</f>
        <v/>
      </c>
      <c r="V16" s="27">
        <f>T16/U16</f>
        <v/>
      </c>
      <c r="W16" s="14">
        <f>IFERROR(LOOKUP(A16,Abilities!$A$27:$A$29,Abilities!$C$27:$C$29),0)</f>
        <v/>
      </c>
      <c r="X16" s="13">
        <f>IFERROR(LOOKUP(A16,Abilities!$A$27:$A$29,Abilities!$D$27:$D$29),0)</f>
        <v/>
      </c>
      <c r="Y16" s="13">
        <f>Inputs!$C$16*IFERROR(LOOKUP(A16,Abilities!$A$27:$A$29,Abilities!$E$27:$E$29),0)/IFERROR(LOOKUP(A16,Abilities!$A$27:$A$29,Abilities!$F$27:$F$29),1)</f>
        <v/>
      </c>
      <c r="Z16" s="26">
        <f>I16+W16+G16+A16+MAX(1,A16/2)+(A16-B16)</f>
        <v/>
      </c>
      <c r="AA16" s="9">
        <f>MAX(0,Z16*(1+M16)*(1+L16)*Inputs!$C$20*(1-D16/Inputs!$C$19)-D16/25)</f>
        <v/>
      </c>
      <c r="AB16" s="16">
        <f>H16/10*(1-MIN(0.95,N16+X16))*Inputs!$C$21</f>
        <v/>
      </c>
      <c r="AC16" s="27">
        <f>AA16/AB16</f>
        <v/>
      </c>
      <c r="AD16" s="13">
        <f>Inputs!$C$16*IF(A16&gt;=INDEX(Abilities!$A$33:$A$34,1),INDEX(Abilities!$D$33:$D$34,1)/INDEX(Abilities!$E$33:$E$34,1),0)</f>
        <v/>
      </c>
      <c r="AE16" s="13">
        <f>Inputs!$C$16*IF(A16&gt;=INDEX(Abilities!$A$33:$A$34,2),INDEX(Abilities!$D$33:$D$34,2)/INDEX(Abilities!$E$33:$E$34,2),0)</f>
        <v/>
      </c>
      <c r="AF16" s="16">
        <f>CHOOSE(Inputs!$C$13,1,INDEX(Abilities!$J$33:$J$34,1),INDEX(Abilities!$I$33:$I$34,1))</f>
        <v/>
      </c>
      <c r="AG16" s="16">
        <f>CHOOSE(Inputs!$C$13,1,INDEX(Abilities!$J$33:$J$34,2),INDEX(Abilities!$I$33:$I$34,2))</f>
        <v/>
      </c>
      <c r="AH16" s="16">
        <f>INDEX(Abilities!$C$33:$C$34,2)*AG16*AE16+INDEX(Abilities!$C$33:$C$34,1)*AF16*MIN(AD16,1-AE16)</f>
        <v/>
      </c>
      <c r="AI16" s="9">
        <f>AH16*(I16+G16+A16)*(1+J16)*(1+K16)*Inputs!$C$20</f>
        <v/>
      </c>
      <c r="AJ16" s="9">
        <f>AH16*(I16+W16+G16+A16)*(1+J16)*(1+K16)*Inputs!$C$20</f>
        <v/>
      </c>
      <c r="AK16" s="27">
        <f>(1-Y16)*(T16+AI16)/U16+Y16*(AA16+AJ16)/AB16</f>
        <v/>
      </c>
      <c r="AL16" s="17">
        <f>(AA16+IF(A16&gt;=INDEX(Abilities!$A$33:$A$34,2),INDEX(Abilities!$C$33:$C$34,2)*AG16,IF(A16&gt;=INDEX(Abilities!$A$33:$A$34,1),INDEX(Abilities!$C$33:$C$34,1)*AF16,0))*(I16+W16+G16+A16)*(1+J16)*(1+K16)*Inputs!$C$20)/AB16</f>
        <v/>
      </c>
      <c r="AM16" s="28">
        <f>IFERROR(((1-Y16)*AI16/U16+Y16*AJ16/AB16)/AK16,0)</f>
        <v/>
      </c>
      <c r="AN16" s="8">
        <f>IFERROR(ROUNDUP(C16/T16,0),"-")</f>
        <v/>
      </c>
      <c r="AO16" s="60">
        <f>IFERROR(C16/AK16,"-")</f>
        <v/>
      </c>
      <c r="AP16" s="9">
        <f>MAX(0,(E16+(B16-A16))*(1-R16)*(1-Q16*'Class Table'!$O$6/Inputs!$C$19)-Q16*'Class Table'!$O$6/25)</f>
        <v/>
      </c>
      <c r="AQ16" s="26">
        <f>IFERROR(AP16/F16*AO16,"-")</f>
        <v/>
      </c>
      <c r="AR16" s="28">
        <f>IFERROR(AQ16/O16,"-")</f>
        <v/>
      </c>
      <c r="AS16" s="9">
        <f>IFERROR(O16*Inputs!$C$24/Inputs!$C$22*AO16,"-")</f>
        <v/>
      </c>
      <c r="AT16" s="28">
        <f>IFERROR(MAX(0,AQ16-AS16)/O16,"-")</f>
        <v/>
      </c>
    </row>
    <row r="17">
      <c r="A17" s="8" t="n">
        <v>14</v>
      </c>
      <c r="B17" s="14">
        <f>'Mob by Level'!B17</f>
        <v/>
      </c>
      <c r="C17" s="9">
        <f>'Mob by Level'!C17</f>
        <v/>
      </c>
      <c r="D17" s="9">
        <f>'Mob by Level'!D17</f>
        <v/>
      </c>
      <c r="E17" s="9">
        <f>'Mob by Level'!E17</f>
        <v/>
      </c>
      <c r="F17" s="16">
        <f>'Mob by Level'!F17</f>
        <v/>
      </c>
      <c r="G17" s="14">
        <f>SUMIFS(Gear!$D$4:$D$603,Gear!$A$4:$A$603,A17,Gear!$B$4:$B$603,"Warrior",Gear!$C$4:$C$603,Inputs!$C$5)</f>
        <v/>
      </c>
      <c r="H17" s="14">
        <f>SUMIFS(Gear!$E$4:$E$603,Gear!$A$4:$A$603,A17,Gear!$B$4:$B$603,"Warrior",Gear!$C$4:$C$603,Inputs!$C$5)</f>
        <v/>
      </c>
      <c r="I17" s="14">
        <f>SUMIFS(Gear!$F$4:$F$603,Gear!$A$4:$A$603,A17,Gear!$B$4:$B$603,"Warrior",Gear!$C$4:$C$603,Inputs!$C$5)+Inputs!$C$17*IFERROR(LOOKUP(A17,Abilities!$A$49:$A$53,Abilities!$C$49:$C$53),0)</f>
        <v/>
      </c>
      <c r="J17" s="13">
        <f>SUMIFS(Gear!$J$4:$J$603,Gear!$A$4:$A$603,A17,Gear!$B$4:$B$603,"Warrior",Gear!$C$4:$C$603,Inputs!$C$5)</f>
        <v/>
      </c>
      <c r="K17" s="13">
        <f>SUMIFS(Gear!$K$4:$K$603,Gear!$A$4:$A$603,A17,Gear!$B$4:$B$603,"Warrior",Gear!$C$4:$C$603,Inputs!$C$5)</f>
        <v/>
      </c>
      <c r="L17" s="13">
        <f>SUMIFS(Gear!$L$4:$L$603,Gear!$A$4:$A$603,A17,Gear!$B$4:$B$603,"Warrior",Gear!$C$4:$C$603,Inputs!$C$5)</f>
        <v/>
      </c>
      <c r="M17" s="13">
        <f>SUMIFS(Gear!$M$4:$M$603,Gear!$A$4:$A$603,A17,Gear!$B$4:$B$603,"Warrior",Gear!$C$4:$C$603,Inputs!$C$5)</f>
        <v/>
      </c>
      <c r="N17" s="13">
        <f>SUMIFS(Gear!$N$4:$N$603,Gear!$A$4:$A$603,A17,Gear!$B$4:$B$603,"Warrior",Gear!$C$4:$C$603,Inputs!$C$5)</f>
        <v/>
      </c>
      <c r="O17" s="9">
        <f>INDEX('Class Table'!$E$4:$E$53,A17)+SUMIFS(Gear!$G$4:$G$603,Gear!$A$4:$A$603,A17,Gear!$B$4:$B$603,"Warrior",Gear!$C$4:$C$603,Inputs!$C$5)</f>
        <v/>
      </c>
      <c r="P17" s="9">
        <f>INDEX('Class Table'!$F$4:$F$53,A17)+SUMIFS(Gear!$H$4:$H$603,Gear!$A$4:$A$603,A17,Gear!$B$4:$B$603,"Warrior",Gear!$C$4:$C$603,Inputs!$C$5)</f>
        <v/>
      </c>
      <c r="Q17" s="9">
        <f>INDEX('Class Table'!$G$4:$G$53,A17)+SUMIFS(Gear!$I$4:$I$603,Gear!$A$4:$A$603,A17,Gear!$B$4:$B$603,"Warrior",Gear!$C$4:$C$603,Inputs!$C$5)</f>
        <v/>
      </c>
      <c r="R17" s="13">
        <f>SUMIFS(Gear!$O$4:$O$603,Gear!$A$4:$A$603,A17,Gear!$B$4:$B$603,"Warrior",Gear!$C$4:$C$603,Inputs!$C$5)</f>
        <v/>
      </c>
      <c r="S17" s="26">
        <f>I17+0+G17+A17+MAX(1,A17/2)+(A17-B17)</f>
        <v/>
      </c>
      <c r="T17" s="9">
        <f>MAX(0,S17*(1+M17)*(1+L17)*Inputs!$C$20*(1-D17/Inputs!$C$19)-D17/25)</f>
        <v/>
      </c>
      <c r="U17" s="16">
        <f>H17/10*(1-MIN(0.95,N17+0))*Inputs!$C$21</f>
        <v/>
      </c>
      <c r="V17" s="27">
        <f>T17/U17</f>
        <v/>
      </c>
      <c r="W17" s="14">
        <f>IFERROR(LOOKUP(A17,Abilities!$A$27:$A$29,Abilities!$C$27:$C$29),0)</f>
        <v/>
      </c>
      <c r="X17" s="13">
        <f>IFERROR(LOOKUP(A17,Abilities!$A$27:$A$29,Abilities!$D$27:$D$29),0)</f>
        <v/>
      </c>
      <c r="Y17" s="13">
        <f>Inputs!$C$16*IFERROR(LOOKUP(A17,Abilities!$A$27:$A$29,Abilities!$E$27:$E$29),0)/IFERROR(LOOKUP(A17,Abilities!$A$27:$A$29,Abilities!$F$27:$F$29),1)</f>
        <v/>
      </c>
      <c r="Z17" s="26">
        <f>I17+W17+G17+A17+MAX(1,A17/2)+(A17-B17)</f>
        <v/>
      </c>
      <c r="AA17" s="9">
        <f>MAX(0,Z17*(1+M17)*(1+L17)*Inputs!$C$20*(1-D17/Inputs!$C$19)-D17/25)</f>
        <v/>
      </c>
      <c r="AB17" s="16">
        <f>H17/10*(1-MIN(0.95,N17+X17))*Inputs!$C$21</f>
        <v/>
      </c>
      <c r="AC17" s="27">
        <f>AA17/AB17</f>
        <v/>
      </c>
      <c r="AD17" s="13">
        <f>Inputs!$C$16*IF(A17&gt;=INDEX(Abilities!$A$33:$A$34,1),INDEX(Abilities!$D$33:$D$34,1)/INDEX(Abilities!$E$33:$E$34,1),0)</f>
        <v/>
      </c>
      <c r="AE17" s="13">
        <f>Inputs!$C$16*IF(A17&gt;=INDEX(Abilities!$A$33:$A$34,2),INDEX(Abilities!$D$33:$D$34,2)/INDEX(Abilities!$E$33:$E$34,2),0)</f>
        <v/>
      </c>
      <c r="AF17" s="16">
        <f>CHOOSE(Inputs!$C$13,1,INDEX(Abilities!$J$33:$J$34,1),INDEX(Abilities!$I$33:$I$34,1))</f>
        <v/>
      </c>
      <c r="AG17" s="16">
        <f>CHOOSE(Inputs!$C$13,1,INDEX(Abilities!$J$33:$J$34,2),INDEX(Abilities!$I$33:$I$34,2))</f>
        <v/>
      </c>
      <c r="AH17" s="16">
        <f>INDEX(Abilities!$C$33:$C$34,2)*AG17*AE17+INDEX(Abilities!$C$33:$C$34,1)*AF17*MIN(AD17,1-AE17)</f>
        <v/>
      </c>
      <c r="AI17" s="9">
        <f>AH17*(I17+G17+A17)*(1+J17)*(1+K17)*Inputs!$C$20</f>
        <v/>
      </c>
      <c r="AJ17" s="9">
        <f>AH17*(I17+W17+G17+A17)*(1+J17)*(1+K17)*Inputs!$C$20</f>
        <v/>
      </c>
      <c r="AK17" s="27">
        <f>(1-Y17)*(T17+AI17)/U17+Y17*(AA17+AJ17)/AB17</f>
        <v/>
      </c>
      <c r="AL17" s="17">
        <f>(AA17+IF(A17&gt;=INDEX(Abilities!$A$33:$A$34,2),INDEX(Abilities!$C$33:$C$34,2)*AG17,IF(A17&gt;=INDEX(Abilities!$A$33:$A$34,1),INDEX(Abilities!$C$33:$C$34,1)*AF17,0))*(I17+W17+G17+A17)*(1+J17)*(1+K17)*Inputs!$C$20)/AB17</f>
        <v/>
      </c>
      <c r="AM17" s="28">
        <f>IFERROR(((1-Y17)*AI17/U17+Y17*AJ17/AB17)/AK17,0)</f>
        <v/>
      </c>
      <c r="AN17" s="8">
        <f>IFERROR(ROUNDUP(C17/T17,0),"-")</f>
        <v/>
      </c>
      <c r="AO17" s="60">
        <f>IFERROR(C17/AK17,"-")</f>
        <v/>
      </c>
      <c r="AP17" s="9">
        <f>MAX(0,(E17+(B17-A17))*(1-R17)*(1-Q17*'Class Table'!$O$6/Inputs!$C$19)-Q17*'Class Table'!$O$6/25)</f>
        <v/>
      </c>
      <c r="AQ17" s="26">
        <f>IFERROR(AP17/F17*AO17,"-")</f>
        <v/>
      </c>
      <c r="AR17" s="28">
        <f>IFERROR(AQ17/O17,"-")</f>
        <v/>
      </c>
      <c r="AS17" s="9">
        <f>IFERROR(O17*Inputs!$C$24/Inputs!$C$22*AO17,"-")</f>
        <v/>
      </c>
      <c r="AT17" s="28">
        <f>IFERROR(MAX(0,AQ17-AS17)/O17,"-")</f>
        <v/>
      </c>
    </row>
    <row r="18">
      <c r="A18" s="8" t="n">
        <v>15</v>
      </c>
      <c r="B18" s="14">
        <f>'Mob by Level'!B18</f>
        <v/>
      </c>
      <c r="C18" s="9">
        <f>'Mob by Level'!C18</f>
        <v/>
      </c>
      <c r="D18" s="9">
        <f>'Mob by Level'!D18</f>
        <v/>
      </c>
      <c r="E18" s="9">
        <f>'Mob by Level'!E18</f>
        <v/>
      </c>
      <c r="F18" s="16">
        <f>'Mob by Level'!F18</f>
        <v/>
      </c>
      <c r="G18" s="14">
        <f>SUMIFS(Gear!$D$4:$D$603,Gear!$A$4:$A$603,A18,Gear!$B$4:$B$603,"Warrior",Gear!$C$4:$C$603,Inputs!$C$5)</f>
        <v/>
      </c>
      <c r="H18" s="14">
        <f>SUMIFS(Gear!$E$4:$E$603,Gear!$A$4:$A$603,A18,Gear!$B$4:$B$603,"Warrior",Gear!$C$4:$C$603,Inputs!$C$5)</f>
        <v/>
      </c>
      <c r="I18" s="14">
        <f>SUMIFS(Gear!$F$4:$F$603,Gear!$A$4:$A$603,A18,Gear!$B$4:$B$603,"Warrior",Gear!$C$4:$C$603,Inputs!$C$5)+Inputs!$C$17*IFERROR(LOOKUP(A18,Abilities!$A$49:$A$53,Abilities!$C$49:$C$53),0)</f>
        <v/>
      </c>
      <c r="J18" s="13">
        <f>SUMIFS(Gear!$J$4:$J$603,Gear!$A$4:$A$603,A18,Gear!$B$4:$B$603,"Warrior",Gear!$C$4:$C$603,Inputs!$C$5)</f>
        <v/>
      </c>
      <c r="K18" s="13">
        <f>SUMIFS(Gear!$K$4:$K$603,Gear!$A$4:$A$603,A18,Gear!$B$4:$B$603,"Warrior",Gear!$C$4:$C$603,Inputs!$C$5)</f>
        <v/>
      </c>
      <c r="L18" s="13">
        <f>SUMIFS(Gear!$L$4:$L$603,Gear!$A$4:$A$603,A18,Gear!$B$4:$B$603,"Warrior",Gear!$C$4:$C$603,Inputs!$C$5)</f>
        <v/>
      </c>
      <c r="M18" s="13">
        <f>SUMIFS(Gear!$M$4:$M$603,Gear!$A$4:$A$603,A18,Gear!$B$4:$B$603,"Warrior",Gear!$C$4:$C$603,Inputs!$C$5)</f>
        <v/>
      </c>
      <c r="N18" s="13">
        <f>SUMIFS(Gear!$N$4:$N$603,Gear!$A$4:$A$603,A18,Gear!$B$4:$B$603,"Warrior",Gear!$C$4:$C$603,Inputs!$C$5)</f>
        <v/>
      </c>
      <c r="O18" s="9">
        <f>INDEX('Class Table'!$E$4:$E$53,A18)+SUMIFS(Gear!$G$4:$G$603,Gear!$A$4:$A$603,A18,Gear!$B$4:$B$603,"Warrior",Gear!$C$4:$C$603,Inputs!$C$5)</f>
        <v/>
      </c>
      <c r="P18" s="9">
        <f>INDEX('Class Table'!$F$4:$F$53,A18)+SUMIFS(Gear!$H$4:$H$603,Gear!$A$4:$A$603,A18,Gear!$B$4:$B$603,"Warrior",Gear!$C$4:$C$603,Inputs!$C$5)</f>
        <v/>
      </c>
      <c r="Q18" s="9">
        <f>INDEX('Class Table'!$G$4:$G$53,A18)+SUMIFS(Gear!$I$4:$I$603,Gear!$A$4:$A$603,A18,Gear!$B$4:$B$603,"Warrior",Gear!$C$4:$C$603,Inputs!$C$5)</f>
        <v/>
      </c>
      <c r="R18" s="13">
        <f>SUMIFS(Gear!$O$4:$O$603,Gear!$A$4:$A$603,A18,Gear!$B$4:$B$603,"Warrior",Gear!$C$4:$C$603,Inputs!$C$5)</f>
        <v/>
      </c>
      <c r="S18" s="26">
        <f>I18+0+G18+A18+MAX(1,A18/2)+(A18-B18)</f>
        <v/>
      </c>
      <c r="T18" s="9">
        <f>MAX(0,S18*(1+M18)*(1+L18)*Inputs!$C$20*(1-D18/Inputs!$C$19)-D18/25)</f>
        <v/>
      </c>
      <c r="U18" s="16">
        <f>H18/10*(1-MIN(0.95,N18+0))*Inputs!$C$21</f>
        <v/>
      </c>
      <c r="V18" s="27">
        <f>T18/U18</f>
        <v/>
      </c>
      <c r="W18" s="14">
        <f>IFERROR(LOOKUP(A18,Abilities!$A$27:$A$29,Abilities!$C$27:$C$29),0)</f>
        <v/>
      </c>
      <c r="X18" s="13">
        <f>IFERROR(LOOKUP(A18,Abilities!$A$27:$A$29,Abilities!$D$27:$D$29),0)</f>
        <v/>
      </c>
      <c r="Y18" s="13">
        <f>Inputs!$C$16*IFERROR(LOOKUP(A18,Abilities!$A$27:$A$29,Abilities!$E$27:$E$29),0)/IFERROR(LOOKUP(A18,Abilities!$A$27:$A$29,Abilities!$F$27:$F$29),1)</f>
        <v/>
      </c>
      <c r="Z18" s="26">
        <f>I18+W18+G18+A18+MAX(1,A18/2)+(A18-B18)</f>
        <v/>
      </c>
      <c r="AA18" s="9">
        <f>MAX(0,Z18*(1+M18)*(1+L18)*Inputs!$C$20*(1-D18/Inputs!$C$19)-D18/25)</f>
        <v/>
      </c>
      <c r="AB18" s="16">
        <f>H18/10*(1-MIN(0.95,N18+X18))*Inputs!$C$21</f>
        <v/>
      </c>
      <c r="AC18" s="27">
        <f>AA18/AB18</f>
        <v/>
      </c>
      <c r="AD18" s="13">
        <f>Inputs!$C$16*IF(A18&gt;=INDEX(Abilities!$A$33:$A$34,1),INDEX(Abilities!$D$33:$D$34,1)/INDEX(Abilities!$E$33:$E$34,1),0)</f>
        <v/>
      </c>
      <c r="AE18" s="13">
        <f>Inputs!$C$16*IF(A18&gt;=INDEX(Abilities!$A$33:$A$34,2),INDEX(Abilities!$D$33:$D$34,2)/INDEX(Abilities!$E$33:$E$34,2),0)</f>
        <v/>
      </c>
      <c r="AF18" s="16">
        <f>CHOOSE(Inputs!$C$13,1,INDEX(Abilities!$J$33:$J$34,1),INDEX(Abilities!$I$33:$I$34,1))</f>
        <v/>
      </c>
      <c r="AG18" s="16">
        <f>CHOOSE(Inputs!$C$13,1,INDEX(Abilities!$J$33:$J$34,2),INDEX(Abilities!$I$33:$I$34,2))</f>
        <v/>
      </c>
      <c r="AH18" s="16">
        <f>INDEX(Abilities!$C$33:$C$34,2)*AG18*AE18+INDEX(Abilities!$C$33:$C$34,1)*AF18*MIN(AD18,1-AE18)</f>
        <v/>
      </c>
      <c r="AI18" s="9">
        <f>AH18*(I18+G18+A18)*(1+J18)*(1+K18)*Inputs!$C$20</f>
        <v/>
      </c>
      <c r="AJ18" s="9">
        <f>AH18*(I18+W18+G18+A18)*(1+J18)*(1+K18)*Inputs!$C$20</f>
        <v/>
      </c>
      <c r="AK18" s="27">
        <f>(1-Y18)*(T18+AI18)/U18+Y18*(AA18+AJ18)/AB18</f>
        <v/>
      </c>
      <c r="AL18" s="17">
        <f>(AA18+IF(A18&gt;=INDEX(Abilities!$A$33:$A$34,2),INDEX(Abilities!$C$33:$C$34,2)*AG18,IF(A18&gt;=INDEX(Abilities!$A$33:$A$34,1),INDEX(Abilities!$C$33:$C$34,1)*AF18,0))*(I18+W18+G18+A18)*(1+J18)*(1+K18)*Inputs!$C$20)/AB18</f>
        <v/>
      </c>
      <c r="AM18" s="28">
        <f>IFERROR(((1-Y18)*AI18/U18+Y18*AJ18/AB18)/AK18,0)</f>
        <v/>
      </c>
      <c r="AN18" s="8">
        <f>IFERROR(ROUNDUP(C18/T18,0),"-")</f>
        <v/>
      </c>
      <c r="AO18" s="60">
        <f>IFERROR(C18/AK18,"-")</f>
        <v/>
      </c>
      <c r="AP18" s="9">
        <f>MAX(0,(E18+(B18-A18))*(1-R18)*(1-Q18*'Class Table'!$O$6/Inputs!$C$19)-Q18*'Class Table'!$O$6/25)</f>
        <v/>
      </c>
      <c r="AQ18" s="26">
        <f>IFERROR(AP18/F18*AO18,"-")</f>
        <v/>
      </c>
      <c r="AR18" s="28">
        <f>IFERROR(AQ18/O18,"-")</f>
        <v/>
      </c>
      <c r="AS18" s="9">
        <f>IFERROR(O18*Inputs!$C$24/Inputs!$C$22*AO18,"-")</f>
        <v/>
      </c>
      <c r="AT18" s="28">
        <f>IFERROR(MAX(0,AQ18-AS18)/O18,"-")</f>
        <v/>
      </c>
    </row>
    <row r="19">
      <c r="A19" s="8" t="n">
        <v>16</v>
      </c>
      <c r="B19" s="14">
        <f>'Mob by Level'!B19</f>
        <v/>
      </c>
      <c r="C19" s="9">
        <f>'Mob by Level'!C19</f>
        <v/>
      </c>
      <c r="D19" s="9">
        <f>'Mob by Level'!D19</f>
        <v/>
      </c>
      <c r="E19" s="9">
        <f>'Mob by Level'!E19</f>
        <v/>
      </c>
      <c r="F19" s="16">
        <f>'Mob by Level'!F19</f>
        <v/>
      </c>
      <c r="G19" s="14">
        <f>SUMIFS(Gear!$D$4:$D$603,Gear!$A$4:$A$603,A19,Gear!$B$4:$B$603,"Warrior",Gear!$C$4:$C$603,Inputs!$C$5)</f>
        <v/>
      </c>
      <c r="H19" s="14">
        <f>SUMIFS(Gear!$E$4:$E$603,Gear!$A$4:$A$603,A19,Gear!$B$4:$B$603,"Warrior",Gear!$C$4:$C$603,Inputs!$C$5)</f>
        <v/>
      </c>
      <c r="I19" s="14">
        <f>SUMIFS(Gear!$F$4:$F$603,Gear!$A$4:$A$603,A19,Gear!$B$4:$B$603,"Warrior",Gear!$C$4:$C$603,Inputs!$C$5)+Inputs!$C$17*IFERROR(LOOKUP(A19,Abilities!$A$49:$A$53,Abilities!$C$49:$C$53),0)</f>
        <v/>
      </c>
      <c r="J19" s="13">
        <f>SUMIFS(Gear!$J$4:$J$603,Gear!$A$4:$A$603,A19,Gear!$B$4:$B$603,"Warrior",Gear!$C$4:$C$603,Inputs!$C$5)</f>
        <v/>
      </c>
      <c r="K19" s="13">
        <f>SUMIFS(Gear!$K$4:$K$603,Gear!$A$4:$A$603,A19,Gear!$B$4:$B$603,"Warrior",Gear!$C$4:$C$603,Inputs!$C$5)</f>
        <v/>
      </c>
      <c r="L19" s="13">
        <f>SUMIFS(Gear!$L$4:$L$603,Gear!$A$4:$A$603,A19,Gear!$B$4:$B$603,"Warrior",Gear!$C$4:$C$603,Inputs!$C$5)</f>
        <v/>
      </c>
      <c r="M19" s="13">
        <f>SUMIFS(Gear!$M$4:$M$603,Gear!$A$4:$A$603,A19,Gear!$B$4:$B$603,"Warrior",Gear!$C$4:$C$603,Inputs!$C$5)</f>
        <v/>
      </c>
      <c r="N19" s="13">
        <f>SUMIFS(Gear!$N$4:$N$603,Gear!$A$4:$A$603,A19,Gear!$B$4:$B$603,"Warrior",Gear!$C$4:$C$603,Inputs!$C$5)</f>
        <v/>
      </c>
      <c r="O19" s="9">
        <f>INDEX('Class Table'!$E$4:$E$53,A19)+SUMIFS(Gear!$G$4:$G$603,Gear!$A$4:$A$603,A19,Gear!$B$4:$B$603,"Warrior",Gear!$C$4:$C$603,Inputs!$C$5)</f>
        <v/>
      </c>
      <c r="P19" s="9">
        <f>INDEX('Class Table'!$F$4:$F$53,A19)+SUMIFS(Gear!$H$4:$H$603,Gear!$A$4:$A$603,A19,Gear!$B$4:$B$603,"Warrior",Gear!$C$4:$C$603,Inputs!$C$5)</f>
        <v/>
      </c>
      <c r="Q19" s="9">
        <f>INDEX('Class Table'!$G$4:$G$53,A19)+SUMIFS(Gear!$I$4:$I$603,Gear!$A$4:$A$603,A19,Gear!$B$4:$B$603,"Warrior",Gear!$C$4:$C$603,Inputs!$C$5)</f>
        <v/>
      </c>
      <c r="R19" s="13">
        <f>SUMIFS(Gear!$O$4:$O$603,Gear!$A$4:$A$603,A19,Gear!$B$4:$B$603,"Warrior",Gear!$C$4:$C$603,Inputs!$C$5)</f>
        <v/>
      </c>
      <c r="S19" s="26">
        <f>I19+0+G19+A19+MAX(1,A19/2)+(A19-B19)</f>
        <v/>
      </c>
      <c r="T19" s="9">
        <f>MAX(0,S19*(1+M19)*(1+L19)*Inputs!$C$20*(1-D19/Inputs!$C$19)-D19/25)</f>
        <v/>
      </c>
      <c r="U19" s="16">
        <f>H19/10*(1-MIN(0.95,N19+0))*Inputs!$C$21</f>
        <v/>
      </c>
      <c r="V19" s="27">
        <f>T19/U19</f>
        <v/>
      </c>
      <c r="W19" s="14">
        <f>IFERROR(LOOKUP(A19,Abilities!$A$27:$A$29,Abilities!$C$27:$C$29),0)</f>
        <v/>
      </c>
      <c r="X19" s="13">
        <f>IFERROR(LOOKUP(A19,Abilities!$A$27:$A$29,Abilities!$D$27:$D$29),0)</f>
        <v/>
      </c>
      <c r="Y19" s="13">
        <f>Inputs!$C$16*IFERROR(LOOKUP(A19,Abilities!$A$27:$A$29,Abilities!$E$27:$E$29),0)/IFERROR(LOOKUP(A19,Abilities!$A$27:$A$29,Abilities!$F$27:$F$29),1)</f>
        <v/>
      </c>
      <c r="Z19" s="26">
        <f>I19+W19+G19+A19+MAX(1,A19/2)+(A19-B19)</f>
        <v/>
      </c>
      <c r="AA19" s="9">
        <f>MAX(0,Z19*(1+M19)*(1+L19)*Inputs!$C$20*(1-D19/Inputs!$C$19)-D19/25)</f>
        <v/>
      </c>
      <c r="AB19" s="16">
        <f>H19/10*(1-MIN(0.95,N19+X19))*Inputs!$C$21</f>
        <v/>
      </c>
      <c r="AC19" s="27">
        <f>AA19/AB19</f>
        <v/>
      </c>
      <c r="AD19" s="13">
        <f>Inputs!$C$16*IF(A19&gt;=INDEX(Abilities!$A$33:$A$34,1),INDEX(Abilities!$D$33:$D$34,1)/INDEX(Abilities!$E$33:$E$34,1),0)</f>
        <v/>
      </c>
      <c r="AE19" s="13">
        <f>Inputs!$C$16*IF(A19&gt;=INDEX(Abilities!$A$33:$A$34,2),INDEX(Abilities!$D$33:$D$34,2)/INDEX(Abilities!$E$33:$E$34,2),0)</f>
        <v/>
      </c>
      <c r="AF19" s="16">
        <f>CHOOSE(Inputs!$C$13,1,INDEX(Abilities!$J$33:$J$34,1),INDEX(Abilities!$I$33:$I$34,1))</f>
        <v/>
      </c>
      <c r="AG19" s="16">
        <f>CHOOSE(Inputs!$C$13,1,INDEX(Abilities!$J$33:$J$34,2),INDEX(Abilities!$I$33:$I$34,2))</f>
        <v/>
      </c>
      <c r="AH19" s="16">
        <f>INDEX(Abilities!$C$33:$C$34,2)*AG19*AE19+INDEX(Abilities!$C$33:$C$34,1)*AF19*MIN(AD19,1-AE19)</f>
        <v/>
      </c>
      <c r="AI19" s="9">
        <f>AH19*(I19+G19+A19)*(1+J19)*(1+K19)*Inputs!$C$20</f>
        <v/>
      </c>
      <c r="AJ19" s="9">
        <f>AH19*(I19+W19+G19+A19)*(1+J19)*(1+K19)*Inputs!$C$20</f>
        <v/>
      </c>
      <c r="AK19" s="27">
        <f>(1-Y19)*(T19+AI19)/U19+Y19*(AA19+AJ19)/AB19</f>
        <v/>
      </c>
      <c r="AL19" s="17">
        <f>(AA19+IF(A19&gt;=INDEX(Abilities!$A$33:$A$34,2),INDEX(Abilities!$C$33:$C$34,2)*AG19,IF(A19&gt;=INDEX(Abilities!$A$33:$A$34,1),INDEX(Abilities!$C$33:$C$34,1)*AF19,0))*(I19+W19+G19+A19)*(1+J19)*(1+K19)*Inputs!$C$20)/AB19</f>
        <v/>
      </c>
      <c r="AM19" s="28">
        <f>IFERROR(((1-Y19)*AI19/U19+Y19*AJ19/AB19)/AK19,0)</f>
        <v/>
      </c>
      <c r="AN19" s="8">
        <f>IFERROR(ROUNDUP(C19/T19,0),"-")</f>
        <v/>
      </c>
      <c r="AO19" s="60">
        <f>IFERROR(C19/AK19,"-")</f>
        <v/>
      </c>
      <c r="AP19" s="9">
        <f>MAX(0,(E19+(B19-A19))*(1-R19)*(1-Q19*'Class Table'!$O$6/Inputs!$C$19)-Q19*'Class Table'!$O$6/25)</f>
        <v/>
      </c>
      <c r="AQ19" s="26">
        <f>IFERROR(AP19/F19*AO19,"-")</f>
        <v/>
      </c>
      <c r="AR19" s="28">
        <f>IFERROR(AQ19/O19,"-")</f>
        <v/>
      </c>
      <c r="AS19" s="9">
        <f>IFERROR(O19*Inputs!$C$24/Inputs!$C$22*AO19,"-")</f>
        <v/>
      </c>
      <c r="AT19" s="28">
        <f>IFERROR(MAX(0,AQ19-AS19)/O19,"-")</f>
        <v/>
      </c>
    </row>
    <row r="20">
      <c r="A20" s="8" t="n">
        <v>17</v>
      </c>
      <c r="B20" s="14">
        <f>'Mob by Level'!B20</f>
        <v/>
      </c>
      <c r="C20" s="9">
        <f>'Mob by Level'!C20</f>
        <v/>
      </c>
      <c r="D20" s="9">
        <f>'Mob by Level'!D20</f>
        <v/>
      </c>
      <c r="E20" s="9">
        <f>'Mob by Level'!E20</f>
        <v/>
      </c>
      <c r="F20" s="16">
        <f>'Mob by Level'!F20</f>
        <v/>
      </c>
      <c r="G20" s="14">
        <f>SUMIFS(Gear!$D$4:$D$603,Gear!$A$4:$A$603,A20,Gear!$B$4:$B$603,"Warrior",Gear!$C$4:$C$603,Inputs!$C$5)</f>
        <v/>
      </c>
      <c r="H20" s="14">
        <f>SUMIFS(Gear!$E$4:$E$603,Gear!$A$4:$A$603,A20,Gear!$B$4:$B$603,"Warrior",Gear!$C$4:$C$603,Inputs!$C$5)</f>
        <v/>
      </c>
      <c r="I20" s="14">
        <f>SUMIFS(Gear!$F$4:$F$603,Gear!$A$4:$A$603,A20,Gear!$B$4:$B$603,"Warrior",Gear!$C$4:$C$603,Inputs!$C$5)+Inputs!$C$17*IFERROR(LOOKUP(A20,Abilities!$A$49:$A$53,Abilities!$C$49:$C$53),0)</f>
        <v/>
      </c>
      <c r="J20" s="13">
        <f>SUMIFS(Gear!$J$4:$J$603,Gear!$A$4:$A$603,A20,Gear!$B$4:$B$603,"Warrior",Gear!$C$4:$C$603,Inputs!$C$5)</f>
        <v/>
      </c>
      <c r="K20" s="13">
        <f>SUMIFS(Gear!$K$4:$K$603,Gear!$A$4:$A$603,A20,Gear!$B$4:$B$603,"Warrior",Gear!$C$4:$C$603,Inputs!$C$5)</f>
        <v/>
      </c>
      <c r="L20" s="13">
        <f>SUMIFS(Gear!$L$4:$L$603,Gear!$A$4:$A$603,A20,Gear!$B$4:$B$603,"Warrior",Gear!$C$4:$C$603,Inputs!$C$5)</f>
        <v/>
      </c>
      <c r="M20" s="13">
        <f>SUMIFS(Gear!$M$4:$M$603,Gear!$A$4:$A$603,A20,Gear!$B$4:$B$603,"Warrior",Gear!$C$4:$C$603,Inputs!$C$5)</f>
        <v/>
      </c>
      <c r="N20" s="13">
        <f>SUMIFS(Gear!$N$4:$N$603,Gear!$A$4:$A$603,A20,Gear!$B$4:$B$603,"Warrior",Gear!$C$4:$C$603,Inputs!$C$5)</f>
        <v/>
      </c>
      <c r="O20" s="9">
        <f>INDEX('Class Table'!$E$4:$E$53,A20)+SUMIFS(Gear!$G$4:$G$603,Gear!$A$4:$A$603,A20,Gear!$B$4:$B$603,"Warrior",Gear!$C$4:$C$603,Inputs!$C$5)</f>
        <v/>
      </c>
      <c r="P20" s="9">
        <f>INDEX('Class Table'!$F$4:$F$53,A20)+SUMIFS(Gear!$H$4:$H$603,Gear!$A$4:$A$603,A20,Gear!$B$4:$B$603,"Warrior",Gear!$C$4:$C$603,Inputs!$C$5)</f>
        <v/>
      </c>
      <c r="Q20" s="9">
        <f>INDEX('Class Table'!$G$4:$G$53,A20)+SUMIFS(Gear!$I$4:$I$603,Gear!$A$4:$A$603,A20,Gear!$B$4:$B$603,"Warrior",Gear!$C$4:$C$603,Inputs!$C$5)</f>
        <v/>
      </c>
      <c r="R20" s="13">
        <f>SUMIFS(Gear!$O$4:$O$603,Gear!$A$4:$A$603,A20,Gear!$B$4:$B$603,"Warrior",Gear!$C$4:$C$603,Inputs!$C$5)</f>
        <v/>
      </c>
      <c r="S20" s="26">
        <f>I20+0+G20+A20+MAX(1,A20/2)+(A20-B20)</f>
        <v/>
      </c>
      <c r="T20" s="9">
        <f>MAX(0,S20*(1+M20)*(1+L20)*Inputs!$C$20*(1-D20/Inputs!$C$19)-D20/25)</f>
        <v/>
      </c>
      <c r="U20" s="16">
        <f>H20/10*(1-MIN(0.95,N20+0))*Inputs!$C$21</f>
        <v/>
      </c>
      <c r="V20" s="27">
        <f>T20/U20</f>
        <v/>
      </c>
      <c r="W20" s="14">
        <f>IFERROR(LOOKUP(A20,Abilities!$A$27:$A$29,Abilities!$C$27:$C$29),0)</f>
        <v/>
      </c>
      <c r="X20" s="13">
        <f>IFERROR(LOOKUP(A20,Abilities!$A$27:$A$29,Abilities!$D$27:$D$29),0)</f>
        <v/>
      </c>
      <c r="Y20" s="13">
        <f>Inputs!$C$16*IFERROR(LOOKUP(A20,Abilities!$A$27:$A$29,Abilities!$E$27:$E$29),0)/IFERROR(LOOKUP(A20,Abilities!$A$27:$A$29,Abilities!$F$27:$F$29),1)</f>
        <v/>
      </c>
      <c r="Z20" s="26">
        <f>I20+W20+G20+A20+MAX(1,A20/2)+(A20-B20)</f>
        <v/>
      </c>
      <c r="AA20" s="9">
        <f>MAX(0,Z20*(1+M20)*(1+L20)*Inputs!$C$20*(1-D20/Inputs!$C$19)-D20/25)</f>
        <v/>
      </c>
      <c r="AB20" s="16">
        <f>H20/10*(1-MIN(0.95,N20+X20))*Inputs!$C$21</f>
        <v/>
      </c>
      <c r="AC20" s="27">
        <f>AA20/AB20</f>
        <v/>
      </c>
      <c r="AD20" s="13">
        <f>Inputs!$C$16*IF(A20&gt;=INDEX(Abilities!$A$33:$A$34,1),INDEX(Abilities!$D$33:$D$34,1)/INDEX(Abilities!$E$33:$E$34,1),0)</f>
        <v/>
      </c>
      <c r="AE20" s="13">
        <f>Inputs!$C$16*IF(A20&gt;=INDEX(Abilities!$A$33:$A$34,2),INDEX(Abilities!$D$33:$D$34,2)/INDEX(Abilities!$E$33:$E$34,2),0)</f>
        <v/>
      </c>
      <c r="AF20" s="16">
        <f>CHOOSE(Inputs!$C$13,1,INDEX(Abilities!$J$33:$J$34,1),INDEX(Abilities!$I$33:$I$34,1))</f>
        <v/>
      </c>
      <c r="AG20" s="16">
        <f>CHOOSE(Inputs!$C$13,1,INDEX(Abilities!$J$33:$J$34,2),INDEX(Abilities!$I$33:$I$34,2))</f>
        <v/>
      </c>
      <c r="AH20" s="16">
        <f>INDEX(Abilities!$C$33:$C$34,2)*AG20*AE20+INDEX(Abilities!$C$33:$C$34,1)*AF20*MIN(AD20,1-AE20)</f>
        <v/>
      </c>
      <c r="AI20" s="9">
        <f>AH20*(I20+G20+A20)*(1+J20)*(1+K20)*Inputs!$C$20</f>
        <v/>
      </c>
      <c r="AJ20" s="9">
        <f>AH20*(I20+W20+G20+A20)*(1+J20)*(1+K20)*Inputs!$C$20</f>
        <v/>
      </c>
      <c r="AK20" s="27">
        <f>(1-Y20)*(T20+AI20)/U20+Y20*(AA20+AJ20)/AB20</f>
        <v/>
      </c>
      <c r="AL20" s="17">
        <f>(AA20+IF(A20&gt;=INDEX(Abilities!$A$33:$A$34,2),INDEX(Abilities!$C$33:$C$34,2)*AG20,IF(A20&gt;=INDEX(Abilities!$A$33:$A$34,1),INDEX(Abilities!$C$33:$C$34,1)*AF20,0))*(I20+W20+G20+A20)*(1+J20)*(1+K20)*Inputs!$C$20)/AB20</f>
        <v/>
      </c>
      <c r="AM20" s="28">
        <f>IFERROR(((1-Y20)*AI20/U20+Y20*AJ20/AB20)/AK20,0)</f>
        <v/>
      </c>
      <c r="AN20" s="8">
        <f>IFERROR(ROUNDUP(C20/T20,0),"-")</f>
        <v/>
      </c>
      <c r="AO20" s="60">
        <f>IFERROR(C20/AK20,"-")</f>
        <v/>
      </c>
      <c r="AP20" s="9">
        <f>MAX(0,(E20+(B20-A20))*(1-R20)*(1-Q20*'Class Table'!$O$6/Inputs!$C$19)-Q20*'Class Table'!$O$6/25)</f>
        <v/>
      </c>
      <c r="AQ20" s="26">
        <f>IFERROR(AP20/F20*AO20,"-")</f>
        <v/>
      </c>
      <c r="AR20" s="28">
        <f>IFERROR(AQ20/O20,"-")</f>
        <v/>
      </c>
      <c r="AS20" s="9">
        <f>IFERROR(O20*Inputs!$C$24/Inputs!$C$22*AO20,"-")</f>
        <v/>
      </c>
      <c r="AT20" s="28">
        <f>IFERROR(MAX(0,AQ20-AS20)/O20,"-")</f>
        <v/>
      </c>
    </row>
    <row r="21">
      <c r="A21" s="8" t="n">
        <v>18</v>
      </c>
      <c r="B21" s="14">
        <f>'Mob by Level'!B21</f>
        <v/>
      </c>
      <c r="C21" s="9">
        <f>'Mob by Level'!C21</f>
        <v/>
      </c>
      <c r="D21" s="9">
        <f>'Mob by Level'!D21</f>
        <v/>
      </c>
      <c r="E21" s="9">
        <f>'Mob by Level'!E21</f>
        <v/>
      </c>
      <c r="F21" s="16">
        <f>'Mob by Level'!F21</f>
        <v/>
      </c>
      <c r="G21" s="14">
        <f>SUMIFS(Gear!$D$4:$D$603,Gear!$A$4:$A$603,A21,Gear!$B$4:$B$603,"Warrior",Gear!$C$4:$C$603,Inputs!$C$5)</f>
        <v/>
      </c>
      <c r="H21" s="14">
        <f>SUMIFS(Gear!$E$4:$E$603,Gear!$A$4:$A$603,A21,Gear!$B$4:$B$603,"Warrior",Gear!$C$4:$C$603,Inputs!$C$5)</f>
        <v/>
      </c>
      <c r="I21" s="14">
        <f>SUMIFS(Gear!$F$4:$F$603,Gear!$A$4:$A$603,A21,Gear!$B$4:$B$603,"Warrior",Gear!$C$4:$C$603,Inputs!$C$5)+Inputs!$C$17*IFERROR(LOOKUP(A21,Abilities!$A$49:$A$53,Abilities!$C$49:$C$53),0)</f>
        <v/>
      </c>
      <c r="J21" s="13">
        <f>SUMIFS(Gear!$J$4:$J$603,Gear!$A$4:$A$603,A21,Gear!$B$4:$B$603,"Warrior",Gear!$C$4:$C$603,Inputs!$C$5)</f>
        <v/>
      </c>
      <c r="K21" s="13">
        <f>SUMIFS(Gear!$K$4:$K$603,Gear!$A$4:$A$603,A21,Gear!$B$4:$B$603,"Warrior",Gear!$C$4:$C$603,Inputs!$C$5)</f>
        <v/>
      </c>
      <c r="L21" s="13">
        <f>SUMIFS(Gear!$L$4:$L$603,Gear!$A$4:$A$603,A21,Gear!$B$4:$B$603,"Warrior",Gear!$C$4:$C$603,Inputs!$C$5)</f>
        <v/>
      </c>
      <c r="M21" s="13">
        <f>SUMIFS(Gear!$M$4:$M$603,Gear!$A$4:$A$603,A21,Gear!$B$4:$B$603,"Warrior",Gear!$C$4:$C$603,Inputs!$C$5)</f>
        <v/>
      </c>
      <c r="N21" s="13">
        <f>SUMIFS(Gear!$N$4:$N$603,Gear!$A$4:$A$603,A21,Gear!$B$4:$B$603,"Warrior",Gear!$C$4:$C$603,Inputs!$C$5)</f>
        <v/>
      </c>
      <c r="O21" s="9">
        <f>INDEX('Class Table'!$E$4:$E$53,A21)+SUMIFS(Gear!$G$4:$G$603,Gear!$A$4:$A$603,A21,Gear!$B$4:$B$603,"Warrior",Gear!$C$4:$C$603,Inputs!$C$5)</f>
        <v/>
      </c>
      <c r="P21" s="9">
        <f>INDEX('Class Table'!$F$4:$F$53,A21)+SUMIFS(Gear!$H$4:$H$603,Gear!$A$4:$A$603,A21,Gear!$B$4:$B$603,"Warrior",Gear!$C$4:$C$603,Inputs!$C$5)</f>
        <v/>
      </c>
      <c r="Q21" s="9">
        <f>INDEX('Class Table'!$G$4:$G$53,A21)+SUMIFS(Gear!$I$4:$I$603,Gear!$A$4:$A$603,A21,Gear!$B$4:$B$603,"Warrior",Gear!$C$4:$C$603,Inputs!$C$5)</f>
        <v/>
      </c>
      <c r="R21" s="13">
        <f>SUMIFS(Gear!$O$4:$O$603,Gear!$A$4:$A$603,A21,Gear!$B$4:$B$603,"Warrior",Gear!$C$4:$C$603,Inputs!$C$5)</f>
        <v/>
      </c>
      <c r="S21" s="26">
        <f>I21+0+G21+A21+MAX(1,A21/2)+(A21-B21)</f>
        <v/>
      </c>
      <c r="T21" s="9">
        <f>MAX(0,S21*(1+M21)*(1+L21)*Inputs!$C$20*(1-D21/Inputs!$C$19)-D21/25)</f>
        <v/>
      </c>
      <c r="U21" s="16">
        <f>H21/10*(1-MIN(0.95,N21+0))*Inputs!$C$21</f>
        <v/>
      </c>
      <c r="V21" s="27">
        <f>T21/U21</f>
        <v/>
      </c>
      <c r="W21" s="14">
        <f>IFERROR(LOOKUP(A21,Abilities!$A$27:$A$29,Abilities!$C$27:$C$29),0)</f>
        <v/>
      </c>
      <c r="X21" s="13">
        <f>IFERROR(LOOKUP(A21,Abilities!$A$27:$A$29,Abilities!$D$27:$D$29),0)</f>
        <v/>
      </c>
      <c r="Y21" s="13">
        <f>Inputs!$C$16*IFERROR(LOOKUP(A21,Abilities!$A$27:$A$29,Abilities!$E$27:$E$29),0)/IFERROR(LOOKUP(A21,Abilities!$A$27:$A$29,Abilities!$F$27:$F$29),1)</f>
        <v/>
      </c>
      <c r="Z21" s="26">
        <f>I21+W21+G21+A21+MAX(1,A21/2)+(A21-B21)</f>
        <v/>
      </c>
      <c r="AA21" s="9">
        <f>MAX(0,Z21*(1+M21)*(1+L21)*Inputs!$C$20*(1-D21/Inputs!$C$19)-D21/25)</f>
        <v/>
      </c>
      <c r="AB21" s="16">
        <f>H21/10*(1-MIN(0.95,N21+X21))*Inputs!$C$21</f>
        <v/>
      </c>
      <c r="AC21" s="27">
        <f>AA21/AB21</f>
        <v/>
      </c>
      <c r="AD21" s="13">
        <f>Inputs!$C$16*IF(A21&gt;=INDEX(Abilities!$A$33:$A$34,1),INDEX(Abilities!$D$33:$D$34,1)/INDEX(Abilities!$E$33:$E$34,1),0)</f>
        <v/>
      </c>
      <c r="AE21" s="13">
        <f>Inputs!$C$16*IF(A21&gt;=INDEX(Abilities!$A$33:$A$34,2),INDEX(Abilities!$D$33:$D$34,2)/INDEX(Abilities!$E$33:$E$34,2),0)</f>
        <v/>
      </c>
      <c r="AF21" s="16">
        <f>CHOOSE(Inputs!$C$13,1,INDEX(Abilities!$J$33:$J$34,1),INDEX(Abilities!$I$33:$I$34,1))</f>
        <v/>
      </c>
      <c r="AG21" s="16">
        <f>CHOOSE(Inputs!$C$13,1,INDEX(Abilities!$J$33:$J$34,2),INDEX(Abilities!$I$33:$I$34,2))</f>
        <v/>
      </c>
      <c r="AH21" s="16">
        <f>INDEX(Abilities!$C$33:$C$34,2)*AG21*AE21+INDEX(Abilities!$C$33:$C$34,1)*AF21*MIN(AD21,1-AE21)</f>
        <v/>
      </c>
      <c r="AI21" s="9">
        <f>AH21*(I21+G21+A21)*(1+J21)*(1+K21)*Inputs!$C$20</f>
        <v/>
      </c>
      <c r="AJ21" s="9">
        <f>AH21*(I21+W21+G21+A21)*(1+J21)*(1+K21)*Inputs!$C$20</f>
        <v/>
      </c>
      <c r="AK21" s="27">
        <f>(1-Y21)*(T21+AI21)/U21+Y21*(AA21+AJ21)/AB21</f>
        <v/>
      </c>
      <c r="AL21" s="17">
        <f>(AA21+IF(A21&gt;=INDEX(Abilities!$A$33:$A$34,2),INDEX(Abilities!$C$33:$C$34,2)*AG21,IF(A21&gt;=INDEX(Abilities!$A$33:$A$34,1),INDEX(Abilities!$C$33:$C$34,1)*AF21,0))*(I21+W21+G21+A21)*(1+J21)*(1+K21)*Inputs!$C$20)/AB21</f>
        <v/>
      </c>
      <c r="AM21" s="28">
        <f>IFERROR(((1-Y21)*AI21/U21+Y21*AJ21/AB21)/AK21,0)</f>
        <v/>
      </c>
      <c r="AN21" s="8">
        <f>IFERROR(ROUNDUP(C21/T21,0),"-")</f>
        <v/>
      </c>
      <c r="AO21" s="60">
        <f>IFERROR(C21/AK21,"-")</f>
        <v/>
      </c>
      <c r="AP21" s="9">
        <f>MAX(0,(E21+(B21-A21))*(1-R21)*(1-Q21*'Class Table'!$O$6/Inputs!$C$19)-Q21*'Class Table'!$O$6/25)</f>
        <v/>
      </c>
      <c r="AQ21" s="26">
        <f>IFERROR(AP21/F21*AO21,"-")</f>
        <v/>
      </c>
      <c r="AR21" s="28">
        <f>IFERROR(AQ21/O21,"-")</f>
        <v/>
      </c>
      <c r="AS21" s="9">
        <f>IFERROR(O21*Inputs!$C$24/Inputs!$C$22*AO21,"-")</f>
        <v/>
      </c>
      <c r="AT21" s="28">
        <f>IFERROR(MAX(0,AQ21-AS21)/O21,"-")</f>
        <v/>
      </c>
    </row>
    <row r="22">
      <c r="A22" s="8" t="n">
        <v>19</v>
      </c>
      <c r="B22" s="14">
        <f>'Mob by Level'!B22</f>
        <v/>
      </c>
      <c r="C22" s="9">
        <f>'Mob by Level'!C22</f>
        <v/>
      </c>
      <c r="D22" s="9">
        <f>'Mob by Level'!D22</f>
        <v/>
      </c>
      <c r="E22" s="9">
        <f>'Mob by Level'!E22</f>
        <v/>
      </c>
      <c r="F22" s="16">
        <f>'Mob by Level'!F22</f>
        <v/>
      </c>
      <c r="G22" s="14">
        <f>SUMIFS(Gear!$D$4:$D$603,Gear!$A$4:$A$603,A22,Gear!$B$4:$B$603,"Warrior",Gear!$C$4:$C$603,Inputs!$C$5)</f>
        <v/>
      </c>
      <c r="H22" s="14">
        <f>SUMIFS(Gear!$E$4:$E$603,Gear!$A$4:$A$603,A22,Gear!$B$4:$B$603,"Warrior",Gear!$C$4:$C$603,Inputs!$C$5)</f>
        <v/>
      </c>
      <c r="I22" s="14">
        <f>SUMIFS(Gear!$F$4:$F$603,Gear!$A$4:$A$603,A22,Gear!$B$4:$B$603,"Warrior",Gear!$C$4:$C$603,Inputs!$C$5)+Inputs!$C$17*IFERROR(LOOKUP(A22,Abilities!$A$49:$A$53,Abilities!$C$49:$C$53),0)</f>
        <v/>
      </c>
      <c r="J22" s="13">
        <f>SUMIFS(Gear!$J$4:$J$603,Gear!$A$4:$A$603,A22,Gear!$B$4:$B$603,"Warrior",Gear!$C$4:$C$603,Inputs!$C$5)</f>
        <v/>
      </c>
      <c r="K22" s="13">
        <f>SUMIFS(Gear!$K$4:$K$603,Gear!$A$4:$A$603,A22,Gear!$B$4:$B$603,"Warrior",Gear!$C$4:$C$603,Inputs!$C$5)</f>
        <v/>
      </c>
      <c r="L22" s="13">
        <f>SUMIFS(Gear!$L$4:$L$603,Gear!$A$4:$A$603,A22,Gear!$B$4:$B$603,"Warrior",Gear!$C$4:$C$603,Inputs!$C$5)</f>
        <v/>
      </c>
      <c r="M22" s="13">
        <f>SUMIFS(Gear!$M$4:$M$603,Gear!$A$4:$A$603,A22,Gear!$B$4:$B$603,"Warrior",Gear!$C$4:$C$603,Inputs!$C$5)</f>
        <v/>
      </c>
      <c r="N22" s="13">
        <f>SUMIFS(Gear!$N$4:$N$603,Gear!$A$4:$A$603,A22,Gear!$B$4:$B$603,"Warrior",Gear!$C$4:$C$603,Inputs!$C$5)</f>
        <v/>
      </c>
      <c r="O22" s="9">
        <f>INDEX('Class Table'!$E$4:$E$53,A22)+SUMIFS(Gear!$G$4:$G$603,Gear!$A$4:$A$603,A22,Gear!$B$4:$B$603,"Warrior",Gear!$C$4:$C$603,Inputs!$C$5)</f>
        <v/>
      </c>
      <c r="P22" s="9">
        <f>INDEX('Class Table'!$F$4:$F$53,A22)+SUMIFS(Gear!$H$4:$H$603,Gear!$A$4:$A$603,A22,Gear!$B$4:$B$603,"Warrior",Gear!$C$4:$C$603,Inputs!$C$5)</f>
        <v/>
      </c>
      <c r="Q22" s="9">
        <f>INDEX('Class Table'!$G$4:$G$53,A22)+SUMIFS(Gear!$I$4:$I$603,Gear!$A$4:$A$603,A22,Gear!$B$4:$B$603,"Warrior",Gear!$C$4:$C$603,Inputs!$C$5)</f>
        <v/>
      </c>
      <c r="R22" s="13">
        <f>SUMIFS(Gear!$O$4:$O$603,Gear!$A$4:$A$603,A22,Gear!$B$4:$B$603,"Warrior",Gear!$C$4:$C$603,Inputs!$C$5)</f>
        <v/>
      </c>
      <c r="S22" s="26">
        <f>I22+0+G22+A22+MAX(1,A22/2)+(A22-B22)</f>
        <v/>
      </c>
      <c r="T22" s="9">
        <f>MAX(0,S22*(1+M22)*(1+L22)*Inputs!$C$20*(1-D22/Inputs!$C$19)-D22/25)</f>
        <v/>
      </c>
      <c r="U22" s="16">
        <f>H22/10*(1-MIN(0.95,N22+0))*Inputs!$C$21</f>
        <v/>
      </c>
      <c r="V22" s="27">
        <f>T22/U22</f>
        <v/>
      </c>
      <c r="W22" s="14">
        <f>IFERROR(LOOKUP(A22,Abilities!$A$27:$A$29,Abilities!$C$27:$C$29),0)</f>
        <v/>
      </c>
      <c r="X22" s="13">
        <f>IFERROR(LOOKUP(A22,Abilities!$A$27:$A$29,Abilities!$D$27:$D$29),0)</f>
        <v/>
      </c>
      <c r="Y22" s="13">
        <f>Inputs!$C$16*IFERROR(LOOKUP(A22,Abilities!$A$27:$A$29,Abilities!$E$27:$E$29),0)/IFERROR(LOOKUP(A22,Abilities!$A$27:$A$29,Abilities!$F$27:$F$29),1)</f>
        <v/>
      </c>
      <c r="Z22" s="26">
        <f>I22+W22+G22+A22+MAX(1,A22/2)+(A22-B22)</f>
        <v/>
      </c>
      <c r="AA22" s="9">
        <f>MAX(0,Z22*(1+M22)*(1+L22)*Inputs!$C$20*(1-D22/Inputs!$C$19)-D22/25)</f>
        <v/>
      </c>
      <c r="AB22" s="16">
        <f>H22/10*(1-MIN(0.95,N22+X22))*Inputs!$C$21</f>
        <v/>
      </c>
      <c r="AC22" s="27">
        <f>AA22/AB22</f>
        <v/>
      </c>
      <c r="AD22" s="13">
        <f>Inputs!$C$16*IF(A22&gt;=INDEX(Abilities!$A$33:$A$34,1),INDEX(Abilities!$D$33:$D$34,1)/INDEX(Abilities!$E$33:$E$34,1),0)</f>
        <v/>
      </c>
      <c r="AE22" s="13">
        <f>Inputs!$C$16*IF(A22&gt;=INDEX(Abilities!$A$33:$A$34,2),INDEX(Abilities!$D$33:$D$34,2)/INDEX(Abilities!$E$33:$E$34,2),0)</f>
        <v/>
      </c>
      <c r="AF22" s="16">
        <f>CHOOSE(Inputs!$C$13,1,INDEX(Abilities!$J$33:$J$34,1),INDEX(Abilities!$I$33:$I$34,1))</f>
        <v/>
      </c>
      <c r="AG22" s="16">
        <f>CHOOSE(Inputs!$C$13,1,INDEX(Abilities!$J$33:$J$34,2),INDEX(Abilities!$I$33:$I$34,2))</f>
        <v/>
      </c>
      <c r="AH22" s="16">
        <f>INDEX(Abilities!$C$33:$C$34,2)*AG22*AE22+INDEX(Abilities!$C$33:$C$34,1)*AF22*MIN(AD22,1-AE22)</f>
        <v/>
      </c>
      <c r="AI22" s="9">
        <f>AH22*(I22+G22+A22)*(1+J22)*(1+K22)*Inputs!$C$20</f>
        <v/>
      </c>
      <c r="AJ22" s="9">
        <f>AH22*(I22+W22+G22+A22)*(1+J22)*(1+K22)*Inputs!$C$20</f>
        <v/>
      </c>
      <c r="AK22" s="27">
        <f>(1-Y22)*(T22+AI22)/U22+Y22*(AA22+AJ22)/AB22</f>
        <v/>
      </c>
      <c r="AL22" s="17">
        <f>(AA22+IF(A22&gt;=INDEX(Abilities!$A$33:$A$34,2),INDEX(Abilities!$C$33:$C$34,2)*AG22,IF(A22&gt;=INDEX(Abilities!$A$33:$A$34,1),INDEX(Abilities!$C$33:$C$34,1)*AF22,0))*(I22+W22+G22+A22)*(1+J22)*(1+K22)*Inputs!$C$20)/AB22</f>
        <v/>
      </c>
      <c r="AM22" s="28">
        <f>IFERROR(((1-Y22)*AI22/U22+Y22*AJ22/AB22)/AK22,0)</f>
        <v/>
      </c>
      <c r="AN22" s="8">
        <f>IFERROR(ROUNDUP(C22/T22,0),"-")</f>
        <v/>
      </c>
      <c r="AO22" s="60">
        <f>IFERROR(C22/AK22,"-")</f>
        <v/>
      </c>
      <c r="AP22" s="9">
        <f>MAX(0,(E22+(B22-A22))*(1-R22)*(1-Q22*'Class Table'!$O$6/Inputs!$C$19)-Q22*'Class Table'!$O$6/25)</f>
        <v/>
      </c>
      <c r="AQ22" s="26">
        <f>IFERROR(AP22/F22*AO22,"-")</f>
        <v/>
      </c>
      <c r="AR22" s="28">
        <f>IFERROR(AQ22/O22,"-")</f>
        <v/>
      </c>
      <c r="AS22" s="9">
        <f>IFERROR(O22*Inputs!$C$24/Inputs!$C$22*AO22,"-")</f>
        <v/>
      </c>
      <c r="AT22" s="28">
        <f>IFERROR(MAX(0,AQ22-AS22)/O22,"-")</f>
        <v/>
      </c>
    </row>
    <row r="23">
      <c r="A23" s="8" t="n">
        <v>20</v>
      </c>
      <c r="B23" s="14">
        <f>'Mob by Level'!B23</f>
        <v/>
      </c>
      <c r="C23" s="9">
        <f>'Mob by Level'!C23</f>
        <v/>
      </c>
      <c r="D23" s="9">
        <f>'Mob by Level'!D23</f>
        <v/>
      </c>
      <c r="E23" s="9">
        <f>'Mob by Level'!E23</f>
        <v/>
      </c>
      <c r="F23" s="16">
        <f>'Mob by Level'!F23</f>
        <v/>
      </c>
      <c r="G23" s="14">
        <f>SUMIFS(Gear!$D$4:$D$603,Gear!$A$4:$A$603,A23,Gear!$B$4:$B$603,"Warrior",Gear!$C$4:$C$603,Inputs!$C$5)</f>
        <v/>
      </c>
      <c r="H23" s="14">
        <f>SUMIFS(Gear!$E$4:$E$603,Gear!$A$4:$A$603,A23,Gear!$B$4:$B$603,"Warrior",Gear!$C$4:$C$603,Inputs!$C$5)</f>
        <v/>
      </c>
      <c r="I23" s="14">
        <f>SUMIFS(Gear!$F$4:$F$603,Gear!$A$4:$A$603,A23,Gear!$B$4:$B$603,"Warrior",Gear!$C$4:$C$603,Inputs!$C$5)+Inputs!$C$17*IFERROR(LOOKUP(A23,Abilities!$A$49:$A$53,Abilities!$C$49:$C$53),0)</f>
        <v/>
      </c>
      <c r="J23" s="13">
        <f>SUMIFS(Gear!$J$4:$J$603,Gear!$A$4:$A$603,A23,Gear!$B$4:$B$603,"Warrior",Gear!$C$4:$C$603,Inputs!$C$5)</f>
        <v/>
      </c>
      <c r="K23" s="13">
        <f>SUMIFS(Gear!$K$4:$K$603,Gear!$A$4:$A$603,A23,Gear!$B$4:$B$603,"Warrior",Gear!$C$4:$C$603,Inputs!$C$5)</f>
        <v/>
      </c>
      <c r="L23" s="13">
        <f>SUMIFS(Gear!$L$4:$L$603,Gear!$A$4:$A$603,A23,Gear!$B$4:$B$603,"Warrior",Gear!$C$4:$C$603,Inputs!$C$5)</f>
        <v/>
      </c>
      <c r="M23" s="13">
        <f>SUMIFS(Gear!$M$4:$M$603,Gear!$A$4:$A$603,A23,Gear!$B$4:$B$603,"Warrior",Gear!$C$4:$C$603,Inputs!$C$5)</f>
        <v/>
      </c>
      <c r="N23" s="13">
        <f>SUMIFS(Gear!$N$4:$N$603,Gear!$A$4:$A$603,A23,Gear!$B$4:$B$603,"Warrior",Gear!$C$4:$C$603,Inputs!$C$5)</f>
        <v/>
      </c>
      <c r="O23" s="9">
        <f>INDEX('Class Table'!$E$4:$E$53,A23)+SUMIFS(Gear!$G$4:$G$603,Gear!$A$4:$A$603,A23,Gear!$B$4:$B$603,"Warrior",Gear!$C$4:$C$603,Inputs!$C$5)</f>
        <v/>
      </c>
      <c r="P23" s="9">
        <f>INDEX('Class Table'!$F$4:$F$53,A23)+SUMIFS(Gear!$H$4:$H$603,Gear!$A$4:$A$603,A23,Gear!$B$4:$B$603,"Warrior",Gear!$C$4:$C$603,Inputs!$C$5)</f>
        <v/>
      </c>
      <c r="Q23" s="9">
        <f>INDEX('Class Table'!$G$4:$G$53,A23)+SUMIFS(Gear!$I$4:$I$603,Gear!$A$4:$A$603,A23,Gear!$B$4:$B$603,"Warrior",Gear!$C$4:$C$603,Inputs!$C$5)</f>
        <v/>
      </c>
      <c r="R23" s="13">
        <f>SUMIFS(Gear!$O$4:$O$603,Gear!$A$4:$A$603,A23,Gear!$B$4:$B$603,"Warrior",Gear!$C$4:$C$603,Inputs!$C$5)</f>
        <v/>
      </c>
      <c r="S23" s="26">
        <f>I23+0+G23+A23+MAX(1,A23/2)+(A23-B23)</f>
        <v/>
      </c>
      <c r="T23" s="9">
        <f>MAX(0,S23*(1+M23)*(1+L23)*Inputs!$C$20*(1-D23/Inputs!$C$19)-D23/25)</f>
        <v/>
      </c>
      <c r="U23" s="16">
        <f>H23/10*(1-MIN(0.95,N23+0))*Inputs!$C$21</f>
        <v/>
      </c>
      <c r="V23" s="27">
        <f>T23/U23</f>
        <v/>
      </c>
      <c r="W23" s="14">
        <f>IFERROR(LOOKUP(A23,Abilities!$A$27:$A$29,Abilities!$C$27:$C$29),0)</f>
        <v/>
      </c>
      <c r="X23" s="13">
        <f>IFERROR(LOOKUP(A23,Abilities!$A$27:$A$29,Abilities!$D$27:$D$29),0)</f>
        <v/>
      </c>
      <c r="Y23" s="13">
        <f>Inputs!$C$16*IFERROR(LOOKUP(A23,Abilities!$A$27:$A$29,Abilities!$E$27:$E$29),0)/IFERROR(LOOKUP(A23,Abilities!$A$27:$A$29,Abilities!$F$27:$F$29),1)</f>
        <v/>
      </c>
      <c r="Z23" s="26">
        <f>I23+W23+G23+A23+MAX(1,A23/2)+(A23-B23)</f>
        <v/>
      </c>
      <c r="AA23" s="9">
        <f>MAX(0,Z23*(1+M23)*(1+L23)*Inputs!$C$20*(1-D23/Inputs!$C$19)-D23/25)</f>
        <v/>
      </c>
      <c r="AB23" s="16">
        <f>H23/10*(1-MIN(0.95,N23+X23))*Inputs!$C$21</f>
        <v/>
      </c>
      <c r="AC23" s="27">
        <f>AA23/AB23</f>
        <v/>
      </c>
      <c r="AD23" s="13">
        <f>Inputs!$C$16*IF(A23&gt;=INDEX(Abilities!$A$33:$A$34,1),INDEX(Abilities!$D$33:$D$34,1)/INDEX(Abilities!$E$33:$E$34,1),0)</f>
        <v/>
      </c>
      <c r="AE23" s="13">
        <f>Inputs!$C$16*IF(A23&gt;=INDEX(Abilities!$A$33:$A$34,2),INDEX(Abilities!$D$33:$D$34,2)/INDEX(Abilities!$E$33:$E$34,2),0)</f>
        <v/>
      </c>
      <c r="AF23" s="16">
        <f>CHOOSE(Inputs!$C$13,1,INDEX(Abilities!$J$33:$J$34,1),INDEX(Abilities!$I$33:$I$34,1))</f>
        <v/>
      </c>
      <c r="AG23" s="16">
        <f>CHOOSE(Inputs!$C$13,1,INDEX(Abilities!$J$33:$J$34,2),INDEX(Abilities!$I$33:$I$34,2))</f>
        <v/>
      </c>
      <c r="AH23" s="16">
        <f>INDEX(Abilities!$C$33:$C$34,2)*AG23*AE23+INDEX(Abilities!$C$33:$C$34,1)*AF23*MIN(AD23,1-AE23)</f>
        <v/>
      </c>
      <c r="AI23" s="9">
        <f>AH23*(I23+G23+A23)*(1+J23)*(1+K23)*Inputs!$C$20</f>
        <v/>
      </c>
      <c r="AJ23" s="9">
        <f>AH23*(I23+W23+G23+A23)*(1+J23)*(1+K23)*Inputs!$C$20</f>
        <v/>
      </c>
      <c r="AK23" s="27">
        <f>(1-Y23)*(T23+AI23)/U23+Y23*(AA23+AJ23)/AB23</f>
        <v/>
      </c>
      <c r="AL23" s="17">
        <f>(AA23+IF(A23&gt;=INDEX(Abilities!$A$33:$A$34,2),INDEX(Abilities!$C$33:$C$34,2)*AG23,IF(A23&gt;=INDEX(Abilities!$A$33:$A$34,1),INDEX(Abilities!$C$33:$C$34,1)*AF23,0))*(I23+W23+G23+A23)*(1+J23)*(1+K23)*Inputs!$C$20)/AB23</f>
        <v/>
      </c>
      <c r="AM23" s="28">
        <f>IFERROR(((1-Y23)*AI23/U23+Y23*AJ23/AB23)/AK23,0)</f>
        <v/>
      </c>
      <c r="AN23" s="8">
        <f>IFERROR(ROUNDUP(C23/T23,0),"-")</f>
        <v/>
      </c>
      <c r="AO23" s="60">
        <f>IFERROR(C23/AK23,"-")</f>
        <v/>
      </c>
      <c r="AP23" s="9">
        <f>MAX(0,(E23+(B23-A23))*(1-R23)*(1-Q23*'Class Table'!$O$6/Inputs!$C$19)-Q23*'Class Table'!$O$6/25)</f>
        <v/>
      </c>
      <c r="AQ23" s="26">
        <f>IFERROR(AP23/F23*AO23,"-")</f>
        <v/>
      </c>
      <c r="AR23" s="28">
        <f>IFERROR(AQ23/O23,"-")</f>
        <v/>
      </c>
      <c r="AS23" s="9">
        <f>IFERROR(O23*Inputs!$C$24/Inputs!$C$22*AO23,"-")</f>
        <v/>
      </c>
      <c r="AT23" s="28">
        <f>IFERROR(MAX(0,AQ23-AS23)/O23,"-")</f>
        <v/>
      </c>
    </row>
    <row r="24">
      <c r="A24" s="8" t="n">
        <v>21</v>
      </c>
      <c r="B24" s="14">
        <f>'Mob by Level'!B24</f>
        <v/>
      </c>
      <c r="C24" s="9">
        <f>'Mob by Level'!C24</f>
        <v/>
      </c>
      <c r="D24" s="9">
        <f>'Mob by Level'!D24</f>
        <v/>
      </c>
      <c r="E24" s="9">
        <f>'Mob by Level'!E24</f>
        <v/>
      </c>
      <c r="F24" s="16">
        <f>'Mob by Level'!F24</f>
        <v/>
      </c>
      <c r="G24" s="14">
        <f>SUMIFS(Gear!$D$4:$D$603,Gear!$A$4:$A$603,A24,Gear!$B$4:$B$603,"Warrior",Gear!$C$4:$C$603,Inputs!$C$5)</f>
        <v/>
      </c>
      <c r="H24" s="14">
        <f>SUMIFS(Gear!$E$4:$E$603,Gear!$A$4:$A$603,A24,Gear!$B$4:$B$603,"Warrior",Gear!$C$4:$C$603,Inputs!$C$5)</f>
        <v/>
      </c>
      <c r="I24" s="14">
        <f>SUMIFS(Gear!$F$4:$F$603,Gear!$A$4:$A$603,A24,Gear!$B$4:$B$603,"Warrior",Gear!$C$4:$C$603,Inputs!$C$5)+Inputs!$C$17*IFERROR(LOOKUP(A24,Abilities!$A$49:$A$53,Abilities!$C$49:$C$53),0)</f>
        <v/>
      </c>
      <c r="J24" s="13">
        <f>SUMIFS(Gear!$J$4:$J$603,Gear!$A$4:$A$603,A24,Gear!$B$4:$B$603,"Warrior",Gear!$C$4:$C$603,Inputs!$C$5)</f>
        <v/>
      </c>
      <c r="K24" s="13">
        <f>SUMIFS(Gear!$K$4:$K$603,Gear!$A$4:$A$603,A24,Gear!$B$4:$B$603,"Warrior",Gear!$C$4:$C$603,Inputs!$C$5)</f>
        <v/>
      </c>
      <c r="L24" s="13">
        <f>SUMIFS(Gear!$L$4:$L$603,Gear!$A$4:$A$603,A24,Gear!$B$4:$B$603,"Warrior",Gear!$C$4:$C$603,Inputs!$C$5)</f>
        <v/>
      </c>
      <c r="M24" s="13">
        <f>SUMIFS(Gear!$M$4:$M$603,Gear!$A$4:$A$603,A24,Gear!$B$4:$B$603,"Warrior",Gear!$C$4:$C$603,Inputs!$C$5)</f>
        <v/>
      </c>
      <c r="N24" s="13">
        <f>SUMIFS(Gear!$N$4:$N$603,Gear!$A$4:$A$603,A24,Gear!$B$4:$B$603,"Warrior",Gear!$C$4:$C$603,Inputs!$C$5)</f>
        <v/>
      </c>
      <c r="O24" s="9">
        <f>INDEX('Class Table'!$E$4:$E$53,A24)+SUMIFS(Gear!$G$4:$G$603,Gear!$A$4:$A$603,A24,Gear!$B$4:$B$603,"Warrior",Gear!$C$4:$C$603,Inputs!$C$5)</f>
        <v/>
      </c>
      <c r="P24" s="9">
        <f>INDEX('Class Table'!$F$4:$F$53,A24)+SUMIFS(Gear!$H$4:$H$603,Gear!$A$4:$A$603,A24,Gear!$B$4:$B$603,"Warrior",Gear!$C$4:$C$603,Inputs!$C$5)</f>
        <v/>
      </c>
      <c r="Q24" s="9">
        <f>INDEX('Class Table'!$G$4:$G$53,A24)+SUMIFS(Gear!$I$4:$I$603,Gear!$A$4:$A$603,A24,Gear!$B$4:$B$603,"Warrior",Gear!$C$4:$C$603,Inputs!$C$5)</f>
        <v/>
      </c>
      <c r="R24" s="13">
        <f>SUMIFS(Gear!$O$4:$O$603,Gear!$A$4:$A$603,A24,Gear!$B$4:$B$603,"Warrior",Gear!$C$4:$C$603,Inputs!$C$5)</f>
        <v/>
      </c>
      <c r="S24" s="26">
        <f>I24+0+G24+A24+MAX(1,A24/2)+(A24-B24)</f>
        <v/>
      </c>
      <c r="T24" s="9">
        <f>MAX(0,S24*(1+M24)*(1+L24)*Inputs!$C$20*(1-D24/Inputs!$C$19)-D24/25)</f>
        <v/>
      </c>
      <c r="U24" s="16">
        <f>H24/10*(1-MIN(0.95,N24+0))*Inputs!$C$21</f>
        <v/>
      </c>
      <c r="V24" s="27">
        <f>T24/U24</f>
        <v/>
      </c>
      <c r="W24" s="14">
        <f>IFERROR(LOOKUP(A24,Abilities!$A$27:$A$29,Abilities!$C$27:$C$29),0)</f>
        <v/>
      </c>
      <c r="X24" s="13">
        <f>IFERROR(LOOKUP(A24,Abilities!$A$27:$A$29,Abilities!$D$27:$D$29),0)</f>
        <v/>
      </c>
      <c r="Y24" s="13">
        <f>Inputs!$C$16*IFERROR(LOOKUP(A24,Abilities!$A$27:$A$29,Abilities!$E$27:$E$29),0)/IFERROR(LOOKUP(A24,Abilities!$A$27:$A$29,Abilities!$F$27:$F$29),1)</f>
        <v/>
      </c>
      <c r="Z24" s="26">
        <f>I24+W24+G24+A24+MAX(1,A24/2)+(A24-B24)</f>
        <v/>
      </c>
      <c r="AA24" s="9">
        <f>MAX(0,Z24*(1+M24)*(1+L24)*Inputs!$C$20*(1-D24/Inputs!$C$19)-D24/25)</f>
        <v/>
      </c>
      <c r="AB24" s="16">
        <f>H24/10*(1-MIN(0.95,N24+X24))*Inputs!$C$21</f>
        <v/>
      </c>
      <c r="AC24" s="27">
        <f>AA24/AB24</f>
        <v/>
      </c>
      <c r="AD24" s="13">
        <f>Inputs!$C$16*IF(A24&gt;=INDEX(Abilities!$A$33:$A$34,1),INDEX(Abilities!$D$33:$D$34,1)/INDEX(Abilities!$E$33:$E$34,1),0)</f>
        <v/>
      </c>
      <c r="AE24" s="13">
        <f>Inputs!$C$16*IF(A24&gt;=INDEX(Abilities!$A$33:$A$34,2),INDEX(Abilities!$D$33:$D$34,2)/INDEX(Abilities!$E$33:$E$34,2),0)</f>
        <v/>
      </c>
      <c r="AF24" s="16">
        <f>CHOOSE(Inputs!$C$13,1,INDEX(Abilities!$J$33:$J$34,1),INDEX(Abilities!$I$33:$I$34,1))</f>
        <v/>
      </c>
      <c r="AG24" s="16">
        <f>CHOOSE(Inputs!$C$13,1,INDEX(Abilities!$J$33:$J$34,2),INDEX(Abilities!$I$33:$I$34,2))</f>
        <v/>
      </c>
      <c r="AH24" s="16">
        <f>INDEX(Abilities!$C$33:$C$34,2)*AG24*AE24+INDEX(Abilities!$C$33:$C$34,1)*AF24*MIN(AD24,1-AE24)</f>
        <v/>
      </c>
      <c r="AI24" s="9">
        <f>AH24*(I24+G24+A24)*(1+J24)*(1+K24)*Inputs!$C$20</f>
        <v/>
      </c>
      <c r="AJ24" s="9">
        <f>AH24*(I24+W24+G24+A24)*(1+J24)*(1+K24)*Inputs!$C$20</f>
        <v/>
      </c>
      <c r="AK24" s="27">
        <f>(1-Y24)*(T24+AI24)/U24+Y24*(AA24+AJ24)/AB24</f>
        <v/>
      </c>
      <c r="AL24" s="17">
        <f>(AA24+IF(A24&gt;=INDEX(Abilities!$A$33:$A$34,2),INDEX(Abilities!$C$33:$C$34,2)*AG24,IF(A24&gt;=INDEX(Abilities!$A$33:$A$34,1),INDEX(Abilities!$C$33:$C$34,1)*AF24,0))*(I24+W24+G24+A24)*(1+J24)*(1+K24)*Inputs!$C$20)/AB24</f>
        <v/>
      </c>
      <c r="AM24" s="28">
        <f>IFERROR(((1-Y24)*AI24/U24+Y24*AJ24/AB24)/AK24,0)</f>
        <v/>
      </c>
      <c r="AN24" s="8">
        <f>IFERROR(ROUNDUP(C24/T24,0),"-")</f>
        <v/>
      </c>
      <c r="AO24" s="60">
        <f>IFERROR(C24/AK24,"-")</f>
        <v/>
      </c>
      <c r="AP24" s="9">
        <f>MAX(0,(E24+(B24-A24))*(1-R24)*(1-Q24*'Class Table'!$O$6/Inputs!$C$19)-Q24*'Class Table'!$O$6/25)</f>
        <v/>
      </c>
      <c r="AQ24" s="26">
        <f>IFERROR(AP24/F24*AO24,"-")</f>
        <v/>
      </c>
      <c r="AR24" s="28">
        <f>IFERROR(AQ24/O24,"-")</f>
        <v/>
      </c>
      <c r="AS24" s="9">
        <f>IFERROR(O24*Inputs!$C$24/Inputs!$C$22*AO24,"-")</f>
        <v/>
      </c>
      <c r="AT24" s="28">
        <f>IFERROR(MAX(0,AQ24-AS24)/O24,"-")</f>
        <v/>
      </c>
    </row>
    <row r="25">
      <c r="A25" s="8" t="n">
        <v>22</v>
      </c>
      <c r="B25" s="14">
        <f>'Mob by Level'!B25</f>
        <v/>
      </c>
      <c r="C25" s="9">
        <f>'Mob by Level'!C25</f>
        <v/>
      </c>
      <c r="D25" s="9">
        <f>'Mob by Level'!D25</f>
        <v/>
      </c>
      <c r="E25" s="9">
        <f>'Mob by Level'!E25</f>
        <v/>
      </c>
      <c r="F25" s="16">
        <f>'Mob by Level'!F25</f>
        <v/>
      </c>
      <c r="G25" s="14">
        <f>SUMIFS(Gear!$D$4:$D$603,Gear!$A$4:$A$603,A25,Gear!$B$4:$B$603,"Warrior",Gear!$C$4:$C$603,Inputs!$C$5)</f>
        <v/>
      </c>
      <c r="H25" s="14">
        <f>SUMIFS(Gear!$E$4:$E$603,Gear!$A$4:$A$603,A25,Gear!$B$4:$B$603,"Warrior",Gear!$C$4:$C$603,Inputs!$C$5)</f>
        <v/>
      </c>
      <c r="I25" s="14">
        <f>SUMIFS(Gear!$F$4:$F$603,Gear!$A$4:$A$603,A25,Gear!$B$4:$B$603,"Warrior",Gear!$C$4:$C$603,Inputs!$C$5)+Inputs!$C$17*IFERROR(LOOKUP(A25,Abilities!$A$49:$A$53,Abilities!$C$49:$C$53),0)</f>
        <v/>
      </c>
      <c r="J25" s="13">
        <f>SUMIFS(Gear!$J$4:$J$603,Gear!$A$4:$A$603,A25,Gear!$B$4:$B$603,"Warrior",Gear!$C$4:$C$603,Inputs!$C$5)</f>
        <v/>
      </c>
      <c r="K25" s="13">
        <f>SUMIFS(Gear!$K$4:$K$603,Gear!$A$4:$A$603,A25,Gear!$B$4:$B$603,"Warrior",Gear!$C$4:$C$603,Inputs!$C$5)</f>
        <v/>
      </c>
      <c r="L25" s="13">
        <f>SUMIFS(Gear!$L$4:$L$603,Gear!$A$4:$A$603,A25,Gear!$B$4:$B$603,"Warrior",Gear!$C$4:$C$603,Inputs!$C$5)</f>
        <v/>
      </c>
      <c r="M25" s="13">
        <f>SUMIFS(Gear!$M$4:$M$603,Gear!$A$4:$A$603,A25,Gear!$B$4:$B$603,"Warrior",Gear!$C$4:$C$603,Inputs!$C$5)</f>
        <v/>
      </c>
      <c r="N25" s="13">
        <f>SUMIFS(Gear!$N$4:$N$603,Gear!$A$4:$A$603,A25,Gear!$B$4:$B$603,"Warrior",Gear!$C$4:$C$603,Inputs!$C$5)</f>
        <v/>
      </c>
      <c r="O25" s="9">
        <f>INDEX('Class Table'!$E$4:$E$53,A25)+SUMIFS(Gear!$G$4:$G$603,Gear!$A$4:$A$603,A25,Gear!$B$4:$B$603,"Warrior",Gear!$C$4:$C$603,Inputs!$C$5)</f>
        <v/>
      </c>
      <c r="P25" s="9">
        <f>INDEX('Class Table'!$F$4:$F$53,A25)+SUMIFS(Gear!$H$4:$H$603,Gear!$A$4:$A$603,A25,Gear!$B$4:$B$603,"Warrior",Gear!$C$4:$C$603,Inputs!$C$5)</f>
        <v/>
      </c>
      <c r="Q25" s="9">
        <f>INDEX('Class Table'!$G$4:$G$53,A25)+SUMIFS(Gear!$I$4:$I$603,Gear!$A$4:$A$603,A25,Gear!$B$4:$B$603,"Warrior",Gear!$C$4:$C$603,Inputs!$C$5)</f>
        <v/>
      </c>
      <c r="R25" s="13">
        <f>SUMIFS(Gear!$O$4:$O$603,Gear!$A$4:$A$603,A25,Gear!$B$4:$B$603,"Warrior",Gear!$C$4:$C$603,Inputs!$C$5)</f>
        <v/>
      </c>
      <c r="S25" s="26">
        <f>I25+0+G25+A25+MAX(1,A25/2)+(A25-B25)</f>
        <v/>
      </c>
      <c r="T25" s="9">
        <f>MAX(0,S25*(1+M25)*(1+L25)*Inputs!$C$20*(1-D25/Inputs!$C$19)-D25/25)</f>
        <v/>
      </c>
      <c r="U25" s="16">
        <f>H25/10*(1-MIN(0.95,N25+0))*Inputs!$C$21</f>
        <v/>
      </c>
      <c r="V25" s="27">
        <f>T25/U25</f>
        <v/>
      </c>
      <c r="W25" s="14">
        <f>IFERROR(LOOKUP(A25,Abilities!$A$27:$A$29,Abilities!$C$27:$C$29),0)</f>
        <v/>
      </c>
      <c r="X25" s="13">
        <f>IFERROR(LOOKUP(A25,Abilities!$A$27:$A$29,Abilities!$D$27:$D$29),0)</f>
        <v/>
      </c>
      <c r="Y25" s="13">
        <f>Inputs!$C$16*IFERROR(LOOKUP(A25,Abilities!$A$27:$A$29,Abilities!$E$27:$E$29),0)/IFERROR(LOOKUP(A25,Abilities!$A$27:$A$29,Abilities!$F$27:$F$29),1)</f>
        <v/>
      </c>
      <c r="Z25" s="26">
        <f>I25+W25+G25+A25+MAX(1,A25/2)+(A25-B25)</f>
        <v/>
      </c>
      <c r="AA25" s="9">
        <f>MAX(0,Z25*(1+M25)*(1+L25)*Inputs!$C$20*(1-D25/Inputs!$C$19)-D25/25)</f>
        <v/>
      </c>
      <c r="AB25" s="16">
        <f>H25/10*(1-MIN(0.95,N25+X25))*Inputs!$C$21</f>
        <v/>
      </c>
      <c r="AC25" s="27">
        <f>AA25/AB25</f>
        <v/>
      </c>
      <c r="AD25" s="13">
        <f>Inputs!$C$16*IF(A25&gt;=INDEX(Abilities!$A$33:$A$34,1),INDEX(Abilities!$D$33:$D$34,1)/INDEX(Abilities!$E$33:$E$34,1),0)</f>
        <v/>
      </c>
      <c r="AE25" s="13">
        <f>Inputs!$C$16*IF(A25&gt;=INDEX(Abilities!$A$33:$A$34,2),INDEX(Abilities!$D$33:$D$34,2)/INDEX(Abilities!$E$33:$E$34,2),0)</f>
        <v/>
      </c>
      <c r="AF25" s="16">
        <f>CHOOSE(Inputs!$C$13,1,INDEX(Abilities!$J$33:$J$34,1),INDEX(Abilities!$I$33:$I$34,1))</f>
        <v/>
      </c>
      <c r="AG25" s="16">
        <f>CHOOSE(Inputs!$C$13,1,INDEX(Abilities!$J$33:$J$34,2),INDEX(Abilities!$I$33:$I$34,2))</f>
        <v/>
      </c>
      <c r="AH25" s="16">
        <f>INDEX(Abilities!$C$33:$C$34,2)*AG25*AE25+INDEX(Abilities!$C$33:$C$34,1)*AF25*MIN(AD25,1-AE25)</f>
        <v/>
      </c>
      <c r="AI25" s="9">
        <f>AH25*(I25+G25+A25)*(1+J25)*(1+K25)*Inputs!$C$20</f>
        <v/>
      </c>
      <c r="AJ25" s="9">
        <f>AH25*(I25+W25+G25+A25)*(1+J25)*(1+K25)*Inputs!$C$20</f>
        <v/>
      </c>
      <c r="AK25" s="27">
        <f>(1-Y25)*(T25+AI25)/U25+Y25*(AA25+AJ25)/AB25</f>
        <v/>
      </c>
      <c r="AL25" s="17">
        <f>(AA25+IF(A25&gt;=INDEX(Abilities!$A$33:$A$34,2),INDEX(Abilities!$C$33:$C$34,2)*AG25,IF(A25&gt;=INDEX(Abilities!$A$33:$A$34,1),INDEX(Abilities!$C$33:$C$34,1)*AF25,0))*(I25+W25+G25+A25)*(1+J25)*(1+K25)*Inputs!$C$20)/AB25</f>
        <v/>
      </c>
      <c r="AM25" s="28">
        <f>IFERROR(((1-Y25)*AI25/U25+Y25*AJ25/AB25)/AK25,0)</f>
        <v/>
      </c>
      <c r="AN25" s="8">
        <f>IFERROR(ROUNDUP(C25/T25,0),"-")</f>
        <v/>
      </c>
      <c r="AO25" s="60">
        <f>IFERROR(C25/AK25,"-")</f>
        <v/>
      </c>
      <c r="AP25" s="9">
        <f>MAX(0,(E25+(B25-A25))*(1-R25)*(1-Q25*'Class Table'!$O$6/Inputs!$C$19)-Q25*'Class Table'!$O$6/25)</f>
        <v/>
      </c>
      <c r="AQ25" s="26">
        <f>IFERROR(AP25/F25*AO25,"-")</f>
        <v/>
      </c>
      <c r="AR25" s="28">
        <f>IFERROR(AQ25/O25,"-")</f>
        <v/>
      </c>
      <c r="AS25" s="9">
        <f>IFERROR(O25*Inputs!$C$24/Inputs!$C$22*AO25,"-")</f>
        <v/>
      </c>
      <c r="AT25" s="28">
        <f>IFERROR(MAX(0,AQ25-AS25)/O25,"-")</f>
        <v/>
      </c>
    </row>
    <row r="26">
      <c r="A26" s="8" t="n">
        <v>23</v>
      </c>
      <c r="B26" s="14">
        <f>'Mob by Level'!B26</f>
        <v/>
      </c>
      <c r="C26" s="9">
        <f>'Mob by Level'!C26</f>
        <v/>
      </c>
      <c r="D26" s="9">
        <f>'Mob by Level'!D26</f>
        <v/>
      </c>
      <c r="E26" s="9">
        <f>'Mob by Level'!E26</f>
        <v/>
      </c>
      <c r="F26" s="16">
        <f>'Mob by Level'!F26</f>
        <v/>
      </c>
      <c r="G26" s="14">
        <f>SUMIFS(Gear!$D$4:$D$603,Gear!$A$4:$A$603,A26,Gear!$B$4:$B$603,"Warrior",Gear!$C$4:$C$603,Inputs!$C$5)</f>
        <v/>
      </c>
      <c r="H26" s="14">
        <f>SUMIFS(Gear!$E$4:$E$603,Gear!$A$4:$A$603,A26,Gear!$B$4:$B$603,"Warrior",Gear!$C$4:$C$603,Inputs!$C$5)</f>
        <v/>
      </c>
      <c r="I26" s="14">
        <f>SUMIFS(Gear!$F$4:$F$603,Gear!$A$4:$A$603,A26,Gear!$B$4:$B$603,"Warrior",Gear!$C$4:$C$603,Inputs!$C$5)+Inputs!$C$17*IFERROR(LOOKUP(A26,Abilities!$A$49:$A$53,Abilities!$C$49:$C$53),0)</f>
        <v/>
      </c>
      <c r="J26" s="13">
        <f>SUMIFS(Gear!$J$4:$J$603,Gear!$A$4:$A$603,A26,Gear!$B$4:$B$603,"Warrior",Gear!$C$4:$C$603,Inputs!$C$5)</f>
        <v/>
      </c>
      <c r="K26" s="13">
        <f>SUMIFS(Gear!$K$4:$K$603,Gear!$A$4:$A$603,A26,Gear!$B$4:$B$603,"Warrior",Gear!$C$4:$C$603,Inputs!$C$5)</f>
        <v/>
      </c>
      <c r="L26" s="13">
        <f>SUMIFS(Gear!$L$4:$L$603,Gear!$A$4:$A$603,A26,Gear!$B$4:$B$603,"Warrior",Gear!$C$4:$C$603,Inputs!$C$5)</f>
        <v/>
      </c>
      <c r="M26" s="13">
        <f>SUMIFS(Gear!$M$4:$M$603,Gear!$A$4:$A$603,A26,Gear!$B$4:$B$603,"Warrior",Gear!$C$4:$C$603,Inputs!$C$5)</f>
        <v/>
      </c>
      <c r="N26" s="13">
        <f>SUMIFS(Gear!$N$4:$N$603,Gear!$A$4:$A$603,A26,Gear!$B$4:$B$603,"Warrior",Gear!$C$4:$C$603,Inputs!$C$5)</f>
        <v/>
      </c>
      <c r="O26" s="9">
        <f>INDEX('Class Table'!$E$4:$E$53,A26)+SUMIFS(Gear!$G$4:$G$603,Gear!$A$4:$A$603,A26,Gear!$B$4:$B$603,"Warrior",Gear!$C$4:$C$603,Inputs!$C$5)</f>
        <v/>
      </c>
      <c r="P26" s="9">
        <f>INDEX('Class Table'!$F$4:$F$53,A26)+SUMIFS(Gear!$H$4:$H$603,Gear!$A$4:$A$603,A26,Gear!$B$4:$B$603,"Warrior",Gear!$C$4:$C$603,Inputs!$C$5)</f>
        <v/>
      </c>
      <c r="Q26" s="9">
        <f>INDEX('Class Table'!$G$4:$G$53,A26)+SUMIFS(Gear!$I$4:$I$603,Gear!$A$4:$A$603,A26,Gear!$B$4:$B$603,"Warrior",Gear!$C$4:$C$603,Inputs!$C$5)</f>
        <v/>
      </c>
      <c r="R26" s="13">
        <f>SUMIFS(Gear!$O$4:$O$603,Gear!$A$4:$A$603,A26,Gear!$B$4:$B$603,"Warrior",Gear!$C$4:$C$603,Inputs!$C$5)</f>
        <v/>
      </c>
      <c r="S26" s="26">
        <f>I26+0+G26+A26+MAX(1,A26/2)+(A26-B26)</f>
        <v/>
      </c>
      <c r="T26" s="9">
        <f>MAX(0,S26*(1+M26)*(1+L26)*Inputs!$C$20*(1-D26/Inputs!$C$19)-D26/25)</f>
        <v/>
      </c>
      <c r="U26" s="16">
        <f>H26/10*(1-MIN(0.95,N26+0))*Inputs!$C$21</f>
        <v/>
      </c>
      <c r="V26" s="27">
        <f>T26/U26</f>
        <v/>
      </c>
      <c r="W26" s="14">
        <f>IFERROR(LOOKUP(A26,Abilities!$A$27:$A$29,Abilities!$C$27:$C$29),0)</f>
        <v/>
      </c>
      <c r="X26" s="13">
        <f>IFERROR(LOOKUP(A26,Abilities!$A$27:$A$29,Abilities!$D$27:$D$29),0)</f>
        <v/>
      </c>
      <c r="Y26" s="13">
        <f>Inputs!$C$16*IFERROR(LOOKUP(A26,Abilities!$A$27:$A$29,Abilities!$E$27:$E$29),0)/IFERROR(LOOKUP(A26,Abilities!$A$27:$A$29,Abilities!$F$27:$F$29),1)</f>
        <v/>
      </c>
      <c r="Z26" s="26">
        <f>I26+W26+G26+A26+MAX(1,A26/2)+(A26-B26)</f>
        <v/>
      </c>
      <c r="AA26" s="9">
        <f>MAX(0,Z26*(1+M26)*(1+L26)*Inputs!$C$20*(1-D26/Inputs!$C$19)-D26/25)</f>
        <v/>
      </c>
      <c r="AB26" s="16">
        <f>H26/10*(1-MIN(0.95,N26+X26))*Inputs!$C$21</f>
        <v/>
      </c>
      <c r="AC26" s="27">
        <f>AA26/AB26</f>
        <v/>
      </c>
      <c r="AD26" s="13">
        <f>Inputs!$C$16*IF(A26&gt;=INDEX(Abilities!$A$33:$A$34,1),INDEX(Abilities!$D$33:$D$34,1)/INDEX(Abilities!$E$33:$E$34,1),0)</f>
        <v/>
      </c>
      <c r="AE26" s="13">
        <f>Inputs!$C$16*IF(A26&gt;=INDEX(Abilities!$A$33:$A$34,2),INDEX(Abilities!$D$33:$D$34,2)/INDEX(Abilities!$E$33:$E$34,2),0)</f>
        <v/>
      </c>
      <c r="AF26" s="16">
        <f>CHOOSE(Inputs!$C$13,1,INDEX(Abilities!$J$33:$J$34,1),INDEX(Abilities!$I$33:$I$34,1))</f>
        <v/>
      </c>
      <c r="AG26" s="16">
        <f>CHOOSE(Inputs!$C$13,1,INDEX(Abilities!$J$33:$J$34,2),INDEX(Abilities!$I$33:$I$34,2))</f>
        <v/>
      </c>
      <c r="AH26" s="16">
        <f>INDEX(Abilities!$C$33:$C$34,2)*AG26*AE26+INDEX(Abilities!$C$33:$C$34,1)*AF26*MIN(AD26,1-AE26)</f>
        <v/>
      </c>
      <c r="AI26" s="9">
        <f>AH26*(I26+G26+A26)*(1+J26)*(1+K26)*Inputs!$C$20</f>
        <v/>
      </c>
      <c r="AJ26" s="9">
        <f>AH26*(I26+W26+G26+A26)*(1+J26)*(1+K26)*Inputs!$C$20</f>
        <v/>
      </c>
      <c r="AK26" s="27">
        <f>(1-Y26)*(T26+AI26)/U26+Y26*(AA26+AJ26)/AB26</f>
        <v/>
      </c>
      <c r="AL26" s="17">
        <f>(AA26+IF(A26&gt;=INDEX(Abilities!$A$33:$A$34,2),INDEX(Abilities!$C$33:$C$34,2)*AG26,IF(A26&gt;=INDEX(Abilities!$A$33:$A$34,1),INDEX(Abilities!$C$33:$C$34,1)*AF26,0))*(I26+W26+G26+A26)*(1+J26)*(1+K26)*Inputs!$C$20)/AB26</f>
        <v/>
      </c>
      <c r="AM26" s="28">
        <f>IFERROR(((1-Y26)*AI26/U26+Y26*AJ26/AB26)/AK26,0)</f>
        <v/>
      </c>
      <c r="AN26" s="8">
        <f>IFERROR(ROUNDUP(C26/T26,0),"-")</f>
        <v/>
      </c>
      <c r="AO26" s="60">
        <f>IFERROR(C26/AK26,"-")</f>
        <v/>
      </c>
      <c r="AP26" s="9">
        <f>MAX(0,(E26+(B26-A26))*(1-R26)*(1-Q26*'Class Table'!$O$6/Inputs!$C$19)-Q26*'Class Table'!$O$6/25)</f>
        <v/>
      </c>
      <c r="AQ26" s="26">
        <f>IFERROR(AP26/F26*AO26,"-")</f>
        <v/>
      </c>
      <c r="AR26" s="28">
        <f>IFERROR(AQ26/O26,"-")</f>
        <v/>
      </c>
      <c r="AS26" s="9">
        <f>IFERROR(O26*Inputs!$C$24/Inputs!$C$22*AO26,"-")</f>
        <v/>
      </c>
      <c r="AT26" s="28">
        <f>IFERROR(MAX(0,AQ26-AS26)/O26,"-")</f>
        <v/>
      </c>
    </row>
    <row r="27">
      <c r="A27" s="8" t="n">
        <v>24</v>
      </c>
      <c r="B27" s="14">
        <f>'Mob by Level'!B27</f>
        <v/>
      </c>
      <c r="C27" s="9">
        <f>'Mob by Level'!C27</f>
        <v/>
      </c>
      <c r="D27" s="9">
        <f>'Mob by Level'!D27</f>
        <v/>
      </c>
      <c r="E27" s="9">
        <f>'Mob by Level'!E27</f>
        <v/>
      </c>
      <c r="F27" s="16">
        <f>'Mob by Level'!F27</f>
        <v/>
      </c>
      <c r="G27" s="14">
        <f>SUMIFS(Gear!$D$4:$D$603,Gear!$A$4:$A$603,A27,Gear!$B$4:$B$603,"Warrior",Gear!$C$4:$C$603,Inputs!$C$5)</f>
        <v/>
      </c>
      <c r="H27" s="14">
        <f>SUMIFS(Gear!$E$4:$E$603,Gear!$A$4:$A$603,A27,Gear!$B$4:$B$603,"Warrior",Gear!$C$4:$C$603,Inputs!$C$5)</f>
        <v/>
      </c>
      <c r="I27" s="14">
        <f>SUMIFS(Gear!$F$4:$F$603,Gear!$A$4:$A$603,A27,Gear!$B$4:$B$603,"Warrior",Gear!$C$4:$C$603,Inputs!$C$5)+Inputs!$C$17*IFERROR(LOOKUP(A27,Abilities!$A$49:$A$53,Abilities!$C$49:$C$53),0)</f>
        <v/>
      </c>
      <c r="J27" s="13">
        <f>SUMIFS(Gear!$J$4:$J$603,Gear!$A$4:$A$603,A27,Gear!$B$4:$B$603,"Warrior",Gear!$C$4:$C$603,Inputs!$C$5)</f>
        <v/>
      </c>
      <c r="K27" s="13">
        <f>SUMIFS(Gear!$K$4:$K$603,Gear!$A$4:$A$603,A27,Gear!$B$4:$B$603,"Warrior",Gear!$C$4:$C$603,Inputs!$C$5)</f>
        <v/>
      </c>
      <c r="L27" s="13">
        <f>SUMIFS(Gear!$L$4:$L$603,Gear!$A$4:$A$603,A27,Gear!$B$4:$B$603,"Warrior",Gear!$C$4:$C$603,Inputs!$C$5)</f>
        <v/>
      </c>
      <c r="M27" s="13">
        <f>SUMIFS(Gear!$M$4:$M$603,Gear!$A$4:$A$603,A27,Gear!$B$4:$B$603,"Warrior",Gear!$C$4:$C$603,Inputs!$C$5)</f>
        <v/>
      </c>
      <c r="N27" s="13">
        <f>SUMIFS(Gear!$N$4:$N$603,Gear!$A$4:$A$603,A27,Gear!$B$4:$B$603,"Warrior",Gear!$C$4:$C$603,Inputs!$C$5)</f>
        <v/>
      </c>
      <c r="O27" s="9">
        <f>INDEX('Class Table'!$E$4:$E$53,A27)+SUMIFS(Gear!$G$4:$G$603,Gear!$A$4:$A$603,A27,Gear!$B$4:$B$603,"Warrior",Gear!$C$4:$C$603,Inputs!$C$5)</f>
        <v/>
      </c>
      <c r="P27" s="9">
        <f>INDEX('Class Table'!$F$4:$F$53,A27)+SUMIFS(Gear!$H$4:$H$603,Gear!$A$4:$A$603,A27,Gear!$B$4:$B$603,"Warrior",Gear!$C$4:$C$603,Inputs!$C$5)</f>
        <v/>
      </c>
      <c r="Q27" s="9">
        <f>INDEX('Class Table'!$G$4:$G$53,A27)+SUMIFS(Gear!$I$4:$I$603,Gear!$A$4:$A$603,A27,Gear!$B$4:$B$603,"Warrior",Gear!$C$4:$C$603,Inputs!$C$5)</f>
        <v/>
      </c>
      <c r="R27" s="13">
        <f>SUMIFS(Gear!$O$4:$O$603,Gear!$A$4:$A$603,A27,Gear!$B$4:$B$603,"Warrior",Gear!$C$4:$C$603,Inputs!$C$5)</f>
        <v/>
      </c>
      <c r="S27" s="26">
        <f>I27+0+G27+A27+MAX(1,A27/2)+(A27-B27)</f>
        <v/>
      </c>
      <c r="T27" s="9">
        <f>MAX(0,S27*(1+M27)*(1+L27)*Inputs!$C$20*(1-D27/Inputs!$C$19)-D27/25)</f>
        <v/>
      </c>
      <c r="U27" s="16">
        <f>H27/10*(1-MIN(0.95,N27+0))*Inputs!$C$21</f>
        <v/>
      </c>
      <c r="V27" s="27">
        <f>T27/U27</f>
        <v/>
      </c>
      <c r="W27" s="14">
        <f>IFERROR(LOOKUP(A27,Abilities!$A$27:$A$29,Abilities!$C$27:$C$29),0)</f>
        <v/>
      </c>
      <c r="X27" s="13">
        <f>IFERROR(LOOKUP(A27,Abilities!$A$27:$A$29,Abilities!$D$27:$D$29),0)</f>
        <v/>
      </c>
      <c r="Y27" s="13">
        <f>Inputs!$C$16*IFERROR(LOOKUP(A27,Abilities!$A$27:$A$29,Abilities!$E$27:$E$29),0)/IFERROR(LOOKUP(A27,Abilities!$A$27:$A$29,Abilities!$F$27:$F$29),1)</f>
        <v/>
      </c>
      <c r="Z27" s="26">
        <f>I27+W27+G27+A27+MAX(1,A27/2)+(A27-B27)</f>
        <v/>
      </c>
      <c r="AA27" s="9">
        <f>MAX(0,Z27*(1+M27)*(1+L27)*Inputs!$C$20*(1-D27/Inputs!$C$19)-D27/25)</f>
        <v/>
      </c>
      <c r="AB27" s="16">
        <f>H27/10*(1-MIN(0.95,N27+X27))*Inputs!$C$21</f>
        <v/>
      </c>
      <c r="AC27" s="27">
        <f>AA27/AB27</f>
        <v/>
      </c>
      <c r="AD27" s="13">
        <f>Inputs!$C$16*IF(A27&gt;=INDEX(Abilities!$A$33:$A$34,1),INDEX(Abilities!$D$33:$D$34,1)/INDEX(Abilities!$E$33:$E$34,1),0)</f>
        <v/>
      </c>
      <c r="AE27" s="13">
        <f>Inputs!$C$16*IF(A27&gt;=INDEX(Abilities!$A$33:$A$34,2),INDEX(Abilities!$D$33:$D$34,2)/INDEX(Abilities!$E$33:$E$34,2),0)</f>
        <v/>
      </c>
      <c r="AF27" s="16">
        <f>CHOOSE(Inputs!$C$13,1,INDEX(Abilities!$J$33:$J$34,1),INDEX(Abilities!$I$33:$I$34,1))</f>
        <v/>
      </c>
      <c r="AG27" s="16">
        <f>CHOOSE(Inputs!$C$13,1,INDEX(Abilities!$J$33:$J$34,2),INDEX(Abilities!$I$33:$I$34,2))</f>
        <v/>
      </c>
      <c r="AH27" s="16">
        <f>INDEX(Abilities!$C$33:$C$34,2)*AG27*AE27+INDEX(Abilities!$C$33:$C$34,1)*AF27*MIN(AD27,1-AE27)</f>
        <v/>
      </c>
      <c r="AI27" s="9">
        <f>AH27*(I27+G27+A27)*(1+J27)*(1+K27)*Inputs!$C$20</f>
        <v/>
      </c>
      <c r="AJ27" s="9">
        <f>AH27*(I27+W27+G27+A27)*(1+J27)*(1+K27)*Inputs!$C$20</f>
        <v/>
      </c>
      <c r="AK27" s="27">
        <f>(1-Y27)*(T27+AI27)/U27+Y27*(AA27+AJ27)/AB27</f>
        <v/>
      </c>
      <c r="AL27" s="17">
        <f>(AA27+IF(A27&gt;=INDEX(Abilities!$A$33:$A$34,2),INDEX(Abilities!$C$33:$C$34,2)*AG27,IF(A27&gt;=INDEX(Abilities!$A$33:$A$34,1),INDEX(Abilities!$C$33:$C$34,1)*AF27,0))*(I27+W27+G27+A27)*(1+J27)*(1+K27)*Inputs!$C$20)/AB27</f>
        <v/>
      </c>
      <c r="AM27" s="28">
        <f>IFERROR(((1-Y27)*AI27/U27+Y27*AJ27/AB27)/AK27,0)</f>
        <v/>
      </c>
      <c r="AN27" s="8">
        <f>IFERROR(ROUNDUP(C27/T27,0),"-")</f>
        <v/>
      </c>
      <c r="AO27" s="60">
        <f>IFERROR(C27/AK27,"-")</f>
        <v/>
      </c>
      <c r="AP27" s="9">
        <f>MAX(0,(E27+(B27-A27))*(1-R27)*(1-Q27*'Class Table'!$O$6/Inputs!$C$19)-Q27*'Class Table'!$O$6/25)</f>
        <v/>
      </c>
      <c r="AQ27" s="26">
        <f>IFERROR(AP27/F27*AO27,"-")</f>
        <v/>
      </c>
      <c r="AR27" s="28">
        <f>IFERROR(AQ27/O27,"-")</f>
        <v/>
      </c>
      <c r="AS27" s="9">
        <f>IFERROR(O27*Inputs!$C$24/Inputs!$C$22*AO27,"-")</f>
        <v/>
      </c>
      <c r="AT27" s="28">
        <f>IFERROR(MAX(0,AQ27-AS27)/O27,"-")</f>
        <v/>
      </c>
    </row>
    <row r="28">
      <c r="A28" s="8" t="n">
        <v>25</v>
      </c>
      <c r="B28" s="14">
        <f>'Mob by Level'!B28</f>
        <v/>
      </c>
      <c r="C28" s="9">
        <f>'Mob by Level'!C28</f>
        <v/>
      </c>
      <c r="D28" s="9">
        <f>'Mob by Level'!D28</f>
        <v/>
      </c>
      <c r="E28" s="9">
        <f>'Mob by Level'!E28</f>
        <v/>
      </c>
      <c r="F28" s="16">
        <f>'Mob by Level'!F28</f>
        <v/>
      </c>
      <c r="G28" s="14">
        <f>SUMIFS(Gear!$D$4:$D$603,Gear!$A$4:$A$603,A28,Gear!$B$4:$B$603,"Warrior",Gear!$C$4:$C$603,Inputs!$C$5)</f>
        <v/>
      </c>
      <c r="H28" s="14">
        <f>SUMIFS(Gear!$E$4:$E$603,Gear!$A$4:$A$603,A28,Gear!$B$4:$B$603,"Warrior",Gear!$C$4:$C$603,Inputs!$C$5)</f>
        <v/>
      </c>
      <c r="I28" s="14">
        <f>SUMIFS(Gear!$F$4:$F$603,Gear!$A$4:$A$603,A28,Gear!$B$4:$B$603,"Warrior",Gear!$C$4:$C$603,Inputs!$C$5)+Inputs!$C$17*IFERROR(LOOKUP(A28,Abilities!$A$49:$A$53,Abilities!$C$49:$C$53),0)</f>
        <v/>
      </c>
      <c r="J28" s="13">
        <f>SUMIFS(Gear!$J$4:$J$603,Gear!$A$4:$A$603,A28,Gear!$B$4:$B$603,"Warrior",Gear!$C$4:$C$603,Inputs!$C$5)</f>
        <v/>
      </c>
      <c r="K28" s="13">
        <f>SUMIFS(Gear!$K$4:$K$603,Gear!$A$4:$A$603,A28,Gear!$B$4:$B$603,"Warrior",Gear!$C$4:$C$603,Inputs!$C$5)</f>
        <v/>
      </c>
      <c r="L28" s="13">
        <f>SUMIFS(Gear!$L$4:$L$603,Gear!$A$4:$A$603,A28,Gear!$B$4:$B$603,"Warrior",Gear!$C$4:$C$603,Inputs!$C$5)</f>
        <v/>
      </c>
      <c r="M28" s="13">
        <f>SUMIFS(Gear!$M$4:$M$603,Gear!$A$4:$A$603,A28,Gear!$B$4:$B$603,"Warrior",Gear!$C$4:$C$603,Inputs!$C$5)</f>
        <v/>
      </c>
      <c r="N28" s="13">
        <f>SUMIFS(Gear!$N$4:$N$603,Gear!$A$4:$A$603,A28,Gear!$B$4:$B$603,"Warrior",Gear!$C$4:$C$603,Inputs!$C$5)</f>
        <v/>
      </c>
      <c r="O28" s="9">
        <f>INDEX('Class Table'!$E$4:$E$53,A28)+SUMIFS(Gear!$G$4:$G$603,Gear!$A$4:$A$603,A28,Gear!$B$4:$B$603,"Warrior",Gear!$C$4:$C$603,Inputs!$C$5)</f>
        <v/>
      </c>
      <c r="P28" s="9">
        <f>INDEX('Class Table'!$F$4:$F$53,A28)+SUMIFS(Gear!$H$4:$H$603,Gear!$A$4:$A$603,A28,Gear!$B$4:$B$603,"Warrior",Gear!$C$4:$C$603,Inputs!$C$5)</f>
        <v/>
      </c>
      <c r="Q28" s="9">
        <f>INDEX('Class Table'!$G$4:$G$53,A28)+SUMIFS(Gear!$I$4:$I$603,Gear!$A$4:$A$603,A28,Gear!$B$4:$B$603,"Warrior",Gear!$C$4:$C$603,Inputs!$C$5)</f>
        <v/>
      </c>
      <c r="R28" s="13">
        <f>SUMIFS(Gear!$O$4:$O$603,Gear!$A$4:$A$603,A28,Gear!$B$4:$B$603,"Warrior",Gear!$C$4:$C$603,Inputs!$C$5)</f>
        <v/>
      </c>
      <c r="S28" s="26">
        <f>I28+0+G28+A28+MAX(1,A28/2)+(A28-B28)</f>
        <v/>
      </c>
      <c r="T28" s="9">
        <f>MAX(0,S28*(1+M28)*(1+L28)*Inputs!$C$20*(1-D28/Inputs!$C$19)-D28/25)</f>
        <v/>
      </c>
      <c r="U28" s="16">
        <f>H28/10*(1-MIN(0.95,N28+0))*Inputs!$C$21</f>
        <v/>
      </c>
      <c r="V28" s="27">
        <f>T28/U28</f>
        <v/>
      </c>
      <c r="W28" s="14">
        <f>IFERROR(LOOKUP(A28,Abilities!$A$27:$A$29,Abilities!$C$27:$C$29),0)</f>
        <v/>
      </c>
      <c r="X28" s="13">
        <f>IFERROR(LOOKUP(A28,Abilities!$A$27:$A$29,Abilities!$D$27:$D$29),0)</f>
        <v/>
      </c>
      <c r="Y28" s="13">
        <f>Inputs!$C$16*IFERROR(LOOKUP(A28,Abilities!$A$27:$A$29,Abilities!$E$27:$E$29),0)/IFERROR(LOOKUP(A28,Abilities!$A$27:$A$29,Abilities!$F$27:$F$29),1)</f>
        <v/>
      </c>
      <c r="Z28" s="26">
        <f>I28+W28+G28+A28+MAX(1,A28/2)+(A28-B28)</f>
        <v/>
      </c>
      <c r="AA28" s="9">
        <f>MAX(0,Z28*(1+M28)*(1+L28)*Inputs!$C$20*(1-D28/Inputs!$C$19)-D28/25)</f>
        <v/>
      </c>
      <c r="AB28" s="16">
        <f>H28/10*(1-MIN(0.95,N28+X28))*Inputs!$C$21</f>
        <v/>
      </c>
      <c r="AC28" s="27">
        <f>AA28/AB28</f>
        <v/>
      </c>
      <c r="AD28" s="13">
        <f>Inputs!$C$16*IF(A28&gt;=INDEX(Abilities!$A$33:$A$34,1),INDEX(Abilities!$D$33:$D$34,1)/INDEX(Abilities!$E$33:$E$34,1),0)</f>
        <v/>
      </c>
      <c r="AE28" s="13">
        <f>Inputs!$C$16*IF(A28&gt;=INDEX(Abilities!$A$33:$A$34,2),INDEX(Abilities!$D$33:$D$34,2)/INDEX(Abilities!$E$33:$E$34,2),0)</f>
        <v/>
      </c>
      <c r="AF28" s="16">
        <f>CHOOSE(Inputs!$C$13,1,INDEX(Abilities!$J$33:$J$34,1),INDEX(Abilities!$I$33:$I$34,1))</f>
        <v/>
      </c>
      <c r="AG28" s="16">
        <f>CHOOSE(Inputs!$C$13,1,INDEX(Abilities!$J$33:$J$34,2),INDEX(Abilities!$I$33:$I$34,2))</f>
        <v/>
      </c>
      <c r="AH28" s="16">
        <f>INDEX(Abilities!$C$33:$C$34,2)*AG28*AE28+INDEX(Abilities!$C$33:$C$34,1)*AF28*MIN(AD28,1-AE28)</f>
        <v/>
      </c>
      <c r="AI28" s="9">
        <f>AH28*(I28+G28+A28)*(1+J28)*(1+K28)*Inputs!$C$20</f>
        <v/>
      </c>
      <c r="AJ28" s="9">
        <f>AH28*(I28+W28+G28+A28)*(1+J28)*(1+K28)*Inputs!$C$20</f>
        <v/>
      </c>
      <c r="AK28" s="27">
        <f>(1-Y28)*(T28+AI28)/U28+Y28*(AA28+AJ28)/AB28</f>
        <v/>
      </c>
      <c r="AL28" s="17">
        <f>(AA28+IF(A28&gt;=INDEX(Abilities!$A$33:$A$34,2),INDEX(Abilities!$C$33:$C$34,2)*AG28,IF(A28&gt;=INDEX(Abilities!$A$33:$A$34,1),INDEX(Abilities!$C$33:$C$34,1)*AF28,0))*(I28+W28+G28+A28)*(1+J28)*(1+K28)*Inputs!$C$20)/AB28</f>
        <v/>
      </c>
      <c r="AM28" s="28">
        <f>IFERROR(((1-Y28)*AI28/U28+Y28*AJ28/AB28)/AK28,0)</f>
        <v/>
      </c>
      <c r="AN28" s="8">
        <f>IFERROR(ROUNDUP(C28/T28,0),"-")</f>
        <v/>
      </c>
      <c r="AO28" s="60">
        <f>IFERROR(C28/AK28,"-")</f>
        <v/>
      </c>
      <c r="AP28" s="9">
        <f>MAX(0,(E28+(B28-A28))*(1-R28)*(1-Q28*'Class Table'!$O$6/Inputs!$C$19)-Q28*'Class Table'!$O$6/25)</f>
        <v/>
      </c>
      <c r="AQ28" s="26">
        <f>IFERROR(AP28/F28*AO28,"-")</f>
        <v/>
      </c>
      <c r="AR28" s="28">
        <f>IFERROR(AQ28/O28,"-")</f>
        <v/>
      </c>
      <c r="AS28" s="9">
        <f>IFERROR(O28*Inputs!$C$24/Inputs!$C$22*AO28,"-")</f>
        <v/>
      </c>
      <c r="AT28" s="28">
        <f>IFERROR(MAX(0,AQ28-AS28)/O28,"-")</f>
        <v/>
      </c>
    </row>
    <row r="29">
      <c r="A29" s="8" t="n">
        <v>26</v>
      </c>
      <c r="B29" s="14">
        <f>'Mob by Level'!B29</f>
        <v/>
      </c>
      <c r="C29" s="9">
        <f>'Mob by Level'!C29</f>
        <v/>
      </c>
      <c r="D29" s="9">
        <f>'Mob by Level'!D29</f>
        <v/>
      </c>
      <c r="E29" s="9">
        <f>'Mob by Level'!E29</f>
        <v/>
      </c>
      <c r="F29" s="16">
        <f>'Mob by Level'!F29</f>
        <v/>
      </c>
      <c r="G29" s="14">
        <f>SUMIFS(Gear!$D$4:$D$603,Gear!$A$4:$A$603,A29,Gear!$B$4:$B$603,"Warrior",Gear!$C$4:$C$603,Inputs!$C$5)</f>
        <v/>
      </c>
      <c r="H29" s="14">
        <f>SUMIFS(Gear!$E$4:$E$603,Gear!$A$4:$A$603,A29,Gear!$B$4:$B$603,"Warrior",Gear!$C$4:$C$603,Inputs!$C$5)</f>
        <v/>
      </c>
      <c r="I29" s="14">
        <f>SUMIFS(Gear!$F$4:$F$603,Gear!$A$4:$A$603,A29,Gear!$B$4:$B$603,"Warrior",Gear!$C$4:$C$603,Inputs!$C$5)+Inputs!$C$17*IFERROR(LOOKUP(A29,Abilities!$A$49:$A$53,Abilities!$C$49:$C$53),0)</f>
        <v/>
      </c>
      <c r="J29" s="13">
        <f>SUMIFS(Gear!$J$4:$J$603,Gear!$A$4:$A$603,A29,Gear!$B$4:$B$603,"Warrior",Gear!$C$4:$C$603,Inputs!$C$5)</f>
        <v/>
      </c>
      <c r="K29" s="13">
        <f>SUMIFS(Gear!$K$4:$K$603,Gear!$A$4:$A$603,A29,Gear!$B$4:$B$603,"Warrior",Gear!$C$4:$C$603,Inputs!$C$5)</f>
        <v/>
      </c>
      <c r="L29" s="13">
        <f>SUMIFS(Gear!$L$4:$L$603,Gear!$A$4:$A$603,A29,Gear!$B$4:$B$603,"Warrior",Gear!$C$4:$C$603,Inputs!$C$5)</f>
        <v/>
      </c>
      <c r="M29" s="13">
        <f>SUMIFS(Gear!$M$4:$M$603,Gear!$A$4:$A$603,A29,Gear!$B$4:$B$603,"Warrior",Gear!$C$4:$C$603,Inputs!$C$5)</f>
        <v/>
      </c>
      <c r="N29" s="13">
        <f>SUMIFS(Gear!$N$4:$N$603,Gear!$A$4:$A$603,A29,Gear!$B$4:$B$603,"Warrior",Gear!$C$4:$C$603,Inputs!$C$5)</f>
        <v/>
      </c>
      <c r="O29" s="9">
        <f>INDEX('Class Table'!$E$4:$E$53,A29)+SUMIFS(Gear!$G$4:$G$603,Gear!$A$4:$A$603,A29,Gear!$B$4:$B$603,"Warrior",Gear!$C$4:$C$603,Inputs!$C$5)</f>
        <v/>
      </c>
      <c r="P29" s="9">
        <f>INDEX('Class Table'!$F$4:$F$53,A29)+SUMIFS(Gear!$H$4:$H$603,Gear!$A$4:$A$603,A29,Gear!$B$4:$B$603,"Warrior",Gear!$C$4:$C$603,Inputs!$C$5)</f>
        <v/>
      </c>
      <c r="Q29" s="9">
        <f>INDEX('Class Table'!$G$4:$G$53,A29)+SUMIFS(Gear!$I$4:$I$603,Gear!$A$4:$A$603,A29,Gear!$B$4:$B$603,"Warrior",Gear!$C$4:$C$603,Inputs!$C$5)</f>
        <v/>
      </c>
      <c r="R29" s="13">
        <f>SUMIFS(Gear!$O$4:$O$603,Gear!$A$4:$A$603,A29,Gear!$B$4:$B$603,"Warrior",Gear!$C$4:$C$603,Inputs!$C$5)</f>
        <v/>
      </c>
      <c r="S29" s="26">
        <f>I29+0+G29+A29+MAX(1,A29/2)+(A29-B29)</f>
        <v/>
      </c>
      <c r="T29" s="9">
        <f>MAX(0,S29*(1+M29)*(1+L29)*Inputs!$C$20*(1-D29/Inputs!$C$19)-D29/25)</f>
        <v/>
      </c>
      <c r="U29" s="16">
        <f>H29/10*(1-MIN(0.95,N29+0))*Inputs!$C$21</f>
        <v/>
      </c>
      <c r="V29" s="27">
        <f>T29/U29</f>
        <v/>
      </c>
      <c r="W29" s="14">
        <f>IFERROR(LOOKUP(A29,Abilities!$A$27:$A$29,Abilities!$C$27:$C$29),0)</f>
        <v/>
      </c>
      <c r="X29" s="13">
        <f>IFERROR(LOOKUP(A29,Abilities!$A$27:$A$29,Abilities!$D$27:$D$29),0)</f>
        <v/>
      </c>
      <c r="Y29" s="13">
        <f>Inputs!$C$16*IFERROR(LOOKUP(A29,Abilities!$A$27:$A$29,Abilities!$E$27:$E$29),0)/IFERROR(LOOKUP(A29,Abilities!$A$27:$A$29,Abilities!$F$27:$F$29),1)</f>
        <v/>
      </c>
      <c r="Z29" s="26">
        <f>I29+W29+G29+A29+MAX(1,A29/2)+(A29-B29)</f>
        <v/>
      </c>
      <c r="AA29" s="9">
        <f>MAX(0,Z29*(1+M29)*(1+L29)*Inputs!$C$20*(1-D29/Inputs!$C$19)-D29/25)</f>
        <v/>
      </c>
      <c r="AB29" s="16">
        <f>H29/10*(1-MIN(0.95,N29+X29))*Inputs!$C$21</f>
        <v/>
      </c>
      <c r="AC29" s="27">
        <f>AA29/AB29</f>
        <v/>
      </c>
      <c r="AD29" s="13">
        <f>Inputs!$C$16*IF(A29&gt;=INDEX(Abilities!$A$33:$A$34,1),INDEX(Abilities!$D$33:$D$34,1)/INDEX(Abilities!$E$33:$E$34,1),0)</f>
        <v/>
      </c>
      <c r="AE29" s="13">
        <f>Inputs!$C$16*IF(A29&gt;=INDEX(Abilities!$A$33:$A$34,2),INDEX(Abilities!$D$33:$D$34,2)/INDEX(Abilities!$E$33:$E$34,2),0)</f>
        <v/>
      </c>
      <c r="AF29" s="16">
        <f>CHOOSE(Inputs!$C$13,1,INDEX(Abilities!$J$33:$J$34,1),INDEX(Abilities!$I$33:$I$34,1))</f>
        <v/>
      </c>
      <c r="AG29" s="16">
        <f>CHOOSE(Inputs!$C$13,1,INDEX(Abilities!$J$33:$J$34,2),INDEX(Abilities!$I$33:$I$34,2))</f>
        <v/>
      </c>
      <c r="AH29" s="16">
        <f>INDEX(Abilities!$C$33:$C$34,2)*AG29*AE29+INDEX(Abilities!$C$33:$C$34,1)*AF29*MIN(AD29,1-AE29)</f>
        <v/>
      </c>
      <c r="AI29" s="9">
        <f>AH29*(I29+G29+A29)*(1+J29)*(1+K29)*Inputs!$C$20</f>
        <v/>
      </c>
      <c r="AJ29" s="9">
        <f>AH29*(I29+W29+G29+A29)*(1+J29)*(1+K29)*Inputs!$C$20</f>
        <v/>
      </c>
      <c r="AK29" s="27">
        <f>(1-Y29)*(T29+AI29)/U29+Y29*(AA29+AJ29)/AB29</f>
        <v/>
      </c>
      <c r="AL29" s="17">
        <f>(AA29+IF(A29&gt;=INDEX(Abilities!$A$33:$A$34,2),INDEX(Abilities!$C$33:$C$34,2)*AG29,IF(A29&gt;=INDEX(Abilities!$A$33:$A$34,1),INDEX(Abilities!$C$33:$C$34,1)*AF29,0))*(I29+W29+G29+A29)*(1+J29)*(1+K29)*Inputs!$C$20)/AB29</f>
        <v/>
      </c>
      <c r="AM29" s="28">
        <f>IFERROR(((1-Y29)*AI29/U29+Y29*AJ29/AB29)/AK29,0)</f>
        <v/>
      </c>
      <c r="AN29" s="8">
        <f>IFERROR(ROUNDUP(C29/T29,0),"-")</f>
        <v/>
      </c>
      <c r="AO29" s="60">
        <f>IFERROR(C29/AK29,"-")</f>
        <v/>
      </c>
      <c r="AP29" s="9">
        <f>MAX(0,(E29+(B29-A29))*(1-R29)*(1-Q29*'Class Table'!$O$6/Inputs!$C$19)-Q29*'Class Table'!$O$6/25)</f>
        <v/>
      </c>
      <c r="AQ29" s="26">
        <f>IFERROR(AP29/F29*AO29,"-")</f>
        <v/>
      </c>
      <c r="AR29" s="28">
        <f>IFERROR(AQ29/O29,"-")</f>
        <v/>
      </c>
      <c r="AS29" s="9">
        <f>IFERROR(O29*Inputs!$C$24/Inputs!$C$22*AO29,"-")</f>
        <v/>
      </c>
      <c r="AT29" s="28">
        <f>IFERROR(MAX(0,AQ29-AS29)/O29,"-")</f>
        <v/>
      </c>
    </row>
    <row r="30">
      <c r="A30" s="8" t="n">
        <v>27</v>
      </c>
      <c r="B30" s="14">
        <f>'Mob by Level'!B30</f>
        <v/>
      </c>
      <c r="C30" s="9">
        <f>'Mob by Level'!C30</f>
        <v/>
      </c>
      <c r="D30" s="9">
        <f>'Mob by Level'!D30</f>
        <v/>
      </c>
      <c r="E30" s="9">
        <f>'Mob by Level'!E30</f>
        <v/>
      </c>
      <c r="F30" s="16">
        <f>'Mob by Level'!F30</f>
        <v/>
      </c>
      <c r="G30" s="14">
        <f>SUMIFS(Gear!$D$4:$D$603,Gear!$A$4:$A$603,A30,Gear!$B$4:$B$603,"Warrior",Gear!$C$4:$C$603,Inputs!$C$5)</f>
        <v/>
      </c>
      <c r="H30" s="14">
        <f>SUMIFS(Gear!$E$4:$E$603,Gear!$A$4:$A$603,A30,Gear!$B$4:$B$603,"Warrior",Gear!$C$4:$C$603,Inputs!$C$5)</f>
        <v/>
      </c>
      <c r="I30" s="14">
        <f>SUMIFS(Gear!$F$4:$F$603,Gear!$A$4:$A$603,A30,Gear!$B$4:$B$603,"Warrior",Gear!$C$4:$C$603,Inputs!$C$5)+Inputs!$C$17*IFERROR(LOOKUP(A30,Abilities!$A$49:$A$53,Abilities!$C$49:$C$53),0)</f>
        <v/>
      </c>
      <c r="J30" s="13">
        <f>SUMIFS(Gear!$J$4:$J$603,Gear!$A$4:$A$603,A30,Gear!$B$4:$B$603,"Warrior",Gear!$C$4:$C$603,Inputs!$C$5)</f>
        <v/>
      </c>
      <c r="K30" s="13">
        <f>SUMIFS(Gear!$K$4:$K$603,Gear!$A$4:$A$603,A30,Gear!$B$4:$B$603,"Warrior",Gear!$C$4:$C$603,Inputs!$C$5)</f>
        <v/>
      </c>
      <c r="L30" s="13">
        <f>SUMIFS(Gear!$L$4:$L$603,Gear!$A$4:$A$603,A30,Gear!$B$4:$B$603,"Warrior",Gear!$C$4:$C$603,Inputs!$C$5)</f>
        <v/>
      </c>
      <c r="M30" s="13">
        <f>SUMIFS(Gear!$M$4:$M$603,Gear!$A$4:$A$603,A30,Gear!$B$4:$B$603,"Warrior",Gear!$C$4:$C$603,Inputs!$C$5)</f>
        <v/>
      </c>
      <c r="N30" s="13">
        <f>SUMIFS(Gear!$N$4:$N$603,Gear!$A$4:$A$603,A30,Gear!$B$4:$B$603,"Warrior",Gear!$C$4:$C$603,Inputs!$C$5)</f>
        <v/>
      </c>
      <c r="O30" s="9">
        <f>INDEX('Class Table'!$E$4:$E$53,A30)+SUMIFS(Gear!$G$4:$G$603,Gear!$A$4:$A$603,A30,Gear!$B$4:$B$603,"Warrior",Gear!$C$4:$C$603,Inputs!$C$5)</f>
        <v/>
      </c>
      <c r="P30" s="9">
        <f>INDEX('Class Table'!$F$4:$F$53,A30)+SUMIFS(Gear!$H$4:$H$603,Gear!$A$4:$A$603,A30,Gear!$B$4:$B$603,"Warrior",Gear!$C$4:$C$603,Inputs!$C$5)</f>
        <v/>
      </c>
      <c r="Q30" s="9">
        <f>INDEX('Class Table'!$G$4:$G$53,A30)+SUMIFS(Gear!$I$4:$I$603,Gear!$A$4:$A$603,A30,Gear!$B$4:$B$603,"Warrior",Gear!$C$4:$C$603,Inputs!$C$5)</f>
        <v/>
      </c>
      <c r="R30" s="13">
        <f>SUMIFS(Gear!$O$4:$O$603,Gear!$A$4:$A$603,A30,Gear!$B$4:$B$603,"Warrior",Gear!$C$4:$C$603,Inputs!$C$5)</f>
        <v/>
      </c>
      <c r="S30" s="26">
        <f>I30+0+G30+A30+MAX(1,A30/2)+(A30-B30)</f>
        <v/>
      </c>
      <c r="T30" s="9">
        <f>MAX(0,S30*(1+M30)*(1+L30)*Inputs!$C$20*(1-D30/Inputs!$C$19)-D30/25)</f>
        <v/>
      </c>
      <c r="U30" s="16">
        <f>H30/10*(1-MIN(0.95,N30+0))*Inputs!$C$21</f>
        <v/>
      </c>
      <c r="V30" s="27">
        <f>T30/U30</f>
        <v/>
      </c>
      <c r="W30" s="14">
        <f>IFERROR(LOOKUP(A30,Abilities!$A$27:$A$29,Abilities!$C$27:$C$29),0)</f>
        <v/>
      </c>
      <c r="X30" s="13">
        <f>IFERROR(LOOKUP(A30,Abilities!$A$27:$A$29,Abilities!$D$27:$D$29),0)</f>
        <v/>
      </c>
      <c r="Y30" s="13">
        <f>Inputs!$C$16*IFERROR(LOOKUP(A30,Abilities!$A$27:$A$29,Abilities!$E$27:$E$29),0)/IFERROR(LOOKUP(A30,Abilities!$A$27:$A$29,Abilities!$F$27:$F$29),1)</f>
        <v/>
      </c>
      <c r="Z30" s="26">
        <f>I30+W30+G30+A30+MAX(1,A30/2)+(A30-B30)</f>
        <v/>
      </c>
      <c r="AA30" s="9">
        <f>MAX(0,Z30*(1+M30)*(1+L30)*Inputs!$C$20*(1-D30/Inputs!$C$19)-D30/25)</f>
        <v/>
      </c>
      <c r="AB30" s="16">
        <f>H30/10*(1-MIN(0.95,N30+X30))*Inputs!$C$21</f>
        <v/>
      </c>
      <c r="AC30" s="27">
        <f>AA30/AB30</f>
        <v/>
      </c>
      <c r="AD30" s="13">
        <f>Inputs!$C$16*IF(A30&gt;=INDEX(Abilities!$A$33:$A$34,1),INDEX(Abilities!$D$33:$D$34,1)/INDEX(Abilities!$E$33:$E$34,1),0)</f>
        <v/>
      </c>
      <c r="AE30" s="13">
        <f>Inputs!$C$16*IF(A30&gt;=INDEX(Abilities!$A$33:$A$34,2),INDEX(Abilities!$D$33:$D$34,2)/INDEX(Abilities!$E$33:$E$34,2),0)</f>
        <v/>
      </c>
      <c r="AF30" s="16">
        <f>CHOOSE(Inputs!$C$13,1,INDEX(Abilities!$J$33:$J$34,1),INDEX(Abilities!$I$33:$I$34,1))</f>
        <v/>
      </c>
      <c r="AG30" s="16">
        <f>CHOOSE(Inputs!$C$13,1,INDEX(Abilities!$J$33:$J$34,2),INDEX(Abilities!$I$33:$I$34,2))</f>
        <v/>
      </c>
      <c r="AH30" s="16">
        <f>INDEX(Abilities!$C$33:$C$34,2)*AG30*AE30+INDEX(Abilities!$C$33:$C$34,1)*AF30*MIN(AD30,1-AE30)</f>
        <v/>
      </c>
      <c r="AI30" s="9">
        <f>AH30*(I30+G30+A30)*(1+J30)*(1+K30)*Inputs!$C$20</f>
        <v/>
      </c>
      <c r="AJ30" s="9">
        <f>AH30*(I30+W30+G30+A30)*(1+J30)*(1+K30)*Inputs!$C$20</f>
        <v/>
      </c>
      <c r="AK30" s="27">
        <f>(1-Y30)*(T30+AI30)/U30+Y30*(AA30+AJ30)/AB30</f>
        <v/>
      </c>
      <c r="AL30" s="17">
        <f>(AA30+IF(A30&gt;=INDEX(Abilities!$A$33:$A$34,2),INDEX(Abilities!$C$33:$C$34,2)*AG30,IF(A30&gt;=INDEX(Abilities!$A$33:$A$34,1),INDEX(Abilities!$C$33:$C$34,1)*AF30,0))*(I30+W30+G30+A30)*(1+J30)*(1+K30)*Inputs!$C$20)/AB30</f>
        <v/>
      </c>
      <c r="AM30" s="28">
        <f>IFERROR(((1-Y30)*AI30/U30+Y30*AJ30/AB30)/AK30,0)</f>
        <v/>
      </c>
      <c r="AN30" s="8">
        <f>IFERROR(ROUNDUP(C30/T30,0),"-")</f>
        <v/>
      </c>
      <c r="AO30" s="60">
        <f>IFERROR(C30/AK30,"-")</f>
        <v/>
      </c>
      <c r="AP30" s="9">
        <f>MAX(0,(E30+(B30-A30))*(1-R30)*(1-Q30*'Class Table'!$O$6/Inputs!$C$19)-Q30*'Class Table'!$O$6/25)</f>
        <v/>
      </c>
      <c r="AQ30" s="26">
        <f>IFERROR(AP30/F30*AO30,"-")</f>
        <v/>
      </c>
      <c r="AR30" s="28">
        <f>IFERROR(AQ30/O30,"-")</f>
        <v/>
      </c>
      <c r="AS30" s="9">
        <f>IFERROR(O30*Inputs!$C$24/Inputs!$C$22*AO30,"-")</f>
        <v/>
      </c>
      <c r="AT30" s="28">
        <f>IFERROR(MAX(0,AQ30-AS30)/O30,"-")</f>
        <v/>
      </c>
    </row>
    <row r="31">
      <c r="A31" s="8" t="n">
        <v>28</v>
      </c>
      <c r="B31" s="14">
        <f>'Mob by Level'!B31</f>
        <v/>
      </c>
      <c r="C31" s="9">
        <f>'Mob by Level'!C31</f>
        <v/>
      </c>
      <c r="D31" s="9">
        <f>'Mob by Level'!D31</f>
        <v/>
      </c>
      <c r="E31" s="9">
        <f>'Mob by Level'!E31</f>
        <v/>
      </c>
      <c r="F31" s="16">
        <f>'Mob by Level'!F31</f>
        <v/>
      </c>
      <c r="G31" s="14">
        <f>SUMIFS(Gear!$D$4:$D$603,Gear!$A$4:$A$603,A31,Gear!$B$4:$B$603,"Warrior",Gear!$C$4:$C$603,Inputs!$C$5)</f>
        <v/>
      </c>
      <c r="H31" s="14">
        <f>SUMIFS(Gear!$E$4:$E$603,Gear!$A$4:$A$603,A31,Gear!$B$4:$B$603,"Warrior",Gear!$C$4:$C$603,Inputs!$C$5)</f>
        <v/>
      </c>
      <c r="I31" s="14">
        <f>SUMIFS(Gear!$F$4:$F$603,Gear!$A$4:$A$603,A31,Gear!$B$4:$B$603,"Warrior",Gear!$C$4:$C$603,Inputs!$C$5)+Inputs!$C$17*IFERROR(LOOKUP(A31,Abilities!$A$49:$A$53,Abilities!$C$49:$C$53),0)</f>
        <v/>
      </c>
      <c r="J31" s="13">
        <f>SUMIFS(Gear!$J$4:$J$603,Gear!$A$4:$A$603,A31,Gear!$B$4:$B$603,"Warrior",Gear!$C$4:$C$603,Inputs!$C$5)</f>
        <v/>
      </c>
      <c r="K31" s="13">
        <f>SUMIFS(Gear!$K$4:$K$603,Gear!$A$4:$A$603,A31,Gear!$B$4:$B$603,"Warrior",Gear!$C$4:$C$603,Inputs!$C$5)</f>
        <v/>
      </c>
      <c r="L31" s="13">
        <f>SUMIFS(Gear!$L$4:$L$603,Gear!$A$4:$A$603,A31,Gear!$B$4:$B$603,"Warrior",Gear!$C$4:$C$603,Inputs!$C$5)</f>
        <v/>
      </c>
      <c r="M31" s="13">
        <f>SUMIFS(Gear!$M$4:$M$603,Gear!$A$4:$A$603,A31,Gear!$B$4:$B$603,"Warrior",Gear!$C$4:$C$603,Inputs!$C$5)</f>
        <v/>
      </c>
      <c r="N31" s="13">
        <f>SUMIFS(Gear!$N$4:$N$603,Gear!$A$4:$A$603,A31,Gear!$B$4:$B$603,"Warrior",Gear!$C$4:$C$603,Inputs!$C$5)</f>
        <v/>
      </c>
      <c r="O31" s="9">
        <f>INDEX('Class Table'!$E$4:$E$53,A31)+SUMIFS(Gear!$G$4:$G$603,Gear!$A$4:$A$603,A31,Gear!$B$4:$B$603,"Warrior",Gear!$C$4:$C$603,Inputs!$C$5)</f>
        <v/>
      </c>
      <c r="P31" s="9">
        <f>INDEX('Class Table'!$F$4:$F$53,A31)+SUMIFS(Gear!$H$4:$H$603,Gear!$A$4:$A$603,A31,Gear!$B$4:$B$603,"Warrior",Gear!$C$4:$C$603,Inputs!$C$5)</f>
        <v/>
      </c>
      <c r="Q31" s="9">
        <f>INDEX('Class Table'!$G$4:$G$53,A31)+SUMIFS(Gear!$I$4:$I$603,Gear!$A$4:$A$603,A31,Gear!$B$4:$B$603,"Warrior",Gear!$C$4:$C$603,Inputs!$C$5)</f>
        <v/>
      </c>
      <c r="R31" s="13">
        <f>SUMIFS(Gear!$O$4:$O$603,Gear!$A$4:$A$603,A31,Gear!$B$4:$B$603,"Warrior",Gear!$C$4:$C$603,Inputs!$C$5)</f>
        <v/>
      </c>
      <c r="S31" s="26">
        <f>I31+0+G31+A31+MAX(1,A31/2)+(A31-B31)</f>
        <v/>
      </c>
      <c r="T31" s="9">
        <f>MAX(0,S31*(1+M31)*(1+L31)*Inputs!$C$20*(1-D31/Inputs!$C$19)-D31/25)</f>
        <v/>
      </c>
      <c r="U31" s="16">
        <f>H31/10*(1-MIN(0.95,N31+0))*Inputs!$C$21</f>
        <v/>
      </c>
      <c r="V31" s="27">
        <f>T31/U31</f>
        <v/>
      </c>
      <c r="W31" s="14">
        <f>IFERROR(LOOKUP(A31,Abilities!$A$27:$A$29,Abilities!$C$27:$C$29),0)</f>
        <v/>
      </c>
      <c r="X31" s="13">
        <f>IFERROR(LOOKUP(A31,Abilities!$A$27:$A$29,Abilities!$D$27:$D$29),0)</f>
        <v/>
      </c>
      <c r="Y31" s="13">
        <f>Inputs!$C$16*IFERROR(LOOKUP(A31,Abilities!$A$27:$A$29,Abilities!$E$27:$E$29),0)/IFERROR(LOOKUP(A31,Abilities!$A$27:$A$29,Abilities!$F$27:$F$29),1)</f>
        <v/>
      </c>
      <c r="Z31" s="26">
        <f>I31+W31+G31+A31+MAX(1,A31/2)+(A31-B31)</f>
        <v/>
      </c>
      <c r="AA31" s="9">
        <f>MAX(0,Z31*(1+M31)*(1+L31)*Inputs!$C$20*(1-D31/Inputs!$C$19)-D31/25)</f>
        <v/>
      </c>
      <c r="AB31" s="16">
        <f>H31/10*(1-MIN(0.95,N31+X31))*Inputs!$C$21</f>
        <v/>
      </c>
      <c r="AC31" s="27">
        <f>AA31/AB31</f>
        <v/>
      </c>
      <c r="AD31" s="13">
        <f>Inputs!$C$16*IF(A31&gt;=INDEX(Abilities!$A$33:$A$34,1),INDEX(Abilities!$D$33:$D$34,1)/INDEX(Abilities!$E$33:$E$34,1),0)</f>
        <v/>
      </c>
      <c r="AE31" s="13">
        <f>Inputs!$C$16*IF(A31&gt;=INDEX(Abilities!$A$33:$A$34,2),INDEX(Abilities!$D$33:$D$34,2)/INDEX(Abilities!$E$33:$E$34,2),0)</f>
        <v/>
      </c>
      <c r="AF31" s="16">
        <f>CHOOSE(Inputs!$C$13,1,INDEX(Abilities!$J$33:$J$34,1),INDEX(Abilities!$I$33:$I$34,1))</f>
        <v/>
      </c>
      <c r="AG31" s="16">
        <f>CHOOSE(Inputs!$C$13,1,INDEX(Abilities!$J$33:$J$34,2),INDEX(Abilities!$I$33:$I$34,2))</f>
        <v/>
      </c>
      <c r="AH31" s="16">
        <f>INDEX(Abilities!$C$33:$C$34,2)*AG31*AE31+INDEX(Abilities!$C$33:$C$34,1)*AF31*MIN(AD31,1-AE31)</f>
        <v/>
      </c>
      <c r="AI31" s="9">
        <f>AH31*(I31+G31+A31)*(1+J31)*(1+K31)*Inputs!$C$20</f>
        <v/>
      </c>
      <c r="AJ31" s="9">
        <f>AH31*(I31+W31+G31+A31)*(1+J31)*(1+K31)*Inputs!$C$20</f>
        <v/>
      </c>
      <c r="AK31" s="27">
        <f>(1-Y31)*(T31+AI31)/U31+Y31*(AA31+AJ31)/AB31</f>
        <v/>
      </c>
      <c r="AL31" s="17">
        <f>(AA31+IF(A31&gt;=INDEX(Abilities!$A$33:$A$34,2),INDEX(Abilities!$C$33:$C$34,2)*AG31,IF(A31&gt;=INDEX(Abilities!$A$33:$A$34,1),INDEX(Abilities!$C$33:$C$34,1)*AF31,0))*(I31+W31+G31+A31)*(1+J31)*(1+K31)*Inputs!$C$20)/AB31</f>
        <v/>
      </c>
      <c r="AM31" s="28">
        <f>IFERROR(((1-Y31)*AI31/U31+Y31*AJ31/AB31)/AK31,0)</f>
        <v/>
      </c>
      <c r="AN31" s="8">
        <f>IFERROR(ROUNDUP(C31/T31,0),"-")</f>
        <v/>
      </c>
      <c r="AO31" s="60">
        <f>IFERROR(C31/AK31,"-")</f>
        <v/>
      </c>
      <c r="AP31" s="9">
        <f>MAX(0,(E31+(B31-A31))*(1-R31)*(1-Q31*'Class Table'!$O$6/Inputs!$C$19)-Q31*'Class Table'!$O$6/25)</f>
        <v/>
      </c>
      <c r="AQ31" s="26">
        <f>IFERROR(AP31/F31*AO31,"-")</f>
        <v/>
      </c>
      <c r="AR31" s="28">
        <f>IFERROR(AQ31/O31,"-")</f>
        <v/>
      </c>
      <c r="AS31" s="9">
        <f>IFERROR(O31*Inputs!$C$24/Inputs!$C$22*AO31,"-")</f>
        <v/>
      </c>
      <c r="AT31" s="28">
        <f>IFERROR(MAX(0,AQ31-AS31)/O31,"-")</f>
        <v/>
      </c>
    </row>
    <row r="32">
      <c r="A32" s="8" t="n">
        <v>29</v>
      </c>
      <c r="B32" s="14">
        <f>'Mob by Level'!B32</f>
        <v/>
      </c>
      <c r="C32" s="9">
        <f>'Mob by Level'!C32</f>
        <v/>
      </c>
      <c r="D32" s="9">
        <f>'Mob by Level'!D32</f>
        <v/>
      </c>
      <c r="E32" s="9">
        <f>'Mob by Level'!E32</f>
        <v/>
      </c>
      <c r="F32" s="16">
        <f>'Mob by Level'!F32</f>
        <v/>
      </c>
      <c r="G32" s="14">
        <f>SUMIFS(Gear!$D$4:$D$603,Gear!$A$4:$A$603,A32,Gear!$B$4:$B$603,"Warrior",Gear!$C$4:$C$603,Inputs!$C$5)</f>
        <v/>
      </c>
      <c r="H32" s="14">
        <f>SUMIFS(Gear!$E$4:$E$603,Gear!$A$4:$A$603,A32,Gear!$B$4:$B$603,"Warrior",Gear!$C$4:$C$603,Inputs!$C$5)</f>
        <v/>
      </c>
      <c r="I32" s="14">
        <f>SUMIFS(Gear!$F$4:$F$603,Gear!$A$4:$A$603,A32,Gear!$B$4:$B$603,"Warrior",Gear!$C$4:$C$603,Inputs!$C$5)+Inputs!$C$17*IFERROR(LOOKUP(A32,Abilities!$A$49:$A$53,Abilities!$C$49:$C$53),0)</f>
        <v/>
      </c>
      <c r="J32" s="13">
        <f>SUMIFS(Gear!$J$4:$J$603,Gear!$A$4:$A$603,A32,Gear!$B$4:$B$603,"Warrior",Gear!$C$4:$C$603,Inputs!$C$5)</f>
        <v/>
      </c>
      <c r="K32" s="13">
        <f>SUMIFS(Gear!$K$4:$K$603,Gear!$A$4:$A$603,A32,Gear!$B$4:$B$603,"Warrior",Gear!$C$4:$C$603,Inputs!$C$5)</f>
        <v/>
      </c>
      <c r="L32" s="13">
        <f>SUMIFS(Gear!$L$4:$L$603,Gear!$A$4:$A$603,A32,Gear!$B$4:$B$603,"Warrior",Gear!$C$4:$C$603,Inputs!$C$5)</f>
        <v/>
      </c>
      <c r="M32" s="13">
        <f>SUMIFS(Gear!$M$4:$M$603,Gear!$A$4:$A$603,A32,Gear!$B$4:$B$603,"Warrior",Gear!$C$4:$C$603,Inputs!$C$5)</f>
        <v/>
      </c>
      <c r="N32" s="13">
        <f>SUMIFS(Gear!$N$4:$N$603,Gear!$A$4:$A$603,A32,Gear!$B$4:$B$603,"Warrior",Gear!$C$4:$C$603,Inputs!$C$5)</f>
        <v/>
      </c>
      <c r="O32" s="9">
        <f>INDEX('Class Table'!$E$4:$E$53,A32)+SUMIFS(Gear!$G$4:$G$603,Gear!$A$4:$A$603,A32,Gear!$B$4:$B$603,"Warrior",Gear!$C$4:$C$603,Inputs!$C$5)</f>
        <v/>
      </c>
      <c r="P32" s="9">
        <f>INDEX('Class Table'!$F$4:$F$53,A32)+SUMIFS(Gear!$H$4:$H$603,Gear!$A$4:$A$603,A32,Gear!$B$4:$B$603,"Warrior",Gear!$C$4:$C$603,Inputs!$C$5)</f>
        <v/>
      </c>
      <c r="Q32" s="9">
        <f>INDEX('Class Table'!$G$4:$G$53,A32)+SUMIFS(Gear!$I$4:$I$603,Gear!$A$4:$A$603,A32,Gear!$B$4:$B$603,"Warrior",Gear!$C$4:$C$603,Inputs!$C$5)</f>
        <v/>
      </c>
      <c r="R32" s="13">
        <f>SUMIFS(Gear!$O$4:$O$603,Gear!$A$4:$A$603,A32,Gear!$B$4:$B$603,"Warrior",Gear!$C$4:$C$603,Inputs!$C$5)</f>
        <v/>
      </c>
      <c r="S32" s="26">
        <f>I32+0+G32+A32+MAX(1,A32/2)+(A32-B32)</f>
        <v/>
      </c>
      <c r="T32" s="9">
        <f>MAX(0,S32*(1+M32)*(1+L32)*Inputs!$C$20*(1-D32/Inputs!$C$19)-D32/25)</f>
        <v/>
      </c>
      <c r="U32" s="16">
        <f>H32/10*(1-MIN(0.95,N32+0))*Inputs!$C$21</f>
        <v/>
      </c>
      <c r="V32" s="27">
        <f>T32/U32</f>
        <v/>
      </c>
      <c r="W32" s="14">
        <f>IFERROR(LOOKUP(A32,Abilities!$A$27:$A$29,Abilities!$C$27:$C$29),0)</f>
        <v/>
      </c>
      <c r="X32" s="13">
        <f>IFERROR(LOOKUP(A32,Abilities!$A$27:$A$29,Abilities!$D$27:$D$29),0)</f>
        <v/>
      </c>
      <c r="Y32" s="13">
        <f>Inputs!$C$16*IFERROR(LOOKUP(A32,Abilities!$A$27:$A$29,Abilities!$E$27:$E$29),0)/IFERROR(LOOKUP(A32,Abilities!$A$27:$A$29,Abilities!$F$27:$F$29),1)</f>
        <v/>
      </c>
      <c r="Z32" s="26">
        <f>I32+W32+G32+A32+MAX(1,A32/2)+(A32-B32)</f>
        <v/>
      </c>
      <c r="AA32" s="9">
        <f>MAX(0,Z32*(1+M32)*(1+L32)*Inputs!$C$20*(1-D32/Inputs!$C$19)-D32/25)</f>
        <v/>
      </c>
      <c r="AB32" s="16">
        <f>H32/10*(1-MIN(0.95,N32+X32))*Inputs!$C$21</f>
        <v/>
      </c>
      <c r="AC32" s="27">
        <f>AA32/AB32</f>
        <v/>
      </c>
      <c r="AD32" s="13">
        <f>Inputs!$C$16*IF(A32&gt;=INDEX(Abilities!$A$33:$A$34,1),INDEX(Abilities!$D$33:$D$34,1)/INDEX(Abilities!$E$33:$E$34,1),0)</f>
        <v/>
      </c>
      <c r="AE32" s="13">
        <f>Inputs!$C$16*IF(A32&gt;=INDEX(Abilities!$A$33:$A$34,2),INDEX(Abilities!$D$33:$D$34,2)/INDEX(Abilities!$E$33:$E$34,2),0)</f>
        <v/>
      </c>
      <c r="AF32" s="16">
        <f>CHOOSE(Inputs!$C$13,1,INDEX(Abilities!$J$33:$J$34,1),INDEX(Abilities!$I$33:$I$34,1))</f>
        <v/>
      </c>
      <c r="AG32" s="16">
        <f>CHOOSE(Inputs!$C$13,1,INDEX(Abilities!$J$33:$J$34,2),INDEX(Abilities!$I$33:$I$34,2))</f>
        <v/>
      </c>
      <c r="AH32" s="16">
        <f>INDEX(Abilities!$C$33:$C$34,2)*AG32*AE32+INDEX(Abilities!$C$33:$C$34,1)*AF32*MIN(AD32,1-AE32)</f>
        <v/>
      </c>
      <c r="AI32" s="9">
        <f>AH32*(I32+G32+A32)*(1+J32)*(1+K32)*Inputs!$C$20</f>
        <v/>
      </c>
      <c r="AJ32" s="9">
        <f>AH32*(I32+W32+G32+A32)*(1+J32)*(1+K32)*Inputs!$C$20</f>
        <v/>
      </c>
      <c r="AK32" s="27">
        <f>(1-Y32)*(T32+AI32)/U32+Y32*(AA32+AJ32)/AB32</f>
        <v/>
      </c>
      <c r="AL32" s="17">
        <f>(AA32+IF(A32&gt;=INDEX(Abilities!$A$33:$A$34,2),INDEX(Abilities!$C$33:$C$34,2)*AG32,IF(A32&gt;=INDEX(Abilities!$A$33:$A$34,1),INDEX(Abilities!$C$33:$C$34,1)*AF32,0))*(I32+W32+G32+A32)*(1+J32)*(1+K32)*Inputs!$C$20)/AB32</f>
        <v/>
      </c>
      <c r="AM32" s="28">
        <f>IFERROR(((1-Y32)*AI32/U32+Y32*AJ32/AB32)/AK32,0)</f>
        <v/>
      </c>
      <c r="AN32" s="8">
        <f>IFERROR(ROUNDUP(C32/T32,0),"-")</f>
        <v/>
      </c>
      <c r="AO32" s="60">
        <f>IFERROR(C32/AK32,"-")</f>
        <v/>
      </c>
      <c r="AP32" s="9">
        <f>MAX(0,(E32+(B32-A32))*(1-R32)*(1-Q32*'Class Table'!$O$6/Inputs!$C$19)-Q32*'Class Table'!$O$6/25)</f>
        <v/>
      </c>
      <c r="AQ32" s="26">
        <f>IFERROR(AP32/F32*AO32,"-")</f>
        <v/>
      </c>
      <c r="AR32" s="28">
        <f>IFERROR(AQ32/O32,"-")</f>
        <v/>
      </c>
      <c r="AS32" s="9">
        <f>IFERROR(O32*Inputs!$C$24/Inputs!$C$22*AO32,"-")</f>
        <v/>
      </c>
      <c r="AT32" s="28">
        <f>IFERROR(MAX(0,AQ32-AS32)/O32,"-")</f>
        <v/>
      </c>
    </row>
    <row r="33">
      <c r="A33" s="8" t="n">
        <v>30</v>
      </c>
      <c r="B33" s="14">
        <f>'Mob by Level'!B33</f>
        <v/>
      </c>
      <c r="C33" s="9">
        <f>'Mob by Level'!C33</f>
        <v/>
      </c>
      <c r="D33" s="9">
        <f>'Mob by Level'!D33</f>
        <v/>
      </c>
      <c r="E33" s="9">
        <f>'Mob by Level'!E33</f>
        <v/>
      </c>
      <c r="F33" s="16">
        <f>'Mob by Level'!F33</f>
        <v/>
      </c>
      <c r="G33" s="14">
        <f>SUMIFS(Gear!$D$4:$D$603,Gear!$A$4:$A$603,A33,Gear!$B$4:$B$603,"Warrior",Gear!$C$4:$C$603,Inputs!$C$5)</f>
        <v/>
      </c>
      <c r="H33" s="14">
        <f>SUMIFS(Gear!$E$4:$E$603,Gear!$A$4:$A$603,A33,Gear!$B$4:$B$603,"Warrior",Gear!$C$4:$C$603,Inputs!$C$5)</f>
        <v/>
      </c>
      <c r="I33" s="14">
        <f>SUMIFS(Gear!$F$4:$F$603,Gear!$A$4:$A$603,A33,Gear!$B$4:$B$603,"Warrior",Gear!$C$4:$C$603,Inputs!$C$5)+Inputs!$C$17*IFERROR(LOOKUP(A33,Abilities!$A$49:$A$53,Abilities!$C$49:$C$53),0)</f>
        <v/>
      </c>
      <c r="J33" s="13">
        <f>SUMIFS(Gear!$J$4:$J$603,Gear!$A$4:$A$603,A33,Gear!$B$4:$B$603,"Warrior",Gear!$C$4:$C$603,Inputs!$C$5)</f>
        <v/>
      </c>
      <c r="K33" s="13">
        <f>SUMIFS(Gear!$K$4:$K$603,Gear!$A$4:$A$603,A33,Gear!$B$4:$B$603,"Warrior",Gear!$C$4:$C$603,Inputs!$C$5)</f>
        <v/>
      </c>
      <c r="L33" s="13">
        <f>SUMIFS(Gear!$L$4:$L$603,Gear!$A$4:$A$603,A33,Gear!$B$4:$B$603,"Warrior",Gear!$C$4:$C$603,Inputs!$C$5)</f>
        <v/>
      </c>
      <c r="M33" s="13">
        <f>SUMIFS(Gear!$M$4:$M$603,Gear!$A$4:$A$603,A33,Gear!$B$4:$B$603,"Warrior",Gear!$C$4:$C$603,Inputs!$C$5)</f>
        <v/>
      </c>
      <c r="N33" s="13">
        <f>SUMIFS(Gear!$N$4:$N$603,Gear!$A$4:$A$603,A33,Gear!$B$4:$B$603,"Warrior",Gear!$C$4:$C$603,Inputs!$C$5)</f>
        <v/>
      </c>
      <c r="O33" s="9">
        <f>INDEX('Class Table'!$E$4:$E$53,A33)+SUMIFS(Gear!$G$4:$G$603,Gear!$A$4:$A$603,A33,Gear!$B$4:$B$603,"Warrior",Gear!$C$4:$C$603,Inputs!$C$5)</f>
        <v/>
      </c>
      <c r="P33" s="9">
        <f>INDEX('Class Table'!$F$4:$F$53,A33)+SUMIFS(Gear!$H$4:$H$603,Gear!$A$4:$A$603,A33,Gear!$B$4:$B$603,"Warrior",Gear!$C$4:$C$603,Inputs!$C$5)</f>
        <v/>
      </c>
      <c r="Q33" s="9">
        <f>INDEX('Class Table'!$G$4:$G$53,A33)+SUMIFS(Gear!$I$4:$I$603,Gear!$A$4:$A$603,A33,Gear!$B$4:$B$603,"Warrior",Gear!$C$4:$C$603,Inputs!$C$5)</f>
        <v/>
      </c>
      <c r="R33" s="13">
        <f>SUMIFS(Gear!$O$4:$O$603,Gear!$A$4:$A$603,A33,Gear!$B$4:$B$603,"Warrior",Gear!$C$4:$C$603,Inputs!$C$5)</f>
        <v/>
      </c>
      <c r="S33" s="26">
        <f>I33+0+G33+A33+MAX(1,A33/2)+(A33-B33)</f>
        <v/>
      </c>
      <c r="T33" s="9">
        <f>MAX(0,S33*(1+M33)*(1+L33)*Inputs!$C$20*(1-D33/Inputs!$C$19)-D33/25)</f>
        <v/>
      </c>
      <c r="U33" s="16">
        <f>H33/10*(1-MIN(0.95,N33+0))*Inputs!$C$21</f>
        <v/>
      </c>
      <c r="V33" s="27">
        <f>T33/U33</f>
        <v/>
      </c>
      <c r="W33" s="14">
        <f>IFERROR(LOOKUP(A33,Abilities!$A$27:$A$29,Abilities!$C$27:$C$29),0)</f>
        <v/>
      </c>
      <c r="X33" s="13">
        <f>IFERROR(LOOKUP(A33,Abilities!$A$27:$A$29,Abilities!$D$27:$D$29),0)</f>
        <v/>
      </c>
      <c r="Y33" s="13">
        <f>Inputs!$C$16*IFERROR(LOOKUP(A33,Abilities!$A$27:$A$29,Abilities!$E$27:$E$29),0)/IFERROR(LOOKUP(A33,Abilities!$A$27:$A$29,Abilities!$F$27:$F$29),1)</f>
        <v/>
      </c>
      <c r="Z33" s="26">
        <f>I33+W33+G33+A33+MAX(1,A33/2)+(A33-B33)</f>
        <v/>
      </c>
      <c r="AA33" s="9">
        <f>MAX(0,Z33*(1+M33)*(1+L33)*Inputs!$C$20*(1-D33/Inputs!$C$19)-D33/25)</f>
        <v/>
      </c>
      <c r="AB33" s="16">
        <f>H33/10*(1-MIN(0.95,N33+X33))*Inputs!$C$21</f>
        <v/>
      </c>
      <c r="AC33" s="27">
        <f>AA33/AB33</f>
        <v/>
      </c>
      <c r="AD33" s="13">
        <f>Inputs!$C$16*IF(A33&gt;=INDEX(Abilities!$A$33:$A$34,1),INDEX(Abilities!$D$33:$D$34,1)/INDEX(Abilities!$E$33:$E$34,1),0)</f>
        <v/>
      </c>
      <c r="AE33" s="13">
        <f>Inputs!$C$16*IF(A33&gt;=INDEX(Abilities!$A$33:$A$34,2),INDEX(Abilities!$D$33:$D$34,2)/INDEX(Abilities!$E$33:$E$34,2),0)</f>
        <v/>
      </c>
      <c r="AF33" s="16">
        <f>CHOOSE(Inputs!$C$13,1,INDEX(Abilities!$J$33:$J$34,1),INDEX(Abilities!$I$33:$I$34,1))</f>
        <v/>
      </c>
      <c r="AG33" s="16">
        <f>CHOOSE(Inputs!$C$13,1,INDEX(Abilities!$J$33:$J$34,2),INDEX(Abilities!$I$33:$I$34,2))</f>
        <v/>
      </c>
      <c r="AH33" s="16">
        <f>INDEX(Abilities!$C$33:$C$34,2)*AG33*AE33+INDEX(Abilities!$C$33:$C$34,1)*AF33*MIN(AD33,1-AE33)</f>
        <v/>
      </c>
      <c r="AI33" s="9">
        <f>AH33*(I33+G33+A33)*(1+J33)*(1+K33)*Inputs!$C$20</f>
        <v/>
      </c>
      <c r="AJ33" s="9">
        <f>AH33*(I33+W33+G33+A33)*(1+J33)*(1+K33)*Inputs!$C$20</f>
        <v/>
      </c>
      <c r="AK33" s="27">
        <f>(1-Y33)*(T33+AI33)/U33+Y33*(AA33+AJ33)/AB33</f>
        <v/>
      </c>
      <c r="AL33" s="17">
        <f>(AA33+IF(A33&gt;=INDEX(Abilities!$A$33:$A$34,2),INDEX(Abilities!$C$33:$C$34,2)*AG33,IF(A33&gt;=INDEX(Abilities!$A$33:$A$34,1),INDEX(Abilities!$C$33:$C$34,1)*AF33,0))*(I33+W33+G33+A33)*(1+J33)*(1+K33)*Inputs!$C$20)/AB33</f>
        <v/>
      </c>
      <c r="AM33" s="28">
        <f>IFERROR(((1-Y33)*AI33/U33+Y33*AJ33/AB33)/AK33,0)</f>
        <v/>
      </c>
      <c r="AN33" s="8">
        <f>IFERROR(ROUNDUP(C33/T33,0),"-")</f>
        <v/>
      </c>
      <c r="AO33" s="60">
        <f>IFERROR(C33/AK33,"-")</f>
        <v/>
      </c>
      <c r="AP33" s="9">
        <f>MAX(0,(E33+(B33-A33))*(1-R33)*(1-Q33*'Class Table'!$O$6/Inputs!$C$19)-Q33*'Class Table'!$O$6/25)</f>
        <v/>
      </c>
      <c r="AQ33" s="26">
        <f>IFERROR(AP33/F33*AO33,"-")</f>
        <v/>
      </c>
      <c r="AR33" s="28">
        <f>IFERROR(AQ33/O33,"-")</f>
        <v/>
      </c>
      <c r="AS33" s="9">
        <f>IFERROR(O33*Inputs!$C$24/Inputs!$C$22*AO33,"-")</f>
        <v/>
      </c>
      <c r="AT33" s="28">
        <f>IFERROR(MAX(0,AQ33-AS33)/O33,"-")</f>
        <v/>
      </c>
    </row>
    <row r="34">
      <c r="A34" s="8" t="n">
        <v>31</v>
      </c>
      <c r="B34" s="14">
        <f>'Mob by Level'!B34</f>
        <v/>
      </c>
      <c r="C34" s="9">
        <f>'Mob by Level'!C34</f>
        <v/>
      </c>
      <c r="D34" s="9">
        <f>'Mob by Level'!D34</f>
        <v/>
      </c>
      <c r="E34" s="9">
        <f>'Mob by Level'!E34</f>
        <v/>
      </c>
      <c r="F34" s="16">
        <f>'Mob by Level'!F34</f>
        <v/>
      </c>
      <c r="G34" s="14">
        <f>SUMIFS(Gear!$D$4:$D$603,Gear!$A$4:$A$603,A34,Gear!$B$4:$B$603,"Warrior",Gear!$C$4:$C$603,Inputs!$C$5)</f>
        <v/>
      </c>
      <c r="H34" s="14">
        <f>SUMIFS(Gear!$E$4:$E$603,Gear!$A$4:$A$603,A34,Gear!$B$4:$B$603,"Warrior",Gear!$C$4:$C$603,Inputs!$C$5)</f>
        <v/>
      </c>
      <c r="I34" s="14">
        <f>SUMIFS(Gear!$F$4:$F$603,Gear!$A$4:$A$603,A34,Gear!$B$4:$B$603,"Warrior",Gear!$C$4:$C$603,Inputs!$C$5)+Inputs!$C$17*IFERROR(LOOKUP(A34,Abilities!$A$49:$A$53,Abilities!$C$49:$C$53),0)</f>
        <v/>
      </c>
      <c r="J34" s="13">
        <f>SUMIFS(Gear!$J$4:$J$603,Gear!$A$4:$A$603,A34,Gear!$B$4:$B$603,"Warrior",Gear!$C$4:$C$603,Inputs!$C$5)</f>
        <v/>
      </c>
      <c r="K34" s="13">
        <f>SUMIFS(Gear!$K$4:$K$603,Gear!$A$4:$A$603,A34,Gear!$B$4:$B$603,"Warrior",Gear!$C$4:$C$603,Inputs!$C$5)</f>
        <v/>
      </c>
      <c r="L34" s="13">
        <f>SUMIFS(Gear!$L$4:$L$603,Gear!$A$4:$A$603,A34,Gear!$B$4:$B$603,"Warrior",Gear!$C$4:$C$603,Inputs!$C$5)</f>
        <v/>
      </c>
      <c r="M34" s="13">
        <f>SUMIFS(Gear!$M$4:$M$603,Gear!$A$4:$A$603,A34,Gear!$B$4:$B$603,"Warrior",Gear!$C$4:$C$603,Inputs!$C$5)</f>
        <v/>
      </c>
      <c r="N34" s="13">
        <f>SUMIFS(Gear!$N$4:$N$603,Gear!$A$4:$A$603,A34,Gear!$B$4:$B$603,"Warrior",Gear!$C$4:$C$603,Inputs!$C$5)</f>
        <v/>
      </c>
      <c r="O34" s="9">
        <f>INDEX('Class Table'!$E$4:$E$53,A34)+SUMIFS(Gear!$G$4:$G$603,Gear!$A$4:$A$603,A34,Gear!$B$4:$B$603,"Warrior",Gear!$C$4:$C$603,Inputs!$C$5)</f>
        <v/>
      </c>
      <c r="P34" s="9">
        <f>INDEX('Class Table'!$F$4:$F$53,A34)+SUMIFS(Gear!$H$4:$H$603,Gear!$A$4:$A$603,A34,Gear!$B$4:$B$603,"Warrior",Gear!$C$4:$C$603,Inputs!$C$5)</f>
        <v/>
      </c>
      <c r="Q34" s="9">
        <f>INDEX('Class Table'!$G$4:$G$53,A34)+SUMIFS(Gear!$I$4:$I$603,Gear!$A$4:$A$603,A34,Gear!$B$4:$B$603,"Warrior",Gear!$C$4:$C$603,Inputs!$C$5)</f>
        <v/>
      </c>
      <c r="R34" s="13">
        <f>SUMIFS(Gear!$O$4:$O$603,Gear!$A$4:$A$603,A34,Gear!$B$4:$B$603,"Warrior",Gear!$C$4:$C$603,Inputs!$C$5)</f>
        <v/>
      </c>
      <c r="S34" s="26">
        <f>I34+0+G34+A34+MAX(1,A34/2)+(A34-B34)</f>
        <v/>
      </c>
      <c r="T34" s="9">
        <f>MAX(0,S34*(1+M34)*(1+L34)*Inputs!$C$20*(1-D34/Inputs!$C$19)-D34/25)</f>
        <v/>
      </c>
      <c r="U34" s="16">
        <f>H34/10*(1-MIN(0.95,N34+0))*Inputs!$C$21</f>
        <v/>
      </c>
      <c r="V34" s="27">
        <f>T34/U34</f>
        <v/>
      </c>
      <c r="W34" s="14">
        <f>IFERROR(LOOKUP(A34,Abilities!$A$27:$A$29,Abilities!$C$27:$C$29),0)</f>
        <v/>
      </c>
      <c r="X34" s="13">
        <f>IFERROR(LOOKUP(A34,Abilities!$A$27:$A$29,Abilities!$D$27:$D$29),0)</f>
        <v/>
      </c>
      <c r="Y34" s="13">
        <f>Inputs!$C$16*IFERROR(LOOKUP(A34,Abilities!$A$27:$A$29,Abilities!$E$27:$E$29),0)/IFERROR(LOOKUP(A34,Abilities!$A$27:$A$29,Abilities!$F$27:$F$29),1)</f>
        <v/>
      </c>
      <c r="Z34" s="26">
        <f>I34+W34+G34+A34+MAX(1,A34/2)+(A34-B34)</f>
        <v/>
      </c>
      <c r="AA34" s="9">
        <f>MAX(0,Z34*(1+M34)*(1+L34)*Inputs!$C$20*(1-D34/Inputs!$C$19)-D34/25)</f>
        <v/>
      </c>
      <c r="AB34" s="16">
        <f>H34/10*(1-MIN(0.95,N34+X34))*Inputs!$C$21</f>
        <v/>
      </c>
      <c r="AC34" s="27">
        <f>AA34/AB34</f>
        <v/>
      </c>
      <c r="AD34" s="13">
        <f>Inputs!$C$16*IF(A34&gt;=INDEX(Abilities!$A$33:$A$34,1),INDEX(Abilities!$D$33:$D$34,1)/INDEX(Abilities!$E$33:$E$34,1),0)</f>
        <v/>
      </c>
      <c r="AE34" s="13">
        <f>Inputs!$C$16*IF(A34&gt;=INDEX(Abilities!$A$33:$A$34,2),INDEX(Abilities!$D$33:$D$34,2)/INDEX(Abilities!$E$33:$E$34,2),0)</f>
        <v/>
      </c>
      <c r="AF34" s="16">
        <f>CHOOSE(Inputs!$C$13,1,INDEX(Abilities!$J$33:$J$34,1),INDEX(Abilities!$I$33:$I$34,1))</f>
        <v/>
      </c>
      <c r="AG34" s="16">
        <f>CHOOSE(Inputs!$C$13,1,INDEX(Abilities!$J$33:$J$34,2),INDEX(Abilities!$I$33:$I$34,2))</f>
        <v/>
      </c>
      <c r="AH34" s="16">
        <f>INDEX(Abilities!$C$33:$C$34,2)*AG34*AE34+INDEX(Abilities!$C$33:$C$34,1)*AF34*MIN(AD34,1-AE34)</f>
        <v/>
      </c>
      <c r="AI34" s="9">
        <f>AH34*(I34+G34+A34)*(1+J34)*(1+K34)*Inputs!$C$20</f>
        <v/>
      </c>
      <c r="AJ34" s="9">
        <f>AH34*(I34+W34+G34+A34)*(1+J34)*(1+K34)*Inputs!$C$20</f>
        <v/>
      </c>
      <c r="AK34" s="27">
        <f>(1-Y34)*(T34+AI34)/U34+Y34*(AA34+AJ34)/AB34</f>
        <v/>
      </c>
      <c r="AL34" s="17">
        <f>(AA34+IF(A34&gt;=INDEX(Abilities!$A$33:$A$34,2),INDEX(Abilities!$C$33:$C$34,2)*AG34,IF(A34&gt;=INDEX(Abilities!$A$33:$A$34,1),INDEX(Abilities!$C$33:$C$34,1)*AF34,0))*(I34+W34+G34+A34)*(1+J34)*(1+K34)*Inputs!$C$20)/AB34</f>
        <v/>
      </c>
      <c r="AM34" s="28">
        <f>IFERROR(((1-Y34)*AI34/U34+Y34*AJ34/AB34)/AK34,0)</f>
        <v/>
      </c>
      <c r="AN34" s="8">
        <f>IFERROR(ROUNDUP(C34/T34,0),"-")</f>
        <v/>
      </c>
      <c r="AO34" s="60">
        <f>IFERROR(C34/AK34,"-")</f>
        <v/>
      </c>
      <c r="AP34" s="9">
        <f>MAX(0,(E34+(B34-A34))*(1-R34)*(1-Q34*'Class Table'!$O$6/Inputs!$C$19)-Q34*'Class Table'!$O$6/25)</f>
        <v/>
      </c>
      <c r="AQ34" s="26">
        <f>IFERROR(AP34/F34*AO34,"-")</f>
        <v/>
      </c>
      <c r="AR34" s="28">
        <f>IFERROR(AQ34/O34,"-")</f>
        <v/>
      </c>
      <c r="AS34" s="9">
        <f>IFERROR(O34*Inputs!$C$24/Inputs!$C$22*AO34,"-")</f>
        <v/>
      </c>
      <c r="AT34" s="28">
        <f>IFERROR(MAX(0,AQ34-AS34)/O34,"-")</f>
        <v/>
      </c>
    </row>
    <row r="35">
      <c r="A35" s="8" t="n">
        <v>32</v>
      </c>
      <c r="B35" s="14">
        <f>'Mob by Level'!B35</f>
        <v/>
      </c>
      <c r="C35" s="9">
        <f>'Mob by Level'!C35</f>
        <v/>
      </c>
      <c r="D35" s="9">
        <f>'Mob by Level'!D35</f>
        <v/>
      </c>
      <c r="E35" s="9">
        <f>'Mob by Level'!E35</f>
        <v/>
      </c>
      <c r="F35" s="16">
        <f>'Mob by Level'!F35</f>
        <v/>
      </c>
      <c r="G35" s="14">
        <f>SUMIFS(Gear!$D$4:$D$603,Gear!$A$4:$A$603,A35,Gear!$B$4:$B$603,"Warrior",Gear!$C$4:$C$603,Inputs!$C$5)</f>
        <v/>
      </c>
      <c r="H35" s="14">
        <f>SUMIFS(Gear!$E$4:$E$603,Gear!$A$4:$A$603,A35,Gear!$B$4:$B$603,"Warrior",Gear!$C$4:$C$603,Inputs!$C$5)</f>
        <v/>
      </c>
      <c r="I35" s="14">
        <f>SUMIFS(Gear!$F$4:$F$603,Gear!$A$4:$A$603,A35,Gear!$B$4:$B$603,"Warrior",Gear!$C$4:$C$603,Inputs!$C$5)+Inputs!$C$17*IFERROR(LOOKUP(A35,Abilities!$A$49:$A$53,Abilities!$C$49:$C$53),0)</f>
        <v/>
      </c>
      <c r="J35" s="13">
        <f>SUMIFS(Gear!$J$4:$J$603,Gear!$A$4:$A$603,A35,Gear!$B$4:$B$603,"Warrior",Gear!$C$4:$C$603,Inputs!$C$5)</f>
        <v/>
      </c>
      <c r="K35" s="13">
        <f>SUMIFS(Gear!$K$4:$K$603,Gear!$A$4:$A$603,A35,Gear!$B$4:$B$603,"Warrior",Gear!$C$4:$C$603,Inputs!$C$5)</f>
        <v/>
      </c>
      <c r="L35" s="13">
        <f>SUMIFS(Gear!$L$4:$L$603,Gear!$A$4:$A$603,A35,Gear!$B$4:$B$603,"Warrior",Gear!$C$4:$C$603,Inputs!$C$5)</f>
        <v/>
      </c>
      <c r="M35" s="13">
        <f>SUMIFS(Gear!$M$4:$M$603,Gear!$A$4:$A$603,A35,Gear!$B$4:$B$603,"Warrior",Gear!$C$4:$C$603,Inputs!$C$5)</f>
        <v/>
      </c>
      <c r="N35" s="13">
        <f>SUMIFS(Gear!$N$4:$N$603,Gear!$A$4:$A$603,A35,Gear!$B$4:$B$603,"Warrior",Gear!$C$4:$C$603,Inputs!$C$5)</f>
        <v/>
      </c>
      <c r="O35" s="9">
        <f>INDEX('Class Table'!$E$4:$E$53,A35)+SUMIFS(Gear!$G$4:$G$603,Gear!$A$4:$A$603,A35,Gear!$B$4:$B$603,"Warrior",Gear!$C$4:$C$603,Inputs!$C$5)</f>
        <v/>
      </c>
      <c r="P35" s="9">
        <f>INDEX('Class Table'!$F$4:$F$53,A35)+SUMIFS(Gear!$H$4:$H$603,Gear!$A$4:$A$603,A35,Gear!$B$4:$B$603,"Warrior",Gear!$C$4:$C$603,Inputs!$C$5)</f>
        <v/>
      </c>
      <c r="Q35" s="9">
        <f>INDEX('Class Table'!$G$4:$G$53,A35)+SUMIFS(Gear!$I$4:$I$603,Gear!$A$4:$A$603,A35,Gear!$B$4:$B$603,"Warrior",Gear!$C$4:$C$603,Inputs!$C$5)</f>
        <v/>
      </c>
      <c r="R35" s="13">
        <f>SUMIFS(Gear!$O$4:$O$603,Gear!$A$4:$A$603,A35,Gear!$B$4:$B$603,"Warrior",Gear!$C$4:$C$603,Inputs!$C$5)</f>
        <v/>
      </c>
      <c r="S35" s="26">
        <f>I35+0+G35+A35+MAX(1,A35/2)+(A35-B35)</f>
        <v/>
      </c>
      <c r="T35" s="9">
        <f>MAX(0,S35*(1+M35)*(1+L35)*Inputs!$C$20*(1-D35/Inputs!$C$19)-D35/25)</f>
        <v/>
      </c>
      <c r="U35" s="16">
        <f>H35/10*(1-MIN(0.95,N35+0))*Inputs!$C$21</f>
        <v/>
      </c>
      <c r="V35" s="27">
        <f>T35/U35</f>
        <v/>
      </c>
      <c r="W35" s="14">
        <f>IFERROR(LOOKUP(A35,Abilities!$A$27:$A$29,Abilities!$C$27:$C$29),0)</f>
        <v/>
      </c>
      <c r="X35" s="13">
        <f>IFERROR(LOOKUP(A35,Abilities!$A$27:$A$29,Abilities!$D$27:$D$29),0)</f>
        <v/>
      </c>
      <c r="Y35" s="13">
        <f>Inputs!$C$16*IFERROR(LOOKUP(A35,Abilities!$A$27:$A$29,Abilities!$E$27:$E$29),0)/IFERROR(LOOKUP(A35,Abilities!$A$27:$A$29,Abilities!$F$27:$F$29),1)</f>
        <v/>
      </c>
      <c r="Z35" s="26">
        <f>I35+W35+G35+A35+MAX(1,A35/2)+(A35-B35)</f>
        <v/>
      </c>
      <c r="AA35" s="9">
        <f>MAX(0,Z35*(1+M35)*(1+L35)*Inputs!$C$20*(1-D35/Inputs!$C$19)-D35/25)</f>
        <v/>
      </c>
      <c r="AB35" s="16">
        <f>H35/10*(1-MIN(0.95,N35+X35))*Inputs!$C$21</f>
        <v/>
      </c>
      <c r="AC35" s="27">
        <f>AA35/AB35</f>
        <v/>
      </c>
      <c r="AD35" s="13">
        <f>Inputs!$C$16*IF(A35&gt;=INDEX(Abilities!$A$33:$A$34,1),INDEX(Abilities!$D$33:$D$34,1)/INDEX(Abilities!$E$33:$E$34,1),0)</f>
        <v/>
      </c>
      <c r="AE35" s="13">
        <f>Inputs!$C$16*IF(A35&gt;=INDEX(Abilities!$A$33:$A$34,2),INDEX(Abilities!$D$33:$D$34,2)/INDEX(Abilities!$E$33:$E$34,2),0)</f>
        <v/>
      </c>
      <c r="AF35" s="16">
        <f>CHOOSE(Inputs!$C$13,1,INDEX(Abilities!$J$33:$J$34,1),INDEX(Abilities!$I$33:$I$34,1))</f>
        <v/>
      </c>
      <c r="AG35" s="16">
        <f>CHOOSE(Inputs!$C$13,1,INDEX(Abilities!$J$33:$J$34,2),INDEX(Abilities!$I$33:$I$34,2))</f>
        <v/>
      </c>
      <c r="AH35" s="16">
        <f>INDEX(Abilities!$C$33:$C$34,2)*AG35*AE35+INDEX(Abilities!$C$33:$C$34,1)*AF35*MIN(AD35,1-AE35)</f>
        <v/>
      </c>
      <c r="AI35" s="9">
        <f>AH35*(I35+G35+A35)*(1+J35)*(1+K35)*Inputs!$C$20</f>
        <v/>
      </c>
      <c r="AJ35" s="9">
        <f>AH35*(I35+W35+G35+A35)*(1+J35)*(1+K35)*Inputs!$C$20</f>
        <v/>
      </c>
      <c r="AK35" s="27">
        <f>(1-Y35)*(T35+AI35)/U35+Y35*(AA35+AJ35)/AB35</f>
        <v/>
      </c>
      <c r="AL35" s="17">
        <f>(AA35+IF(A35&gt;=INDEX(Abilities!$A$33:$A$34,2),INDEX(Abilities!$C$33:$C$34,2)*AG35,IF(A35&gt;=INDEX(Abilities!$A$33:$A$34,1),INDEX(Abilities!$C$33:$C$34,1)*AF35,0))*(I35+W35+G35+A35)*(1+J35)*(1+K35)*Inputs!$C$20)/AB35</f>
        <v/>
      </c>
      <c r="AM35" s="28">
        <f>IFERROR(((1-Y35)*AI35/U35+Y35*AJ35/AB35)/AK35,0)</f>
        <v/>
      </c>
      <c r="AN35" s="8">
        <f>IFERROR(ROUNDUP(C35/T35,0),"-")</f>
        <v/>
      </c>
      <c r="AO35" s="60">
        <f>IFERROR(C35/AK35,"-")</f>
        <v/>
      </c>
      <c r="AP35" s="9">
        <f>MAX(0,(E35+(B35-A35))*(1-R35)*(1-Q35*'Class Table'!$O$6/Inputs!$C$19)-Q35*'Class Table'!$O$6/25)</f>
        <v/>
      </c>
      <c r="AQ35" s="26">
        <f>IFERROR(AP35/F35*AO35,"-")</f>
        <v/>
      </c>
      <c r="AR35" s="28">
        <f>IFERROR(AQ35/O35,"-")</f>
        <v/>
      </c>
      <c r="AS35" s="9">
        <f>IFERROR(O35*Inputs!$C$24/Inputs!$C$22*AO35,"-")</f>
        <v/>
      </c>
      <c r="AT35" s="28">
        <f>IFERROR(MAX(0,AQ35-AS35)/O35,"-")</f>
        <v/>
      </c>
    </row>
    <row r="36">
      <c r="A36" s="8" t="n">
        <v>33</v>
      </c>
      <c r="B36" s="14">
        <f>'Mob by Level'!B36</f>
        <v/>
      </c>
      <c r="C36" s="9">
        <f>'Mob by Level'!C36</f>
        <v/>
      </c>
      <c r="D36" s="9">
        <f>'Mob by Level'!D36</f>
        <v/>
      </c>
      <c r="E36" s="9">
        <f>'Mob by Level'!E36</f>
        <v/>
      </c>
      <c r="F36" s="16">
        <f>'Mob by Level'!F36</f>
        <v/>
      </c>
      <c r="G36" s="14">
        <f>SUMIFS(Gear!$D$4:$D$603,Gear!$A$4:$A$603,A36,Gear!$B$4:$B$603,"Warrior",Gear!$C$4:$C$603,Inputs!$C$5)</f>
        <v/>
      </c>
      <c r="H36" s="14">
        <f>SUMIFS(Gear!$E$4:$E$603,Gear!$A$4:$A$603,A36,Gear!$B$4:$B$603,"Warrior",Gear!$C$4:$C$603,Inputs!$C$5)</f>
        <v/>
      </c>
      <c r="I36" s="14">
        <f>SUMIFS(Gear!$F$4:$F$603,Gear!$A$4:$A$603,A36,Gear!$B$4:$B$603,"Warrior",Gear!$C$4:$C$603,Inputs!$C$5)+Inputs!$C$17*IFERROR(LOOKUP(A36,Abilities!$A$49:$A$53,Abilities!$C$49:$C$53),0)</f>
        <v/>
      </c>
      <c r="J36" s="13">
        <f>SUMIFS(Gear!$J$4:$J$603,Gear!$A$4:$A$603,A36,Gear!$B$4:$B$603,"Warrior",Gear!$C$4:$C$603,Inputs!$C$5)</f>
        <v/>
      </c>
      <c r="K36" s="13">
        <f>SUMIFS(Gear!$K$4:$K$603,Gear!$A$4:$A$603,A36,Gear!$B$4:$B$603,"Warrior",Gear!$C$4:$C$603,Inputs!$C$5)</f>
        <v/>
      </c>
      <c r="L36" s="13">
        <f>SUMIFS(Gear!$L$4:$L$603,Gear!$A$4:$A$603,A36,Gear!$B$4:$B$603,"Warrior",Gear!$C$4:$C$603,Inputs!$C$5)</f>
        <v/>
      </c>
      <c r="M36" s="13">
        <f>SUMIFS(Gear!$M$4:$M$603,Gear!$A$4:$A$603,A36,Gear!$B$4:$B$603,"Warrior",Gear!$C$4:$C$603,Inputs!$C$5)</f>
        <v/>
      </c>
      <c r="N36" s="13">
        <f>SUMIFS(Gear!$N$4:$N$603,Gear!$A$4:$A$603,A36,Gear!$B$4:$B$603,"Warrior",Gear!$C$4:$C$603,Inputs!$C$5)</f>
        <v/>
      </c>
      <c r="O36" s="9">
        <f>INDEX('Class Table'!$E$4:$E$53,A36)+SUMIFS(Gear!$G$4:$G$603,Gear!$A$4:$A$603,A36,Gear!$B$4:$B$603,"Warrior",Gear!$C$4:$C$603,Inputs!$C$5)</f>
        <v/>
      </c>
      <c r="P36" s="9">
        <f>INDEX('Class Table'!$F$4:$F$53,A36)+SUMIFS(Gear!$H$4:$H$603,Gear!$A$4:$A$603,A36,Gear!$B$4:$B$603,"Warrior",Gear!$C$4:$C$603,Inputs!$C$5)</f>
        <v/>
      </c>
      <c r="Q36" s="9">
        <f>INDEX('Class Table'!$G$4:$G$53,A36)+SUMIFS(Gear!$I$4:$I$603,Gear!$A$4:$A$603,A36,Gear!$B$4:$B$603,"Warrior",Gear!$C$4:$C$603,Inputs!$C$5)</f>
        <v/>
      </c>
      <c r="R36" s="13">
        <f>SUMIFS(Gear!$O$4:$O$603,Gear!$A$4:$A$603,A36,Gear!$B$4:$B$603,"Warrior",Gear!$C$4:$C$603,Inputs!$C$5)</f>
        <v/>
      </c>
      <c r="S36" s="26">
        <f>I36+0+G36+A36+MAX(1,A36/2)+(A36-B36)</f>
        <v/>
      </c>
      <c r="T36" s="9">
        <f>MAX(0,S36*(1+M36)*(1+L36)*Inputs!$C$20*(1-D36/Inputs!$C$19)-D36/25)</f>
        <v/>
      </c>
      <c r="U36" s="16">
        <f>H36/10*(1-MIN(0.95,N36+0))*Inputs!$C$21</f>
        <v/>
      </c>
      <c r="V36" s="27">
        <f>T36/U36</f>
        <v/>
      </c>
      <c r="W36" s="14">
        <f>IFERROR(LOOKUP(A36,Abilities!$A$27:$A$29,Abilities!$C$27:$C$29),0)</f>
        <v/>
      </c>
      <c r="X36" s="13">
        <f>IFERROR(LOOKUP(A36,Abilities!$A$27:$A$29,Abilities!$D$27:$D$29),0)</f>
        <v/>
      </c>
      <c r="Y36" s="13">
        <f>Inputs!$C$16*IFERROR(LOOKUP(A36,Abilities!$A$27:$A$29,Abilities!$E$27:$E$29),0)/IFERROR(LOOKUP(A36,Abilities!$A$27:$A$29,Abilities!$F$27:$F$29),1)</f>
        <v/>
      </c>
      <c r="Z36" s="26">
        <f>I36+W36+G36+A36+MAX(1,A36/2)+(A36-B36)</f>
        <v/>
      </c>
      <c r="AA36" s="9">
        <f>MAX(0,Z36*(1+M36)*(1+L36)*Inputs!$C$20*(1-D36/Inputs!$C$19)-D36/25)</f>
        <v/>
      </c>
      <c r="AB36" s="16">
        <f>H36/10*(1-MIN(0.95,N36+X36))*Inputs!$C$21</f>
        <v/>
      </c>
      <c r="AC36" s="27">
        <f>AA36/AB36</f>
        <v/>
      </c>
      <c r="AD36" s="13">
        <f>Inputs!$C$16*IF(A36&gt;=INDEX(Abilities!$A$33:$A$34,1),INDEX(Abilities!$D$33:$D$34,1)/INDEX(Abilities!$E$33:$E$34,1),0)</f>
        <v/>
      </c>
      <c r="AE36" s="13">
        <f>Inputs!$C$16*IF(A36&gt;=INDEX(Abilities!$A$33:$A$34,2),INDEX(Abilities!$D$33:$D$34,2)/INDEX(Abilities!$E$33:$E$34,2),0)</f>
        <v/>
      </c>
      <c r="AF36" s="16">
        <f>CHOOSE(Inputs!$C$13,1,INDEX(Abilities!$J$33:$J$34,1),INDEX(Abilities!$I$33:$I$34,1))</f>
        <v/>
      </c>
      <c r="AG36" s="16">
        <f>CHOOSE(Inputs!$C$13,1,INDEX(Abilities!$J$33:$J$34,2),INDEX(Abilities!$I$33:$I$34,2))</f>
        <v/>
      </c>
      <c r="AH36" s="16">
        <f>INDEX(Abilities!$C$33:$C$34,2)*AG36*AE36+INDEX(Abilities!$C$33:$C$34,1)*AF36*MIN(AD36,1-AE36)</f>
        <v/>
      </c>
      <c r="AI36" s="9">
        <f>AH36*(I36+G36+A36)*(1+J36)*(1+K36)*Inputs!$C$20</f>
        <v/>
      </c>
      <c r="AJ36" s="9">
        <f>AH36*(I36+W36+G36+A36)*(1+J36)*(1+K36)*Inputs!$C$20</f>
        <v/>
      </c>
      <c r="AK36" s="27">
        <f>(1-Y36)*(T36+AI36)/U36+Y36*(AA36+AJ36)/AB36</f>
        <v/>
      </c>
      <c r="AL36" s="17">
        <f>(AA36+IF(A36&gt;=INDEX(Abilities!$A$33:$A$34,2),INDEX(Abilities!$C$33:$C$34,2)*AG36,IF(A36&gt;=INDEX(Abilities!$A$33:$A$34,1),INDEX(Abilities!$C$33:$C$34,1)*AF36,0))*(I36+W36+G36+A36)*(1+J36)*(1+K36)*Inputs!$C$20)/AB36</f>
        <v/>
      </c>
      <c r="AM36" s="28">
        <f>IFERROR(((1-Y36)*AI36/U36+Y36*AJ36/AB36)/AK36,0)</f>
        <v/>
      </c>
      <c r="AN36" s="8">
        <f>IFERROR(ROUNDUP(C36/T36,0),"-")</f>
        <v/>
      </c>
      <c r="AO36" s="60">
        <f>IFERROR(C36/AK36,"-")</f>
        <v/>
      </c>
      <c r="AP36" s="9">
        <f>MAX(0,(E36+(B36-A36))*(1-R36)*(1-Q36*'Class Table'!$O$6/Inputs!$C$19)-Q36*'Class Table'!$O$6/25)</f>
        <v/>
      </c>
      <c r="AQ36" s="26">
        <f>IFERROR(AP36/F36*AO36,"-")</f>
        <v/>
      </c>
      <c r="AR36" s="28">
        <f>IFERROR(AQ36/O36,"-")</f>
        <v/>
      </c>
      <c r="AS36" s="9">
        <f>IFERROR(O36*Inputs!$C$24/Inputs!$C$22*AO36,"-")</f>
        <v/>
      </c>
      <c r="AT36" s="28">
        <f>IFERROR(MAX(0,AQ36-AS36)/O36,"-")</f>
        <v/>
      </c>
    </row>
    <row r="37">
      <c r="A37" s="8" t="n">
        <v>34</v>
      </c>
      <c r="B37" s="14">
        <f>'Mob by Level'!B37</f>
        <v/>
      </c>
      <c r="C37" s="9">
        <f>'Mob by Level'!C37</f>
        <v/>
      </c>
      <c r="D37" s="9">
        <f>'Mob by Level'!D37</f>
        <v/>
      </c>
      <c r="E37" s="9">
        <f>'Mob by Level'!E37</f>
        <v/>
      </c>
      <c r="F37" s="16">
        <f>'Mob by Level'!F37</f>
        <v/>
      </c>
      <c r="G37" s="14">
        <f>SUMIFS(Gear!$D$4:$D$603,Gear!$A$4:$A$603,A37,Gear!$B$4:$B$603,"Warrior",Gear!$C$4:$C$603,Inputs!$C$5)</f>
        <v/>
      </c>
      <c r="H37" s="14">
        <f>SUMIFS(Gear!$E$4:$E$603,Gear!$A$4:$A$603,A37,Gear!$B$4:$B$603,"Warrior",Gear!$C$4:$C$603,Inputs!$C$5)</f>
        <v/>
      </c>
      <c r="I37" s="14">
        <f>SUMIFS(Gear!$F$4:$F$603,Gear!$A$4:$A$603,A37,Gear!$B$4:$B$603,"Warrior",Gear!$C$4:$C$603,Inputs!$C$5)+Inputs!$C$17*IFERROR(LOOKUP(A37,Abilities!$A$49:$A$53,Abilities!$C$49:$C$53),0)</f>
        <v/>
      </c>
      <c r="J37" s="13">
        <f>SUMIFS(Gear!$J$4:$J$603,Gear!$A$4:$A$603,A37,Gear!$B$4:$B$603,"Warrior",Gear!$C$4:$C$603,Inputs!$C$5)</f>
        <v/>
      </c>
      <c r="K37" s="13">
        <f>SUMIFS(Gear!$K$4:$K$603,Gear!$A$4:$A$603,A37,Gear!$B$4:$B$603,"Warrior",Gear!$C$4:$C$603,Inputs!$C$5)</f>
        <v/>
      </c>
      <c r="L37" s="13">
        <f>SUMIFS(Gear!$L$4:$L$603,Gear!$A$4:$A$603,A37,Gear!$B$4:$B$603,"Warrior",Gear!$C$4:$C$603,Inputs!$C$5)</f>
        <v/>
      </c>
      <c r="M37" s="13">
        <f>SUMIFS(Gear!$M$4:$M$603,Gear!$A$4:$A$603,A37,Gear!$B$4:$B$603,"Warrior",Gear!$C$4:$C$603,Inputs!$C$5)</f>
        <v/>
      </c>
      <c r="N37" s="13">
        <f>SUMIFS(Gear!$N$4:$N$603,Gear!$A$4:$A$603,A37,Gear!$B$4:$B$603,"Warrior",Gear!$C$4:$C$603,Inputs!$C$5)</f>
        <v/>
      </c>
      <c r="O37" s="9">
        <f>INDEX('Class Table'!$E$4:$E$53,A37)+SUMIFS(Gear!$G$4:$G$603,Gear!$A$4:$A$603,A37,Gear!$B$4:$B$603,"Warrior",Gear!$C$4:$C$603,Inputs!$C$5)</f>
        <v/>
      </c>
      <c r="P37" s="9">
        <f>INDEX('Class Table'!$F$4:$F$53,A37)+SUMIFS(Gear!$H$4:$H$603,Gear!$A$4:$A$603,A37,Gear!$B$4:$B$603,"Warrior",Gear!$C$4:$C$603,Inputs!$C$5)</f>
        <v/>
      </c>
      <c r="Q37" s="9">
        <f>INDEX('Class Table'!$G$4:$G$53,A37)+SUMIFS(Gear!$I$4:$I$603,Gear!$A$4:$A$603,A37,Gear!$B$4:$B$603,"Warrior",Gear!$C$4:$C$603,Inputs!$C$5)</f>
        <v/>
      </c>
      <c r="R37" s="13">
        <f>SUMIFS(Gear!$O$4:$O$603,Gear!$A$4:$A$603,A37,Gear!$B$4:$B$603,"Warrior",Gear!$C$4:$C$603,Inputs!$C$5)</f>
        <v/>
      </c>
      <c r="S37" s="26">
        <f>I37+0+G37+A37+MAX(1,A37/2)+(A37-B37)</f>
        <v/>
      </c>
      <c r="T37" s="9">
        <f>MAX(0,S37*(1+M37)*(1+L37)*Inputs!$C$20*(1-D37/Inputs!$C$19)-D37/25)</f>
        <v/>
      </c>
      <c r="U37" s="16">
        <f>H37/10*(1-MIN(0.95,N37+0))*Inputs!$C$21</f>
        <v/>
      </c>
      <c r="V37" s="27">
        <f>T37/U37</f>
        <v/>
      </c>
      <c r="W37" s="14">
        <f>IFERROR(LOOKUP(A37,Abilities!$A$27:$A$29,Abilities!$C$27:$C$29),0)</f>
        <v/>
      </c>
      <c r="X37" s="13">
        <f>IFERROR(LOOKUP(A37,Abilities!$A$27:$A$29,Abilities!$D$27:$D$29),0)</f>
        <v/>
      </c>
      <c r="Y37" s="13">
        <f>Inputs!$C$16*IFERROR(LOOKUP(A37,Abilities!$A$27:$A$29,Abilities!$E$27:$E$29),0)/IFERROR(LOOKUP(A37,Abilities!$A$27:$A$29,Abilities!$F$27:$F$29),1)</f>
        <v/>
      </c>
      <c r="Z37" s="26">
        <f>I37+W37+G37+A37+MAX(1,A37/2)+(A37-B37)</f>
        <v/>
      </c>
      <c r="AA37" s="9">
        <f>MAX(0,Z37*(1+M37)*(1+L37)*Inputs!$C$20*(1-D37/Inputs!$C$19)-D37/25)</f>
        <v/>
      </c>
      <c r="AB37" s="16">
        <f>H37/10*(1-MIN(0.95,N37+X37))*Inputs!$C$21</f>
        <v/>
      </c>
      <c r="AC37" s="27">
        <f>AA37/AB37</f>
        <v/>
      </c>
      <c r="AD37" s="13">
        <f>Inputs!$C$16*IF(A37&gt;=INDEX(Abilities!$A$33:$A$34,1),INDEX(Abilities!$D$33:$D$34,1)/INDEX(Abilities!$E$33:$E$34,1),0)</f>
        <v/>
      </c>
      <c r="AE37" s="13">
        <f>Inputs!$C$16*IF(A37&gt;=INDEX(Abilities!$A$33:$A$34,2),INDEX(Abilities!$D$33:$D$34,2)/INDEX(Abilities!$E$33:$E$34,2),0)</f>
        <v/>
      </c>
      <c r="AF37" s="16">
        <f>CHOOSE(Inputs!$C$13,1,INDEX(Abilities!$J$33:$J$34,1),INDEX(Abilities!$I$33:$I$34,1))</f>
        <v/>
      </c>
      <c r="AG37" s="16">
        <f>CHOOSE(Inputs!$C$13,1,INDEX(Abilities!$J$33:$J$34,2),INDEX(Abilities!$I$33:$I$34,2))</f>
        <v/>
      </c>
      <c r="AH37" s="16">
        <f>INDEX(Abilities!$C$33:$C$34,2)*AG37*AE37+INDEX(Abilities!$C$33:$C$34,1)*AF37*MIN(AD37,1-AE37)</f>
        <v/>
      </c>
      <c r="AI37" s="9">
        <f>AH37*(I37+G37+A37)*(1+J37)*(1+K37)*Inputs!$C$20</f>
        <v/>
      </c>
      <c r="AJ37" s="9">
        <f>AH37*(I37+W37+G37+A37)*(1+J37)*(1+K37)*Inputs!$C$20</f>
        <v/>
      </c>
      <c r="AK37" s="27">
        <f>(1-Y37)*(T37+AI37)/U37+Y37*(AA37+AJ37)/AB37</f>
        <v/>
      </c>
      <c r="AL37" s="17">
        <f>(AA37+IF(A37&gt;=INDEX(Abilities!$A$33:$A$34,2),INDEX(Abilities!$C$33:$C$34,2)*AG37,IF(A37&gt;=INDEX(Abilities!$A$33:$A$34,1),INDEX(Abilities!$C$33:$C$34,1)*AF37,0))*(I37+W37+G37+A37)*(1+J37)*(1+K37)*Inputs!$C$20)/AB37</f>
        <v/>
      </c>
      <c r="AM37" s="28">
        <f>IFERROR(((1-Y37)*AI37/U37+Y37*AJ37/AB37)/AK37,0)</f>
        <v/>
      </c>
      <c r="AN37" s="8">
        <f>IFERROR(ROUNDUP(C37/T37,0),"-")</f>
        <v/>
      </c>
      <c r="AO37" s="60">
        <f>IFERROR(C37/AK37,"-")</f>
        <v/>
      </c>
      <c r="AP37" s="9">
        <f>MAX(0,(E37+(B37-A37))*(1-R37)*(1-Q37*'Class Table'!$O$6/Inputs!$C$19)-Q37*'Class Table'!$O$6/25)</f>
        <v/>
      </c>
      <c r="AQ37" s="26">
        <f>IFERROR(AP37/F37*AO37,"-")</f>
        <v/>
      </c>
      <c r="AR37" s="28">
        <f>IFERROR(AQ37/O37,"-")</f>
        <v/>
      </c>
      <c r="AS37" s="9">
        <f>IFERROR(O37*Inputs!$C$24/Inputs!$C$22*AO37,"-")</f>
        <v/>
      </c>
      <c r="AT37" s="28">
        <f>IFERROR(MAX(0,AQ37-AS37)/O37,"-")</f>
        <v/>
      </c>
    </row>
    <row r="38">
      <c r="A38" s="8" t="n">
        <v>35</v>
      </c>
      <c r="B38" s="14">
        <f>'Mob by Level'!B38</f>
        <v/>
      </c>
      <c r="C38" s="9">
        <f>'Mob by Level'!C38</f>
        <v/>
      </c>
      <c r="D38" s="9">
        <f>'Mob by Level'!D38</f>
        <v/>
      </c>
      <c r="E38" s="9">
        <f>'Mob by Level'!E38</f>
        <v/>
      </c>
      <c r="F38" s="16">
        <f>'Mob by Level'!F38</f>
        <v/>
      </c>
      <c r="G38" s="14">
        <f>SUMIFS(Gear!$D$4:$D$603,Gear!$A$4:$A$603,A38,Gear!$B$4:$B$603,"Warrior",Gear!$C$4:$C$603,Inputs!$C$5)</f>
        <v/>
      </c>
      <c r="H38" s="14">
        <f>SUMIFS(Gear!$E$4:$E$603,Gear!$A$4:$A$603,A38,Gear!$B$4:$B$603,"Warrior",Gear!$C$4:$C$603,Inputs!$C$5)</f>
        <v/>
      </c>
      <c r="I38" s="14">
        <f>SUMIFS(Gear!$F$4:$F$603,Gear!$A$4:$A$603,A38,Gear!$B$4:$B$603,"Warrior",Gear!$C$4:$C$603,Inputs!$C$5)+Inputs!$C$17*IFERROR(LOOKUP(A38,Abilities!$A$49:$A$53,Abilities!$C$49:$C$53),0)</f>
        <v/>
      </c>
      <c r="J38" s="13">
        <f>SUMIFS(Gear!$J$4:$J$603,Gear!$A$4:$A$603,A38,Gear!$B$4:$B$603,"Warrior",Gear!$C$4:$C$603,Inputs!$C$5)</f>
        <v/>
      </c>
      <c r="K38" s="13">
        <f>SUMIFS(Gear!$K$4:$K$603,Gear!$A$4:$A$603,A38,Gear!$B$4:$B$603,"Warrior",Gear!$C$4:$C$603,Inputs!$C$5)</f>
        <v/>
      </c>
      <c r="L38" s="13">
        <f>SUMIFS(Gear!$L$4:$L$603,Gear!$A$4:$A$603,A38,Gear!$B$4:$B$603,"Warrior",Gear!$C$4:$C$603,Inputs!$C$5)</f>
        <v/>
      </c>
      <c r="M38" s="13">
        <f>SUMIFS(Gear!$M$4:$M$603,Gear!$A$4:$A$603,A38,Gear!$B$4:$B$603,"Warrior",Gear!$C$4:$C$603,Inputs!$C$5)</f>
        <v/>
      </c>
      <c r="N38" s="13">
        <f>SUMIFS(Gear!$N$4:$N$603,Gear!$A$4:$A$603,A38,Gear!$B$4:$B$603,"Warrior",Gear!$C$4:$C$603,Inputs!$C$5)</f>
        <v/>
      </c>
      <c r="O38" s="9">
        <f>INDEX('Class Table'!$E$4:$E$53,A38)+SUMIFS(Gear!$G$4:$G$603,Gear!$A$4:$A$603,A38,Gear!$B$4:$B$603,"Warrior",Gear!$C$4:$C$603,Inputs!$C$5)</f>
        <v/>
      </c>
      <c r="P38" s="9">
        <f>INDEX('Class Table'!$F$4:$F$53,A38)+SUMIFS(Gear!$H$4:$H$603,Gear!$A$4:$A$603,A38,Gear!$B$4:$B$603,"Warrior",Gear!$C$4:$C$603,Inputs!$C$5)</f>
        <v/>
      </c>
      <c r="Q38" s="9">
        <f>INDEX('Class Table'!$G$4:$G$53,A38)+SUMIFS(Gear!$I$4:$I$603,Gear!$A$4:$A$603,A38,Gear!$B$4:$B$603,"Warrior",Gear!$C$4:$C$603,Inputs!$C$5)</f>
        <v/>
      </c>
      <c r="R38" s="13">
        <f>SUMIFS(Gear!$O$4:$O$603,Gear!$A$4:$A$603,A38,Gear!$B$4:$B$603,"Warrior",Gear!$C$4:$C$603,Inputs!$C$5)</f>
        <v/>
      </c>
      <c r="S38" s="26">
        <f>I38+0+G38+A38+MAX(1,A38/2)+(A38-B38)</f>
        <v/>
      </c>
      <c r="T38" s="9">
        <f>MAX(0,S38*(1+M38)*(1+L38)*Inputs!$C$20*(1-D38/Inputs!$C$19)-D38/25)</f>
        <v/>
      </c>
      <c r="U38" s="16">
        <f>H38/10*(1-MIN(0.95,N38+0))*Inputs!$C$21</f>
        <v/>
      </c>
      <c r="V38" s="27">
        <f>T38/U38</f>
        <v/>
      </c>
      <c r="W38" s="14">
        <f>IFERROR(LOOKUP(A38,Abilities!$A$27:$A$29,Abilities!$C$27:$C$29),0)</f>
        <v/>
      </c>
      <c r="X38" s="13">
        <f>IFERROR(LOOKUP(A38,Abilities!$A$27:$A$29,Abilities!$D$27:$D$29),0)</f>
        <v/>
      </c>
      <c r="Y38" s="13">
        <f>Inputs!$C$16*IFERROR(LOOKUP(A38,Abilities!$A$27:$A$29,Abilities!$E$27:$E$29),0)/IFERROR(LOOKUP(A38,Abilities!$A$27:$A$29,Abilities!$F$27:$F$29),1)</f>
        <v/>
      </c>
      <c r="Z38" s="26">
        <f>I38+W38+G38+A38+MAX(1,A38/2)+(A38-B38)</f>
        <v/>
      </c>
      <c r="AA38" s="9">
        <f>MAX(0,Z38*(1+M38)*(1+L38)*Inputs!$C$20*(1-D38/Inputs!$C$19)-D38/25)</f>
        <v/>
      </c>
      <c r="AB38" s="16">
        <f>H38/10*(1-MIN(0.95,N38+X38))*Inputs!$C$21</f>
        <v/>
      </c>
      <c r="AC38" s="27">
        <f>AA38/AB38</f>
        <v/>
      </c>
      <c r="AD38" s="13">
        <f>Inputs!$C$16*IF(A38&gt;=INDEX(Abilities!$A$33:$A$34,1),INDEX(Abilities!$D$33:$D$34,1)/INDEX(Abilities!$E$33:$E$34,1),0)</f>
        <v/>
      </c>
      <c r="AE38" s="13">
        <f>Inputs!$C$16*IF(A38&gt;=INDEX(Abilities!$A$33:$A$34,2),INDEX(Abilities!$D$33:$D$34,2)/INDEX(Abilities!$E$33:$E$34,2),0)</f>
        <v/>
      </c>
      <c r="AF38" s="16">
        <f>CHOOSE(Inputs!$C$13,1,INDEX(Abilities!$J$33:$J$34,1),INDEX(Abilities!$I$33:$I$34,1))</f>
        <v/>
      </c>
      <c r="AG38" s="16">
        <f>CHOOSE(Inputs!$C$13,1,INDEX(Abilities!$J$33:$J$34,2),INDEX(Abilities!$I$33:$I$34,2))</f>
        <v/>
      </c>
      <c r="AH38" s="16">
        <f>INDEX(Abilities!$C$33:$C$34,2)*AG38*AE38+INDEX(Abilities!$C$33:$C$34,1)*AF38*MIN(AD38,1-AE38)</f>
        <v/>
      </c>
      <c r="AI38" s="9">
        <f>AH38*(I38+G38+A38)*(1+J38)*(1+K38)*Inputs!$C$20</f>
        <v/>
      </c>
      <c r="AJ38" s="9">
        <f>AH38*(I38+W38+G38+A38)*(1+J38)*(1+K38)*Inputs!$C$20</f>
        <v/>
      </c>
      <c r="AK38" s="27">
        <f>(1-Y38)*(T38+AI38)/U38+Y38*(AA38+AJ38)/AB38</f>
        <v/>
      </c>
      <c r="AL38" s="17">
        <f>(AA38+IF(A38&gt;=INDEX(Abilities!$A$33:$A$34,2),INDEX(Abilities!$C$33:$C$34,2)*AG38,IF(A38&gt;=INDEX(Abilities!$A$33:$A$34,1),INDEX(Abilities!$C$33:$C$34,1)*AF38,0))*(I38+W38+G38+A38)*(1+J38)*(1+K38)*Inputs!$C$20)/AB38</f>
        <v/>
      </c>
      <c r="AM38" s="28">
        <f>IFERROR(((1-Y38)*AI38/U38+Y38*AJ38/AB38)/AK38,0)</f>
        <v/>
      </c>
      <c r="AN38" s="8">
        <f>IFERROR(ROUNDUP(C38/T38,0),"-")</f>
        <v/>
      </c>
      <c r="AO38" s="60">
        <f>IFERROR(C38/AK38,"-")</f>
        <v/>
      </c>
      <c r="AP38" s="9">
        <f>MAX(0,(E38+(B38-A38))*(1-R38)*(1-Q38*'Class Table'!$O$6/Inputs!$C$19)-Q38*'Class Table'!$O$6/25)</f>
        <v/>
      </c>
      <c r="AQ38" s="26">
        <f>IFERROR(AP38/F38*AO38,"-")</f>
        <v/>
      </c>
      <c r="AR38" s="28">
        <f>IFERROR(AQ38/O38,"-")</f>
        <v/>
      </c>
      <c r="AS38" s="9">
        <f>IFERROR(O38*Inputs!$C$24/Inputs!$C$22*AO38,"-")</f>
        <v/>
      </c>
      <c r="AT38" s="28">
        <f>IFERROR(MAX(0,AQ38-AS38)/O38,"-")</f>
        <v/>
      </c>
    </row>
    <row r="39">
      <c r="A39" s="8" t="n">
        <v>36</v>
      </c>
      <c r="B39" s="14">
        <f>'Mob by Level'!B39</f>
        <v/>
      </c>
      <c r="C39" s="9">
        <f>'Mob by Level'!C39</f>
        <v/>
      </c>
      <c r="D39" s="9">
        <f>'Mob by Level'!D39</f>
        <v/>
      </c>
      <c r="E39" s="9">
        <f>'Mob by Level'!E39</f>
        <v/>
      </c>
      <c r="F39" s="16">
        <f>'Mob by Level'!F39</f>
        <v/>
      </c>
      <c r="G39" s="14">
        <f>SUMIFS(Gear!$D$4:$D$603,Gear!$A$4:$A$603,A39,Gear!$B$4:$B$603,"Warrior",Gear!$C$4:$C$603,Inputs!$C$5)</f>
        <v/>
      </c>
      <c r="H39" s="14">
        <f>SUMIFS(Gear!$E$4:$E$603,Gear!$A$4:$A$603,A39,Gear!$B$4:$B$603,"Warrior",Gear!$C$4:$C$603,Inputs!$C$5)</f>
        <v/>
      </c>
      <c r="I39" s="14">
        <f>SUMIFS(Gear!$F$4:$F$603,Gear!$A$4:$A$603,A39,Gear!$B$4:$B$603,"Warrior",Gear!$C$4:$C$603,Inputs!$C$5)+Inputs!$C$17*IFERROR(LOOKUP(A39,Abilities!$A$49:$A$53,Abilities!$C$49:$C$53),0)</f>
        <v/>
      </c>
      <c r="J39" s="13">
        <f>SUMIFS(Gear!$J$4:$J$603,Gear!$A$4:$A$603,A39,Gear!$B$4:$B$603,"Warrior",Gear!$C$4:$C$603,Inputs!$C$5)</f>
        <v/>
      </c>
      <c r="K39" s="13">
        <f>SUMIFS(Gear!$K$4:$K$603,Gear!$A$4:$A$603,A39,Gear!$B$4:$B$603,"Warrior",Gear!$C$4:$C$603,Inputs!$C$5)</f>
        <v/>
      </c>
      <c r="L39" s="13">
        <f>SUMIFS(Gear!$L$4:$L$603,Gear!$A$4:$A$603,A39,Gear!$B$4:$B$603,"Warrior",Gear!$C$4:$C$603,Inputs!$C$5)</f>
        <v/>
      </c>
      <c r="M39" s="13">
        <f>SUMIFS(Gear!$M$4:$M$603,Gear!$A$4:$A$603,A39,Gear!$B$4:$B$603,"Warrior",Gear!$C$4:$C$603,Inputs!$C$5)</f>
        <v/>
      </c>
      <c r="N39" s="13">
        <f>SUMIFS(Gear!$N$4:$N$603,Gear!$A$4:$A$603,A39,Gear!$B$4:$B$603,"Warrior",Gear!$C$4:$C$603,Inputs!$C$5)</f>
        <v/>
      </c>
      <c r="O39" s="9">
        <f>INDEX('Class Table'!$E$4:$E$53,A39)+SUMIFS(Gear!$G$4:$G$603,Gear!$A$4:$A$603,A39,Gear!$B$4:$B$603,"Warrior",Gear!$C$4:$C$603,Inputs!$C$5)</f>
        <v/>
      </c>
      <c r="P39" s="9">
        <f>INDEX('Class Table'!$F$4:$F$53,A39)+SUMIFS(Gear!$H$4:$H$603,Gear!$A$4:$A$603,A39,Gear!$B$4:$B$603,"Warrior",Gear!$C$4:$C$603,Inputs!$C$5)</f>
        <v/>
      </c>
      <c r="Q39" s="9">
        <f>INDEX('Class Table'!$G$4:$G$53,A39)+SUMIFS(Gear!$I$4:$I$603,Gear!$A$4:$A$603,A39,Gear!$B$4:$B$603,"Warrior",Gear!$C$4:$C$603,Inputs!$C$5)</f>
        <v/>
      </c>
      <c r="R39" s="13">
        <f>SUMIFS(Gear!$O$4:$O$603,Gear!$A$4:$A$603,A39,Gear!$B$4:$B$603,"Warrior",Gear!$C$4:$C$603,Inputs!$C$5)</f>
        <v/>
      </c>
      <c r="S39" s="26">
        <f>I39+0+G39+A39+MAX(1,A39/2)+(A39-B39)</f>
        <v/>
      </c>
      <c r="T39" s="9">
        <f>MAX(0,S39*(1+M39)*(1+L39)*Inputs!$C$20*(1-D39/Inputs!$C$19)-D39/25)</f>
        <v/>
      </c>
      <c r="U39" s="16">
        <f>H39/10*(1-MIN(0.95,N39+0))*Inputs!$C$21</f>
        <v/>
      </c>
      <c r="V39" s="27">
        <f>T39/U39</f>
        <v/>
      </c>
      <c r="W39" s="14">
        <f>IFERROR(LOOKUP(A39,Abilities!$A$27:$A$29,Abilities!$C$27:$C$29),0)</f>
        <v/>
      </c>
      <c r="X39" s="13">
        <f>IFERROR(LOOKUP(A39,Abilities!$A$27:$A$29,Abilities!$D$27:$D$29),0)</f>
        <v/>
      </c>
      <c r="Y39" s="13">
        <f>Inputs!$C$16*IFERROR(LOOKUP(A39,Abilities!$A$27:$A$29,Abilities!$E$27:$E$29),0)/IFERROR(LOOKUP(A39,Abilities!$A$27:$A$29,Abilities!$F$27:$F$29),1)</f>
        <v/>
      </c>
      <c r="Z39" s="26">
        <f>I39+W39+G39+A39+MAX(1,A39/2)+(A39-B39)</f>
        <v/>
      </c>
      <c r="AA39" s="9">
        <f>MAX(0,Z39*(1+M39)*(1+L39)*Inputs!$C$20*(1-D39/Inputs!$C$19)-D39/25)</f>
        <v/>
      </c>
      <c r="AB39" s="16">
        <f>H39/10*(1-MIN(0.95,N39+X39))*Inputs!$C$21</f>
        <v/>
      </c>
      <c r="AC39" s="27">
        <f>AA39/AB39</f>
        <v/>
      </c>
      <c r="AD39" s="13">
        <f>Inputs!$C$16*IF(A39&gt;=INDEX(Abilities!$A$33:$A$34,1),INDEX(Abilities!$D$33:$D$34,1)/INDEX(Abilities!$E$33:$E$34,1),0)</f>
        <v/>
      </c>
      <c r="AE39" s="13">
        <f>Inputs!$C$16*IF(A39&gt;=INDEX(Abilities!$A$33:$A$34,2),INDEX(Abilities!$D$33:$D$34,2)/INDEX(Abilities!$E$33:$E$34,2),0)</f>
        <v/>
      </c>
      <c r="AF39" s="16">
        <f>CHOOSE(Inputs!$C$13,1,INDEX(Abilities!$J$33:$J$34,1),INDEX(Abilities!$I$33:$I$34,1))</f>
        <v/>
      </c>
      <c r="AG39" s="16">
        <f>CHOOSE(Inputs!$C$13,1,INDEX(Abilities!$J$33:$J$34,2),INDEX(Abilities!$I$33:$I$34,2))</f>
        <v/>
      </c>
      <c r="AH39" s="16">
        <f>INDEX(Abilities!$C$33:$C$34,2)*AG39*AE39+INDEX(Abilities!$C$33:$C$34,1)*AF39*MIN(AD39,1-AE39)</f>
        <v/>
      </c>
      <c r="AI39" s="9">
        <f>AH39*(I39+G39+A39)*(1+J39)*(1+K39)*Inputs!$C$20</f>
        <v/>
      </c>
      <c r="AJ39" s="9">
        <f>AH39*(I39+W39+G39+A39)*(1+J39)*(1+K39)*Inputs!$C$20</f>
        <v/>
      </c>
      <c r="AK39" s="27">
        <f>(1-Y39)*(T39+AI39)/U39+Y39*(AA39+AJ39)/AB39</f>
        <v/>
      </c>
      <c r="AL39" s="17">
        <f>(AA39+IF(A39&gt;=INDEX(Abilities!$A$33:$A$34,2),INDEX(Abilities!$C$33:$C$34,2)*AG39,IF(A39&gt;=INDEX(Abilities!$A$33:$A$34,1),INDEX(Abilities!$C$33:$C$34,1)*AF39,0))*(I39+W39+G39+A39)*(1+J39)*(1+K39)*Inputs!$C$20)/AB39</f>
        <v/>
      </c>
      <c r="AM39" s="28">
        <f>IFERROR(((1-Y39)*AI39/U39+Y39*AJ39/AB39)/AK39,0)</f>
        <v/>
      </c>
      <c r="AN39" s="8">
        <f>IFERROR(ROUNDUP(C39/T39,0),"-")</f>
        <v/>
      </c>
      <c r="AO39" s="60">
        <f>IFERROR(C39/AK39,"-")</f>
        <v/>
      </c>
      <c r="AP39" s="9">
        <f>MAX(0,(E39+(B39-A39))*(1-R39)*(1-Q39*'Class Table'!$O$6/Inputs!$C$19)-Q39*'Class Table'!$O$6/25)</f>
        <v/>
      </c>
      <c r="AQ39" s="26">
        <f>IFERROR(AP39/F39*AO39,"-")</f>
        <v/>
      </c>
      <c r="AR39" s="28">
        <f>IFERROR(AQ39/O39,"-")</f>
        <v/>
      </c>
      <c r="AS39" s="9">
        <f>IFERROR(O39*Inputs!$C$24/Inputs!$C$22*AO39,"-")</f>
        <v/>
      </c>
      <c r="AT39" s="28">
        <f>IFERROR(MAX(0,AQ39-AS39)/O39,"-")</f>
        <v/>
      </c>
    </row>
    <row r="40">
      <c r="A40" s="8" t="n">
        <v>37</v>
      </c>
      <c r="B40" s="14">
        <f>'Mob by Level'!B40</f>
        <v/>
      </c>
      <c r="C40" s="9">
        <f>'Mob by Level'!C40</f>
        <v/>
      </c>
      <c r="D40" s="9">
        <f>'Mob by Level'!D40</f>
        <v/>
      </c>
      <c r="E40" s="9">
        <f>'Mob by Level'!E40</f>
        <v/>
      </c>
      <c r="F40" s="16">
        <f>'Mob by Level'!F40</f>
        <v/>
      </c>
      <c r="G40" s="14">
        <f>SUMIFS(Gear!$D$4:$D$603,Gear!$A$4:$A$603,A40,Gear!$B$4:$B$603,"Warrior",Gear!$C$4:$C$603,Inputs!$C$5)</f>
        <v/>
      </c>
      <c r="H40" s="14">
        <f>SUMIFS(Gear!$E$4:$E$603,Gear!$A$4:$A$603,A40,Gear!$B$4:$B$603,"Warrior",Gear!$C$4:$C$603,Inputs!$C$5)</f>
        <v/>
      </c>
      <c r="I40" s="14">
        <f>SUMIFS(Gear!$F$4:$F$603,Gear!$A$4:$A$603,A40,Gear!$B$4:$B$603,"Warrior",Gear!$C$4:$C$603,Inputs!$C$5)+Inputs!$C$17*IFERROR(LOOKUP(A40,Abilities!$A$49:$A$53,Abilities!$C$49:$C$53),0)</f>
        <v/>
      </c>
      <c r="J40" s="13">
        <f>SUMIFS(Gear!$J$4:$J$603,Gear!$A$4:$A$603,A40,Gear!$B$4:$B$603,"Warrior",Gear!$C$4:$C$603,Inputs!$C$5)</f>
        <v/>
      </c>
      <c r="K40" s="13">
        <f>SUMIFS(Gear!$K$4:$K$603,Gear!$A$4:$A$603,A40,Gear!$B$4:$B$603,"Warrior",Gear!$C$4:$C$603,Inputs!$C$5)</f>
        <v/>
      </c>
      <c r="L40" s="13">
        <f>SUMIFS(Gear!$L$4:$L$603,Gear!$A$4:$A$603,A40,Gear!$B$4:$B$603,"Warrior",Gear!$C$4:$C$603,Inputs!$C$5)</f>
        <v/>
      </c>
      <c r="M40" s="13">
        <f>SUMIFS(Gear!$M$4:$M$603,Gear!$A$4:$A$603,A40,Gear!$B$4:$B$603,"Warrior",Gear!$C$4:$C$603,Inputs!$C$5)</f>
        <v/>
      </c>
      <c r="N40" s="13">
        <f>SUMIFS(Gear!$N$4:$N$603,Gear!$A$4:$A$603,A40,Gear!$B$4:$B$603,"Warrior",Gear!$C$4:$C$603,Inputs!$C$5)</f>
        <v/>
      </c>
      <c r="O40" s="9">
        <f>INDEX('Class Table'!$E$4:$E$53,A40)+SUMIFS(Gear!$G$4:$G$603,Gear!$A$4:$A$603,A40,Gear!$B$4:$B$603,"Warrior",Gear!$C$4:$C$603,Inputs!$C$5)</f>
        <v/>
      </c>
      <c r="P40" s="9">
        <f>INDEX('Class Table'!$F$4:$F$53,A40)+SUMIFS(Gear!$H$4:$H$603,Gear!$A$4:$A$603,A40,Gear!$B$4:$B$603,"Warrior",Gear!$C$4:$C$603,Inputs!$C$5)</f>
        <v/>
      </c>
      <c r="Q40" s="9">
        <f>INDEX('Class Table'!$G$4:$G$53,A40)+SUMIFS(Gear!$I$4:$I$603,Gear!$A$4:$A$603,A40,Gear!$B$4:$B$603,"Warrior",Gear!$C$4:$C$603,Inputs!$C$5)</f>
        <v/>
      </c>
      <c r="R40" s="13">
        <f>SUMIFS(Gear!$O$4:$O$603,Gear!$A$4:$A$603,A40,Gear!$B$4:$B$603,"Warrior",Gear!$C$4:$C$603,Inputs!$C$5)</f>
        <v/>
      </c>
      <c r="S40" s="26">
        <f>I40+0+G40+A40+MAX(1,A40/2)+(A40-B40)</f>
        <v/>
      </c>
      <c r="T40" s="9">
        <f>MAX(0,S40*(1+M40)*(1+L40)*Inputs!$C$20*(1-D40/Inputs!$C$19)-D40/25)</f>
        <v/>
      </c>
      <c r="U40" s="16">
        <f>H40/10*(1-MIN(0.95,N40+0))*Inputs!$C$21</f>
        <v/>
      </c>
      <c r="V40" s="27">
        <f>T40/U40</f>
        <v/>
      </c>
      <c r="W40" s="14">
        <f>IFERROR(LOOKUP(A40,Abilities!$A$27:$A$29,Abilities!$C$27:$C$29),0)</f>
        <v/>
      </c>
      <c r="X40" s="13">
        <f>IFERROR(LOOKUP(A40,Abilities!$A$27:$A$29,Abilities!$D$27:$D$29),0)</f>
        <v/>
      </c>
      <c r="Y40" s="13">
        <f>Inputs!$C$16*IFERROR(LOOKUP(A40,Abilities!$A$27:$A$29,Abilities!$E$27:$E$29),0)/IFERROR(LOOKUP(A40,Abilities!$A$27:$A$29,Abilities!$F$27:$F$29),1)</f>
        <v/>
      </c>
      <c r="Z40" s="26">
        <f>I40+W40+G40+A40+MAX(1,A40/2)+(A40-B40)</f>
        <v/>
      </c>
      <c r="AA40" s="9">
        <f>MAX(0,Z40*(1+M40)*(1+L40)*Inputs!$C$20*(1-D40/Inputs!$C$19)-D40/25)</f>
        <v/>
      </c>
      <c r="AB40" s="16">
        <f>H40/10*(1-MIN(0.95,N40+X40))*Inputs!$C$21</f>
        <v/>
      </c>
      <c r="AC40" s="27">
        <f>AA40/AB40</f>
        <v/>
      </c>
      <c r="AD40" s="13">
        <f>Inputs!$C$16*IF(A40&gt;=INDEX(Abilities!$A$33:$A$34,1),INDEX(Abilities!$D$33:$D$34,1)/INDEX(Abilities!$E$33:$E$34,1),0)</f>
        <v/>
      </c>
      <c r="AE40" s="13">
        <f>Inputs!$C$16*IF(A40&gt;=INDEX(Abilities!$A$33:$A$34,2),INDEX(Abilities!$D$33:$D$34,2)/INDEX(Abilities!$E$33:$E$34,2),0)</f>
        <v/>
      </c>
      <c r="AF40" s="16">
        <f>CHOOSE(Inputs!$C$13,1,INDEX(Abilities!$J$33:$J$34,1),INDEX(Abilities!$I$33:$I$34,1))</f>
        <v/>
      </c>
      <c r="AG40" s="16">
        <f>CHOOSE(Inputs!$C$13,1,INDEX(Abilities!$J$33:$J$34,2),INDEX(Abilities!$I$33:$I$34,2))</f>
        <v/>
      </c>
      <c r="AH40" s="16">
        <f>INDEX(Abilities!$C$33:$C$34,2)*AG40*AE40+INDEX(Abilities!$C$33:$C$34,1)*AF40*MIN(AD40,1-AE40)</f>
        <v/>
      </c>
      <c r="AI40" s="9">
        <f>AH40*(I40+G40+A40)*(1+J40)*(1+K40)*Inputs!$C$20</f>
        <v/>
      </c>
      <c r="AJ40" s="9">
        <f>AH40*(I40+W40+G40+A40)*(1+J40)*(1+K40)*Inputs!$C$20</f>
        <v/>
      </c>
      <c r="AK40" s="27">
        <f>(1-Y40)*(T40+AI40)/U40+Y40*(AA40+AJ40)/AB40</f>
        <v/>
      </c>
      <c r="AL40" s="17">
        <f>(AA40+IF(A40&gt;=INDEX(Abilities!$A$33:$A$34,2),INDEX(Abilities!$C$33:$C$34,2)*AG40,IF(A40&gt;=INDEX(Abilities!$A$33:$A$34,1),INDEX(Abilities!$C$33:$C$34,1)*AF40,0))*(I40+W40+G40+A40)*(1+J40)*(1+K40)*Inputs!$C$20)/AB40</f>
        <v/>
      </c>
      <c r="AM40" s="28">
        <f>IFERROR(((1-Y40)*AI40/U40+Y40*AJ40/AB40)/AK40,0)</f>
        <v/>
      </c>
      <c r="AN40" s="8">
        <f>IFERROR(ROUNDUP(C40/T40,0),"-")</f>
        <v/>
      </c>
      <c r="AO40" s="60">
        <f>IFERROR(C40/AK40,"-")</f>
        <v/>
      </c>
      <c r="AP40" s="9">
        <f>MAX(0,(E40+(B40-A40))*(1-R40)*(1-Q40*'Class Table'!$O$6/Inputs!$C$19)-Q40*'Class Table'!$O$6/25)</f>
        <v/>
      </c>
      <c r="AQ40" s="26">
        <f>IFERROR(AP40/F40*AO40,"-")</f>
        <v/>
      </c>
      <c r="AR40" s="28">
        <f>IFERROR(AQ40/O40,"-")</f>
        <v/>
      </c>
      <c r="AS40" s="9">
        <f>IFERROR(O40*Inputs!$C$24/Inputs!$C$22*AO40,"-")</f>
        <v/>
      </c>
      <c r="AT40" s="28">
        <f>IFERROR(MAX(0,AQ40-AS40)/O40,"-")</f>
        <v/>
      </c>
    </row>
    <row r="41">
      <c r="A41" s="8" t="n">
        <v>38</v>
      </c>
      <c r="B41" s="14">
        <f>'Mob by Level'!B41</f>
        <v/>
      </c>
      <c r="C41" s="9">
        <f>'Mob by Level'!C41</f>
        <v/>
      </c>
      <c r="D41" s="9">
        <f>'Mob by Level'!D41</f>
        <v/>
      </c>
      <c r="E41" s="9">
        <f>'Mob by Level'!E41</f>
        <v/>
      </c>
      <c r="F41" s="16">
        <f>'Mob by Level'!F41</f>
        <v/>
      </c>
      <c r="G41" s="14">
        <f>SUMIFS(Gear!$D$4:$D$603,Gear!$A$4:$A$603,A41,Gear!$B$4:$B$603,"Warrior",Gear!$C$4:$C$603,Inputs!$C$5)</f>
        <v/>
      </c>
      <c r="H41" s="14">
        <f>SUMIFS(Gear!$E$4:$E$603,Gear!$A$4:$A$603,A41,Gear!$B$4:$B$603,"Warrior",Gear!$C$4:$C$603,Inputs!$C$5)</f>
        <v/>
      </c>
      <c r="I41" s="14">
        <f>SUMIFS(Gear!$F$4:$F$603,Gear!$A$4:$A$603,A41,Gear!$B$4:$B$603,"Warrior",Gear!$C$4:$C$603,Inputs!$C$5)+Inputs!$C$17*IFERROR(LOOKUP(A41,Abilities!$A$49:$A$53,Abilities!$C$49:$C$53),0)</f>
        <v/>
      </c>
      <c r="J41" s="13">
        <f>SUMIFS(Gear!$J$4:$J$603,Gear!$A$4:$A$603,A41,Gear!$B$4:$B$603,"Warrior",Gear!$C$4:$C$603,Inputs!$C$5)</f>
        <v/>
      </c>
      <c r="K41" s="13">
        <f>SUMIFS(Gear!$K$4:$K$603,Gear!$A$4:$A$603,A41,Gear!$B$4:$B$603,"Warrior",Gear!$C$4:$C$603,Inputs!$C$5)</f>
        <v/>
      </c>
      <c r="L41" s="13">
        <f>SUMIFS(Gear!$L$4:$L$603,Gear!$A$4:$A$603,A41,Gear!$B$4:$B$603,"Warrior",Gear!$C$4:$C$603,Inputs!$C$5)</f>
        <v/>
      </c>
      <c r="M41" s="13">
        <f>SUMIFS(Gear!$M$4:$M$603,Gear!$A$4:$A$603,A41,Gear!$B$4:$B$603,"Warrior",Gear!$C$4:$C$603,Inputs!$C$5)</f>
        <v/>
      </c>
      <c r="N41" s="13">
        <f>SUMIFS(Gear!$N$4:$N$603,Gear!$A$4:$A$603,A41,Gear!$B$4:$B$603,"Warrior",Gear!$C$4:$C$603,Inputs!$C$5)</f>
        <v/>
      </c>
      <c r="O41" s="9">
        <f>INDEX('Class Table'!$E$4:$E$53,A41)+SUMIFS(Gear!$G$4:$G$603,Gear!$A$4:$A$603,A41,Gear!$B$4:$B$603,"Warrior",Gear!$C$4:$C$603,Inputs!$C$5)</f>
        <v/>
      </c>
      <c r="P41" s="9">
        <f>INDEX('Class Table'!$F$4:$F$53,A41)+SUMIFS(Gear!$H$4:$H$603,Gear!$A$4:$A$603,A41,Gear!$B$4:$B$603,"Warrior",Gear!$C$4:$C$603,Inputs!$C$5)</f>
        <v/>
      </c>
      <c r="Q41" s="9">
        <f>INDEX('Class Table'!$G$4:$G$53,A41)+SUMIFS(Gear!$I$4:$I$603,Gear!$A$4:$A$603,A41,Gear!$B$4:$B$603,"Warrior",Gear!$C$4:$C$603,Inputs!$C$5)</f>
        <v/>
      </c>
      <c r="R41" s="13">
        <f>SUMIFS(Gear!$O$4:$O$603,Gear!$A$4:$A$603,A41,Gear!$B$4:$B$603,"Warrior",Gear!$C$4:$C$603,Inputs!$C$5)</f>
        <v/>
      </c>
      <c r="S41" s="26">
        <f>I41+0+G41+A41+MAX(1,A41/2)+(A41-B41)</f>
        <v/>
      </c>
      <c r="T41" s="9">
        <f>MAX(0,S41*(1+M41)*(1+L41)*Inputs!$C$20*(1-D41/Inputs!$C$19)-D41/25)</f>
        <v/>
      </c>
      <c r="U41" s="16">
        <f>H41/10*(1-MIN(0.95,N41+0))*Inputs!$C$21</f>
        <v/>
      </c>
      <c r="V41" s="27">
        <f>T41/U41</f>
        <v/>
      </c>
      <c r="W41" s="14">
        <f>IFERROR(LOOKUP(A41,Abilities!$A$27:$A$29,Abilities!$C$27:$C$29),0)</f>
        <v/>
      </c>
      <c r="X41" s="13">
        <f>IFERROR(LOOKUP(A41,Abilities!$A$27:$A$29,Abilities!$D$27:$D$29),0)</f>
        <v/>
      </c>
      <c r="Y41" s="13">
        <f>Inputs!$C$16*IFERROR(LOOKUP(A41,Abilities!$A$27:$A$29,Abilities!$E$27:$E$29),0)/IFERROR(LOOKUP(A41,Abilities!$A$27:$A$29,Abilities!$F$27:$F$29),1)</f>
        <v/>
      </c>
      <c r="Z41" s="26">
        <f>I41+W41+G41+A41+MAX(1,A41/2)+(A41-B41)</f>
        <v/>
      </c>
      <c r="AA41" s="9">
        <f>MAX(0,Z41*(1+M41)*(1+L41)*Inputs!$C$20*(1-D41/Inputs!$C$19)-D41/25)</f>
        <v/>
      </c>
      <c r="AB41" s="16">
        <f>H41/10*(1-MIN(0.95,N41+X41))*Inputs!$C$21</f>
        <v/>
      </c>
      <c r="AC41" s="27">
        <f>AA41/AB41</f>
        <v/>
      </c>
      <c r="AD41" s="13">
        <f>Inputs!$C$16*IF(A41&gt;=INDEX(Abilities!$A$33:$A$34,1),INDEX(Abilities!$D$33:$D$34,1)/INDEX(Abilities!$E$33:$E$34,1),0)</f>
        <v/>
      </c>
      <c r="AE41" s="13">
        <f>Inputs!$C$16*IF(A41&gt;=INDEX(Abilities!$A$33:$A$34,2),INDEX(Abilities!$D$33:$D$34,2)/INDEX(Abilities!$E$33:$E$34,2),0)</f>
        <v/>
      </c>
      <c r="AF41" s="16">
        <f>CHOOSE(Inputs!$C$13,1,INDEX(Abilities!$J$33:$J$34,1),INDEX(Abilities!$I$33:$I$34,1))</f>
        <v/>
      </c>
      <c r="AG41" s="16">
        <f>CHOOSE(Inputs!$C$13,1,INDEX(Abilities!$J$33:$J$34,2),INDEX(Abilities!$I$33:$I$34,2))</f>
        <v/>
      </c>
      <c r="AH41" s="16">
        <f>INDEX(Abilities!$C$33:$C$34,2)*AG41*AE41+INDEX(Abilities!$C$33:$C$34,1)*AF41*MIN(AD41,1-AE41)</f>
        <v/>
      </c>
      <c r="AI41" s="9">
        <f>AH41*(I41+G41+A41)*(1+J41)*(1+K41)*Inputs!$C$20</f>
        <v/>
      </c>
      <c r="AJ41" s="9">
        <f>AH41*(I41+W41+G41+A41)*(1+J41)*(1+K41)*Inputs!$C$20</f>
        <v/>
      </c>
      <c r="AK41" s="27">
        <f>(1-Y41)*(T41+AI41)/U41+Y41*(AA41+AJ41)/AB41</f>
        <v/>
      </c>
      <c r="AL41" s="17">
        <f>(AA41+IF(A41&gt;=INDEX(Abilities!$A$33:$A$34,2),INDEX(Abilities!$C$33:$C$34,2)*AG41,IF(A41&gt;=INDEX(Abilities!$A$33:$A$34,1),INDEX(Abilities!$C$33:$C$34,1)*AF41,0))*(I41+W41+G41+A41)*(1+J41)*(1+K41)*Inputs!$C$20)/AB41</f>
        <v/>
      </c>
      <c r="AM41" s="28">
        <f>IFERROR(((1-Y41)*AI41/U41+Y41*AJ41/AB41)/AK41,0)</f>
        <v/>
      </c>
      <c r="AN41" s="8">
        <f>IFERROR(ROUNDUP(C41/T41,0),"-")</f>
        <v/>
      </c>
      <c r="AO41" s="60">
        <f>IFERROR(C41/AK41,"-")</f>
        <v/>
      </c>
      <c r="AP41" s="9">
        <f>MAX(0,(E41+(B41-A41))*(1-R41)*(1-Q41*'Class Table'!$O$6/Inputs!$C$19)-Q41*'Class Table'!$O$6/25)</f>
        <v/>
      </c>
      <c r="AQ41" s="26">
        <f>IFERROR(AP41/F41*AO41,"-")</f>
        <v/>
      </c>
      <c r="AR41" s="28">
        <f>IFERROR(AQ41/O41,"-")</f>
        <v/>
      </c>
      <c r="AS41" s="9">
        <f>IFERROR(O41*Inputs!$C$24/Inputs!$C$22*AO41,"-")</f>
        <v/>
      </c>
      <c r="AT41" s="28">
        <f>IFERROR(MAX(0,AQ41-AS41)/O41,"-")</f>
        <v/>
      </c>
    </row>
    <row r="42">
      <c r="A42" s="8" t="n">
        <v>39</v>
      </c>
      <c r="B42" s="14">
        <f>'Mob by Level'!B42</f>
        <v/>
      </c>
      <c r="C42" s="9">
        <f>'Mob by Level'!C42</f>
        <v/>
      </c>
      <c r="D42" s="9">
        <f>'Mob by Level'!D42</f>
        <v/>
      </c>
      <c r="E42" s="9">
        <f>'Mob by Level'!E42</f>
        <v/>
      </c>
      <c r="F42" s="16">
        <f>'Mob by Level'!F42</f>
        <v/>
      </c>
      <c r="G42" s="14">
        <f>SUMIFS(Gear!$D$4:$D$603,Gear!$A$4:$A$603,A42,Gear!$B$4:$B$603,"Warrior",Gear!$C$4:$C$603,Inputs!$C$5)</f>
        <v/>
      </c>
      <c r="H42" s="14">
        <f>SUMIFS(Gear!$E$4:$E$603,Gear!$A$4:$A$603,A42,Gear!$B$4:$B$603,"Warrior",Gear!$C$4:$C$603,Inputs!$C$5)</f>
        <v/>
      </c>
      <c r="I42" s="14">
        <f>SUMIFS(Gear!$F$4:$F$603,Gear!$A$4:$A$603,A42,Gear!$B$4:$B$603,"Warrior",Gear!$C$4:$C$603,Inputs!$C$5)+Inputs!$C$17*IFERROR(LOOKUP(A42,Abilities!$A$49:$A$53,Abilities!$C$49:$C$53),0)</f>
        <v/>
      </c>
      <c r="J42" s="13">
        <f>SUMIFS(Gear!$J$4:$J$603,Gear!$A$4:$A$603,A42,Gear!$B$4:$B$603,"Warrior",Gear!$C$4:$C$603,Inputs!$C$5)</f>
        <v/>
      </c>
      <c r="K42" s="13">
        <f>SUMIFS(Gear!$K$4:$K$603,Gear!$A$4:$A$603,A42,Gear!$B$4:$B$603,"Warrior",Gear!$C$4:$C$603,Inputs!$C$5)</f>
        <v/>
      </c>
      <c r="L42" s="13">
        <f>SUMIFS(Gear!$L$4:$L$603,Gear!$A$4:$A$603,A42,Gear!$B$4:$B$603,"Warrior",Gear!$C$4:$C$603,Inputs!$C$5)</f>
        <v/>
      </c>
      <c r="M42" s="13">
        <f>SUMIFS(Gear!$M$4:$M$603,Gear!$A$4:$A$603,A42,Gear!$B$4:$B$603,"Warrior",Gear!$C$4:$C$603,Inputs!$C$5)</f>
        <v/>
      </c>
      <c r="N42" s="13">
        <f>SUMIFS(Gear!$N$4:$N$603,Gear!$A$4:$A$603,A42,Gear!$B$4:$B$603,"Warrior",Gear!$C$4:$C$603,Inputs!$C$5)</f>
        <v/>
      </c>
      <c r="O42" s="9">
        <f>INDEX('Class Table'!$E$4:$E$53,A42)+SUMIFS(Gear!$G$4:$G$603,Gear!$A$4:$A$603,A42,Gear!$B$4:$B$603,"Warrior",Gear!$C$4:$C$603,Inputs!$C$5)</f>
        <v/>
      </c>
      <c r="P42" s="9">
        <f>INDEX('Class Table'!$F$4:$F$53,A42)+SUMIFS(Gear!$H$4:$H$603,Gear!$A$4:$A$603,A42,Gear!$B$4:$B$603,"Warrior",Gear!$C$4:$C$603,Inputs!$C$5)</f>
        <v/>
      </c>
      <c r="Q42" s="9">
        <f>INDEX('Class Table'!$G$4:$G$53,A42)+SUMIFS(Gear!$I$4:$I$603,Gear!$A$4:$A$603,A42,Gear!$B$4:$B$603,"Warrior",Gear!$C$4:$C$603,Inputs!$C$5)</f>
        <v/>
      </c>
      <c r="R42" s="13">
        <f>SUMIFS(Gear!$O$4:$O$603,Gear!$A$4:$A$603,A42,Gear!$B$4:$B$603,"Warrior",Gear!$C$4:$C$603,Inputs!$C$5)</f>
        <v/>
      </c>
      <c r="S42" s="26">
        <f>I42+0+G42+A42+MAX(1,A42/2)+(A42-B42)</f>
        <v/>
      </c>
      <c r="T42" s="9">
        <f>MAX(0,S42*(1+M42)*(1+L42)*Inputs!$C$20*(1-D42/Inputs!$C$19)-D42/25)</f>
        <v/>
      </c>
      <c r="U42" s="16">
        <f>H42/10*(1-MIN(0.95,N42+0))*Inputs!$C$21</f>
        <v/>
      </c>
      <c r="V42" s="27">
        <f>T42/U42</f>
        <v/>
      </c>
      <c r="W42" s="14">
        <f>IFERROR(LOOKUP(A42,Abilities!$A$27:$A$29,Abilities!$C$27:$C$29),0)</f>
        <v/>
      </c>
      <c r="X42" s="13">
        <f>IFERROR(LOOKUP(A42,Abilities!$A$27:$A$29,Abilities!$D$27:$D$29),0)</f>
        <v/>
      </c>
      <c r="Y42" s="13">
        <f>Inputs!$C$16*IFERROR(LOOKUP(A42,Abilities!$A$27:$A$29,Abilities!$E$27:$E$29),0)/IFERROR(LOOKUP(A42,Abilities!$A$27:$A$29,Abilities!$F$27:$F$29),1)</f>
        <v/>
      </c>
      <c r="Z42" s="26">
        <f>I42+W42+G42+A42+MAX(1,A42/2)+(A42-B42)</f>
        <v/>
      </c>
      <c r="AA42" s="9">
        <f>MAX(0,Z42*(1+M42)*(1+L42)*Inputs!$C$20*(1-D42/Inputs!$C$19)-D42/25)</f>
        <v/>
      </c>
      <c r="AB42" s="16">
        <f>H42/10*(1-MIN(0.95,N42+X42))*Inputs!$C$21</f>
        <v/>
      </c>
      <c r="AC42" s="27">
        <f>AA42/AB42</f>
        <v/>
      </c>
      <c r="AD42" s="13">
        <f>Inputs!$C$16*IF(A42&gt;=INDEX(Abilities!$A$33:$A$34,1),INDEX(Abilities!$D$33:$D$34,1)/INDEX(Abilities!$E$33:$E$34,1),0)</f>
        <v/>
      </c>
      <c r="AE42" s="13">
        <f>Inputs!$C$16*IF(A42&gt;=INDEX(Abilities!$A$33:$A$34,2),INDEX(Abilities!$D$33:$D$34,2)/INDEX(Abilities!$E$33:$E$34,2),0)</f>
        <v/>
      </c>
      <c r="AF42" s="16">
        <f>CHOOSE(Inputs!$C$13,1,INDEX(Abilities!$J$33:$J$34,1),INDEX(Abilities!$I$33:$I$34,1))</f>
        <v/>
      </c>
      <c r="AG42" s="16">
        <f>CHOOSE(Inputs!$C$13,1,INDEX(Abilities!$J$33:$J$34,2),INDEX(Abilities!$I$33:$I$34,2))</f>
        <v/>
      </c>
      <c r="AH42" s="16">
        <f>INDEX(Abilities!$C$33:$C$34,2)*AG42*AE42+INDEX(Abilities!$C$33:$C$34,1)*AF42*MIN(AD42,1-AE42)</f>
        <v/>
      </c>
      <c r="AI42" s="9">
        <f>AH42*(I42+G42+A42)*(1+J42)*(1+K42)*Inputs!$C$20</f>
        <v/>
      </c>
      <c r="AJ42" s="9">
        <f>AH42*(I42+W42+G42+A42)*(1+J42)*(1+K42)*Inputs!$C$20</f>
        <v/>
      </c>
      <c r="AK42" s="27">
        <f>(1-Y42)*(T42+AI42)/U42+Y42*(AA42+AJ42)/AB42</f>
        <v/>
      </c>
      <c r="AL42" s="17">
        <f>(AA42+IF(A42&gt;=INDEX(Abilities!$A$33:$A$34,2),INDEX(Abilities!$C$33:$C$34,2)*AG42,IF(A42&gt;=INDEX(Abilities!$A$33:$A$34,1),INDEX(Abilities!$C$33:$C$34,1)*AF42,0))*(I42+W42+G42+A42)*(1+J42)*(1+K42)*Inputs!$C$20)/AB42</f>
        <v/>
      </c>
      <c r="AM42" s="28">
        <f>IFERROR(((1-Y42)*AI42/U42+Y42*AJ42/AB42)/AK42,0)</f>
        <v/>
      </c>
      <c r="AN42" s="8">
        <f>IFERROR(ROUNDUP(C42/T42,0),"-")</f>
        <v/>
      </c>
      <c r="AO42" s="60">
        <f>IFERROR(C42/AK42,"-")</f>
        <v/>
      </c>
      <c r="AP42" s="9">
        <f>MAX(0,(E42+(B42-A42))*(1-R42)*(1-Q42*'Class Table'!$O$6/Inputs!$C$19)-Q42*'Class Table'!$O$6/25)</f>
        <v/>
      </c>
      <c r="AQ42" s="26">
        <f>IFERROR(AP42/F42*AO42,"-")</f>
        <v/>
      </c>
      <c r="AR42" s="28">
        <f>IFERROR(AQ42/O42,"-")</f>
        <v/>
      </c>
      <c r="AS42" s="9">
        <f>IFERROR(O42*Inputs!$C$24/Inputs!$C$22*AO42,"-")</f>
        <v/>
      </c>
      <c r="AT42" s="28">
        <f>IFERROR(MAX(0,AQ42-AS42)/O42,"-")</f>
        <v/>
      </c>
    </row>
    <row r="43">
      <c r="A43" s="8" t="n">
        <v>40</v>
      </c>
      <c r="B43" s="14">
        <f>'Mob by Level'!B43</f>
        <v/>
      </c>
      <c r="C43" s="9">
        <f>'Mob by Level'!C43</f>
        <v/>
      </c>
      <c r="D43" s="9">
        <f>'Mob by Level'!D43</f>
        <v/>
      </c>
      <c r="E43" s="9">
        <f>'Mob by Level'!E43</f>
        <v/>
      </c>
      <c r="F43" s="16">
        <f>'Mob by Level'!F43</f>
        <v/>
      </c>
      <c r="G43" s="14">
        <f>SUMIFS(Gear!$D$4:$D$603,Gear!$A$4:$A$603,A43,Gear!$B$4:$B$603,"Warrior",Gear!$C$4:$C$603,Inputs!$C$5)</f>
        <v/>
      </c>
      <c r="H43" s="14">
        <f>SUMIFS(Gear!$E$4:$E$603,Gear!$A$4:$A$603,A43,Gear!$B$4:$B$603,"Warrior",Gear!$C$4:$C$603,Inputs!$C$5)</f>
        <v/>
      </c>
      <c r="I43" s="14">
        <f>SUMIFS(Gear!$F$4:$F$603,Gear!$A$4:$A$603,A43,Gear!$B$4:$B$603,"Warrior",Gear!$C$4:$C$603,Inputs!$C$5)+Inputs!$C$17*IFERROR(LOOKUP(A43,Abilities!$A$49:$A$53,Abilities!$C$49:$C$53),0)</f>
        <v/>
      </c>
      <c r="J43" s="13">
        <f>SUMIFS(Gear!$J$4:$J$603,Gear!$A$4:$A$603,A43,Gear!$B$4:$B$603,"Warrior",Gear!$C$4:$C$603,Inputs!$C$5)</f>
        <v/>
      </c>
      <c r="K43" s="13">
        <f>SUMIFS(Gear!$K$4:$K$603,Gear!$A$4:$A$603,A43,Gear!$B$4:$B$603,"Warrior",Gear!$C$4:$C$603,Inputs!$C$5)</f>
        <v/>
      </c>
      <c r="L43" s="13">
        <f>SUMIFS(Gear!$L$4:$L$603,Gear!$A$4:$A$603,A43,Gear!$B$4:$B$603,"Warrior",Gear!$C$4:$C$603,Inputs!$C$5)</f>
        <v/>
      </c>
      <c r="M43" s="13">
        <f>SUMIFS(Gear!$M$4:$M$603,Gear!$A$4:$A$603,A43,Gear!$B$4:$B$603,"Warrior",Gear!$C$4:$C$603,Inputs!$C$5)</f>
        <v/>
      </c>
      <c r="N43" s="13">
        <f>SUMIFS(Gear!$N$4:$N$603,Gear!$A$4:$A$603,A43,Gear!$B$4:$B$603,"Warrior",Gear!$C$4:$C$603,Inputs!$C$5)</f>
        <v/>
      </c>
      <c r="O43" s="9">
        <f>INDEX('Class Table'!$E$4:$E$53,A43)+SUMIFS(Gear!$G$4:$G$603,Gear!$A$4:$A$603,A43,Gear!$B$4:$B$603,"Warrior",Gear!$C$4:$C$603,Inputs!$C$5)</f>
        <v/>
      </c>
      <c r="P43" s="9">
        <f>INDEX('Class Table'!$F$4:$F$53,A43)+SUMIFS(Gear!$H$4:$H$603,Gear!$A$4:$A$603,A43,Gear!$B$4:$B$603,"Warrior",Gear!$C$4:$C$603,Inputs!$C$5)</f>
        <v/>
      </c>
      <c r="Q43" s="9">
        <f>INDEX('Class Table'!$G$4:$G$53,A43)+SUMIFS(Gear!$I$4:$I$603,Gear!$A$4:$A$603,A43,Gear!$B$4:$B$603,"Warrior",Gear!$C$4:$C$603,Inputs!$C$5)</f>
        <v/>
      </c>
      <c r="R43" s="13">
        <f>SUMIFS(Gear!$O$4:$O$603,Gear!$A$4:$A$603,A43,Gear!$B$4:$B$603,"Warrior",Gear!$C$4:$C$603,Inputs!$C$5)</f>
        <v/>
      </c>
      <c r="S43" s="26">
        <f>I43+0+G43+A43+MAX(1,A43/2)+(A43-B43)</f>
        <v/>
      </c>
      <c r="T43" s="9">
        <f>MAX(0,S43*(1+M43)*(1+L43)*Inputs!$C$20*(1-D43/Inputs!$C$19)-D43/25)</f>
        <v/>
      </c>
      <c r="U43" s="16">
        <f>H43/10*(1-MIN(0.95,N43+0))*Inputs!$C$21</f>
        <v/>
      </c>
      <c r="V43" s="27">
        <f>T43/U43</f>
        <v/>
      </c>
      <c r="W43" s="14">
        <f>IFERROR(LOOKUP(A43,Abilities!$A$27:$A$29,Abilities!$C$27:$C$29),0)</f>
        <v/>
      </c>
      <c r="X43" s="13">
        <f>IFERROR(LOOKUP(A43,Abilities!$A$27:$A$29,Abilities!$D$27:$D$29),0)</f>
        <v/>
      </c>
      <c r="Y43" s="13">
        <f>Inputs!$C$16*IFERROR(LOOKUP(A43,Abilities!$A$27:$A$29,Abilities!$E$27:$E$29),0)/IFERROR(LOOKUP(A43,Abilities!$A$27:$A$29,Abilities!$F$27:$F$29),1)</f>
        <v/>
      </c>
      <c r="Z43" s="26">
        <f>I43+W43+G43+A43+MAX(1,A43/2)+(A43-B43)</f>
        <v/>
      </c>
      <c r="AA43" s="9">
        <f>MAX(0,Z43*(1+M43)*(1+L43)*Inputs!$C$20*(1-D43/Inputs!$C$19)-D43/25)</f>
        <v/>
      </c>
      <c r="AB43" s="16">
        <f>H43/10*(1-MIN(0.95,N43+X43))*Inputs!$C$21</f>
        <v/>
      </c>
      <c r="AC43" s="27">
        <f>AA43/AB43</f>
        <v/>
      </c>
      <c r="AD43" s="13">
        <f>Inputs!$C$16*IF(A43&gt;=INDEX(Abilities!$A$33:$A$34,1),INDEX(Abilities!$D$33:$D$34,1)/INDEX(Abilities!$E$33:$E$34,1),0)</f>
        <v/>
      </c>
      <c r="AE43" s="13">
        <f>Inputs!$C$16*IF(A43&gt;=INDEX(Abilities!$A$33:$A$34,2),INDEX(Abilities!$D$33:$D$34,2)/INDEX(Abilities!$E$33:$E$34,2),0)</f>
        <v/>
      </c>
      <c r="AF43" s="16">
        <f>CHOOSE(Inputs!$C$13,1,INDEX(Abilities!$J$33:$J$34,1),INDEX(Abilities!$I$33:$I$34,1))</f>
        <v/>
      </c>
      <c r="AG43" s="16">
        <f>CHOOSE(Inputs!$C$13,1,INDEX(Abilities!$J$33:$J$34,2),INDEX(Abilities!$I$33:$I$34,2))</f>
        <v/>
      </c>
      <c r="AH43" s="16">
        <f>INDEX(Abilities!$C$33:$C$34,2)*AG43*AE43+INDEX(Abilities!$C$33:$C$34,1)*AF43*MIN(AD43,1-AE43)</f>
        <v/>
      </c>
      <c r="AI43" s="9">
        <f>AH43*(I43+G43+A43)*(1+J43)*(1+K43)*Inputs!$C$20</f>
        <v/>
      </c>
      <c r="AJ43" s="9">
        <f>AH43*(I43+W43+G43+A43)*(1+J43)*(1+K43)*Inputs!$C$20</f>
        <v/>
      </c>
      <c r="AK43" s="27">
        <f>(1-Y43)*(T43+AI43)/U43+Y43*(AA43+AJ43)/AB43</f>
        <v/>
      </c>
      <c r="AL43" s="17">
        <f>(AA43+IF(A43&gt;=INDEX(Abilities!$A$33:$A$34,2),INDEX(Abilities!$C$33:$C$34,2)*AG43,IF(A43&gt;=INDEX(Abilities!$A$33:$A$34,1),INDEX(Abilities!$C$33:$C$34,1)*AF43,0))*(I43+W43+G43+A43)*(1+J43)*(1+K43)*Inputs!$C$20)/AB43</f>
        <v/>
      </c>
      <c r="AM43" s="28">
        <f>IFERROR(((1-Y43)*AI43/U43+Y43*AJ43/AB43)/AK43,0)</f>
        <v/>
      </c>
      <c r="AN43" s="8">
        <f>IFERROR(ROUNDUP(C43/T43,0),"-")</f>
        <v/>
      </c>
      <c r="AO43" s="60">
        <f>IFERROR(C43/AK43,"-")</f>
        <v/>
      </c>
      <c r="AP43" s="9">
        <f>MAX(0,(E43+(B43-A43))*(1-R43)*(1-Q43*'Class Table'!$O$6/Inputs!$C$19)-Q43*'Class Table'!$O$6/25)</f>
        <v/>
      </c>
      <c r="AQ43" s="26">
        <f>IFERROR(AP43/F43*AO43,"-")</f>
        <v/>
      </c>
      <c r="AR43" s="28">
        <f>IFERROR(AQ43/O43,"-")</f>
        <v/>
      </c>
      <c r="AS43" s="9">
        <f>IFERROR(O43*Inputs!$C$24/Inputs!$C$22*AO43,"-")</f>
        <v/>
      </c>
      <c r="AT43" s="28">
        <f>IFERROR(MAX(0,AQ43-AS43)/O43,"-")</f>
        <v/>
      </c>
    </row>
    <row r="44">
      <c r="A44" s="8" t="n">
        <v>41</v>
      </c>
      <c r="B44" s="14">
        <f>'Mob by Level'!B44</f>
        <v/>
      </c>
      <c r="C44" s="9">
        <f>'Mob by Level'!C44</f>
        <v/>
      </c>
      <c r="D44" s="9">
        <f>'Mob by Level'!D44</f>
        <v/>
      </c>
      <c r="E44" s="9">
        <f>'Mob by Level'!E44</f>
        <v/>
      </c>
      <c r="F44" s="16">
        <f>'Mob by Level'!F44</f>
        <v/>
      </c>
      <c r="G44" s="14">
        <f>SUMIFS(Gear!$D$4:$D$603,Gear!$A$4:$A$603,A44,Gear!$B$4:$B$603,"Warrior",Gear!$C$4:$C$603,Inputs!$C$5)</f>
        <v/>
      </c>
      <c r="H44" s="14">
        <f>SUMIFS(Gear!$E$4:$E$603,Gear!$A$4:$A$603,A44,Gear!$B$4:$B$603,"Warrior",Gear!$C$4:$C$603,Inputs!$C$5)</f>
        <v/>
      </c>
      <c r="I44" s="14">
        <f>SUMIFS(Gear!$F$4:$F$603,Gear!$A$4:$A$603,A44,Gear!$B$4:$B$603,"Warrior",Gear!$C$4:$C$603,Inputs!$C$5)+Inputs!$C$17*IFERROR(LOOKUP(A44,Abilities!$A$49:$A$53,Abilities!$C$49:$C$53),0)</f>
        <v/>
      </c>
      <c r="J44" s="13">
        <f>SUMIFS(Gear!$J$4:$J$603,Gear!$A$4:$A$603,A44,Gear!$B$4:$B$603,"Warrior",Gear!$C$4:$C$603,Inputs!$C$5)</f>
        <v/>
      </c>
      <c r="K44" s="13">
        <f>SUMIFS(Gear!$K$4:$K$603,Gear!$A$4:$A$603,A44,Gear!$B$4:$B$603,"Warrior",Gear!$C$4:$C$603,Inputs!$C$5)</f>
        <v/>
      </c>
      <c r="L44" s="13">
        <f>SUMIFS(Gear!$L$4:$L$603,Gear!$A$4:$A$603,A44,Gear!$B$4:$B$603,"Warrior",Gear!$C$4:$C$603,Inputs!$C$5)</f>
        <v/>
      </c>
      <c r="M44" s="13">
        <f>SUMIFS(Gear!$M$4:$M$603,Gear!$A$4:$A$603,A44,Gear!$B$4:$B$603,"Warrior",Gear!$C$4:$C$603,Inputs!$C$5)</f>
        <v/>
      </c>
      <c r="N44" s="13">
        <f>SUMIFS(Gear!$N$4:$N$603,Gear!$A$4:$A$603,A44,Gear!$B$4:$B$603,"Warrior",Gear!$C$4:$C$603,Inputs!$C$5)</f>
        <v/>
      </c>
      <c r="O44" s="9">
        <f>INDEX('Class Table'!$E$4:$E$53,A44)+SUMIFS(Gear!$G$4:$G$603,Gear!$A$4:$A$603,A44,Gear!$B$4:$B$603,"Warrior",Gear!$C$4:$C$603,Inputs!$C$5)</f>
        <v/>
      </c>
      <c r="P44" s="9">
        <f>INDEX('Class Table'!$F$4:$F$53,A44)+SUMIFS(Gear!$H$4:$H$603,Gear!$A$4:$A$603,A44,Gear!$B$4:$B$603,"Warrior",Gear!$C$4:$C$603,Inputs!$C$5)</f>
        <v/>
      </c>
      <c r="Q44" s="9">
        <f>INDEX('Class Table'!$G$4:$G$53,A44)+SUMIFS(Gear!$I$4:$I$603,Gear!$A$4:$A$603,A44,Gear!$B$4:$B$603,"Warrior",Gear!$C$4:$C$603,Inputs!$C$5)</f>
        <v/>
      </c>
      <c r="R44" s="13">
        <f>SUMIFS(Gear!$O$4:$O$603,Gear!$A$4:$A$603,A44,Gear!$B$4:$B$603,"Warrior",Gear!$C$4:$C$603,Inputs!$C$5)</f>
        <v/>
      </c>
      <c r="S44" s="26">
        <f>I44+0+G44+A44+MAX(1,A44/2)+(A44-B44)</f>
        <v/>
      </c>
      <c r="T44" s="9">
        <f>MAX(0,S44*(1+M44)*(1+L44)*Inputs!$C$20*(1-D44/Inputs!$C$19)-D44/25)</f>
        <v/>
      </c>
      <c r="U44" s="16">
        <f>H44/10*(1-MIN(0.95,N44+0))*Inputs!$C$21</f>
        <v/>
      </c>
      <c r="V44" s="27">
        <f>T44/U44</f>
        <v/>
      </c>
      <c r="W44" s="14">
        <f>IFERROR(LOOKUP(A44,Abilities!$A$27:$A$29,Abilities!$C$27:$C$29),0)</f>
        <v/>
      </c>
      <c r="X44" s="13">
        <f>IFERROR(LOOKUP(A44,Abilities!$A$27:$A$29,Abilities!$D$27:$D$29),0)</f>
        <v/>
      </c>
      <c r="Y44" s="13">
        <f>Inputs!$C$16*IFERROR(LOOKUP(A44,Abilities!$A$27:$A$29,Abilities!$E$27:$E$29),0)/IFERROR(LOOKUP(A44,Abilities!$A$27:$A$29,Abilities!$F$27:$F$29),1)</f>
        <v/>
      </c>
      <c r="Z44" s="26">
        <f>I44+W44+G44+A44+MAX(1,A44/2)+(A44-B44)</f>
        <v/>
      </c>
      <c r="AA44" s="9">
        <f>MAX(0,Z44*(1+M44)*(1+L44)*Inputs!$C$20*(1-D44/Inputs!$C$19)-D44/25)</f>
        <v/>
      </c>
      <c r="AB44" s="16">
        <f>H44/10*(1-MIN(0.95,N44+X44))*Inputs!$C$21</f>
        <v/>
      </c>
      <c r="AC44" s="27">
        <f>AA44/AB44</f>
        <v/>
      </c>
      <c r="AD44" s="13">
        <f>Inputs!$C$16*IF(A44&gt;=INDEX(Abilities!$A$33:$A$34,1),INDEX(Abilities!$D$33:$D$34,1)/INDEX(Abilities!$E$33:$E$34,1),0)</f>
        <v/>
      </c>
      <c r="AE44" s="13">
        <f>Inputs!$C$16*IF(A44&gt;=INDEX(Abilities!$A$33:$A$34,2),INDEX(Abilities!$D$33:$D$34,2)/INDEX(Abilities!$E$33:$E$34,2),0)</f>
        <v/>
      </c>
      <c r="AF44" s="16">
        <f>CHOOSE(Inputs!$C$13,1,INDEX(Abilities!$J$33:$J$34,1),INDEX(Abilities!$I$33:$I$34,1))</f>
        <v/>
      </c>
      <c r="AG44" s="16">
        <f>CHOOSE(Inputs!$C$13,1,INDEX(Abilities!$J$33:$J$34,2),INDEX(Abilities!$I$33:$I$34,2))</f>
        <v/>
      </c>
      <c r="AH44" s="16">
        <f>INDEX(Abilities!$C$33:$C$34,2)*AG44*AE44+INDEX(Abilities!$C$33:$C$34,1)*AF44*MIN(AD44,1-AE44)</f>
        <v/>
      </c>
      <c r="AI44" s="9">
        <f>AH44*(I44+G44+A44)*(1+J44)*(1+K44)*Inputs!$C$20</f>
        <v/>
      </c>
      <c r="AJ44" s="9">
        <f>AH44*(I44+W44+G44+A44)*(1+J44)*(1+K44)*Inputs!$C$20</f>
        <v/>
      </c>
      <c r="AK44" s="27">
        <f>(1-Y44)*(T44+AI44)/U44+Y44*(AA44+AJ44)/AB44</f>
        <v/>
      </c>
      <c r="AL44" s="17">
        <f>(AA44+IF(A44&gt;=INDEX(Abilities!$A$33:$A$34,2),INDEX(Abilities!$C$33:$C$34,2)*AG44,IF(A44&gt;=INDEX(Abilities!$A$33:$A$34,1),INDEX(Abilities!$C$33:$C$34,1)*AF44,0))*(I44+W44+G44+A44)*(1+J44)*(1+K44)*Inputs!$C$20)/AB44</f>
        <v/>
      </c>
      <c r="AM44" s="28">
        <f>IFERROR(((1-Y44)*AI44/U44+Y44*AJ44/AB44)/AK44,0)</f>
        <v/>
      </c>
      <c r="AN44" s="8">
        <f>IFERROR(ROUNDUP(C44/T44,0),"-")</f>
        <v/>
      </c>
      <c r="AO44" s="60">
        <f>IFERROR(C44/AK44,"-")</f>
        <v/>
      </c>
      <c r="AP44" s="9">
        <f>MAX(0,(E44+(B44-A44))*(1-R44)*(1-Q44*'Class Table'!$O$6/Inputs!$C$19)-Q44*'Class Table'!$O$6/25)</f>
        <v/>
      </c>
      <c r="AQ44" s="26">
        <f>IFERROR(AP44/F44*AO44,"-")</f>
        <v/>
      </c>
      <c r="AR44" s="28">
        <f>IFERROR(AQ44/O44,"-")</f>
        <v/>
      </c>
      <c r="AS44" s="9">
        <f>IFERROR(O44*Inputs!$C$24/Inputs!$C$22*AO44,"-")</f>
        <v/>
      </c>
      <c r="AT44" s="28">
        <f>IFERROR(MAX(0,AQ44-AS44)/O44,"-")</f>
        <v/>
      </c>
    </row>
    <row r="45">
      <c r="A45" s="8" t="n">
        <v>42</v>
      </c>
      <c r="B45" s="14">
        <f>'Mob by Level'!B45</f>
        <v/>
      </c>
      <c r="C45" s="9">
        <f>'Mob by Level'!C45</f>
        <v/>
      </c>
      <c r="D45" s="9">
        <f>'Mob by Level'!D45</f>
        <v/>
      </c>
      <c r="E45" s="9">
        <f>'Mob by Level'!E45</f>
        <v/>
      </c>
      <c r="F45" s="16">
        <f>'Mob by Level'!F45</f>
        <v/>
      </c>
      <c r="G45" s="14">
        <f>SUMIFS(Gear!$D$4:$D$603,Gear!$A$4:$A$603,A45,Gear!$B$4:$B$603,"Warrior",Gear!$C$4:$C$603,Inputs!$C$5)</f>
        <v/>
      </c>
      <c r="H45" s="14">
        <f>SUMIFS(Gear!$E$4:$E$603,Gear!$A$4:$A$603,A45,Gear!$B$4:$B$603,"Warrior",Gear!$C$4:$C$603,Inputs!$C$5)</f>
        <v/>
      </c>
      <c r="I45" s="14">
        <f>SUMIFS(Gear!$F$4:$F$603,Gear!$A$4:$A$603,A45,Gear!$B$4:$B$603,"Warrior",Gear!$C$4:$C$603,Inputs!$C$5)+Inputs!$C$17*IFERROR(LOOKUP(A45,Abilities!$A$49:$A$53,Abilities!$C$49:$C$53),0)</f>
        <v/>
      </c>
      <c r="J45" s="13">
        <f>SUMIFS(Gear!$J$4:$J$603,Gear!$A$4:$A$603,A45,Gear!$B$4:$B$603,"Warrior",Gear!$C$4:$C$603,Inputs!$C$5)</f>
        <v/>
      </c>
      <c r="K45" s="13">
        <f>SUMIFS(Gear!$K$4:$K$603,Gear!$A$4:$A$603,A45,Gear!$B$4:$B$603,"Warrior",Gear!$C$4:$C$603,Inputs!$C$5)</f>
        <v/>
      </c>
      <c r="L45" s="13">
        <f>SUMIFS(Gear!$L$4:$L$603,Gear!$A$4:$A$603,A45,Gear!$B$4:$B$603,"Warrior",Gear!$C$4:$C$603,Inputs!$C$5)</f>
        <v/>
      </c>
      <c r="M45" s="13">
        <f>SUMIFS(Gear!$M$4:$M$603,Gear!$A$4:$A$603,A45,Gear!$B$4:$B$603,"Warrior",Gear!$C$4:$C$603,Inputs!$C$5)</f>
        <v/>
      </c>
      <c r="N45" s="13">
        <f>SUMIFS(Gear!$N$4:$N$603,Gear!$A$4:$A$603,A45,Gear!$B$4:$B$603,"Warrior",Gear!$C$4:$C$603,Inputs!$C$5)</f>
        <v/>
      </c>
      <c r="O45" s="9">
        <f>INDEX('Class Table'!$E$4:$E$53,A45)+SUMIFS(Gear!$G$4:$G$603,Gear!$A$4:$A$603,A45,Gear!$B$4:$B$603,"Warrior",Gear!$C$4:$C$603,Inputs!$C$5)</f>
        <v/>
      </c>
      <c r="P45" s="9">
        <f>INDEX('Class Table'!$F$4:$F$53,A45)+SUMIFS(Gear!$H$4:$H$603,Gear!$A$4:$A$603,A45,Gear!$B$4:$B$603,"Warrior",Gear!$C$4:$C$603,Inputs!$C$5)</f>
        <v/>
      </c>
      <c r="Q45" s="9">
        <f>INDEX('Class Table'!$G$4:$G$53,A45)+SUMIFS(Gear!$I$4:$I$603,Gear!$A$4:$A$603,A45,Gear!$B$4:$B$603,"Warrior",Gear!$C$4:$C$603,Inputs!$C$5)</f>
        <v/>
      </c>
      <c r="R45" s="13">
        <f>SUMIFS(Gear!$O$4:$O$603,Gear!$A$4:$A$603,A45,Gear!$B$4:$B$603,"Warrior",Gear!$C$4:$C$603,Inputs!$C$5)</f>
        <v/>
      </c>
      <c r="S45" s="26">
        <f>I45+0+G45+A45+MAX(1,A45/2)+(A45-B45)</f>
        <v/>
      </c>
      <c r="T45" s="9">
        <f>MAX(0,S45*(1+M45)*(1+L45)*Inputs!$C$20*(1-D45/Inputs!$C$19)-D45/25)</f>
        <v/>
      </c>
      <c r="U45" s="16">
        <f>H45/10*(1-MIN(0.95,N45+0))*Inputs!$C$21</f>
        <v/>
      </c>
      <c r="V45" s="27">
        <f>T45/U45</f>
        <v/>
      </c>
      <c r="W45" s="14">
        <f>IFERROR(LOOKUP(A45,Abilities!$A$27:$A$29,Abilities!$C$27:$C$29),0)</f>
        <v/>
      </c>
      <c r="X45" s="13">
        <f>IFERROR(LOOKUP(A45,Abilities!$A$27:$A$29,Abilities!$D$27:$D$29),0)</f>
        <v/>
      </c>
      <c r="Y45" s="13">
        <f>Inputs!$C$16*IFERROR(LOOKUP(A45,Abilities!$A$27:$A$29,Abilities!$E$27:$E$29),0)/IFERROR(LOOKUP(A45,Abilities!$A$27:$A$29,Abilities!$F$27:$F$29),1)</f>
        <v/>
      </c>
      <c r="Z45" s="26">
        <f>I45+W45+G45+A45+MAX(1,A45/2)+(A45-B45)</f>
        <v/>
      </c>
      <c r="AA45" s="9">
        <f>MAX(0,Z45*(1+M45)*(1+L45)*Inputs!$C$20*(1-D45/Inputs!$C$19)-D45/25)</f>
        <v/>
      </c>
      <c r="AB45" s="16">
        <f>H45/10*(1-MIN(0.95,N45+X45))*Inputs!$C$21</f>
        <v/>
      </c>
      <c r="AC45" s="27">
        <f>AA45/AB45</f>
        <v/>
      </c>
      <c r="AD45" s="13">
        <f>Inputs!$C$16*IF(A45&gt;=INDEX(Abilities!$A$33:$A$34,1),INDEX(Abilities!$D$33:$D$34,1)/INDEX(Abilities!$E$33:$E$34,1),0)</f>
        <v/>
      </c>
      <c r="AE45" s="13">
        <f>Inputs!$C$16*IF(A45&gt;=INDEX(Abilities!$A$33:$A$34,2),INDEX(Abilities!$D$33:$D$34,2)/INDEX(Abilities!$E$33:$E$34,2),0)</f>
        <v/>
      </c>
      <c r="AF45" s="16">
        <f>CHOOSE(Inputs!$C$13,1,INDEX(Abilities!$J$33:$J$34,1),INDEX(Abilities!$I$33:$I$34,1))</f>
        <v/>
      </c>
      <c r="AG45" s="16">
        <f>CHOOSE(Inputs!$C$13,1,INDEX(Abilities!$J$33:$J$34,2),INDEX(Abilities!$I$33:$I$34,2))</f>
        <v/>
      </c>
      <c r="AH45" s="16">
        <f>INDEX(Abilities!$C$33:$C$34,2)*AG45*AE45+INDEX(Abilities!$C$33:$C$34,1)*AF45*MIN(AD45,1-AE45)</f>
        <v/>
      </c>
      <c r="AI45" s="9">
        <f>AH45*(I45+G45+A45)*(1+J45)*(1+K45)*Inputs!$C$20</f>
        <v/>
      </c>
      <c r="AJ45" s="9">
        <f>AH45*(I45+W45+G45+A45)*(1+J45)*(1+K45)*Inputs!$C$20</f>
        <v/>
      </c>
      <c r="AK45" s="27">
        <f>(1-Y45)*(T45+AI45)/U45+Y45*(AA45+AJ45)/AB45</f>
        <v/>
      </c>
      <c r="AL45" s="17">
        <f>(AA45+IF(A45&gt;=INDEX(Abilities!$A$33:$A$34,2),INDEX(Abilities!$C$33:$C$34,2)*AG45,IF(A45&gt;=INDEX(Abilities!$A$33:$A$34,1),INDEX(Abilities!$C$33:$C$34,1)*AF45,0))*(I45+W45+G45+A45)*(1+J45)*(1+K45)*Inputs!$C$20)/AB45</f>
        <v/>
      </c>
      <c r="AM45" s="28">
        <f>IFERROR(((1-Y45)*AI45/U45+Y45*AJ45/AB45)/AK45,0)</f>
        <v/>
      </c>
      <c r="AN45" s="8">
        <f>IFERROR(ROUNDUP(C45/T45,0),"-")</f>
        <v/>
      </c>
      <c r="AO45" s="60">
        <f>IFERROR(C45/AK45,"-")</f>
        <v/>
      </c>
      <c r="AP45" s="9">
        <f>MAX(0,(E45+(B45-A45))*(1-R45)*(1-Q45*'Class Table'!$O$6/Inputs!$C$19)-Q45*'Class Table'!$O$6/25)</f>
        <v/>
      </c>
      <c r="AQ45" s="26">
        <f>IFERROR(AP45/F45*AO45,"-")</f>
        <v/>
      </c>
      <c r="AR45" s="28">
        <f>IFERROR(AQ45/O45,"-")</f>
        <v/>
      </c>
      <c r="AS45" s="9">
        <f>IFERROR(O45*Inputs!$C$24/Inputs!$C$22*AO45,"-")</f>
        <v/>
      </c>
      <c r="AT45" s="28">
        <f>IFERROR(MAX(0,AQ45-AS45)/O45,"-")</f>
        <v/>
      </c>
    </row>
    <row r="46">
      <c r="A46" s="8" t="n">
        <v>43</v>
      </c>
      <c r="B46" s="14">
        <f>'Mob by Level'!B46</f>
        <v/>
      </c>
      <c r="C46" s="9">
        <f>'Mob by Level'!C46</f>
        <v/>
      </c>
      <c r="D46" s="9">
        <f>'Mob by Level'!D46</f>
        <v/>
      </c>
      <c r="E46" s="9">
        <f>'Mob by Level'!E46</f>
        <v/>
      </c>
      <c r="F46" s="16">
        <f>'Mob by Level'!F46</f>
        <v/>
      </c>
      <c r="G46" s="14">
        <f>SUMIFS(Gear!$D$4:$D$603,Gear!$A$4:$A$603,A46,Gear!$B$4:$B$603,"Warrior",Gear!$C$4:$C$603,Inputs!$C$5)</f>
        <v/>
      </c>
      <c r="H46" s="14">
        <f>SUMIFS(Gear!$E$4:$E$603,Gear!$A$4:$A$603,A46,Gear!$B$4:$B$603,"Warrior",Gear!$C$4:$C$603,Inputs!$C$5)</f>
        <v/>
      </c>
      <c r="I46" s="14">
        <f>SUMIFS(Gear!$F$4:$F$603,Gear!$A$4:$A$603,A46,Gear!$B$4:$B$603,"Warrior",Gear!$C$4:$C$603,Inputs!$C$5)+Inputs!$C$17*IFERROR(LOOKUP(A46,Abilities!$A$49:$A$53,Abilities!$C$49:$C$53),0)</f>
        <v/>
      </c>
      <c r="J46" s="13">
        <f>SUMIFS(Gear!$J$4:$J$603,Gear!$A$4:$A$603,A46,Gear!$B$4:$B$603,"Warrior",Gear!$C$4:$C$603,Inputs!$C$5)</f>
        <v/>
      </c>
      <c r="K46" s="13">
        <f>SUMIFS(Gear!$K$4:$K$603,Gear!$A$4:$A$603,A46,Gear!$B$4:$B$603,"Warrior",Gear!$C$4:$C$603,Inputs!$C$5)</f>
        <v/>
      </c>
      <c r="L46" s="13">
        <f>SUMIFS(Gear!$L$4:$L$603,Gear!$A$4:$A$603,A46,Gear!$B$4:$B$603,"Warrior",Gear!$C$4:$C$603,Inputs!$C$5)</f>
        <v/>
      </c>
      <c r="M46" s="13">
        <f>SUMIFS(Gear!$M$4:$M$603,Gear!$A$4:$A$603,A46,Gear!$B$4:$B$603,"Warrior",Gear!$C$4:$C$603,Inputs!$C$5)</f>
        <v/>
      </c>
      <c r="N46" s="13">
        <f>SUMIFS(Gear!$N$4:$N$603,Gear!$A$4:$A$603,A46,Gear!$B$4:$B$603,"Warrior",Gear!$C$4:$C$603,Inputs!$C$5)</f>
        <v/>
      </c>
      <c r="O46" s="9">
        <f>INDEX('Class Table'!$E$4:$E$53,A46)+SUMIFS(Gear!$G$4:$G$603,Gear!$A$4:$A$603,A46,Gear!$B$4:$B$603,"Warrior",Gear!$C$4:$C$603,Inputs!$C$5)</f>
        <v/>
      </c>
      <c r="P46" s="9">
        <f>INDEX('Class Table'!$F$4:$F$53,A46)+SUMIFS(Gear!$H$4:$H$603,Gear!$A$4:$A$603,A46,Gear!$B$4:$B$603,"Warrior",Gear!$C$4:$C$603,Inputs!$C$5)</f>
        <v/>
      </c>
      <c r="Q46" s="9">
        <f>INDEX('Class Table'!$G$4:$G$53,A46)+SUMIFS(Gear!$I$4:$I$603,Gear!$A$4:$A$603,A46,Gear!$B$4:$B$603,"Warrior",Gear!$C$4:$C$603,Inputs!$C$5)</f>
        <v/>
      </c>
      <c r="R46" s="13">
        <f>SUMIFS(Gear!$O$4:$O$603,Gear!$A$4:$A$603,A46,Gear!$B$4:$B$603,"Warrior",Gear!$C$4:$C$603,Inputs!$C$5)</f>
        <v/>
      </c>
      <c r="S46" s="26">
        <f>I46+0+G46+A46+MAX(1,A46/2)+(A46-B46)</f>
        <v/>
      </c>
      <c r="T46" s="9">
        <f>MAX(0,S46*(1+M46)*(1+L46)*Inputs!$C$20*(1-D46/Inputs!$C$19)-D46/25)</f>
        <v/>
      </c>
      <c r="U46" s="16">
        <f>H46/10*(1-MIN(0.95,N46+0))*Inputs!$C$21</f>
        <v/>
      </c>
      <c r="V46" s="27">
        <f>T46/U46</f>
        <v/>
      </c>
      <c r="W46" s="14">
        <f>IFERROR(LOOKUP(A46,Abilities!$A$27:$A$29,Abilities!$C$27:$C$29),0)</f>
        <v/>
      </c>
      <c r="X46" s="13">
        <f>IFERROR(LOOKUP(A46,Abilities!$A$27:$A$29,Abilities!$D$27:$D$29),0)</f>
        <v/>
      </c>
      <c r="Y46" s="13">
        <f>Inputs!$C$16*IFERROR(LOOKUP(A46,Abilities!$A$27:$A$29,Abilities!$E$27:$E$29),0)/IFERROR(LOOKUP(A46,Abilities!$A$27:$A$29,Abilities!$F$27:$F$29),1)</f>
        <v/>
      </c>
      <c r="Z46" s="26">
        <f>I46+W46+G46+A46+MAX(1,A46/2)+(A46-B46)</f>
        <v/>
      </c>
      <c r="AA46" s="9">
        <f>MAX(0,Z46*(1+M46)*(1+L46)*Inputs!$C$20*(1-D46/Inputs!$C$19)-D46/25)</f>
        <v/>
      </c>
      <c r="AB46" s="16">
        <f>H46/10*(1-MIN(0.95,N46+X46))*Inputs!$C$21</f>
        <v/>
      </c>
      <c r="AC46" s="27">
        <f>AA46/AB46</f>
        <v/>
      </c>
      <c r="AD46" s="13">
        <f>Inputs!$C$16*IF(A46&gt;=INDEX(Abilities!$A$33:$A$34,1),INDEX(Abilities!$D$33:$D$34,1)/INDEX(Abilities!$E$33:$E$34,1),0)</f>
        <v/>
      </c>
      <c r="AE46" s="13">
        <f>Inputs!$C$16*IF(A46&gt;=INDEX(Abilities!$A$33:$A$34,2),INDEX(Abilities!$D$33:$D$34,2)/INDEX(Abilities!$E$33:$E$34,2),0)</f>
        <v/>
      </c>
      <c r="AF46" s="16">
        <f>CHOOSE(Inputs!$C$13,1,INDEX(Abilities!$J$33:$J$34,1),INDEX(Abilities!$I$33:$I$34,1))</f>
        <v/>
      </c>
      <c r="AG46" s="16">
        <f>CHOOSE(Inputs!$C$13,1,INDEX(Abilities!$J$33:$J$34,2),INDEX(Abilities!$I$33:$I$34,2))</f>
        <v/>
      </c>
      <c r="AH46" s="16">
        <f>INDEX(Abilities!$C$33:$C$34,2)*AG46*AE46+INDEX(Abilities!$C$33:$C$34,1)*AF46*MIN(AD46,1-AE46)</f>
        <v/>
      </c>
      <c r="AI46" s="9">
        <f>AH46*(I46+G46+A46)*(1+J46)*(1+K46)*Inputs!$C$20</f>
        <v/>
      </c>
      <c r="AJ46" s="9">
        <f>AH46*(I46+W46+G46+A46)*(1+J46)*(1+K46)*Inputs!$C$20</f>
        <v/>
      </c>
      <c r="AK46" s="27">
        <f>(1-Y46)*(T46+AI46)/U46+Y46*(AA46+AJ46)/AB46</f>
        <v/>
      </c>
      <c r="AL46" s="17">
        <f>(AA46+IF(A46&gt;=INDEX(Abilities!$A$33:$A$34,2),INDEX(Abilities!$C$33:$C$34,2)*AG46,IF(A46&gt;=INDEX(Abilities!$A$33:$A$34,1),INDEX(Abilities!$C$33:$C$34,1)*AF46,0))*(I46+W46+G46+A46)*(1+J46)*(1+K46)*Inputs!$C$20)/AB46</f>
        <v/>
      </c>
      <c r="AM46" s="28">
        <f>IFERROR(((1-Y46)*AI46/U46+Y46*AJ46/AB46)/AK46,0)</f>
        <v/>
      </c>
      <c r="AN46" s="8">
        <f>IFERROR(ROUNDUP(C46/T46,0),"-")</f>
        <v/>
      </c>
      <c r="AO46" s="60">
        <f>IFERROR(C46/AK46,"-")</f>
        <v/>
      </c>
      <c r="AP46" s="9">
        <f>MAX(0,(E46+(B46-A46))*(1-R46)*(1-Q46*'Class Table'!$O$6/Inputs!$C$19)-Q46*'Class Table'!$O$6/25)</f>
        <v/>
      </c>
      <c r="AQ46" s="26">
        <f>IFERROR(AP46/F46*AO46,"-")</f>
        <v/>
      </c>
      <c r="AR46" s="28">
        <f>IFERROR(AQ46/O46,"-")</f>
        <v/>
      </c>
      <c r="AS46" s="9">
        <f>IFERROR(O46*Inputs!$C$24/Inputs!$C$22*AO46,"-")</f>
        <v/>
      </c>
      <c r="AT46" s="28">
        <f>IFERROR(MAX(0,AQ46-AS46)/O46,"-")</f>
        <v/>
      </c>
    </row>
    <row r="47">
      <c r="A47" s="8" t="n">
        <v>44</v>
      </c>
      <c r="B47" s="14">
        <f>'Mob by Level'!B47</f>
        <v/>
      </c>
      <c r="C47" s="9">
        <f>'Mob by Level'!C47</f>
        <v/>
      </c>
      <c r="D47" s="9">
        <f>'Mob by Level'!D47</f>
        <v/>
      </c>
      <c r="E47" s="9">
        <f>'Mob by Level'!E47</f>
        <v/>
      </c>
      <c r="F47" s="16">
        <f>'Mob by Level'!F47</f>
        <v/>
      </c>
      <c r="G47" s="14">
        <f>SUMIFS(Gear!$D$4:$D$603,Gear!$A$4:$A$603,A47,Gear!$B$4:$B$603,"Warrior",Gear!$C$4:$C$603,Inputs!$C$5)</f>
        <v/>
      </c>
      <c r="H47" s="14">
        <f>SUMIFS(Gear!$E$4:$E$603,Gear!$A$4:$A$603,A47,Gear!$B$4:$B$603,"Warrior",Gear!$C$4:$C$603,Inputs!$C$5)</f>
        <v/>
      </c>
      <c r="I47" s="14">
        <f>SUMIFS(Gear!$F$4:$F$603,Gear!$A$4:$A$603,A47,Gear!$B$4:$B$603,"Warrior",Gear!$C$4:$C$603,Inputs!$C$5)+Inputs!$C$17*IFERROR(LOOKUP(A47,Abilities!$A$49:$A$53,Abilities!$C$49:$C$53),0)</f>
        <v/>
      </c>
      <c r="J47" s="13">
        <f>SUMIFS(Gear!$J$4:$J$603,Gear!$A$4:$A$603,A47,Gear!$B$4:$B$603,"Warrior",Gear!$C$4:$C$603,Inputs!$C$5)</f>
        <v/>
      </c>
      <c r="K47" s="13">
        <f>SUMIFS(Gear!$K$4:$K$603,Gear!$A$4:$A$603,A47,Gear!$B$4:$B$603,"Warrior",Gear!$C$4:$C$603,Inputs!$C$5)</f>
        <v/>
      </c>
      <c r="L47" s="13">
        <f>SUMIFS(Gear!$L$4:$L$603,Gear!$A$4:$A$603,A47,Gear!$B$4:$B$603,"Warrior",Gear!$C$4:$C$603,Inputs!$C$5)</f>
        <v/>
      </c>
      <c r="M47" s="13">
        <f>SUMIFS(Gear!$M$4:$M$603,Gear!$A$4:$A$603,A47,Gear!$B$4:$B$603,"Warrior",Gear!$C$4:$C$603,Inputs!$C$5)</f>
        <v/>
      </c>
      <c r="N47" s="13">
        <f>SUMIFS(Gear!$N$4:$N$603,Gear!$A$4:$A$603,A47,Gear!$B$4:$B$603,"Warrior",Gear!$C$4:$C$603,Inputs!$C$5)</f>
        <v/>
      </c>
      <c r="O47" s="9">
        <f>INDEX('Class Table'!$E$4:$E$53,A47)+SUMIFS(Gear!$G$4:$G$603,Gear!$A$4:$A$603,A47,Gear!$B$4:$B$603,"Warrior",Gear!$C$4:$C$603,Inputs!$C$5)</f>
        <v/>
      </c>
      <c r="P47" s="9">
        <f>INDEX('Class Table'!$F$4:$F$53,A47)+SUMIFS(Gear!$H$4:$H$603,Gear!$A$4:$A$603,A47,Gear!$B$4:$B$603,"Warrior",Gear!$C$4:$C$603,Inputs!$C$5)</f>
        <v/>
      </c>
      <c r="Q47" s="9">
        <f>INDEX('Class Table'!$G$4:$G$53,A47)+SUMIFS(Gear!$I$4:$I$603,Gear!$A$4:$A$603,A47,Gear!$B$4:$B$603,"Warrior",Gear!$C$4:$C$603,Inputs!$C$5)</f>
        <v/>
      </c>
      <c r="R47" s="13">
        <f>SUMIFS(Gear!$O$4:$O$603,Gear!$A$4:$A$603,A47,Gear!$B$4:$B$603,"Warrior",Gear!$C$4:$C$603,Inputs!$C$5)</f>
        <v/>
      </c>
      <c r="S47" s="26">
        <f>I47+0+G47+A47+MAX(1,A47/2)+(A47-B47)</f>
        <v/>
      </c>
      <c r="T47" s="9">
        <f>MAX(0,S47*(1+M47)*(1+L47)*Inputs!$C$20*(1-D47/Inputs!$C$19)-D47/25)</f>
        <v/>
      </c>
      <c r="U47" s="16">
        <f>H47/10*(1-MIN(0.95,N47+0))*Inputs!$C$21</f>
        <v/>
      </c>
      <c r="V47" s="27">
        <f>T47/U47</f>
        <v/>
      </c>
      <c r="W47" s="14">
        <f>IFERROR(LOOKUP(A47,Abilities!$A$27:$A$29,Abilities!$C$27:$C$29),0)</f>
        <v/>
      </c>
      <c r="X47" s="13">
        <f>IFERROR(LOOKUP(A47,Abilities!$A$27:$A$29,Abilities!$D$27:$D$29),0)</f>
        <v/>
      </c>
      <c r="Y47" s="13">
        <f>Inputs!$C$16*IFERROR(LOOKUP(A47,Abilities!$A$27:$A$29,Abilities!$E$27:$E$29),0)/IFERROR(LOOKUP(A47,Abilities!$A$27:$A$29,Abilities!$F$27:$F$29),1)</f>
        <v/>
      </c>
      <c r="Z47" s="26">
        <f>I47+W47+G47+A47+MAX(1,A47/2)+(A47-B47)</f>
        <v/>
      </c>
      <c r="AA47" s="9">
        <f>MAX(0,Z47*(1+M47)*(1+L47)*Inputs!$C$20*(1-D47/Inputs!$C$19)-D47/25)</f>
        <v/>
      </c>
      <c r="AB47" s="16">
        <f>H47/10*(1-MIN(0.95,N47+X47))*Inputs!$C$21</f>
        <v/>
      </c>
      <c r="AC47" s="27">
        <f>AA47/AB47</f>
        <v/>
      </c>
      <c r="AD47" s="13">
        <f>Inputs!$C$16*IF(A47&gt;=INDEX(Abilities!$A$33:$A$34,1),INDEX(Abilities!$D$33:$D$34,1)/INDEX(Abilities!$E$33:$E$34,1),0)</f>
        <v/>
      </c>
      <c r="AE47" s="13">
        <f>Inputs!$C$16*IF(A47&gt;=INDEX(Abilities!$A$33:$A$34,2),INDEX(Abilities!$D$33:$D$34,2)/INDEX(Abilities!$E$33:$E$34,2),0)</f>
        <v/>
      </c>
      <c r="AF47" s="16">
        <f>CHOOSE(Inputs!$C$13,1,INDEX(Abilities!$J$33:$J$34,1),INDEX(Abilities!$I$33:$I$34,1))</f>
        <v/>
      </c>
      <c r="AG47" s="16">
        <f>CHOOSE(Inputs!$C$13,1,INDEX(Abilities!$J$33:$J$34,2),INDEX(Abilities!$I$33:$I$34,2))</f>
        <v/>
      </c>
      <c r="AH47" s="16">
        <f>INDEX(Abilities!$C$33:$C$34,2)*AG47*AE47+INDEX(Abilities!$C$33:$C$34,1)*AF47*MIN(AD47,1-AE47)</f>
        <v/>
      </c>
      <c r="AI47" s="9">
        <f>AH47*(I47+G47+A47)*(1+J47)*(1+K47)*Inputs!$C$20</f>
        <v/>
      </c>
      <c r="AJ47" s="9">
        <f>AH47*(I47+W47+G47+A47)*(1+J47)*(1+K47)*Inputs!$C$20</f>
        <v/>
      </c>
      <c r="AK47" s="27">
        <f>(1-Y47)*(T47+AI47)/U47+Y47*(AA47+AJ47)/AB47</f>
        <v/>
      </c>
      <c r="AL47" s="17">
        <f>(AA47+IF(A47&gt;=INDEX(Abilities!$A$33:$A$34,2),INDEX(Abilities!$C$33:$C$34,2)*AG47,IF(A47&gt;=INDEX(Abilities!$A$33:$A$34,1),INDEX(Abilities!$C$33:$C$34,1)*AF47,0))*(I47+W47+G47+A47)*(1+J47)*(1+K47)*Inputs!$C$20)/AB47</f>
        <v/>
      </c>
      <c r="AM47" s="28">
        <f>IFERROR(((1-Y47)*AI47/U47+Y47*AJ47/AB47)/AK47,0)</f>
        <v/>
      </c>
      <c r="AN47" s="8">
        <f>IFERROR(ROUNDUP(C47/T47,0),"-")</f>
        <v/>
      </c>
      <c r="AO47" s="60">
        <f>IFERROR(C47/AK47,"-")</f>
        <v/>
      </c>
      <c r="AP47" s="9">
        <f>MAX(0,(E47+(B47-A47))*(1-R47)*(1-Q47*'Class Table'!$O$6/Inputs!$C$19)-Q47*'Class Table'!$O$6/25)</f>
        <v/>
      </c>
      <c r="AQ47" s="26">
        <f>IFERROR(AP47/F47*AO47,"-")</f>
        <v/>
      </c>
      <c r="AR47" s="28">
        <f>IFERROR(AQ47/O47,"-")</f>
        <v/>
      </c>
      <c r="AS47" s="9">
        <f>IFERROR(O47*Inputs!$C$24/Inputs!$C$22*AO47,"-")</f>
        <v/>
      </c>
      <c r="AT47" s="28">
        <f>IFERROR(MAX(0,AQ47-AS47)/O47,"-")</f>
        <v/>
      </c>
    </row>
    <row r="48">
      <c r="A48" s="8" t="n">
        <v>45</v>
      </c>
      <c r="B48" s="14">
        <f>'Mob by Level'!B48</f>
        <v/>
      </c>
      <c r="C48" s="9">
        <f>'Mob by Level'!C48</f>
        <v/>
      </c>
      <c r="D48" s="9">
        <f>'Mob by Level'!D48</f>
        <v/>
      </c>
      <c r="E48" s="9">
        <f>'Mob by Level'!E48</f>
        <v/>
      </c>
      <c r="F48" s="16">
        <f>'Mob by Level'!F48</f>
        <v/>
      </c>
      <c r="G48" s="14">
        <f>SUMIFS(Gear!$D$4:$D$603,Gear!$A$4:$A$603,A48,Gear!$B$4:$B$603,"Warrior",Gear!$C$4:$C$603,Inputs!$C$5)</f>
        <v/>
      </c>
      <c r="H48" s="14">
        <f>SUMIFS(Gear!$E$4:$E$603,Gear!$A$4:$A$603,A48,Gear!$B$4:$B$603,"Warrior",Gear!$C$4:$C$603,Inputs!$C$5)</f>
        <v/>
      </c>
      <c r="I48" s="14">
        <f>SUMIFS(Gear!$F$4:$F$603,Gear!$A$4:$A$603,A48,Gear!$B$4:$B$603,"Warrior",Gear!$C$4:$C$603,Inputs!$C$5)+Inputs!$C$17*IFERROR(LOOKUP(A48,Abilities!$A$49:$A$53,Abilities!$C$49:$C$53),0)</f>
        <v/>
      </c>
      <c r="J48" s="13">
        <f>SUMIFS(Gear!$J$4:$J$603,Gear!$A$4:$A$603,A48,Gear!$B$4:$B$603,"Warrior",Gear!$C$4:$C$603,Inputs!$C$5)</f>
        <v/>
      </c>
      <c r="K48" s="13">
        <f>SUMIFS(Gear!$K$4:$K$603,Gear!$A$4:$A$603,A48,Gear!$B$4:$B$603,"Warrior",Gear!$C$4:$C$603,Inputs!$C$5)</f>
        <v/>
      </c>
      <c r="L48" s="13">
        <f>SUMIFS(Gear!$L$4:$L$603,Gear!$A$4:$A$603,A48,Gear!$B$4:$B$603,"Warrior",Gear!$C$4:$C$603,Inputs!$C$5)</f>
        <v/>
      </c>
      <c r="M48" s="13">
        <f>SUMIFS(Gear!$M$4:$M$603,Gear!$A$4:$A$603,A48,Gear!$B$4:$B$603,"Warrior",Gear!$C$4:$C$603,Inputs!$C$5)</f>
        <v/>
      </c>
      <c r="N48" s="13">
        <f>SUMIFS(Gear!$N$4:$N$603,Gear!$A$4:$A$603,A48,Gear!$B$4:$B$603,"Warrior",Gear!$C$4:$C$603,Inputs!$C$5)</f>
        <v/>
      </c>
      <c r="O48" s="9">
        <f>INDEX('Class Table'!$E$4:$E$53,A48)+SUMIFS(Gear!$G$4:$G$603,Gear!$A$4:$A$603,A48,Gear!$B$4:$B$603,"Warrior",Gear!$C$4:$C$603,Inputs!$C$5)</f>
        <v/>
      </c>
      <c r="P48" s="9">
        <f>INDEX('Class Table'!$F$4:$F$53,A48)+SUMIFS(Gear!$H$4:$H$603,Gear!$A$4:$A$603,A48,Gear!$B$4:$B$603,"Warrior",Gear!$C$4:$C$603,Inputs!$C$5)</f>
        <v/>
      </c>
      <c r="Q48" s="9">
        <f>INDEX('Class Table'!$G$4:$G$53,A48)+SUMIFS(Gear!$I$4:$I$603,Gear!$A$4:$A$603,A48,Gear!$B$4:$B$603,"Warrior",Gear!$C$4:$C$603,Inputs!$C$5)</f>
        <v/>
      </c>
      <c r="R48" s="13">
        <f>SUMIFS(Gear!$O$4:$O$603,Gear!$A$4:$A$603,A48,Gear!$B$4:$B$603,"Warrior",Gear!$C$4:$C$603,Inputs!$C$5)</f>
        <v/>
      </c>
      <c r="S48" s="26">
        <f>I48+0+G48+A48+MAX(1,A48/2)+(A48-B48)</f>
        <v/>
      </c>
      <c r="T48" s="9">
        <f>MAX(0,S48*(1+M48)*(1+L48)*Inputs!$C$20*(1-D48/Inputs!$C$19)-D48/25)</f>
        <v/>
      </c>
      <c r="U48" s="16">
        <f>H48/10*(1-MIN(0.95,N48+0))*Inputs!$C$21</f>
        <v/>
      </c>
      <c r="V48" s="27">
        <f>T48/U48</f>
        <v/>
      </c>
      <c r="W48" s="14">
        <f>IFERROR(LOOKUP(A48,Abilities!$A$27:$A$29,Abilities!$C$27:$C$29),0)</f>
        <v/>
      </c>
      <c r="X48" s="13">
        <f>IFERROR(LOOKUP(A48,Abilities!$A$27:$A$29,Abilities!$D$27:$D$29),0)</f>
        <v/>
      </c>
      <c r="Y48" s="13">
        <f>Inputs!$C$16*IFERROR(LOOKUP(A48,Abilities!$A$27:$A$29,Abilities!$E$27:$E$29),0)/IFERROR(LOOKUP(A48,Abilities!$A$27:$A$29,Abilities!$F$27:$F$29),1)</f>
        <v/>
      </c>
      <c r="Z48" s="26">
        <f>I48+W48+G48+A48+MAX(1,A48/2)+(A48-B48)</f>
        <v/>
      </c>
      <c r="AA48" s="9">
        <f>MAX(0,Z48*(1+M48)*(1+L48)*Inputs!$C$20*(1-D48/Inputs!$C$19)-D48/25)</f>
        <v/>
      </c>
      <c r="AB48" s="16">
        <f>H48/10*(1-MIN(0.95,N48+X48))*Inputs!$C$21</f>
        <v/>
      </c>
      <c r="AC48" s="27">
        <f>AA48/AB48</f>
        <v/>
      </c>
      <c r="AD48" s="13">
        <f>Inputs!$C$16*IF(A48&gt;=INDEX(Abilities!$A$33:$A$34,1),INDEX(Abilities!$D$33:$D$34,1)/INDEX(Abilities!$E$33:$E$34,1),0)</f>
        <v/>
      </c>
      <c r="AE48" s="13">
        <f>Inputs!$C$16*IF(A48&gt;=INDEX(Abilities!$A$33:$A$34,2),INDEX(Abilities!$D$33:$D$34,2)/INDEX(Abilities!$E$33:$E$34,2),0)</f>
        <v/>
      </c>
      <c r="AF48" s="16">
        <f>CHOOSE(Inputs!$C$13,1,INDEX(Abilities!$J$33:$J$34,1),INDEX(Abilities!$I$33:$I$34,1))</f>
        <v/>
      </c>
      <c r="AG48" s="16">
        <f>CHOOSE(Inputs!$C$13,1,INDEX(Abilities!$J$33:$J$34,2),INDEX(Abilities!$I$33:$I$34,2))</f>
        <v/>
      </c>
      <c r="AH48" s="16">
        <f>INDEX(Abilities!$C$33:$C$34,2)*AG48*AE48+INDEX(Abilities!$C$33:$C$34,1)*AF48*MIN(AD48,1-AE48)</f>
        <v/>
      </c>
      <c r="AI48" s="9">
        <f>AH48*(I48+G48+A48)*(1+J48)*(1+K48)*Inputs!$C$20</f>
        <v/>
      </c>
      <c r="AJ48" s="9">
        <f>AH48*(I48+W48+G48+A48)*(1+J48)*(1+K48)*Inputs!$C$20</f>
        <v/>
      </c>
      <c r="AK48" s="27">
        <f>(1-Y48)*(T48+AI48)/U48+Y48*(AA48+AJ48)/AB48</f>
        <v/>
      </c>
      <c r="AL48" s="17">
        <f>(AA48+IF(A48&gt;=INDEX(Abilities!$A$33:$A$34,2),INDEX(Abilities!$C$33:$C$34,2)*AG48,IF(A48&gt;=INDEX(Abilities!$A$33:$A$34,1),INDEX(Abilities!$C$33:$C$34,1)*AF48,0))*(I48+W48+G48+A48)*(1+J48)*(1+K48)*Inputs!$C$20)/AB48</f>
        <v/>
      </c>
      <c r="AM48" s="28">
        <f>IFERROR(((1-Y48)*AI48/U48+Y48*AJ48/AB48)/AK48,0)</f>
        <v/>
      </c>
      <c r="AN48" s="8">
        <f>IFERROR(ROUNDUP(C48/T48,0),"-")</f>
        <v/>
      </c>
      <c r="AO48" s="60">
        <f>IFERROR(C48/AK48,"-")</f>
        <v/>
      </c>
      <c r="AP48" s="9">
        <f>MAX(0,(E48+(B48-A48))*(1-R48)*(1-Q48*'Class Table'!$O$6/Inputs!$C$19)-Q48*'Class Table'!$O$6/25)</f>
        <v/>
      </c>
      <c r="AQ48" s="26">
        <f>IFERROR(AP48/F48*AO48,"-")</f>
        <v/>
      </c>
      <c r="AR48" s="28">
        <f>IFERROR(AQ48/O48,"-")</f>
        <v/>
      </c>
      <c r="AS48" s="9">
        <f>IFERROR(O48*Inputs!$C$24/Inputs!$C$22*AO48,"-")</f>
        <v/>
      </c>
      <c r="AT48" s="28">
        <f>IFERROR(MAX(0,AQ48-AS48)/O48,"-")</f>
        <v/>
      </c>
    </row>
    <row r="49">
      <c r="A49" s="8" t="n">
        <v>46</v>
      </c>
      <c r="B49" s="14">
        <f>'Mob by Level'!B49</f>
        <v/>
      </c>
      <c r="C49" s="9">
        <f>'Mob by Level'!C49</f>
        <v/>
      </c>
      <c r="D49" s="9">
        <f>'Mob by Level'!D49</f>
        <v/>
      </c>
      <c r="E49" s="9">
        <f>'Mob by Level'!E49</f>
        <v/>
      </c>
      <c r="F49" s="16">
        <f>'Mob by Level'!F49</f>
        <v/>
      </c>
      <c r="G49" s="14">
        <f>SUMIFS(Gear!$D$4:$D$603,Gear!$A$4:$A$603,A49,Gear!$B$4:$B$603,"Warrior",Gear!$C$4:$C$603,Inputs!$C$5)</f>
        <v/>
      </c>
      <c r="H49" s="14">
        <f>SUMIFS(Gear!$E$4:$E$603,Gear!$A$4:$A$603,A49,Gear!$B$4:$B$603,"Warrior",Gear!$C$4:$C$603,Inputs!$C$5)</f>
        <v/>
      </c>
      <c r="I49" s="14">
        <f>SUMIFS(Gear!$F$4:$F$603,Gear!$A$4:$A$603,A49,Gear!$B$4:$B$603,"Warrior",Gear!$C$4:$C$603,Inputs!$C$5)+Inputs!$C$17*IFERROR(LOOKUP(A49,Abilities!$A$49:$A$53,Abilities!$C$49:$C$53),0)</f>
        <v/>
      </c>
      <c r="J49" s="13">
        <f>SUMIFS(Gear!$J$4:$J$603,Gear!$A$4:$A$603,A49,Gear!$B$4:$B$603,"Warrior",Gear!$C$4:$C$603,Inputs!$C$5)</f>
        <v/>
      </c>
      <c r="K49" s="13">
        <f>SUMIFS(Gear!$K$4:$K$603,Gear!$A$4:$A$603,A49,Gear!$B$4:$B$603,"Warrior",Gear!$C$4:$C$603,Inputs!$C$5)</f>
        <v/>
      </c>
      <c r="L49" s="13">
        <f>SUMIFS(Gear!$L$4:$L$603,Gear!$A$4:$A$603,A49,Gear!$B$4:$B$603,"Warrior",Gear!$C$4:$C$603,Inputs!$C$5)</f>
        <v/>
      </c>
      <c r="M49" s="13">
        <f>SUMIFS(Gear!$M$4:$M$603,Gear!$A$4:$A$603,A49,Gear!$B$4:$B$603,"Warrior",Gear!$C$4:$C$603,Inputs!$C$5)</f>
        <v/>
      </c>
      <c r="N49" s="13">
        <f>SUMIFS(Gear!$N$4:$N$603,Gear!$A$4:$A$603,A49,Gear!$B$4:$B$603,"Warrior",Gear!$C$4:$C$603,Inputs!$C$5)</f>
        <v/>
      </c>
      <c r="O49" s="9">
        <f>INDEX('Class Table'!$E$4:$E$53,A49)+SUMIFS(Gear!$G$4:$G$603,Gear!$A$4:$A$603,A49,Gear!$B$4:$B$603,"Warrior",Gear!$C$4:$C$603,Inputs!$C$5)</f>
        <v/>
      </c>
      <c r="P49" s="9">
        <f>INDEX('Class Table'!$F$4:$F$53,A49)+SUMIFS(Gear!$H$4:$H$603,Gear!$A$4:$A$603,A49,Gear!$B$4:$B$603,"Warrior",Gear!$C$4:$C$603,Inputs!$C$5)</f>
        <v/>
      </c>
      <c r="Q49" s="9">
        <f>INDEX('Class Table'!$G$4:$G$53,A49)+SUMIFS(Gear!$I$4:$I$603,Gear!$A$4:$A$603,A49,Gear!$B$4:$B$603,"Warrior",Gear!$C$4:$C$603,Inputs!$C$5)</f>
        <v/>
      </c>
      <c r="R49" s="13">
        <f>SUMIFS(Gear!$O$4:$O$603,Gear!$A$4:$A$603,A49,Gear!$B$4:$B$603,"Warrior",Gear!$C$4:$C$603,Inputs!$C$5)</f>
        <v/>
      </c>
      <c r="S49" s="26">
        <f>I49+0+G49+A49+MAX(1,A49/2)+(A49-B49)</f>
        <v/>
      </c>
      <c r="T49" s="9">
        <f>MAX(0,S49*(1+M49)*(1+L49)*Inputs!$C$20*(1-D49/Inputs!$C$19)-D49/25)</f>
        <v/>
      </c>
      <c r="U49" s="16">
        <f>H49/10*(1-MIN(0.95,N49+0))*Inputs!$C$21</f>
        <v/>
      </c>
      <c r="V49" s="27">
        <f>T49/U49</f>
        <v/>
      </c>
      <c r="W49" s="14">
        <f>IFERROR(LOOKUP(A49,Abilities!$A$27:$A$29,Abilities!$C$27:$C$29),0)</f>
        <v/>
      </c>
      <c r="X49" s="13">
        <f>IFERROR(LOOKUP(A49,Abilities!$A$27:$A$29,Abilities!$D$27:$D$29),0)</f>
        <v/>
      </c>
      <c r="Y49" s="13">
        <f>Inputs!$C$16*IFERROR(LOOKUP(A49,Abilities!$A$27:$A$29,Abilities!$E$27:$E$29),0)/IFERROR(LOOKUP(A49,Abilities!$A$27:$A$29,Abilities!$F$27:$F$29),1)</f>
        <v/>
      </c>
      <c r="Z49" s="26">
        <f>I49+W49+G49+A49+MAX(1,A49/2)+(A49-B49)</f>
        <v/>
      </c>
      <c r="AA49" s="9">
        <f>MAX(0,Z49*(1+M49)*(1+L49)*Inputs!$C$20*(1-D49/Inputs!$C$19)-D49/25)</f>
        <v/>
      </c>
      <c r="AB49" s="16">
        <f>H49/10*(1-MIN(0.95,N49+X49))*Inputs!$C$21</f>
        <v/>
      </c>
      <c r="AC49" s="27">
        <f>AA49/AB49</f>
        <v/>
      </c>
      <c r="AD49" s="13">
        <f>Inputs!$C$16*IF(A49&gt;=INDEX(Abilities!$A$33:$A$34,1),INDEX(Abilities!$D$33:$D$34,1)/INDEX(Abilities!$E$33:$E$34,1),0)</f>
        <v/>
      </c>
      <c r="AE49" s="13">
        <f>Inputs!$C$16*IF(A49&gt;=INDEX(Abilities!$A$33:$A$34,2),INDEX(Abilities!$D$33:$D$34,2)/INDEX(Abilities!$E$33:$E$34,2),0)</f>
        <v/>
      </c>
      <c r="AF49" s="16">
        <f>CHOOSE(Inputs!$C$13,1,INDEX(Abilities!$J$33:$J$34,1),INDEX(Abilities!$I$33:$I$34,1))</f>
        <v/>
      </c>
      <c r="AG49" s="16">
        <f>CHOOSE(Inputs!$C$13,1,INDEX(Abilities!$J$33:$J$34,2),INDEX(Abilities!$I$33:$I$34,2))</f>
        <v/>
      </c>
      <c r="AH49" s="16">
        <f>INDEX(Abilities!$C$33:$C$34,2)*AG49*AE49+INDEX(Abilities!$C$33:$C$34,1)*AF49*MIN(AD49,1-AE49)</f>
        <v/>
      </c>
      <c r="AI49" s="9">
        <f>AH49*(I49+G49+A49)*(1+J49)*(1+K49)*Inputs!$C$20</f>
        <v/>
      </c>
      <c r="AJ49" s="9">
        <f>AH49*(I49+W49+G49+A49)*(1+J49)*(1+K49)*Inputs!$C$20</f>
        <v/>
      </c>
      <c r="AK49" s="27">
        <f>(1-Y49)*(T49+AI49)/U49+Y49*(AA49+AJ49)/AB49</f>
        <v/>
      </c>
      <c r="AL49" s="17">
        <f>(AA49+IF(A49&gt;=INDEX(Abilities!$A$33:$A$34,2),INDEX(Abilities!$C$33:$C$34,2)*AG49,IF(A49&gt;=INDEX(Abilities!$A$33:$A$34,1),INDEX(Abilities!$C$33:$C$34,1)*AF49,0))*(I49+W49+G49+A49)*(1+J49)*(1+K49)*Inputs!$C$20)/AB49</f>
        <v/>
      </c>
      <c r="AM49" s="28">
        <f>IFERROR(((1-Y49)*AI49/U49+Y49*AJ49/AB49)/AK49,0)</f>
        <v/>
      </c>
      <c r="AN49" s="8">
        <f>IFERROR(ROUNDUP(C49/T49,0),"-")</f>
        <v/>
      </c>
      <c r="AO49" s="60">
        <f>IFERROR(C49/AK49,"-")</f>
        <v/>
      </c>
      <c r="AP49" s="9">
        <f>MAX(0,(E49+(B49-A49))*(1-R49)*(1-Q49*'Class Table'!$O$6/Inputs!$C$19)-Q49*'Class Table'!$O$6/25)</f>
        <v/>
      </c>
      <c r="AQ49" s="26">
        <f>IFERROR(AP49/F49*AO49,"-")</f>
        <v/>
      </c>
      <c r="AR49" s="28">
        <f>IFERROR(AQ49/O49,"-")</f>
        <v/>
      </c>
      <c r="AS49" s="9">
        <f>IFERROR(O49*Inputs!$C$24/Inputs!$C$22*AO49,"-")</f>
        <v/>
      </c>
      <c r="AT49" s="28">
        <f>IFERROR(MAX(0,AQ49-AS49)/O49,"-")</f>
        <v/>
      </c>
    </row>
    <row r="50">
      <c r="A50" s="8" t="n">
        <v>47</v>
      </c>
      <c r="B50" s="14">
        <f>'Mob by Level'!B50</f>
        <v/>
      </c>
      <c r="C50" s="9">
        <f>'Mob by Level'!C50</f>
        <v/>
      </c>
      <c r="D50" s="9">
        <f>'Mob by Level'!D50</f>
        <v/>
      </c>
      <c r="E50" s="9">
        <f>'Mob by Level'!E50</f>
        <v/>
      </c>
      <c r="F50" s="16">
        <f>'Mob by Level'!F50</f>
        <v/>
      </c>
      <c r="G50" s="14">
        <f>SUMIFS(Gear!$D$4:$D$603,Gear!$A$4:$A$603,A50,Gear!$B$4:$B$603,"Warrior",Gear!$C$4:$C$603,Inputs!$C$5)</f>
        <v/>
      </c>
      <c r="H50" s="14">
        <f>SUMIFS(Gear!$E$4:$E$603,Gear!$A$4:$A$603,A50,Gear!$B$4:$B$603,"Warrior",Gear!$C$4:$C$603,Inputs!$C$5)</f>
        <v/>
      </c>
      <c r="I50" s="14">
        <f>SUMIFS(Gear!$F$4:$F$603,Gear!$A$4:$A$603,A50,Gear!$B$4:$B$603,"Warrior",Gear!$C$4:$C$603,Inputs!$C$5)+Inputs!$C$17*IFERROR(LOOKUP(A50,Abilities!$A$49:$A$53,Abilities!$C$49:$C$53),0)</f>
        <v/>
      </c>
      <c r="J50" s="13">
        <f>SUMIFS(Gear!$J$4:$J$603,Gear!$A$4:$A$603,A50,Gear!$B$4:$B$603,"Warrior",Gear!$C$4:$C$603,Inputs!$C$5)</f>
        <v/>
      </c>
      <c r="K50" s="13">
        <f>SUMIFS(Gear!$K$4:$K$603,Gear!$A$4:$A$603,A50,Gear!$B$4:$B$603,"Warrior",Gear!$C$4:$C$603,Inputs!$C$5)</f>
        <v/>
      </c>
      <c r="L50" s="13">
        <f>SUMIFS(Gear!$L$4:$L$603,Gear!$A$4:$A$603,A50,Gear!$B$4:$B$603,"Warrior",Gear!$C$4:$C$603,Inputs!$C$5)</f>
        <v/>
      </c>
      <c r="M50" s="13">
        <f>SUMIFS(Gear!$M$4:$M$603,Gear!$A$4:$A$603,A50,Gear!$B$4:$B$603,"Warrior",Gear!$C$4:$C$603,Inputs!$C$5)</f>
        <v/>
      </c>
      <c r="N50" s="13">
        <f>SUMIFS(Gear!$N$4:$N$603,Gear!$A$4:$A$603,A50,Gear!$B$4:$B$603,"Warrior",Gear!$C$4:$C$603,Inputs!$C$5)</f>
        <v/>
      </c>
      <c r="O50" s="9">
        <f>INDEX('Class Table'!$E$4:$E$53,A50)+SUMIFS(Gear!$G$4:$G$603,Gear!$A$4:$A$603,A50,Gear!$B$4:$B$603,"Warrior",Gear!$C$4:$C$603,Inputs!$C$5)</f>
        <v/>
      </c>
      <c r="P50" s="9">
        <f>INDEX('Class Table'!$F$4:$F$53,A50)+SUMIFS(Gear!$H$4:$H$603,Gear!$A$4:$A$603,A50,Gear!$B$4:$B$603,"Warrior",Gear!$C$4:$C$603,Inputs!$C$5)</f>
        <v/>
      </c>
      <c r="Q50" s="9">
        <f>INDEX('Class Table'!$G$4:$G$53,A50)+SUMIFS(Gear!$I$4:$I$603,Gear!$A$4:$A$603,A50,Gear!$B$4:$B$603,"Warrior",Gear!$C$4:$C$603,Inputs!$C$5)</f>
        <v/>
      </c>
      <c r="R50" s="13">
        <f>SUMIFS(Gear!$O$4:$O$603,Gear!$A$4:$A$603,A50,Gear!$B$4:$B$603,"Warrior",Gear!$C$4:$C$603,Inputs!$C$5)</f>
        <v/>
      </c>
      <c r="S50" s="26">
        <f>I50+0+G50+A50+MAX(1,A50/2)+(A50-B50)</f>
        <v/>
      </c>
      <c r="T50" s="9">
        <f>MAX(0,S50*(1+M50)*(1+L50)*Inputs!$C$20*(1-D50/Inputs!$C$19)-D50/25)</f>
        <v/>
      </c>
      <c r="U50" s="16">
        <f>H50/10*(1-MIN(0.95,N50+0))*Inputs!$C$21</f>
        <v/>
      </c>
      <c r="V50" s="27">
        <f>T50/U50</f>
        <v/>
      </c>
      <c r="W50" s="14">
        <f>IFERROR(LOOKUP(A50,Abilities!$A$27:$A$29,Abilities!$C$27:$C$29),0)</f>
        <v/>
      </c>
      <c r="X50" s="13">
        <f>IFERROR(LOOKUP(A50,Abilities!$A$27:$A$29,Abilities!$D$27:$D$29),0)</f>
        <v/>
      </c>
      <c r="Y50" s="13">
        <f>Inputs!$C$16*IFERROR(LOOKUP(A50,Abilities!$A$27:$A$29,Abilities!$E$27:$E$29),0)/IFERROR(LOOKUP(A50,Abilities!$A$27:$A$29,Abilities!$F$27:$F$29),1)</f>
        <v/>
      </c>
      <c r="Z50" s="26">
        <f>I50+W50+G50+A50+MAX(1,A50/2)+(A50-B50)</f>
        <v/>
      </c>
      <c r="AA50" s="9">
        <f>MAX(0,Z50*(1+M50)*(1+L50)*Inputs!$C$20*(1-D50/Inputs!$C$19)-D50/25)</f>
        <v/>
      </c>
      <c r="AB50" s="16">
        <f>H50/10*(1-MIN(0.95,N50+X50))*Inputs!$C$21</f>
        <v/>
      </c>
      <c r="AC50" s="27">
        <f>AA50/AB50</f>
        <v/>
      </c>
      <c r="AD50" s="13">
        <f>Inputs!$C$16*IF(A50&gt;=INDEX(Abilities!$A$33:$A$34,1),INDEX(Abilities!$D$33:$D$34,1)/INDEX(Abilities!$E$33:$E$34,1),0)</f>
        <v/>
      </c>
      <c r="AE50" s="13">
        <f>Inputs!$C$16*IF(A50&gt;=INDEX(Abilities!$A$33:$A$34,2),INDEX(Abilities!$D$33:$D$34,2)/INDEX(Abilities!$E$33:$E$34,2),0)</f>
        <v/>
      </c>
      <c r="AF50" s="16">
        <f>CHOOSE(Inputs!$C$13,1,INDEX(Abilities!$J$33:$J$34,1),INDEX(Abilities!$I$33:$I$34,1))</f>
        <v/>
      </c>
      <c r="AG50" s="16">
        <f>CHOOSE(Inputs!$C$13,1,INDEX(Abilities!$J$33:$J$34,2),INDEX(Abilities!$I$33:$I$34,2))</f>
        <v/>
      </c>
      <c r="AH50" s="16">
        <f>INDEX(Abilities!$C$33:$C$34,2)*AG50*AE50+INDEX(Abilities!$C$33:$C$34,1)*AF50*MIN(AD50,1-AE50)</f>
        <v/>
      </c>
      <c r="AI50" s="9">
        <f>AH50*(I50+G50+A50)*(1+J50)*(1+K50)*Inputs!$C$20</f>
        <v/>
      </c>
      <c r="AJ50" s="9">
        <f>AH50*(I50+W50+G50+A50)*(1+J50)*(1+K50)*Inputs!$C$20</f>
        <v/>
      </c>
      <c r="AK50" s="27">
        <f>(1-Y50)*(T50+AI50)/U50+Y50*(AA50+AJ50)/AB50</f>
        <v/>
      </c>
      <c r="AL50" s="17">
        <f>(AA50+IF(A50&gt;=INDEX(Abilities!$A$33:$A$34,2),INDEX(Abilities!$C$33:$C$34,2)*AG50,IF(A50&gt;=INDEX(Abilities!$A$33:$A$34,1),INDEX(Abilities!$C$33:$C$34,1)*AF50,0))*(I50+W50+G50+A50)*(1+J50)*(1+K50)*Inputs!$C$20)/AB50</f>
        <v/>
      </c>
      <c r="AM50" s="28">
        <f>IFERROR(((1-Y50)*AI50/U50+Y50*AJ50/AB50)/AK50,0)</f>
        <v/>
      </c>
      <c r="AN50" s="8">
        <f>IFERROR(ROUNDUP(C50/T50,0),"-")</f>
        <v/>
      </c>
      <c r="AO50" s="60">
        <f>IFERROR(C50/AK50,"-")</f>
        <v/>
      </c>
      <c r="AP50" s="9">
        <f>MAX(0,(E50+(B50-A50))*(1-R50)*(1-Q50*'Class Table'!$O$6/Inputs!$C$19)-Q50*'Class Table'!$O$6/25)</f>
        <v/>
      </c>
      <c r="AQ50" s="26">
        <f>IFERROR(AP50/F50*AO50,"-")</f>
        <v/>
      </c>
      <c r="AR50" s="28">
        <f>IFERROR(AQ50/O50,"-")</f>
        <v/>
      </c>
      <c r="AS50" s="9">
        <f>IFERROR(O50*Inputs!$C$24/Inputs!$C$22*AO50,"-")</f>
        <v/>
      </c>
      <c r="AT50" s="28">
        <f>IFERROR(MAX(0,AQ50-AS50)/O50,"-")</f>
        <v/>
      </c>
    </row>
    <row r="51">
      <c r="A51" s="8" t="n">
        <v>48</v>
      </c>
      <c r="B51" s="14">
        <f>'Mob by Level'!B51</f>
        <v/>
      </c>
      <c r="C51" s="9">
        <f>'Mob by Level'!C51</f>
        <v/>
      </c>
      <c r="D51" s="9">
        <f>'Mob by Level'!D51</f>
        <v/>
      </c>
      <c r="E51" s="9">
        <f>'Mob by Level'!E51</f>
        <v/>
      </c>
      <c r="F51" s="16">
        <f>'Mob by Level'!F51</f>
        <v/>
      </c>
      <c r="G51" s="14">
        <f>SUMIFS(Gear!$D$4:$D$603,Gear!$A$4:$A$603,A51,Gear!$B$4:$B$603,"Warrior",Gear!$C$4:$C$603,Inputs!$C$5)</f>
        <v/>
      </c>
      <c r="H51" s="14">
        <f>SUMIFS(Gear!$E$4:$E$603,Gear!$A$4:$A$603,A51,Gear!$B$4:$B$603,"Warrior",Gear!$C$4:$C$603,Inputs!$C$5)</f>
        <v/>
      </c>
      <c r="I51" s="14">
        <f>SUMIFS(Gear!$F$4:$F$603,Gear!$A$4:$A$603,A51,Gear!$B$4:$B$603,"Warrior",Gear!$C$4:$C$603,Inputs!$C$5)+Inputs!$C$17*IFERROR(LOOKUP(A51,Abilities!$A$49:$A$53,Abilities!$C$49:$C$53),0)</f>
        <v/>
      </c>
      <c r="J51" s="13">
        <f>SUMIFS(Gear!$J$4:$J$603,Gear!$A$4:$A$603,A51,Gear!$B$4:$B$603,"Warrior",Gear!$C$4:$C$603,Inputs!$C$5)</f>
        <v/>
      </c>
      <c r="K51" s="13">
        <f>SUMIFS(Gear!$K$4:$K$603,Gear!$A$4:$A$603,A51,Gear!$B$4:$B$603,"Warrior",Gear!$C$4:$C$603,Inputs!$C$5)</f>
        <v/>
      </c>
      <c r="L51" s="13">
        <f>SUMIFS(Gear!$L$4:$L$603,Gear!$A$4:$A$603,A51,Gear!$B$4:$B$603,"Warrior",Gear!$C$4:$C$603,Inputs!$C$5)</f>
        <v/>
      </c>
      <c r="M51" s="13">
        <f>SUMIFS(Gear!$M$4:$M$603,Gear!$A$4:$A$603,A51,Gear!$B$4:$B$603,"Warrior",Gear!$C$4:$C$603,Inputs!$C$5)</f>
        <v/>
      </c>
      <c r="N51" s="13">
        <f>SUMIFS(Gear!$N$4:$N$603,Gear!$A$4:$A$603,A51,Gear!$B$4:$B$603,"Warrior",Gear!$C$4:$C$603,Inputs!$C$5)</f>
        <v/>
      </c>
      <c r="O51" s="9">
        <f>INDEX('Class Table'!$E$4:$E$53,A51)+SUMIFS(Gear!$G$4:$G$603,Gear!$A$4:$A$603,A51,Gear!$B$4:$B$603,"Warrior",Gear!$C$4:$C$603,Inputs!$C$5)</f>
        <v/>
      </c>
      <c r="P51" s="9">
        <f>INDEX('Class Table'!$F$4:$F$53,A51)+SUMIFS(Gear!$H$4:$H$603,Gear!$A$4:$A$603,A51,Gear!$B$4:$B$603,"Warrior",Gear!$C$4:$C$603,Inputs!$C$5)</f>
        <v/>
      </c>
      <c r="Q51" s="9">
        <f>INDEX('Class Table'!$G$4:$G$53,A51)+SUMIFS(Gear!$I$4:$I$603,Gear!$A$4:$A$603,A51,Gear!$B$4:$B$603,"Warrior",Gear!$C$4:$C$603,Inputs!$C$5)</f>
        <v/>
      </c>
      <c r="R51" s="13">
        <f>SUMIFS(Gear!$O$4:$O$603,Gear!$A$4:$A$603,A51,Gear!$B$4:$B$603,"Warrior",Gear!$C$4:$C$603,Inputs!$C$5)</f>
        <v/>
      </c>
      <c r="S51" s="26">
        <f>I51+0+G51+A51+MAX(1,A51/2)+(A51-B51)</f>
        <v/>
      </c>
      <c r="T51" s="9">
        <f>MAX(0,S51*(1+M51)*(1+L51)*Inputs!$C$20*(1-D51/Inputs!$C$19)-D51/25)</f>
        <v/>
      </c>
      <c r="U51" s="16">
        <f>H51/10*(1-MIN(0.95,N51+0))*Inputs!$C$21</f>
        <v/>
      </c>
      <c r="V51" s="27">
        <f>T51/U51</f>
        <v/>
      </c>
      <c r="W51" s="14">
        <f>IFERROR(LOOKUP(A51,Abilities!$A$27:$A$29,Abilities!$C$27:$C$29),0)</f>
        <v/>
      </c>
      <c r="X51" s="13">
        <f>IFERROR(LOOKUP(A51,Abilities!$A$27:$A$29,Abilities!$D$27:$D$29),0)</f>
        <v/>
      </c>
      <c r="Y51" s="13">
        <f>Inputs!$C$16*IFERROR(LOOKUP(A51,Abilities!$A$27:$A$29,Abilities!$E$27:$E$29),0)/IFERROR(LOOKUP(A51,Abilities!$A$27:$A$29,Abilities!$F$27:$F$29),1)</f>
        <v/>
      </c>
      <c r="Z51" s="26">
        <f>I51+W51+G51+A51+MAX(1,A51/2)+(A51-B51)</f>
        <v/>
      </c>
      <c r="AA51" s="9">
        <f>MAX(0,Z51*(1+M51)*(1+L51)*Inputs!$C$20*(1-D51/Inputs!$C$19)-D51/25)</f>
        <v/>
      </c>
      <c r="AB51" s="16">
        <f>H51/10*(1-MIN(0.95,N51+X51))*Inputs!$C$21</f>
        <v/>
      </c>
      <c r="AC51" s="27">
        <f>AA51/AB51</f>
        <v/>
      </c>
      <c r="AD51" s="13">
        <f>Inputs!$C$16*IF(A51&gt;=INDEX(Abilities!$A$33:$A$34,1),INDEX(Abilities!$D$33:$D$34,1)/INDEX(Abilities!$E$33:$E$34,1),0)</f>
        <v/>
      </c>
      <c r="AE51" s="13">
        <f>Inputs!$C$16*IF(A51&gt;=INDEX(Abilities!$A$33:$A$34,2),INDEX(Abilities!$D$33:$D$34,2)/INDEX(Abilities!$E$33:$E$34,2),0)</f>
        <v/>
      </c>
      <c r="AF51" s="16">
        <f>CHOOSE(Inputs!$C$13,1,INDEX(Abilities!$J$33:$J$34,1),INDEX(Abilities!$I$33:$I$34,1))</f>
        <v/>
      </c>
      <c r="AG51" s="16">
        <f>CHOOSE(Inputs!$C$13,1,INDEX(Abilities!$J$33:$J$34,2),INDEX(Abilities!$I$33:$I$34,2))</f>
        <v/>
      </c>
      <c r="AH51" s="16">
        <f>INDEX(Abilities!$C$33:$C$34,2)*AG51*AE51+INDEX(Abilities!$C$33:$C$34,1)*AF51*MIN(AD51,1-AE51)</f>
        <v/>
      </c>
      <c r="AI51" s="9">
        <f>AH51*(I51+G51+A51)*(1+J51)*(1+K51)*Inputs!$C$20</f>
        <v/>
      </c>
      <c r="AJ51" s="9">
        <f>AH51*(I51+W51+G51+A51)*(1+J51)*(1+K51)*Inputs!$C$20</f>
        <v/>
      </c>
      <c r="AK51" s="27">
        <f>(1-Y51)*(T51+AI51)/U51+Y51*(AA51+AJ51)/AB51</f>
        <v/>
      </c>
      <c r="AL51" s="17">
        <f>(AA51+IF(A51&gt;=INDEX(Abilities!$A$33:$A$34,2),INDEX(Abilities!$C$33:$C$34,2)*AG51,IF(A51&gt;=INDEX(Abilities!$A$33:$A$34,1),INDEX(Abilities!$C$33:$C$34,1)*AF51,0))*(I51+W51+G51+A51)*(1+J51)*(1+K51)*Inputs!$C$20)/AB51</f>
        <v/>
      </c>
      <c r="AM51" s="28">
        <f>IFERROR(((1-Y51)*AI51/U51+Y51*AJ51/AB51)/AK51,0)</f>
        <v/>
      </c>
      <c r="AN51" s="8">
        <f>IFERROR(ROUNDUP(C51/T51,0),"-")</f>
        <v/>
      </c>
      <c r="AO51" s="60">
        <f>IFERROR(C51/AK51,"-")</f>
        <v/>
      </c>
      <c r="AP51" s="9">
        <f>MAX(0,(E51+(B51-A51))*(1-R51)*(1-Q51*'Class Table'!$O$6/Inputs!$C$19)-Q51*'Class Table'!$O$6/25)</f>
        <v/>
      </c>
      <c r="AQ51" s="26">
        <f>IFERROR(AP51/F51*AO51,"-")</f>
        <v/>
      </c>
      <c r="AR51" s="28">
        <f>IFERROR(AQ51/O51,"-")</f>
        <v/>
      </c>
      <c r="AS51" s="9">
        <f>IFERROR(O51*Inputs!$C$24/Inputs!$C$22*AO51,"-")</f>
        <v/>
      </c>
      <c r="AT51" s="28">
        <f>IFERROR(MAX(0,AQ51-AS51)/O51,"-")</f>
        <v/>
      </c>
    </row>
    <row r="52">
      <c r="A52" s="8" t="n">
        <v>49</v>
      </c>
      <c r="B52" s="14">
        <f>'Mob by Level'!B52</f>
        <v/>
      </c>
      <c r="C52" s="9">
        <f>'Mob by Level'!C52</f>
        <v/>
      </c>
      <c r="D52" s="9">
        <f>'Mob by Level'!D52</f>
        <v/>
      </c>
      <c r="E52" s="9">
        <f>'Mob by Level'!E52</f>
        <v/>
      </c>
      <c r="F52" s="16">
        <f>'Mob by Level'!F52</f>
        <v/>
      </c>
      <c r="G52" s="14">
        <f>SUMIFS(Gear!$D$4:$D$603,Gear!$A$4:$A$603,A52,Gear!$B$4:$B$603,"Warrior",Gear!$C$4:$C$603,Inputs!$C$5)</f>
        <v/>
      </c>
      <c r="H52" s="14">
        <f>SUMIFS(Gear!$E$4:$E$603,Gear!$A$4:$A$603,A52,Gear!$B$4:$B$603,"Warrior",Gear!$C$4:$C$603,Inputs!$C$5)</f>
        <v/>
      </c>
      <c r="I52" s="14">
        <f>SUMIFS(Gear!$F$4:$F$603,Gear!$A$4:$A$603,A52,Gear!$B$4:$B$603,"Warrior",Gear!$C$4:$C$603,Inputs!$C$5)+Inputs!$C$17*IFERROR(LOOKUP(A52,Abilities!$A$49:$A$53,Abilities!$C$49:$C$53),0)</f>
        <v/>
      </c>
      <c r="J52" s="13">
        <f>SUMIFS(Gear!$J$4:$J$603,Gear!$A$4:$A$603,A52,Gear!$B$4:$B$603,"Warrior",Gear!$C$4:$C$603,Inputs!$C$5)</f>
        <v/>
      </c>
      <c r="K52" s="13">
        <f>SUMIFS(Gear!$K$4:$K$603,Gear!$A$4:$A$603,A52,Gear!$B$4:$B$603,"Warrior",Gear!$C$4:$C$603,Inputs!$C$5)</f>
        <v/>
      </c>
      <c r="L52" s="13">
        <f>SUMIFS(Gear!$L$4:$L$603,Gear!$A$4:$A$603,A52,Gear!$B$4:$B$603,"Warrior",Gear!$C$4:$C$603,Inputs!$C$5)</f>
        <v/>
      </c>
      <c r="M52" s="13">
        <f>SUMIFS(Gear!$M$4:$M$603,Gear!$A$4:$A$603,A52,Gear!$B$4:$B$603,"Warrior",Gear!$C$4:$C$603,Inputs!$C$5)</f>
        <v/>
      </c>
      <c r="N52" s="13">
        <f>SUMIFS(Gear!$N$4:$N$603,Gear!$A$4:$A$603,A52,Gear!$B$4:$B$603,"Warrior",Gear!$C$4:$C$603,Inputs!$C$5)</f>
        <v/>
      </c>
      <c r="O52" s="9">
        <f>INDEX('Class Table'!$E$4:$E$53,A52)+SUMIFS(Gear!$G$4:$G$603,Gear!$A$4:$A$603,A52,Gear!$B$4:$B$603,"Warrior",Gear!$C$4:$C$603,Inputs!$C$5)</f>
        <v/>
      </c>
      <c r="P52" s="9">
        <f>INDEX('Class Table'!$F$4:$F$53,A52)+SUMIFS(Gear!$H$4:$H$603,Gear!$A$4:$A$603,A52,Gear!$B$4:$B$603,"Warrior",Gear!$C$4:$C$603,Inputs!$C$5)</f>
        <v/>
      </c>
      <c r="Q52" s="9">
        <f>INDEX('Class Table'!$G$4:$G$53,A52)+SUMIFS(Gear!$I$4:$I$603,Gear!$A$4:$A$603,A52,Gear!$B$4:$B$603,"Warrior",Gear!$C$4:$C$603,Inputs!$C$5)</f>
        <v/>
      </c>
      <c r="R52" s="13">
        <f>SUMIFS(Gear!$O$4:$O$603,Gear!$A$4:$A$603,A52,Gear!$B$4:$B$603,"Warrior",Gear!$C$4:$C$603,Inputs!$C$5)</f>
        <v/>
      </c>
      <c r="S52" s="26">
        <f>I52+0+G52+A52+MAX(1,A52/2)+(A52-B52)</f>
        <v/>
      </c>
      <c r="T52" s="9">
        <f>MAX(0,S52*(1+M52)*(1+L52)*Inputs!$C$20*(1-D52/Inputs!$C$19)-D52/25)</f>
        <v/>
      </c>
      <c r="U52" s="16">
        <f>H52/10*(1-MIN(0.95,N52+0))*Inputs!$C$21</f>
        <v/>
      </c>
      <c r="V52" s="27">
        <f>T52/U52</f>
        <v/>
      </c>
      <c r="W52" s="14">
        <f>IFERROR(LOOKUP(A52,Abilities!$A$27:$A$29,Abilities!$C$27:$C$29),0)</f>
        <v/>
      </c>
      <c r="X52" s="13">
        <f>IFERROR(LOOKUP(A52,Abilities!$A$27:$A$29,Abilities!$D$27:$D$29),0)</f>
        <v/>
      </c>
      <c r="Y52" s="13">
        <f>Inputs!$C$16*IFERROR(LOOKUP(A52,Abilities!$A$27:$A$29,Abilities!$E$27:$E$29),0)/IFERROR(LOOKUP(A52,Abilities!$A$27:$A$29,Abilities!$F$27:$F$29),1)</f>
        <v/>
      </c>
      <c r="Z52" s="26">
        <f>I52+W52+G52+A52+MAX(1,A52/2)+(A52-B52)</f>
        <v/>
      </c>
      <c r="AA52" s="9">
        <f>MAX(0,Z52*(1+M52)*(1+L52)*Inputs!$C$20*(1-D52/Inputs!$C$19)-D52/25)</f>
        <v/>
      </c>
      <c r="AB52" s="16">
        <f>H52/10*(1-MIN(0.95,N52+X52))*Inputs!$C$21</f>
        <v/>
      </c>
      <c r="AC52" s="27">
        <f>AA52/AB52</f>
        <v/>
      </c>
      <c r="AD52" s="13">
        <f>Inputs!$C$16*IF(A52&gt;=INDEX(Abilities!$A$33:$A$34,1),INDEX(Abilities!$D$33:$D$34,1)/INDEX(Abilities!$E$33:$E$34,1),0)</f>
        <v/>
      </c>
      <c r="AE52" s="13">
        <f>Inputs!$C$16*IF(A52&gt;=INDEX(Abilities!$A$33:$A$34,2),INDEX(Abilities!$D$33:$D$34,2)/INDEX(Abilities!$E$33:$E$34,2),0)</f>
        <v/>
      </c>
      <c r="AF52" s="16">
        <f>CHOOSE(Inputs!$C$13,1,INDEX(Abilities!$J$33:$J$34,1),INDEX(Abilities!$I$33:$I$34,1))</f>
        <v/>
      </c>
      <c r="AG52" s="16">
        <f>CHOOSE(Inputs!$C$13,1,INDEX(Abilities!$J$33:$J$34,2),INDEX(Abilities!$I$33:$I$34,2))</f>
        <v/>
      </c>
      <c r="AH52" s="16">
        <f>INDEX(Abilities!$C$33:$C$34,2)*AG52*AE52+INDEX(Abilities!$C$33:$C$34,1)*AF52*MIN(AD52,1-AE52)</f>
        <v/>
      </c>
      <c r="AI52" s="9">
        <f>AH52*(I52+G52+A52)*(1+J52)*(1+K52)*Inputs!$C$20</f>
        <v/>
      </c>
      <c r="AJ52" s="9">
        <f>AH52*(I52+W52+G52+A52)*(1+J52)*(1+K52)*Inputs!$C$20</f>
        <v/>
      </c>
      <c r="AK52" s="27">
        <f>(1-Y52)*(T52+AI52)/U52+Y52*(AA52+AJ52)/AB52</f>
        <v/>
      </c>
      <c r="AL52" s="17">
        <f>(AA52+IF(A52&gt;=INDEX(Abilities!$A$33:$A$34,2),INDEX(Abilities!$C$33:$C$34,2)*AG52,IF(A52&gt;=INDEX(Abilities!$A$33:$A$34,1),INDEX(Abilities!$C$33:$C$34,1)*AF52,0))*(I52+W52+G52+A52)*(1+J52)*(1+K52)*Inputs!$C$20)/AB52</f>
        <v/>
      </c>
      <c r="AM52" s="28">
        <f>IFERROR(((1-Y52)*AI52/U52+Y52*AJ52/AB52)/AK52,0)</f>
        <v/>
      </c>
      <c r="AN52" s="8">
        <f>IFERROR(ROUNDUP(C52/T52,0),"-")</f>
        <v/>
      </c>
      <c r="AO52" s="60">
        <f>IFERROR(C52/AK52,"-")</f>
        <v/>
      </c>
      <c r="AP52" s="9">
        <f>MAX(0,(E52+(B52-A52))*(1-R52)*(1-Q52*'Class Table'!$O$6/Inputs!$C$19)-Q52*'Class Table'!$O$6/25)</f>
        <v/>
      </c>
      <c r="AQ52" s="26">
        <f>IFERROR(AP52/F52*AO52,"-")</f>
        <v/>
      </c>
      <c r="AR52" s="28">
        <f>IFERROR(AQ52/O52,"-")</f>
        <v/>
      </c>
      <c r="AS52" s="9">
        <f>IFERROR(O52*Inputs!$C$24/Inputs!$C$22*AO52,"-")</f>
        <v/>
      </c>
      <c r="AT52" s="28">
        <f>IFERROR(MAX(0,AQ52-AS52)/O52,"-")</f>
        <v/>
      </c>
    </row>
  </sheetData>
  <mergeCells count="7">
    <mergeCell ref="G2:R2"/>
    <mergeCell ref="B2:F2"/>
    <mergeCell ref="AK2:AN2"/>
    <mergeCell ref="S2:V2"/>
    <mergeCell ref="W2:AC2"/>
    <mergeCell ref="AD2:AJ2"/>
    <mergeCell ref="AO2:AT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R5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1.5"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11.5" customWidth="1" min="20" max="20"/>
    <col width="11.5" customWidth="1" min="21" max="21"/>
    <col width="11.5" customWidth="1" min="22" max="22"/>
    <col width="11.5" customWidth="1" min="23" max="23"/>
    <col width="11.5" customWidth="1" min="24" max="24"/>
    <col width="11.5" customWidth="1" min="25" max="25"/>
    <col width="11.5" customWidth="1" min="26" max="26"/>
    <col width="11.5" customWidth="1" min="27" max="27"/>
    <col width="11.5" customWidth="1" min="28" max="28"/>
    <col width="11.5" customWidth="1" min="29" max="29"/>
    <col width="11.5" customWidth="1" min="30" max="30"/>
    <col width="11.5" customWidth="1" min="31" max="31"/>
    <col width="11.5" customWidth="1" min="32" max="32"/>
    <col width="11.5" customWidth="1" min="33" max="33"/>
    <col width="11.5" customWidth="1" min="34" max="34"/>
    <col width="11.5" customWidth="1" min="35" max="35"/>
    <col width="11.5" customWidth="1" min="36" max="36"/>
    <col width="11.5" customWidth="1" min="37" max="37"/>
    <col width="11.5" customWidth="1" min="38" max="38"/>
    <col width="11.5" customWidth="1" min="39" max="39"/>
    <col width="11.5" customWidth="1" min="40" max="40"/>
    <col width="11.5" customWidth="1" min="41" max="41"/>
    <col width="11.5" customWidth="1" min="42" max="42"/>
    <col width="11.5" customWidth="1" min="43" max="43"/>
    <col width="11.5" customWidth="1" min="44" max="44"/>
  </cols>
  <sheetData>
    <row r="1">
      <c r="A1" s="1" t="inlineStr">
        <is>
          <t>Rogue - expected damage by level</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row>
    <row r="2">
      <c r="A2" s="42" t="inlineStr">
        <is>
          <t>Melee + Backstab (on cooldown) + Poison Weapon + Nimble, averaged by uptime.</t>
        </is>
      </c>
      <c r="B2" s="6" t="inlineStr">
        <is>
          <t>Opponent</t>
        </is>
      </c>
      <c r="G2" s="6" t="inlineStr">
        <is>
          <t>Gear / class</t>
        </is>
      </c>
      <c r="S2" s="6" t="inlineStr">
        <is>
          <t>Melee (no cooldowns)</t>
        </is>
      </c>
      <c r="W2" s="6" t="inlineStr">
        <is>
          <t>Nimble</t>
        </is>
      </c>
      <c r="AC2" s="6" t="inlineStr">
        <is>
          <t>Backstab / Poison</t>
        </is>
      </c>
      <c r="AI2" s="6" t="inlineStr">
        <is>
          <t>Result</t>
        </is>
      </c>
      <c r="AM2" s="6" t="inlineStr">
        <is>
          <t>Survival</t>
        </is>
      </c>
    </row>
    <row r="3" ht="45" customHeight="1">
      <c r="A3" s="7" t="inlineStr">
        <is>
          <t>Level</t>
        </is>
      </c>
      <c r="B3" s="7" t="inlineStr">
        <is>
          <t>Mob level</t>
        </is>
      </c>
      <c r="C3" s="7" t="inlineStr">
        <is>
          <t>Mob HP</t>
        </is>
      </c>
      <c r="D3" s="7" t="inlineStr">
        <is>
          <t>Mob eff. AC</t>
        </is>
      </c>
      <c r="E3" s="7" t="inlineStr">
        <is>
          <t>Mob base hit</t>
        </is>
      </c>
      <c r="F3" s="7" t="inlineStr">
        <is>
          <t>Mob atk s</t>
        </is>
      </c>
      <c r="G3" s="7" t="inlineStr">
        <is>
          <t>Weapon dmg</t>
        </is>
      </c>
      <c r="H3" s="7" t="inlineStr">
        <is>
          <t>Weapon delay</t>
        </is>
      </c>
      <c r="I3" s="7" t="inlineStr">
        <is>
          <t>STR (gear + priest buff)</t>
        </is>
      </c>
      <c r="J3" s="7" t="inlineStr">
        <is>
          <t>Spell dmg %</t>
        </is>
      </c>
      <c r="K3" s="7" t="inlineStr">
        <is>
          <t>Spell crit %</t>
        </is>
      </c>
      <c r="L3" s="7" t="inlineStr">
        <is>
          <t>Melee dmg %</t>
        </is>
      </c>
      <c r="M3" s="7" t="inlineStr">
        <is>
          <t>Melee crit %</t>
        </is>
      </c>
      <c r="N3" s="7" t="inlineStr">
        <is>
          <t>Haste %</t>
        </is>
      </c>
      <c r="O3" s="7" t="inlineStr">
        <is>
          <t>Player max HP</t>
        </is>
      </c>
      <c r="P3" s="7" t="inlineStr">
        <is>
          <t>Player max MP</t>
        </is>
      </c>
      <c r="Q3" s="7" t="inlineStr">
        <is>
          <t>Player AC</t>
        </is>
      </c>
      <c r="R3" s="7" t="inlineStr">
        <is>
          <t>Dmg reduce %</t>
        </is>
      </c>
      <c r="S3" s="7" t="inlineStr">
        <is>
          <t>Raw melee hit</t>
        </is>
      </c>
      <c r="T3" s="7" t="inlineStr">
        <is>
          <t>Melee hit vs mob</t>
        </is>
      </c>
      <c r="U3" s="7" t="inlineStr">
        <is>
          <t>Swing s</t>
        </is>
      </c>
      <c r="V3" s="7" t="inlineStr">
        <is>
          <t>Melee DPS</t>
        </is>
      </c>
      <c r="W3" s="7" t="inlineStr">
        <is>
          <t>Nimble haste</t>
        </is>
      </c>
      <c r="X3" s="7" t="inlineStr">
        <is>
          <t>Nimble uptime</t>
        </is>
      </c>
      <c r="Y3" s="7" t="inlineStr">
        <is>
          <t>Raw melee hit (nimble)</t>
        </is>
      </c>
      <c r="Z3" s="7" t="inlineStr">
        <is>
          <t>Melee hit vs mob (nimble)</t>
        </is>
      </c>
      <c r="AA3" s="7" t="inlineStr">
        <is>
          <t>Swing s (nimble)</t>
        </is>
      </c>
      <c r="AB3" s="7" t="inlineStr">
        <is>
          <t>Melee DPS (nimble)</t>
        </is>
      </c>
      <c r="AC3" s="7" t="inlineStr">
        <is>
          <t>Backstab mult</t>
        </is>
      </c>
      <c r="AD3" s="7" t="inlineStr">
        <is>
          <t>Backstab cooldown s</t>
        </is>
      </c>
      <c r="AE3" s="7" t="inlineStr">
        <is>
          <t>Backstab hit</t>
        </is>
      </c>
      <c r="AF3" s="7" t="inlineStr">
        <is>
          <t>Backstab DPS</t>
        </is>
      </c>
      <c r="AG3" s="7" t="inlineStr">
        <is>
          <t>Poison tick dmg</t>
        </is>
      </c>
      <c r="AH3" s="7" t="inlineStr">
        <is>
          <t>Poison DPS</t>
        </is>
      </c>
      <c r="AI3" s="7" t="inlineStr">
        <is>
          <t>SUSTAINED DPS</t>
        </is>
      </c>
      <c r="AJ3" s="7" t="inlineStr">
        <is>
          <t>Burst: opener backstab + 3s melee</t>
        </is>
      </c>
      <c r="AK3" s="7" t="inlineStr">
        <is>
          <t>Backstab share of dmg</t>
        </is>
      </c>
      <c r="AL3" s="7" t="inlineStr">
        <is>
          <t>Swings to kill (melee only)</t>
        </is>
      </c>
      <c r="AM3" s="7" t="inlineStr">
        <is>
          <t>Time to kill s</t>
        </is>
      </c>
      <c r="AN3" s="7" t="inlineStr">
        <is>
          <t>Mob hit on player</t>
        </is>
      </c>
      <c r="AO3" s="7" t="inlineStr">
        <is>
          <t>Dmg taken per kill</t>
        </is>
      </c>
      <c r="AP3" s="7" t="inlineStr">
        <is>
          <t>% HP lost per kill</t>
        </is>
      </c>
      <c r="AQ3" s="7" t="inlineStr">
        <is>
          <t>HP regen per kill</t>
        </is>
      </c>
      <c r="AR3" s="7" t="inlineStr">
        <is>
          <t>Net % HP per kill (after regen)</t>
        </is>
      </c>
    </row>
    <row r="4">
      <c r="A4" s="8" t="n">
        <v>1</v>
      </c>
      <c r="B4" s="14">
        <f>'Mob by Level'!B4</f>
        <v/>
      </c>
      <c r="C4" s="9">
        <f>'Mob by Level'!C4</f>
        <v/>
      </c>
      <c r="D4" s="9">
        <f>'Mob by Level'!D4</f>
        <v/>
      </c>
      <c r="E4" s="9">
        <f>'Mob by Level'!E4</f>
        <v/>
      </c>
      <c r="F4" s="16">
        <f>'Mob by Level'!F4</f>
        <v/>
      </c>
      <c r="G4" s="14">
        <f>SUMIFS(Gear!$D$4:$D$603,Gear!$A$4:$A$603,A4,Gear!$B$4:$B$603,"Rogue",Gear!$C$4:$C$603,Inputs!$C$5)</f>
        <v/>
      </c>
      <c r="H4" s="14">
        <f>SUMIFS(Gear!$E$4:$E$603,Gear!$A$4:$A$603,A4,Gear!$B$4:$B$603,"Rogue",Gear!$C$4:$C$603,Inputs!$C$5)</f>
        <v/>
      </c>
      <c r="I4" s="14">
        <f>SUMIFS(Gear!$F$4:$F$603,Gear!$A$4:$A$603,A4,Gear!$B$4:$B$603,"Rogue",Gear!$C$4:$C$603,Inputs!$C$5)+Inputs!$C$17*IFERROR(LOOKUP(A4,Abilities!$A$49:$A$53,Abilities!$C$49:$C$53),0)</f>
        <v/>
      </c>
      <c r="J4" s="13">
        <f>SUMIFS(Gear!$J$4:$J$603,Gear!$A$4:$A$603,A4,Gear!$B$4:$B$603,"Rogue",Gear!$C$4:$C$603,Inputs!$C$5)</f>
        <v/>
      </c>
      <c r="K4" s="13">
        <f>SUMIFS(Gear!$K$4:$K$603,Gear!$A$4:$A$603,A4,Gear!$B$4:$B$603,"Rogue",Gear!$C$4:$C$603,Inputs!$C$5)</f>
        <v/>
      </c>
      <c r="L4" s="13">
        <f>SUMIFS(Gear!$L$4:$L$603,Gear!$A$4:$A$603,A4,Gear!$B$4:$B$603,"Rogue",Gear!$C$4:$C$603,Inputs!$C$5)</f>
        <v/>
      </c>
      <c r="M4" s="13">
        <f>SUMIFS(Gear!$M$4:$M$603,Gear!$A$4:$A$603,A4,Gear!$B$4:$B$603,"Rogue",Gear!$C$4:$C$603,Inputs!$C$5)</f>
        <v/>
      </c>
      <c r="N4" s="13">
        <f>SUMIFS(Gear!$N$4:$N$603,Gear!$A$4:$A$603,A4,Gear!$B$4:$B$603,"Rogue",Gear!$C$4:$C$603,Inputs!$C$5)</f>
        <v/>
      </c>
      <c r="O4" s="9">
        <f>INDEX('Class Table'!$B$4:$B$53,A4)+SUMIFS(Gear!$G$4:$G$603,Gear!$A$4:$A$603,A4,Gear!$B$4:$B$603,"Rogue",Gear!$C$4:$C$603,Inputs!$C$5)</f>
        <v/>
      </c>
      <c r="P4" s="9">
        <f>INDEX('Class Table'!$C$4:$C$53,A4)+SUMIFS(Gear!$H$4:$H$603,Gear!$A$4:$A$603,A4,Gear!$B$4:$B$603,"Rogue",Gear!$C$4:$C$603,Inputs!$C$5)</f>
        <v/>
      </c>
      <c r="Q4" s="9">
        <f>INDEX('Class Table'!$D$4:$D$53,A4)+SUMIFS(Gear!$I$4:$I$603,Gear!$A$4:$A$603,A4,Gear!$B$4:$B$603,"Rogue",Gear!$C$4:$C$603,Inputs!$C$5)</f>
        <v/>
      </c>
      <c r="R4" s="13">
        <f>SUMIFS(Gear!$O$4:$O$603,Gear!$A$4:$A$603,A4,Gear!$B$4:$B$603,"Rogue",Gear!$C$4:$C$603,Inputs!$C$5)</f>
        <v/>
      </c>
      <c r="S4" s="26">
        <f>I4+0+G4+A4+MAX(1,A4/2)+(A4-B4)</f>
        <v/>
      </c>
      <c r="T4" s="9">
        <f>MAX(0,S4*(1+M4)*(1+L4)*Inputs!$C$20*(1-D4/Inputs!$C$19)-D4/25)</f>
        <v/>
      </c>
      <c r="U4" s="16">
        <f>H4/10*(1-MIN(0.95,N4+0))*Inputs!$C$21</f>
        <v/>
      </c>
      <c r="V4" s="27">
        <f>T4/U4</f>
        <v/>
      </c>
      <c r="W4" s="13">
        <f>IFERROR(LOOKUP(A4,Abilities!$A$38:$A$40,Abilities!$D$38:$D$40),0)</f>
        <v/>
      </c>
      <c r="X4" s="13">
        <f>Inputs!$C$16*IFERROR(LOOKUP(A4,Abilities!$A$38:$A$40,Abilities!$E$38:$E$40),0)/IFERROR(LOOKUP(A4,Abilities!$A$38:$A$40,Abilities!$F$38:$F$40),1)</f>
        <v/>
      </c>
      <c r="Y4" s="26">
        <f>I4+0+G4+A4+MAX(1,A4/2)+(A4-B4)</f>
        <v/>
      </c>
      <c r="Z4" s="9">
        <f>MAX(0,Y4*(1+M4)*(1+L4)*Inputs!$C$20*(1-D4/Inputs!$C$19)-D4/25)</f>
        <v/>
      </c>
      <c r="AA4" s="16">
        <f>H4/10*(1-MIN(0.95,N4+W4))*Inputs!$C$21</f>
        <v/>
      </c>
      <c r="AB4" s="27">
        <f>Z4/AA4</f>
        <v/>
      </c>
      <c r="AC4" s="14">
        <f>IFERROR(LOOKUP(A4,Abilities!$A$6:$A$10,Abilities!$C$6:$C$10),0)</f>
        <v/>
      </c>
      <c r="AD4" s="14">
        <f>IFERROR(LOOKUP(A4,Abilities!$A$6:$A$10,Abilities!$D$6:$D$10),1)</f>
        <v/>
      </c>
      <c r="AE4" s="9">
        <f>AC4*(I4+G4+A4)*(1+J4)*(1+K4)*Inputs!$C$20*(1+0.5*Inputs!$C$11)</f>
        <v/>
      </c>
      <c r="AF4" s="27">
        <f>AE4/AD4</f>
        <v/>
      </c>
      <c r="AG4" s="14">
        <f>IFERROR(LOOKUP(A4,Abilities!$A$44:$A$45,Abilities!$C$44:$C$45),0)</f>
        <v/>
      </c>
      <c r="AH4" s="17">
        <f>AG4/Inputs!$C$25*Inputs!$C$16*IFERROR(LOOKUP(A4,Abilities!$A$44:$A$45,Abilities!$D$44:$D$45),0)/IFERROR(LOOKUP(A4,Abilities!$A$44:$A$45,Abilities!$E$44:$E$45),1)</f>
        <v/>
      </c>
      <c r="AI4" s="27">
        <f>(1-X4)*V4+X4*AB4+AF4+AH4</f>
        <v/>
      </c>
      <c r="AJ4" s="27">
        <f>(AE4+3*AB4)/3</f>
        <v/>
      </c>
      <c r="AK4" s="28">
        <f>IFERROR(AF4/AI4,0)</f>
        <v/>
      </c>
      <c r="AL4" s="8">
        <f>IFERROR(ROUNDUP(C4/T4,0),"-")</f>
        <v/>
      </c>
      <c r="AM4" s="60">
        <f>IFERROR(C4/AI4,"-")</f>
        <v/>
      </c>
      <c r="AN4" s="9">
        <f>MAX(0,(E4+(B4-A4))*(1-R4)*(1-Q4*'Class Table'!$O$5/Inputs!$C$19)-Q4*'Class Table'!$O$5/25)</f>
        <v/>
      </c>
      <c r="AO4" s="26">
        <f>IFERROR(AN4/F4*AM4,"-")</f>
        <v/>
      </c>
      <c r="AP4" s="28">
        <f>IFERROR(AO4/O4,"-")</f>
        <v/>
      </c>
      <c r="AQ4" s="9">
        <f>IFERROR(O4*Inputs!$C$24/Inputs!$C$22*AM4,"-")</f>
        <v/>
      </c>
      <c r="AR4" s="28">
        <f>IFERROR(MAX(0,AO4-AQ4)/O4,"-")</f>
        <v/>
      </c>
    </row>
    <row r="5">
      <c r="A5" s="8" t="n">
        <v>2</v>
      </c>
      <c r="B5" s="14">
        <f>'Mob by Level'!B5</f>
        <v/>
      </c>
      <c r="C5" s="9">
        <f>'Mob by Level'!C5</f>
        <v/>
      </c>
      <c r="D5" s="9">
        <f>'Mob by Level'!D5</f>
        <v/>
      </c>
      <c r="E5" s="9">
        <f>'Mob by Level'!E5</f>
        <v/>
      </c>
      <c r="F5" s="16">
        <f>'Mob by Level'!F5</f>
        <v/>
      </c>
      <c r="G5" s="14">
        <f>SUMIFS(Gear!$D$4:$D$603,Gear!$A$4:$A$603,A5,Gear!$B$4:$B$603,"Rogue",Gear!$C$4:$C$603,Inputs!$C$5)</f>
        <v/>
      </c>
      <c r="H5" s="14">
        <f>SUMIFS(Gear!$E$4:$E$603,Gear!$A$4:$A$603,A5,Gear!$B$4:$B$603,"Rogue",Gear!$C$4:$C$603,Inputs!$C$5)</f>
        <v/>
      </c>
      <c r="I5" s="14">
        <f>SUMIFS(Gear!$F$4:$F$603,Gear!$A$4:$A$603,A5,Gear!$B$4:$B$603,"Rogue",Gear!$C$4:$C$603,Inputs!$C$5)+Inputs!$C$17*IFERROR(LOOKUP(A5,Abilities!$A$49:$A$53,Abilities!$C$49:$C$53),0)</f>
        <v/>
      </c>
      <c r="J5" s="13">
        <f>SUMIFS(Gear!$J$4:$J$603,Gear!$A$4:$A$603,A5,Gear!$B$4:$B$603,"Rogue",Gear!$C$4:$C$603,Inputs!$C$5)</f>
        <v/>
      </c>
      <c r="K5" s="13">
        <f>SUMIFS(Gear!$K$4:$K$603,Gear!$A$4:$A$603,A5,Gear!$B$4:$B$603,"Rogue",Gear!$C$4:$C$603,Inputs!$C$5)</f>
        <v/>
      </c>
      <c r="L5" s="13">
        <f>SUMIFS(Gear!$L$4:$L$603,Gear!$A$4:$A$603,A5,Gear!$B$4:$B$603,"Rogue",Gear!$C$4:$C$603,Inputs!$C$5)</f>
        <v/>
      </c>
      <c r="M5" s="13">
        <f>SUMIFS(Gear!$M$4:$M$603,Gear!$A$4:$A$603,A5,Gear!$B$4:$B$603,"Rogue",Gear!$C$4:$C$603,Inputs!$C$5)</f>
        <v/>
      </c>
      <c r="N5" s="13">
        <f>SUMIFS(Gear!$N$4:$N$603,Gear!$A$4:$A$603,A5,Gear!$B$4:$B$603,"Rogue",Gear!$C$4:$C$603,Inputs!$C$5)</f>
        <v/>
      </c>
      <c r="O5" s="9">
        <f>INDEX('Class Table'!$B$4:$B$53,A5)+SUMIFS(Gear!$G$4:$G$603,Gear!$A$4:$A$603,A5,Gear!$B$4:$B$603,"Rogue",Gear!$C$4:$C$603,Inputs!$C$5)</f>
        <v/>
      </c>
      <c r="P5" s="9">
        <f>INDEX('Class Table'!$C$4:$C$53,A5)+SUMIFS(Gear!$H$4:$H$603,Gear!$A$4:$A$603,A5,Gear!$B$4:$B$603,"Rogue",Gear!$C$4:$C$603,Inputs!$C$5)</f>
        <v/>
      </c>
      <c r="Q5" s="9">
        <f>INDEX('Class Table'!$D$4:$D$53,A5)+SUMIFS(Gear!$I$4:$I$603,Gear!$A$4:$A$603,A5,Gear!$B$4:$B$603,"Rogue",Gear!$C$4:$C$603,Inputs!$C$5)</f>
        <v/>
      </c>
      <c r="R5" s="13">
        <f>SUMIFS(Gear!$O$4:$O$603,Gear!$A$4:$A$603,A5,Gear!$B$4:$B$603,"Rogue",Gear!$C$4:$C$603,Inputs!$C$5)</f>
        <v/>
      </c>
      <c r="S5" s="26">
        <f>I5+0+G5+A5+MAX(1,A5/2)+(A5-B5)</f>
        <v/>
      </c>
      <c r="T5" s="9">
        <f>MAX(0,S5*(1+M5)*(1+L5)*Inputs!$C$20*(1-D5/Inputs!$C$19)-D5/25)</f>
        <v/>
      </c>
      <c r="U5" s="16">
        <f>H5/10*(1-MIN(0.95,N5+0))*Inputs!$C$21</f>
        <v/>
      </c>
      <c r="V5" s="27">
        <f>T5/U5</f>
        <v/>
      </c>
      <c r="W5" s="13">
        <f>IFERROR(LOOKUP(A5,Abilities!$A$38:$A$40,Abilities!$D$38:$D$40),0)</f>
        <v/>
      </c>
      <c r="X5" s="13">
        <f>Inputs!$C$16*IFERROR(LOOKUP(A5,Abilities!$A$38:$A$40,Abilities!$E$38:$E$40),0)/IFERROR(LOOKUP(A5,Abilities!$A$38:$A$40,Abilities!$F$38:$F$40),1)</f>
        <v/>
      </c>
      <c r="Y5" s="26">
        <f>I5+0+G5+A5+MAX(1,A5/2)+(A5-B5)</f>
        <v/>
      </c>
      <c r="Z5" s="9">
        <f>MAX(0,Y5*(1+M5)*(1+L5)*Inputs!$C$20*(1-D5/Inputs!$C$19)-D5/25)</f>
        <v/>
      </c>
      <c r="AA5" s="16">
        <f>H5/10*(1-MIN(0.95,N5+W5))*Inputs!$C$21</f>
        <v/>
      </c>
      <c r="AB5" s="27">
        <f>Z5/AA5</f>
        <v/>
      </c>
      <c r="AC5" s="14">
        <f>IFERROR(LOOKUP(A5,Abilities!$A$6:$A$10,Abilities!$C$6:$C$10),0)</f>
        <v/>
      </c>
      <c r="AD5" s="14">
        <f>IFERROR(LOOKUP(A5,Abilities!$A$6:$A$10,Abilities!$D$6:$D$10),1)</f>
        <v/>
      </c>
      <c r="AE5" s="9">
        <f>AC5*(I5+G5+A5)*(1+J5)*(1+K5)*Inputs!$C$20*(1+0.5*Inputs!$C$11)</f>
        <v/>
      </c>
      <c r="AF5" s="27">
        <f>AE5/AD5</f>
        <v/>
      </c>
      <c r="AG5" s="14">
        <f>IFERROR(LOOKUP(A5,Abilities!$A$44:$A$45,Abilities!$C$44:$C$45),0)</f>
        <v/>
      </c>
      <c r="AH5" s="17">
        <f>AG5/Inputs!$C$25*Inputs!$C$16*IFERROR(LOOKUP(A5,Abilities!$A$44:$A$45,Abilities!$D$44:$D$45),0)/IFERROR(LOOKUP(A5,Abilities!$A$44:$A$45,Abilities!$E$44:$E$45),1)</f>
        <v/>
      </c>
      <c r="AI5" s="27">
        <f>(1-X5)*V5+X5*AB5+AF5+AH5</f>
        <v/>
      </c>
      <c r="AJ5" s="27">
        <f>(AE5+3*AB5)/3</f>
        <v/>
      </c>
      <c r="AK5" s="28">
        <f>IFERROR(AF5/AI5,0)</f>
        <v/>
      </c>
      <c r="AL5" s="8">
        <f>IFERROR(ROUNDUP(C5/T5,0),"-")</f>
        <v/>
      </c>
      <c r="AM5" s="60">
        <f>IFERROR(C5/AI5,"-")</f>
        <v/>
      </c>
      <c r="AN5" s="9">
        <f>MAX(0,(E5+(B5-A5))*(1-R5)*(1-Q5*'Class Table'!$O$5/Inputs!$C$19)-Q5*'Class Table'!$O$5/25)</f>
        <v/>
      </c>
      <c r="AO5" s="26">
        <f>IFERROR(AN5/F5*AM5,"-")</f>
        <v/>
      </c>
      <c r="AP5" s="28">
        <f>IFERROR(AO5/O5,"-")</f>
        <v/>
      </c>
      <c r="AQ5" s="9">
        <f>IFERROR(O5*Inputs!$C$24/Inputs!$C$22*AM5,"-")</f>
        <v/>
      </c>
      <c r="AR5" s="28">
        <f>IFERROR(MAX(0,AO5-AQ5)/O5,"-")</f>
        <v/>
      </c>
    </row>
    <row r="6">
      <c r="A6" s="8" t="n">
        <v>3</v>
      </c>
      <c r="B6" s="14">
        <f>'Mob by Level'!B6</f>
        <v/>
      </c>
      <c r="C6" s="9">
        <f>'Mob by Level'!C6</f>
        <v/>
      </c>
      <c r="D6" s="9">
        <f>'Mob by Level'!D6</f>
        <v/>
      </c>
      <c r="E6" s="9">
        <f>'Mob by Level'!E6</f>
        <v/>
      </c>
      <c r="F6" s="16">
        <f>'Mob by Level'!F6</f>
        <v/>
      </c>
      <c r="G6" s="14">
        <f>SUMIFS(Gear!$D$4:$D$603,Gear!$A$4:$A$603,A6,Gear!$B$4:$B$603,"Rogue",Gear!$C$4:$C$603,Inputs!$C$5)</f>
        <v/>
      </c>
      <c r="H6" s="14">
        <f>SUMIFS(Gear!$E$4:$E$603,Gear!$A$4:$A$603,A6,Gear!$B$4:$B$603,"Rogue",Gear!$C$4:$C$603,Inputs!$C$5)</f>
        <v/>
      </c>
      <c r="I6" s="14">
        <f>SUMIFS(Gear!$F$4:$F$603,Gear!$A$4:$A$603,A6,Gear!$B$4:$B$603,"Rogue",Gear!$C$4:$C$603,Inputs!$C$5)+Inputs!$C$17*IFERROR(LOOKUP(A6,Abilities!$A$49:$A$53,Abilities!$C$49:$C$53),0)</f>
        <v/>
      </c>
      <c r="J6" s="13">
        <f>SUMIFS(Gear!$J$4:$J$603,Gear!$A$4:$A$603,A6,Gear!$B$4:$B$603,"Rogue",Gear!$C$4:$C$603,Inputs!$C$5)</f>
        <v/>
      </c>
      <c r="K6" s="13">
        <f>SUMIFS(Gear!$K$4:$K$603,Gear!$A$4:$A$603,A6,Gear!$B$4:$B$603,"Rogue",Gear!$C$4:$C$603,Inputs!$C$5)</f>
        <v/>
      </c>
      <c r="L6" s="13">
        <f>SUMIFS(Gear!$L$4:$L$603,Gear!$A$4:$A$603,A6,Gear!$B$4:$B$603,"Rogue",Gear!$C$4:$C$603,Inputs!$C$5)</f>
        <v/>
      </c>
      <c r="M6" s="13">
        <f>SUMIFS(Gear!$M$4:$M$603,Gear!$A$4:$A$603,A6,Gear!$B$4:$B$603,"Rogue",Gear!$C$4:$C$603,Inputs!$C$5)</f>
        <v/>
      </c>
      <c r="N6" s="13">
        <f>SUMIFS(Gear!$N$4:$N$603,Gear!$A$4:$A$603,A6,Gear!$B$4:$B$603,"Rogue",Gear!$C$4:$C$603,Inputs!$C$5)</f>
        <v/>
      </c>
      <c r="O6" s="9">
        <f>INDEX('Class Table'!$B$4:$B$53,A6)+SUMIFS(Gear!$G$4:$G$603,Gear!$A$4:$A$603,A6,Gear!$B$4:$B$603,"Rogue",Gear!$C$4:$C$603,Inputs!$C$5)</f>
        <v/>
      </c>
      <c r="P6" s="9">
        <f>INDEX('Class Table'!$C$4:$C$53,A6)+SUMIFS(Gear!$H$4:$H$603,Gear!$A$4:$A$603,A6,Gear!$B$4:$B$603,"Rogue",Gear!$C$4:$C$603,Inputs!$C$5)</f>
        <v/>
      </c>
      <c r="Q6" s="9">
        <f>INDEX('Class Table'!$D$4:$D$53,A6)+SUMIFS(Gear!$I$4:$I$603,Gear!$A$4:$A$603,A6,Gear!$B$4:$B$603,"Rogue",Gear!$C$4:$C$603,Inputs!$C$5)</f>
        <v/>
      </c>
      <c r="R6" s="13">
        <f>SUMIFS(Gear!$O$4:$O$603,Gear!$A$4:$A$603,A6,Gear!$B$4:$B$603,"Rogue",Gear!$C$4:$C$603,Inputs!$C$5)</f>
        <v/>
      </c>
      <c r="S6" s="26">
        <f>I6+0+G6+A6+MAX(1,A6/2)+(A6-B6)</f>
        <v/>
      </c>
      <c r="T6" s="9">
        <f>MAX(0,S6*(1+M6)*(1+L6)*Inputs!$C$20*(1-D6/Inputs!$C$19)-D6/25)</f>
        <v/>
      </c>
      <c r="U6" s="16">
        <f>H6/10*(1-MIN(0.95,N6+0))*Inputs!$C$21</f>
        <v/>
      </c>
      <c r="V6" s="27">
        <f>T6/U6</f>
        <v/>
      </c>
      <c r="W6" s="13">
        <f>IFERROR(LOOKUP(A6,Abilities!$A$38:$A$40,Abilities!$D$38:$D$40),0)</f>
        <v/>
      </c>
      <c r="X6" s="13">
        <f>Inputs!$C$16*IFERROR(LOOKUP(A6,Abilities!$A$38:$A$40,Abilities!$E$38:$E$40),0)/IFERROR(LOOKUP(A6,Abilities!$A$38:$A$40,Abilities!$F$38:$F$40),1)</f>
        <v/>
      </c>
      <c r="Y6" s="26">
        <f>I6+0+G6+A6+MAX(1,A6/2)+(A6-B6)</f>
        <v/>
      </c>
      <c r="Z6" s="9">
        <f>MAX(0,Y6*(1+M6)*(1+L6)*Inputs!$C$20*(1-D6/Inputs!$C$19)-D6/25)</f>
        <v/>
      </c>
      <c r="AA6" s="16">
        <f>H6/10*(1-MIN(0.95,N6+W6))*Inputs!$C$21</f>
        <v/>
      </c>
      <c r="AB6" s="27">
        <f>Z6/AA6</f>
        <v/>
      </c>
      <c r="AC6" s="14">
        <f>IFERROR(LOOKUP(A6,Abilities!$A$6:$A$10,Abilities!$C$6:$C$10),0)</f>
        <v/>
      </c>
      <c r="AD6" s="14">
        <f>IFERROR(LOOKUP(A6,Abilities!$A$6:$A$10,Abilities!$D$6:$D$10),1)</f>
        <v/>
      </c>
      <c r="AE6" s="9">
        <f>AC6*(I6+G6+A6)*(1+J6)*(1+K6)*Inputs!$C$20*(1+0.5*Inputs!$C$11)</f>
        <v/>
      </c>
      <c r="AF6" s="27">
        <f>AE6/AD6</f>
        <v/>
      </c>
      <c r="AG6" s="14">
        <f>IFERROR(LOOKUP(A6,Abilities!$A$44:$A$45,Abilities!$C$44:$C$45),0)</f>
        <v/>
      </c>
      <c r="AH6" s="17">
        <f>AG6/Inputs!$C$25*Inputs!$C$16*IFERROR(LOOKUP(A6,Abilities!$A$44:$A$45,Abilities!$D$44:$D$45),0)/IFERROR(LOOKUP(A6,Abilities!$A$44:$A$45,Abilities!$E$44:$E$45),1)</f>
        <v/>
      </c>
      <c r="AI6" s="27">
        <f>(1-X6)*V6+X6*AB6+AF6+AH6</f>
        <v/>
      </c>
      <c r="AJ6" s="27">
        <f>(AE6+3*AB6)/3</f>
        <v/>
      </c>
      <c r="AK6" s="28">
        <f>IFERROR(AF6/AI6,0)</f>
        <v/>
      </c>
      <c r="AL6" s="8">
        <f>IFERROR(ROUNDUP(C6/T6,0),"-")</f>
        <v/>
      </c>
      <c r="AM6" s="60">
        <f>IFERROR(C6/AI6,"-")</f>
        <v/>
      </c>
      <c r="AN6" s="9">
        <f>MAX(0,(E6+(B6-A6))*(1-R6)*(1-Q6*'Class Table'!$O$5/Inputs!$C$19)-Q6*'Class Table'!$O$5/25)</f>
        <v/>
      </c>
      <c r="AO6" s="26">
        <f>IFERROR(AN6/F6*AM6,"-")</f>
        <v/>
      </c>
      <c r="AP6" s="28">
        <f>IFERROR(AO6/O6,"-")</f>
        <v/>
      </c>
      <c r="AQ6" s="9">
        <f>IFERROR(O6*Inputs!$C$24/Inputs!$C$22*AM6,"-")</f>
        <v/>
      </c>
      <c r="AR6" s="28">
        <f>IFERROR(MAX(0,AO6-AQ6)/O6,"-")</f>
        <v/>
      </c>
    </row>
    <row r="7">
      <c r="A7" s="8" t="n">
        <v>4</v>
      </c>
      <c r="B7" s="14">
        <f>'Mob by Level'!B7</f>
        <v/>
      </c>
      <c r="C7" s="9">
        <f>'Mob by Level'!C7</f>
        <v/>
      </c>
      <c r="D7" s="9">
        <f>'Mob by Level'!D7</f>
        <v/>
      </c>
      <c r="E7" s="9">
        <f>'Mob by Level'!E7</f>
        <v/>
      </c>
      <c r="F7" s="16">
        <f>'Mob by Level'!F7</f>
        <v/>
      </c>
      <c r="G7" s="14">
        <f>SUMIFS(Gear!$D$4:$D$603,Gear!$A$4:$A$603,A7,Gear!$B$4:$B$603,"Rogue",Gear!$C$4:$C$603,Inputs!$C$5)</f>
        <v/>
      </c>
      <c r="H7" s="14">
        <f>SUMIFS(Gear!$E$4:$E$603,Gear!$A$4:$A$603,A7,Gear!$B$4:$B$603,"Rogue",Gear!$C$4:$C$603,Inputs!$C$5)</f>
        <v/>
      </c>
      <c r="I7" s="14">
        <f>SUMIFS(Gear!$F$4:$F$603,Gear!$A$4:$A$603,A7,Gear!$B$4:$B$603,"Rogue",Gear!$C$4:$C$603,Inputs!$C$5)+Inputs!$C$17*IFERROR(LOOKUP(A7,Abilities!$A$49:$A$53,Abilities!$C$49:$C$53),0)</f>
        <v/>
      </c>
      <c r="J7" s="13">
        <f>SUMIFS(Gear!$J$4:$J$603,Gear!$A$4:$A$603,A7,Gear!$B$4:$B$603,"Rogue",Gear!$C$4:$C$603,Inputs!$C$5)</f>
        <v/>
      </c>
      <c r="K7" s="13">
        <f>SUMIFS(Gear!$K$4:$K$603,Gear!$A$4:$A$603,A7,Gear!$B$4:$B$603,"Rogue",Gear!$C$4:$C$603,Inputs!$C$5)</f>
        <v/>
      </c>
      <c r="L7" s="13">
        <f>SUMIFS(Gear!$L$4:$L$603,Gear!$A$4:$A$603,A7,Gear!$B$4:$B$603,"Rogue",Gear!$C$4:$C$603,Inputs!$C$5)</f>
        <v/>
      </c>
      <c r="M7" s="13">
        <f>SUMIFS(Gear!$M$4:$M$603,Gear!$A$4:$A$603,A7,Gear!$B$4:$B$603,"Rogue",Gear!$C$4:$C$603,Inputs!$C$5)</f>
        <v/>
      </c>
      <c r="N7" s="13">
        <f>SUMIFS(Gear!$N$4:$N$603,Gear!$A$4:$A$603,A7,Gear!$B$4:$B$603,"Rogue",Gear!$C$4:$C$603,Inputs!$C$5)</f>
        <v/>
      </c>
      <c r="O7" s="9">
        <f>INDEX('Class Table'!$B$4:$B$53,A7)+SUMIFS(Gear!$G$4:$G$603,Gear!$A$4:$A$603,A7,Gear!$B$4:$B$603,"Rogue",Gear!$C$4:$C$603,Inputs!$C$5)</f>
        <v/>
      </c>
      <c r="P7" s="9">
        <f>INDEX('Class Table'!$C$4:$C$53,A7)+SUMIFS(Gear!$H$4:$H$603,Gear!$A$4:$A$603,A7,Gear!$B$4:$B$603,"Rogue",Gear!$C$4:$C$603,Inputs!$C$5)</f>
        <v/>
      </c>
      <c r="Q7" s="9">
        <f>INDEX('Class Table'!$D$4:$D$53,A7)+SUMIFS(Gear!$I$4:$I$603,Gear!$A$4:$A$603,A7,Gear!$B$4:$B$603,"Rogue",Gear!$C$4:$C$603,Inputs!$C$5)</f>
        <v/>
      </c>
      <c r="R7" s="13">
        <f>SUMIFS(Gear!$O$4:$O$603,Gear!$A$4:$A$603,A7,Gear!$B$4:$B$603,"Rogue",Gear!$C$4:$C$603,Inputs!$C$5)</f>
        <v/>
      </c>
      <c r="S7" s="26">
        <f>I7+0+G7+A7+MAX(1,A7/2)+(A7-B7)</f>
        <v/>
      </c>
      <c r="T7" s="9">
        <f>MAX(0,S7*(1+M7)*(1+L7)*Inputs!$C$20*(1-D7/Inputs!$C$19)-D7/25)</f>
        <v/>
      </c>
      <c r="U7" s="16">
        <f>H7/10*(1-MIN(0.95,N7+0))*Inputs!$C$21</f>
        <v/>
      </c>
      <c r="V7" s="27">
        <f>T7/U7</f>
        <v/>
      </c>
      <c r="W7" s="13">
        <f>IFERROR(LOOKUP(A7,Abilities!$A$38:$A$40,Abilities!$D$38:$D$40),0)</f>
        <v/>
      </c>
      <c r="X7" s="13">
        <f>Inputs!$C$16*IFERROR(LOOKUP(A7,Abilities!$A$38:$A$40,Abilities!$E$38:$E$40),0)/IFERROR(LOOKUP(A7,Abilities!$A$38:$A$40,Abilities!$F$38:$F$40),1)</f>
        <v/>
      </c>
      <c r="Y7" s="26">
        <f>I7+0+G7+A7+MAX(1,A7/2)+(A7-B7)</f>
        <v/>
      </c>
      <c r="Z7" s="9">
        <f>MAX(0,Y7*(1+M7)*(1+L7)*Inputs!$C$20*(1-D7/Inputs!$C$19)-D7/25)</f>
        <v/>
      </c>
      <c r="AA7" s="16">
        <f>H7/10*(1-MIN(0.95,N7+W7))*Inputs!$C$21</f>
        <v/>
      </c>
      <c r="AB7" s="27">
        <f>Z7/AA7</f>
        <v/>
      </c>
      <c r="AC7" s="14">
        <f>IFERROR(LOOKUP(A7,Abilities!$A$6:$A$10,Abilities!$C$6:$C$10),0)</f>
        <v/>
      </c>
      <c r="AD7" s="14">
        <f>IFERROR(LOOKUP(A7,Abilities!$A$6:$A$10,Abilities!$D$6:$D$10),1)</f>
        <v/>
      </c>
      <c r="AE7" s="9">
        <f>AC7*(I7+G7+A7)*(1+J7)*(1+K7)*Inputs!$C$20*(1+0.5*Inputs!$C$11)</f>
        <v/>
      </c>
      <c r="AF7" s="27">
        <f>AE7/AD7</f>
        <v/>
      </c>
      <c r="AG7" s="14">
        <f>IFERROR(LOOKUP(A7,Abilities!$A$44:$A$45,Abilities!$C$44:$C$45),0)</f>
        <v/>
      </c>
      <c r="AH7" s="17">
        <f>AG7/Inputs!$C$25*Inputs!$C$16*IFERROR(LOOKUP(A7,Abilities!$A$44:$A$45,Abilities!$D$44:$D$45),0)/IFERROR(LOOKUP(A7,Abilities!$A$44:$A$45,Abilities!$E$44:$E$45),1)</f>
        <v/>
      </c>
      <c r="AI7" s="27">
        <f>(1-X7)*V7+X7*AB7+AF7+AH7</f>
        <v/>
      </c>
      <c r="AJ7" s="27">
        <f>(AE7+3*AB7)/3</f>
        <v/>
      </c>
      <c r="AK7" s="28">
        <f>IFERROR(AF7/AI7,0)</f>
        <v/>
      </c>
      <c r="AL7" s="8">
        <f>IFERROR(ROUNDUP(C7/T7,0),"-")</f>
        <v/>
      </c>
      <c r="AM7" s="60">
        <f>IFERROR(C7/AI7,"-")</f>
        <v/>
      </c>
      <c r="AN7" s="9">
        <f>MAX(0,(E7+(B7-A7))*(1-R7)*(1-Q7*'Class Table'!$O$5/Inputs!$C$19)-Q7*'Class Table'!$O$5/25)</f>
        <v/>
      </c>
      <c r="AO7" s="26">
        <f>IFERROR(AN7/F7*AM7,"-")</f>
        <v/>
      </c>
      <c r="AP7" s="28">
        <f>IFERROR(AO7/O7,"-")</f>
        <v/>
      </c>
      <c r="AQ7" s="9">
        <f>IFERROR(O7*Inputs!$C$24/Inputs!$C$22*AM7,"-")</f>
        <v/>
      </c>
      <c r="AR7" s="28">
        <f>IFERROR(MAX(0,AO7-AQ7)/O7,"-")</f>
        <v/>
      </c>
    </row>
    <row r="8">
      <c r="A8" s="8" t="n">
        <v>5</v>
      </c>
      <c r="B8" s="14">
        <f>'Mob by Level'!B8</f>
        <v/>
      </c>
      <c r="C8" s="9">
        <f>'Mob by Level'!C8</f>
        <v/>
      </c>
      <c r="D8" s="9">
        <f>'Mob by Level'!D8</f>
        <v/>
      </c>
      <c r="E8" s="9">
        <f>'Mob by Level'!E8</f>
        <v/>
      </c>
      <c r="F8" s="16">
        <f>'Mob by Level'!F8</f>
        <v/>
      </c>
      <c r="G8" s="14">
        <f>SUMIFS(Gear!$D$4:$D$603,Gear!$A$4:$A$603,A8,Gear!$B$4:$B$603,"Rogue",Gear!$C$4:$C$603,Inputs!$C$5)</f>
        <v/>
      </c>
      <c r="H8" s="14">
        <f>SUMIFS(Gear!$E$4:$E$603,Gear!$A$4:$A$603,A8,Gear!$B$4:$B$603,"Rogue",Gear!$C$4:$C$603,Inputs!$C$5)</f>
        <v/>
      </c>
      <c r="I8" s="14">
        <f>SUMIFS(Gear!$F$4:$F$603,Gear!$A$4:$A$603,A8,Gear!$B$4:$B$603,"Rogue",Gear!$C$4:$C$603,Inputs!$C$5)+Inputs!$C$17*IFERROR(LOOKUP(A8,Abilities!$A$49:$A$53,Abilities!$C$49:$C$53),0)</f>
        <v/>
      </c>
      <c r="J8" s="13">
        <f>SUMIFS(Gear!$J$4:$J$603,Gear!$A$4:$A$603,A8,Gear!$B$4:$B$603,"Rogue",Gear!$C$4:$C$603,Inputs!$C$5)</f>
        <v/>
      </c>
      <c r="K8" s="13">
        <f>SUMIFS(Gear!$K$4:$K$603,Gear!$A$4:$A$603,A8,Gear!$B$4:$B$603,"Rogue",Gear!$C$4:$C$603,Inputs!$C$5)</f>
        <v/>
      </c>
      <c r="L8" s="13">
        <f>SUMIFS(Gear!$L$4:$L$603,Gear!$A$4:$A$603,A8,Gear!$B$4:$B$603,"Rogue",Gear!$C$4:$C$603,Inputs!$C$5)</f>
        <v/>
      </c>
      <c r="M8" s="13">
        <f>SUMIFS(Gear!$M$4:$M$603,Gear!$A$4:$A$603,A8,Gear!$B$4:$B$603,"Rogue",Gear!$C$4:$C$603,Inputs!$C$5)</f>
        <v/>
      </c>
      <c r="N8" s="13">
        <f>SUMIFS(Gear!$N$4:$N$603,Gear!$A$4:$A$603,A8,Gear!$B$4:$B$603,"Rogue",Gear!$C$4:$C$603,Inputs!$C$5)</f>
        <v/>
      </c>
      <c r="O8" s="9">
        <f>INDEX('Class Table'!$B$4:$B$53,A8)+SUMIFS(Gear!$G$4:$G$603,Gear!$A$4:$A$603,A8,Gear!$B$4:$B$603,"Rogue",Gear!$C$4:$C$603,Inputs!$C$5)</f>
        <v/>
      </c>
      <c r="P8" s="9">
        <f>INDEX('Class Table'!$C$4:$C$53,A8)+SUMIFS(Gear!$H$4:$H$603,Gear!$A$4:$A$603,A8,Gear!$B$4:$B$603,"Rogue",Gear!$C$4:$C$603,Inputs!$C$5)</f>
        <v/>
      </c>
      <c r="Q8" s="9">
        <f>INDEX('Class Table'!$D$4:$D$53,A8)+SUMIFS(Gear!$I$4:$I$603,Gear!$A$4:$A$603,A8,Gear!$B$4:$B$603,"Rogue",Gear!$C$4:$C$603,Inputs!$C$5)</f>
        <v/>
      </c>
      <c r="R8" s="13">
        <f>SUMIFS(Gear!$O$4:$O$603,Gear!$A$4:$A$603,A8,Gear!$B$4:$B$603,"Rogue",Gear!$C$4:$C$603,Inputs!$C$5)</f>
        <v/>
      </c>
      <c r="S8" s="26">
        <f>I8+0+G8+A8+MAX(1,A8/2)+(A8-B8)</f>
        <v/>
      </c>
      <c r="T8" s="9">
        <f>MAX(0,S8*(1+M8)*(1+L8)*Inputs!$C$20*(1-D8/Inputs!$C$19)-D8/25)</f>
        <v/>
      </c>
      <c r="U8" s="16">
        <f>H8/10*(1-MIN(0.95,N8+0))*Inputs!$C$21</f>
        <v/>
      </c>
      <c r="V8" s="27">
        <f>T8/U8</f>
        <v/>
      </c>
      <c r="W8" s="13">
        <f>IFERROR(LOOKUP(A8,Abilities!$A$38:$A$40,Abilities!$D$38:$D$40),0)</f>
        <v/>
      </c>
      <c r="X8" s="13">
        <f>Inputs!$C$16*IFERROR(LOOKUP(A8,Abilities!$A$38:$A$40,Abilities!$E$38:$E$40),0)/IFERROR(LOOKUP(A8,Abilities!$A$38:$A$40,Abilities!$F$38:$F$40),1)</f>
        <v/>
      </c>
      <c r="Y8" s="26">
        <f>I8+0+G8+A8+MAX(1,A8/2)+(A8-B8)</f>
        <v/>
      </c>
      <c r="Z8" s="9">
        <f>MAX(0,Y8*(1+M8)*(1+L8)*Inputs!$C$20*(1-D8/Inputs!$C$19)-D8/25)</f>
        <v/>
      </c>
      <c r="AA8" s="16">
        <f>H8/10*(1-MIN(0.95,N8+W8))*Inputs!$C$21</f>
        <v/>
      </c>
      <c r="AB8" s="27">
        <f>Z8/AA8</f>
        <v/>
      </c>
      <c r="AC8" s="14">
        <f>IFERROR(LOOKUP(A8,Abilities!$A$6:$A$10,Abilities!$C$6:$C$10),0)</f>
        <v/>
      </c>
      <c r="AD8" s="14">
        <f>IFERROR(LOOKUP(A8,Abilities!$A$6:$A$10,Abilities!$D$6:$D$10),1)</f>
        <v/>
      </c>
      <c r="AE8" s="9">
        <f>AC8*(I8+G8+A8)*(1+J8)*(1+K8)*Inputs!$C$20*(1+0.5*Inputs!$C$11)</f>
        <v/>
      </c>
      <c r="AF8" s="27">
        <f>AE8/AD8</f>
        <v/>
      </c>
      <c r="AG8" s="14">
        <f>IFERROR(LOOKUP(A8,Abilities!$A$44:$A$45,Abilities!$C$44:$C$45),0)</f>
        <v/>
      </c>
      <c r="AH8" s="17">
        <f>AG8/Inputs!$C$25*Inputs!$C$16*IFERROR(LOOKUP(A8,Abilities!$A$44:$A$45,Abilities!$D$44:$D$45),0)/IFERROR(LOOKUP(A8,Abilities!$A$44:$A$45,Abilities!$E$44:$E$45),1)</f>
        <v/>
      </c>
      <c r="AI8" s="27">
        <f>(1-X8)*V8+X8*AB8+AF8+AH8</f>
        <v/>
      </c>
      <c r="AJ8" s="27">
        <f>(AE8+3*AB8)/3</f>
        <v/>
      </c>
      <c r="AK8" s="28">
        <f>IFERROR(AF8/AI8,0)</f>
        <v/>
      </c>
      <c r="AL8" s="8">
        <f>IFERROR(ROUNDUP(C8/T8,0),"-")</f>
        <v/>
      </c>
      <c r="AM8" s="60">
        <f>IFERROR(C8/AI8,"-")</f>
        <v/>
      </c>
      <c r="AN8" s="9">
        <f>MAX(0,(E8+(B8-A8))*(1-R8)*(1-Q8*'Class Table'!$O$5/Inputs!$C$19)-Q8*'Class Table'!$O$5/25)</f>
        <v/>
      </c>
      <c r="AO8" s="26">
        <f>IFERROR(AN8/F8*AM8,"-")</f>
        <v/>
      </c>
      <c r="AP8" s="28">
        <f>IFERROR(AO8/O8,"-")</f>
        <v/>
      </c>
      <c r="AQ8" s="9">
        <f>IFERROR(O8*Inputs!$C$24/Inputs!$C$22*AM8,"-")</f>
        <v/>
      </c>
      <c r="AR8" s="28">
        <f>IFERROR(MAX(0,AO8-AQ8)/O8,"-")</f>
        <v/>
      </c>
    </row>
    <row r="9">
      <c r="A9" s="8" t="n">
        <v>6</v>
      </c>
      <c r="B9" s="14">
        <f>'Mob by Level'!B9</f>
        <v/>
      </c>
      <c r="C9" s="9">
        <f>'Mob by Level'!C9</f>
        <v/>
      </c>
      <c r="D9" s="9">
        <f>'Mob by Level'!D9</f>
        <v/>
      </c>
      <c r="E9" s="9">
        <f>'Mob by Level'!E9</f>
        <v/>
      </c>
      <c r="F9" s="16">
        <f>'Mob by Level'!F9</f>
        <v/>
      </c>
      <c r="G9" s="14">
        <f>SUMIFS(Gear!$D$4:$D$603,Gear!$A$4:$A$603,A9,Gear!$B$4:$B$603,"Rogue",Gear!$C$4:$C$603,Inputs!$C$5)</f>
        <v/>
      </c>
      <c r="H9" s="14">
        <f>SUMIFS(Gear!$E$4:$E$603,Gear!$A$4:$A$603,A9,Gear!$B$4:$B$603,"Rogue",Gear!$C$4:$C$603,Inputs!$C$5)</f>
        <v/>
      </c>
      <c r="I9" s="14">
        <f>SUMIFS(Gear!$F$4:$F$603,Gear!$A$4:$A$603,A9,Gear!$B$4:$B$603,"Rogue",Gear!$C$4:$C$603,Inputs!$C$5)+Inputs!$C$17*IFERROR(LOOKUP(A9,Abilities!$A$49:$A$53,Abilities!$C$49:$C$53),0)</f>
        <v/>
      </c>
      <c r="J9" s="13">
        <f>SUMIFS(Gear!$J$4:$J$603,Gear!$A$4:$A$603,A9,Gear!$B$4:$B$603,"Rogue",Gear!$C$4:$C$603,Inputs!$C$5)</f>
        <v/>
      </c>
      <c r="K9" s="13">
        <f>SUMIFS(Gear!$K$4:$K$603,Gear!$A$4:$A$603,A9,Gear!$B$4:$B$603,"Rogue",Gear!$C$4:$C$603,Inputs!$C$5)</f>
        <v/>
      </c>
      <c r="L9" s="13">
        <f>SUMIFS(Gear!$L$4:$L$603,Gear!$A$4:$A$603,A9,Gear!$B$4:$B$603,"Rogue",Gear!$C$4:$C$603,Inputs!$C$5)</f>
        <v/>
      </c>
      <c r="M9" s="13">
        <f>SUMIFS(Gear!$M$4:$M$603,Gear!$A$4:$A$603,A9,Gear!$B$4:$B$603,"Rogue",Gear!$C$4:$C$603,Inputs!$C$5)</f>
        <v/>
      </c>
      <c r="N9" s="13">
        <f>SUMIFS(Gear!$N$4:$N$603,Gear!$A$4:$A$603,A9,Gear!$B$4:$B$603,"Rogue",Gear!$C$4:$C$603,Inputs!$C$5)</f>
        <v/>
      </c>
      <c r="O9" s="9">
        <f>INDEX('Class Table'!$B$4:$B$53,A9)+SUMIFS(Gear!$G$4:$G$603,Gear!$A$4:$A$603,A9,Gear!$B$4:$B$603,"Rogue",Gear!$C$4:$C$603,Inputs!$C$5)</f>
        <v/>
      </c>
      <c r="P9" s="9">
        <f>INDEX('Class Table'!$C$4:$C$53,A9)+SUMIFS(Gear!$H$4:$H$603,Gear!$A$4:$A$603,A9,Gear!$B$4:$B$603,"Rogue",Gear!$C$4:$C$603,Inputs!$C$5)</f>
        <v/>
      </c>
      <c r="Q9" s="9">
        <f>INDEX('Class Table'!$D$4:$D$53,A9)+SUMIFS(Gear!$I$4:$I$603,Gear!$A$4:$A$603,A9,Gear!$B$4:$B$603,"Rogue",Gear!$C$4:$C$603,Inputs!$C$5)</f>
        <v/>
      </c>
      <c r="R9" s="13">
        <f>SUMIFS(Gear!$O$4:$O$603,Gear!$A$4:$A$603,A9,Gear!$B$4:$B$603,"Rogue",Gear!$C$4:$C$603,Inputs!$C$5)</f>
        <v/>
      </c>
      <c r="S9" s="26">
        <f>I9+0+G9+A9+MAX(1,A9/2)+(A9-B9)</f>
        <v/>
      </c>
      <c r="T9" s="9">
        <f>MAX(0,S9*(1+M9)*(1+L9)*Inputs!$C$20*(1-D9/Inputs!$C$19)-D9/25)</f>
        <v/>
      </c>
      <c r="U9" s="16">
        <f>H9/10*(1-MIN(0.95,N9+0))*Inputs!$C$21</f>
        <v/>
      </c>
      <c r="V9" s="27">
        <f>T9/U9</f>
        <v/>
      </c>
      <c r="W9" s="13">
        <f>IFERROR(LOOKUP(A9,Abilities!$A$38:$A$40,Abilities!$D$38:$D$40),0)</f>
        <v/>
      </c>
      <c r="X9" s="13">
        <f>Inputs!$C$16*IFERROR(LOOKUP(A9,Abilities!$A$38:$A$40,Abilities!$E$38:$E$40),0)/IFERROR(LOOKUP(A9,Abilities!$A$38:$A$40,Abilities!$F$38:$F$40),1)</f>
        <v/>
      </c>
      <c r="Y9" s="26">
        <f>I9+0+G9+A9+MAX(1,A9/2)+(A9-B9)</f>
        <v/>
      </c>
      <c r="Z9" s="9">
        <f>MAX(0,Y9*(1+M9)*(1+L9)*Inputs!$C$20*(1-D9/Inputs!$C$19)-D9/25)</f>
        <v/>
      </c>
      <c r="AA9" s="16">
        <f>H9/10*(1-MIN(0.95,N9+W9))*Inputs!$C$21</f>
        <v/>
      </c>
      <c r="AB9" s="27">
        <f>Z9/AA9</f>
        <v/>
      </c>
      <c r="AC9" s="14">
        <f>IFERROR(LOOKUP(A9,Abilities!$A$6:$A$10,Abilities!$C$6:$C$10),0)</f>
        <v/>
      </c>
      <c r="AD9" s="14">
        <f>IFERROR(LOOKUP(A9,Abilities!$A$6:$A$10,Abilities!$D$6:$D$10),1)</f>
        <v/>
      </c>
      <c r="AE9" s="9">
        <f>AC9*(I9+G9+A9)*(1+J9)*(1+K9)*Inputs!$C$20*(1+0.5*Inputs!$C$11)</f>
        <v/>
      </c>
      <c r="AF9" s="27">
        <f>AE9/AD9</f>
        <v/>
      </c>
      <c r="AG9" s="14">
        <f>IFERROR(LOOKUP(A9,Abilities!$A$44:$A$45,Abilities!$C$44:$C$45),0)</f>
        <v/>
      </c>
      <c r="AH9" s="17">
        <f>AG9/Inputs!$C$25*Inputs!$C$16*IFERROR(LOOKUP(A9,Abilities!$A$44:$A$45,Abilities!$D$44:$D$45),0)/IFERROR(LOOKUP(A9,Abilities!$A$44:$A$45,Abilities!$E$44:$E$45),1)</f>
        <v/>
      </c>
      <c r="AI9" s="27">
        <f>(1-X9)*V9+X9*AB9+AF9+AH9</f>
        <v/>
      </c>
      <c r="AJ9" s="27">
        <f>(AE9+3*AB9)/3</f>
        <v/>
      </c>
      <c r="AK9" s="28">
        <f>IFERROR(AF9/AI9,0)</f>
        <v/>
      </c>
      <c r="AL9" s="8">
        <f>IFERROR(ROUNDUP(C9/T9,0),"-")</f>
        <v/>
      </c>
      <c r="AM9" s="60">
        <f>IFERROR(C9/AI9,"-")</f>
        <v/>
      </c>
      <c r="AN9" s="9">
        <f>MAX(0,(E9+(B9-A9))*(1-R9)*(1-Q9*'Class Table'!$O$5/Inputs!$C$19)-Q9*'Class Table'!$O$5/25)</f>
        <v/>
      </c>
      <c r="AO9" s="26">
        <f>IFERROR(AN9/F9*AM9,"-")</f>
        <v/>
      </c>
      <c r="AP9" s="28">
        <f>IFERROR(AO9/O9,"-")</f>
        <v/>
      </c>
      <c r="AQ9" s="9">
        <f>IFERROR(O9*Inputs!$C$24/Inputs!$C$22*AM9,"-")</f>
        <v/>
      </c>
      <c r="AR9" s="28">
        <f>IFERROR(MAX(0,AO9-AQ9)/O9,"-")</f>
        <v/>
      </c>
    </row>
    <row r="10">
      <c r="A10" s="8" t="n">
        <v>7</v>
      </c>
      <c r="B10" s="14">
        <f>'Mob by Level'!B10</f>
        <v/>
      </c>
      <c r="C10" s="9">
        <f>'Mob by Level'!C10</f>
        <v/>
      </c>
      <c r="D10" s="9">
        <f>'Mob by Level'!D10</f>
        <v/>
      </c>
      <c r="E10" s="9">
        <f>'Mob by Level'!E10</f>
        <v/>
      </c>
      <c r="F10" s="16">
        <f>'Mob by Level'!F10</f>
        <v/>
      </c>
      <c r="G10" s="14">
        <f>SUMIFS(Gear!$D$4:$D$603,Gear!$A$4:$A$603,A10,Gear!$B$4:$B$603,"Rogue",Gear!$C$4:$C$603,Inputs!$C$5)</f>
        <v/>
      </c>
      <c r="H10" s="14">
        <f>SUMIFS(Gear!$E$4:$E$603,Gear!$A$4:$A$603,A10,Gear!$B$4:$B$603,"Rogue",Gear!$C$4:$C$603,Inputs!$C$5)</f>
        <v/>
      </c>
      <c r="I10" s="14">
        <f>SUMIFS(Gear!$F$4:$F$603,Gear!$A$4:$A$603,A10,Gear!$B$4:$B$603,"Rogue",Gear!$C$4:$C$603,Inputs!$C$5)+Inputs!$C$17*IFERROR(LOOKUP(A10,Abilities!$A$49:$A$53,Abilities!$C$49:$C$53),0)</f>
        <v/>
      </c>
      <c r="J10" s="13">
        <f>SUMIFS(Gear!$J$4:$J$603,Gear!$A$4:$A$603,A10,Gear!$B$4:$B$603,"Rogue",Gear!$C$4:$C$603,Inputs!$C$5)</f>
        <v/>
      </c>
      <c r="K10" s="13">
        <f>SUMIFS(Gear!$K$4:$K$603,Gear!$A$4:$A$603,A10,Gear!$B$4:$B$603,"Rogue",Gear!$C$4:$C$603,Inputs!$C$5)</f>
        <v/>
      </c>
      <c r="L10" s="13">
        <f>SUMIFS(Gear!$L$4:$L$603,Gear!$A$4:$A$603,A10,Gear!$B$4:$B$603,"Rogue",Gear!$C$4:$C$603,Inputs!$C$5)</f>
        <v/>
      </c>
      <c r="M10" s="13">
        <f>SUMIFS(Gear!$M$4:$M$603,Gear!$A$4:$A$603,A10,Gear!$B$4:$B$603,"Rogue",Gear!$C$4:$C$603,Inputs!$C$5)</f>
        <v/>
      </c>
      <c r="N10" s="13">
        <f>SUMIFS(Gear!$N$4:$N$603,Gear!$A$4:$A$603,A10,Gear!$B$4:$B$603,"Rogue",Gear!$C$4:$C$603,Inputs!$C$5)</f>
        <v/>
      </c>
      <c r="O10" s="9">
        <f>INDEX('Class Table'!$B$4:$B$53,A10)+SUMIFS(Gear!$G$4:$G$603,Gear!$A$4:$A$603,A10,Gear!$B$4:$B$603,"Rogue",Gear!$C$4:$C$603,Inputs!$C$5)</f>
        <v/>
      </c>
      <c r="P10" s="9">
        <f>INDEX('Class Table'!$C$4:$C$53,A10)+SUMIFS(Gear!$H$4:$H$603,Gear!$A$4:$A$603,A10,Gear!$B$4:$B$603,"Rogue",Gear!$C$4:$C$603,Inputs!$C$5)</f>
        <v/>
      </c>
      <c r="Q10" s="9">
        <f>INDEX('Class Table'!$D$4:$D$53,A10)+SUMIFS(Gear!$I$4:$I$603,Gear!$A$4:$A$603,A10,Gear!$B$4:$B$603,"Rogue",Gear!$C$4:$C$603,Inputs!$C$5)</f>
        <v/>
      </c>
      <c r="R10" s="13">
        <f>SUMIFS(Gear!$O$4:$O$603,Gear!$A$4:$A$603,A10,Gear!$B$4:$B$603,"Rogue",Gear!$C$4:$C$603,Inputs!$C$5)</f>
        <v/>
      </c>
      <c r="S10" s="26">
        <f>I10+0+G10+A10+MAX(1,A10/2)+(A10-B10)</f>
        <v/>
      </c>
      <c r="T10" s="9">
        <f>MAX(0,S10*(1+M10)*(1+L10)*Inputs!$C$20*(1-D10/Inputs!$C$19)-D10/25)</f>
        <v/>
      </c>
      <c r="U10" s="16">
        <f>H10/10*(1-MIN(0.95,N10+0))*Inputs!$C$21</f>
        <v/>
      </c>
      <c r="V10" s="27">
        <f>T10/U10</f>
        <v/>
      </c>
      <c r="W10" s="13">
        <f>IFERROR(LOOKUP(A10,Abilities!$A$38:$A$40,Abilities!$D$38:$D$40),0)</f>
        <v/>
      </c>
      <c r="X10" s="13">
        <f>Inputs!$C$16*IFERROR(LOOKUP(A10,Abilities!$A$38:$A$40,Abilities!$E$38:$E$40),0)/IFERROR(LOOKUP(A10,Abilities!$A$38:$A$40,Abilities!$F$38:$F$40),1)</f>
        <v/>
      </c>
      <c r="Y10" s="26">
        <f>I10+0+G10+A10+MAX(1,A10/2)+(A10-B10)</f>
        <v/>
      </c>
      <c r="Z10" s="9">
        <f>MAX(0,Y10*(1+M10)*(1+L10)*Inputs!$C$20*(1-D10/Inputs!$C$19)-D10/25)</f>
        <v/>
      </c>
      <c r="AA10" s="16">
        <f>H10/10*(1-MIN(0.95,N10+W10))*Inputs!$C$21</f>
        <v/>
      </c>
      <c r="AB10" s="27">
        <f>Z10/AA10</f>
        <v/>
      </c>
      <c r="AC10" s="14">
        <f>IFERROR(LOOKUP(A10,Abilities!$A$6:$A$10,Abilities!$C$6:$C$10),0)</f>
        <v/>
      </c>
      <c r="AD10" s="14">
        <f>IFERROR(LOOKUP(A10,Abilities!$A$6:$A$10,Abilities!$D$6:$D$10),1)</f>
        <v/>
      </c>
      <c r="AE10" s="9">
        <f>AC10*(I10+G10+A10)*(1+J10)*(1+K10)*Inputs!$C$20*(1+0.5*Inputs!$C$11)</f>
        <v/>
      </c>
      <c r="AF10" s="27">
        <f>AE10/AD10</f>
        <v/>
      </c>
      <c r="AG10" s="14">
        <f>IFERROR(LOOKUP(A10,Abilities!$A$44:$A$45,Abilities!$C$44:$C$45),0)</f>
        <v/>
      </c>
      <c r="AH10" s="17">
        <f>AG10/Inputs!$C$25*Inputs!$C$16*IFERROR(LOOKUP(A10,Abilities!$A$44:$A$45,Abilities!$D$44:$D$45),0)/IFERROR(LOOKUP(A10,Abilities!$A$44:$A$45,Abilities!$E$44:$E$45),1)</f>
        <v/>
      </c>
      <c r="AI10" s="27">
        <f>(1-X10)*V10+X10*AB10+AF10+AH10</f>
        <v/>
      </c>
      <c r="AJ10" s="27">
        <f>(AE10+3*AB10)/3</f>
        <v/>
      </c>
      <c r="AK10" s="28">
        <f>IFERROR(AF10/AI10,0)</f>
        <v/>
      </c>
      <c r="AL10" s="8">
        <f>IFERROR(ROUNDUP(C10/T10,0),"-")</f>
        <v/>
      </c>
      <c r="AM10" s="60">
        <f>IFERROR(C10/AI10,"-")</f>
        <v/>
      </c>
      <c r="AN10" s="9">
        <f>MAX(0,(E10+(B10-A10))*(1-R10)*(1-Q10*'Class Table'!$O$5/Inputs!$C$19)-Q10*'Class Table'!$O$5/25)</f>
        <v/>
      </c>
      <c r="AO10" s="26">
        <f>IFERROR(AN10/F10*AM10,"-")</f>
        <v/>
      </c>
      <c r="AP10" s="28">
        <f>IFERROR(AO10/O10,"-")</f>
        <v/>
      </c>
      <c r="AQ10" s="9">
        <f>IFERROR(O10*Inputs!$C$24/Inputs!$C$22*AM10,"-")</f>
        <v/>
      </c>
      <c r="AR10" s="28">
        <f>IFERROR(MAX(0,AO10-AQ10)/O10,"-")</f>
        <v/>
      </c>
    </row>
    <row r="11">
      <c r="A11" s="8" t="n">
        <v>8</v>
      </c>
      <c r="B11" s="14">
        <f>'Mob by Level'!B11</f>
        <v/>
      </c>
      <c r="C11" s="9">
        <f>'Mob by Level'!C11</f>
        <v/>
      </c>
      <c r="D11" s="9">
        <f>'Mob by Level'!D11</f>
        <v/>
      </c>
      <c r="E11" s="9">
        <f>'Mob by Level'!E11</f>
        <v/>
      </c>
      <c r="F11" s="16">
        <f>'Mob by Level'!F11</f>
        <v/>
      </c>
      <c r="G11" s="14">
        <f>SUMIFS(Gear!$D$4:$D$603,Gear!$A$4:$A$603,A11,Gear!$B$4:$B$603,"Rogue",Gear!$C$4:$C$603,Inputs!$C$5)</f>
        <v/>
      </c>
      <c r="H11" s="14">
        <f>SUMIFS(Gear!$E$4:$E$603,Gear!$A$4:$A$603,A11,Gear!$B$4:$B$603,"Rogue",Gear!$C$4:$C$603,Inputs!$C$5)</f>
        <v/>
      </c>
      <c r="I11" s="14">
        <f>SUMIFS(Gear!$F$4:$F$603,Gear!$A$4:$A$603,A11,Gear!$B$4:$B$603,"Rogue",Gear!$C$4:$C$603,Inputs!$C$5)+Inputs!$C$17*IFERROR(LOOKUP(A11,Abilities!$A$49:$A$53,Abilities!$C$49:$C$53),0)</f>
        <v/>
      </c>
      <c r="J11" s="13">
        <f>SUMIFS(Gear!$J$4:$J$603,Gear!$A$4:$A$603,A11,Gear!$B$4:$B$603,"Rogue",Gear!$C$4:$C$603,Inputs!$C$5)</f>
        <v/>
      </c>
      <c r="K11" s="13">
        <f>SUMIFS(Gear!$K$4:$K$603,Gear!$A$4:$A$603,A11,Gear!$B$4:$B$603,"Rogue",Gear!$C$4:$C$603,Inputs!$C$5)</f>
        <v/>
      </c>
      <c r="L11" s="13">
        <f>SUMIFS(Gear!$L$4:$L$603,Gear!$A$4:$A$603,A11,Gear!$B$4:$B$603,"Rogue",Gear!$C$4:$C$603,Inputs!$C$5)</f>
        <v/>
      </c>
      <c r="M11" s="13">
        <f>SUMIFS(Gear!$M$4:$M$603,Gear!$A$4:$A$603,A11,Gear!$B$4:$B$603,"Rogue",Gear!$C$4:$C$603,Inputs!$C$5)</f>
        <v/>
      </c>
      <c r="N11" s="13">
        <f>SUMIFS(Gear!$N$4:$N$603,Gear!$A$4:$A$603,A11,Gear!$B$4:$B$603,"Rogue",Gear!$C$4:$C$603,Inputs!$C$5)</f>
        <v/>
      </c>
      <c r="O11" s="9">
        <f>INDEX('Class Table'!$B$4:$B$53,A11)+SUMIFS(Gear!$G$4:$G$603,Gear!$A$4:$A$603,A11,Gear!$B$4:$B$603,"Rogue",Gear!$C$4:$C$603,Inputs!$C$5)</f>
        <v/>
      </c>
      <c r="P11" s="9">
        <f>INDEX('Class Table'!$C$4:$C$53,A11)+SUMIFS(Gear!$H$4:$H$603,Gear!$A$4:$A$603,A11,Gear!$B$4:$B$603,"Rogue",Gear!$C$4:$C$603,Inputs!$C$5)</f>
        <v/>
      </c>
      <c r="Q11" s="9">
        <f>INDEX('Class Table'!$D$4:$D$53,A11)+SUMIFS(Gear!$I$4:$I$603,Gear!$A$4:$A$603,A11,Gear!$B$4:$B$603,"Rogue",Gear!$C$4:$C$603,Inputs!$C$5)</f>
        <v/>
      </c>
      <c r="R11" s="13">
        <f>SUMIFS(Gear!$O$4:$O$603,Gear!$A$4:$A$603,A11,Gear!$B$4:$B$603,"Rogue",Gear!$C$4:$C$603,Inputs!$C$5)</f>
        <v/>
      </c>
      <c r="S11" s="26">
        <f>I11+0+G11+A11+MAX(1,A11/2)+(A11-B11)</f>
        <v/>
      </c>
      <c r="T11" s="9">
        <f>MAX(0,S11*(1+M11)*(1+L11)*Inputs!$C$20*(1-D11/Inputs!$C$19)-D11/25)</f>
        <v/>
      </c>
      <c r="U11" s="16">
        <f>H11/10*(1-MIN(0.95,N11+0))*Inputs!$C$21</f>
        <v/>
      </c>
      <c r="V11" s="27">
        <f>T11/U11</f>
        <v/>
      </c>
      <c r="W11" s="13">
        <f>IFERROR(LOOKUP(A11,Abilities!$A$38:$A$40,Abilities!$D$38:$D$40),0)</f>
        <v/>
      </c>
      <c r="X11" s="13">
        <f>Inputs!$C$16*IFERROR(LOOKUP(A11,Abilities!$A$38:$A$40,Abilities!$E$38:$E$40),0)/IFERROR(LOOKUP(A11,Abilities!$A$38:$A$40,Abilities!$F$38:$F$40),1)</f>
        <v/>
      </c>
      <c r="Y11" s="26">
        <f>I11+0+G11+A11+MAX(1,A11/2)+(A11-B11)</f>
        <v/>
      </c>
      <c r="Z11" s="9">
        <f>MAX(0,Y11*(1+M11)*(1+L11)*Inputs!$C$20*(1-D11/Inputs!$C$19)-D11/25)</f>
        <v/>
      </c>
      <c r="AA11" s="16">
        <f>H11/10*(1-MIN(0.95,N11+W11))*Inputs!$C$21</f>
        <v/>
      </c>
      <c r="AB11" s="27">
        <f>Z11/AA11</f>
        <v/>
      </c>
      <c r="AC11" s="14">
        <f>IFERROR(LOOKUP(A11,Abilities!$A$6:$A$10,Abilities!$C$6:$C$10),0)</f>
        <v/>
      </c>
      <c r="AD11" s="14">
        <f>IFERROR(LOOKUP(A11,Abilities!$A$6:$A$10,Abilities!$D$6:$D$10),1)</f>
        <v/>
      </c>
      <c r="AE11" s="9">
        <f>AC11*(I11+G11+A11)*(1+J11)*(1+K11)*Inputs!$C$20*(1+0.5*Inputs!$C$11)</f>
        <v/>
      </c>
      <c r="AF11" s="27">
        <f>AE11/AD11</f>
        <v/>
      </c>
      <c r="AG11" s="14">
        <f>IFERROR(LOOKUP(A11,Abilities!$A$44:$A$45,Abilities!$C$44:$C$45),0)</f>
        <v/>
      </c>
      <c r="AH11" s="17">
        <f>AG11/Inputs!$C$25*Inputs!$C$16*IFERROR(LOOKUP(A11,Abilities!$A$44:$A$45,Abilities!$D$44:$D$45),0)/IFERROR(LOOKUP(A11,Abilities!$A$44:$A$45,Abilities!$E$44:$E$45),1)</f>
        <v/>
      </c>
      <c r="AI11" s="27">
        <f>(1-X11)*V11+X11*AB11+AF11+AH11</f>
        <v/>
      </c>
      <c r="AJ11" s="27">
        <f>(AE11+3*AB11)/3</f>
        <v/>
      </c>
      <c r="AK11" s="28">
        <f>IFERROR(AF11/AI11,0)</f>
        <v/>
      </c>
      <c r="AL11" s="8">
        <f>IFERROR(ROUNDUP(C11/T11,0),"-")</f>
        <v/>
      </c>
      <c r="AM11" s="60">
        <f>IFERROR(C11/AI11,"-")</f>
        <v/>
      </c>
      <c r="AN11" s="9">
        <f>MAX(0,(E11+(B11-A11))*(1-R11)*(1-Q11*'Class Table'!$O$5/Inputs!$C$19)-Q11*'Class Table'!$O$5/25)</f>
        <v/>
      </c>
      <c r="AO11" s="26">
        <f>IFERROR(AN11/F11*AM11,"-")</f>
        <v/>
      </c>
      <c r="AP11" s="28">
        <f>IFERROR(AO11/O11,"-")</f>
        <v/>
      </c>
      <c r="AQ11" s="9">
        <f>IFERROR(O11*Inputs!$C$24/Inputs!$C$22*AM11,"-")</f>
        <v/>
      </c>
      <c r="AR11" s="28">
        <f>IFERROR(MAX(0,AO11-AQ11)/O11,"-")</f>
        <v/>
      </c>
    </row>
    <row r="12">
      <c r="A12" s="8" t="n">
        <v>9</v>
      </c>
      <c r="B12" s="14">
        <f>'Mob by Level'!B12</f>
        <v/>
      </c>
      <c r="C12" s="9">
        <f>'Mob by Level'!C12</f>
        <v/>
      </c>
      <c r="D12" s="9">
        <f>'Mob by Level'!D12</f>
        <v/>
      </c>
      <c r="E12" s="9">
        <f>'Mob by Level'!E12</f>
        <v/>
      </c>
      <c r="F12" s="16">
        <f>'Mob by Level'!F12</f>
        <v/>
      </c>
      <c r="G12" s="14">
        <f>SUMIFS(Gear!$D$4:$D$603,Gear!$A$4:$A$603,A12,Gear!$B$4:$B$603,"Rogue",Gear!$C$4:$C$603,Inputs!$C$5)</f>
        <v/>
      </c>
      <c r="H12" s="14">
        <f>SUMIFS(Gear!$E$4:$E$603,Gear!$A$4:$A$603,A12,Gear!$B$4:$B$603,"Rogue",Gear!$C$4:$C$603,Inputs!$C$5)</f>
        <v/>
      </c>
      <c r="I12" s="14">
        <f>SUMIFS(Gear!$F$4:$F$603,Gear!$A$4:$A$603,A12,Gear!$B$4:$B$603,"Rogue",Gear!$C$4:$C$603,Inputs!$C$5)+Inputs!$C$17*IFERROR(LOOKUP(A12,Abilities!$A$49:$A$53,Abilities!$C$49:$C$53),0)</f>
        <v/>
      </c>
      <c r="J12" s="13">
        <f>SUMIFS(Gear!$J$4:$J$603,Gear!$A$4:$A$603,A12,Gear!$B$4:$B$603,"Rogue",Gear!$C$4:$C$603,Inputs!$C$5)</f>
        <v/>
      </c>
      <c r="K12" s="13">
        <f>SUMIFS(Gear!$K$4:$K$603,Gear!$A$4:$A$603,A12,Gear!$B$4:$B$603,"Rogue",Gear!$C$4:$C$603,Inputs!$C$5)</f>
        <v/>
      </c>
      <c r="L12" s="13">
        <f>SUMIFS(Gear!$L$4:$L$603,Gear!$A$4:$A$603,A12,Gear!$B$4:$B$603,"Rogue",Gear!$C$4:$C$603,Inputs!$C$5)</f>
        <v/>
      </c>
      <c r="M12" s="13">
        <f>SUMIFS(Gear!$M$4:$M$603,Gear!$A$4:$A$603,A12,Gear!$B$4:$B$603,"Rogue",Gear!$C$4:$C$603,Inputs!$C$5)</f>
        <v/>
      </c>
      <c r="N12" s="13">
        <f>SUMIFS(Gear!$N$4:$N$603,Gear!$A$4:$A$603,A12,Gear!$B$4:$B$603,"Rogue",Gear!$C$4:$C$603,Inputs!$C$5)</f>
        <v/>
      </c>
      <c r="O12" s="9">
        <f>INDEX('Class Table'!$B$4:$B$53,A12)+SUMIFS(Gear!$G$4:$G$603,Gear!$A$4:$A$603,A12,Gear!$B$4:$B$603,"Rogue",Gear!$C$4:$C$603,Inputs!$C$5)</f>
        <v/>
      </c>
      <c r="P12" s="9">
        <f>INDEX('Class Table'!$C$4:$C$53,A12)+SUMIFS(Gear!$H$4:$H$603,Gear!$A$4:$A$603,A12,Gear!$B$4:$B$603,"Rogue",Gear!$C$4:$C$603,Inputs!$C$5)</f>
        <v/>
      </c>
      <c r="Q12" s="9">
        <f>INDEX('Class Table'!$D$4:$D$53,A12)+SUMIFS(Gear!$I$4:$I$603,Gear!$A$4:$A$603,A12,Gear!$B$4:$B$603,"Rogue",Gear!$C$4:$C$603,Inputs!$C$5)</f>
        <v/>
      </c>
      <c r="R12" s="13">
        <f>SUMIFS(Gear!$O$4:$O$603,Gear!$A$4:$A$603,A12,Gear!$B$4:$B$603,"Rogue",Gear!$C$4:$C$603,Inputs!$C$5)</f>
        <v/>
      </c>
      <c r="S12" s="26">
        <f>I12+0+G12+A12+MAX(1,A12/2)+(A12-B12)</f>
        <v/>
      </c>
      <c r="T12" s="9">
        <f>MAX(0,S12*(1+M12)*(1+L12)*Inputs!$C$20*(1-D12/Inputs!$C$19)-D12/25)</f>
        <v/>
      </c>
      <c r="U12" s="16">
        <f>H12/10*(1-MIN(0.95,N12+0))*Inputs!$C$21</f>
        <v/>
      </c>
      <c r="V12" s="27">
        <f>T12/U12</f>
        <v/>
      </c>
      <c r="W12" s="13">
        <f>IFERROR(LOOKUP(A12,Abilities!$A$38:$A$40,Abilities!$D$38:$D$40),0)</f>
        <v/>
      </c>
      <c r="X12" s="13">
        <f>Inputs!$C$16*IFERROR(LOOKUP(A12,Abilities!$A$38:$A$40,Abilities!$E$38:$E$40),0)/IFERROR(LOOKUP(A12,Abilities!$A$38:$A$40,Abilities!$F$38:$F$40),1)</f>
        <v/>
      </c>
      <c r="Y12" s="26">
        <f>I12+0+G12+A12+MAX(1,A12/2)+(A12-B12)</f>
        <v/>
      </c>
      <c r="Z12" s="9">
        <f>MAX(0,Y12*(1+M12)*(1+L12)*Inputs!$C$20*(1-D12/Inputs!$C$19)-D12/25)</f>
        <v/>
      </c>
      <c r="AA12" s="16">
        <f>H12/10*(1-MIN(0.95,N12+W12))*Inputs!$C$21</f>
        <v/>
      </c>
      <c r="AB12" s="27">
        <f>Z12/AA12</f>
        <v/>
      </c>
      <c r="AC12" s="14">
        <f>IFERROR(LOOKUP(A12,Abilities!$A$6:$A$10,Abilities!$C$6:$C$10),0)</f>
        <v/>
      </c>
      <c r="AD12" s="14">
        <f>IFERROR(LOOKUP(A12,Abilities!$A$6:$A$10,Abilities!$D$6:$D$10),1)</f>
        <v/>
      </c>
      <c r="AE12" s="9">
        <f>AC12*(I12+G12+A12)*(1+J12)*(1+K12)*Inputs!$C$20*(1+0.5*Inputs!$C$11)</f>
        <v/>
      </c>
      <c r="AF12" s="27">
        <f>AE12/AD12</f>
        <v/>
      </c>
      <c r="AG12" s="14">
        <f>IFERROR(LOOKUP(A12,Abilities!$A$44:$A$45,Abilities!$C$44:$C$45),0)</f>
        <v/>
      </c>
      <c r="AH12" s="17">
        <f>AG12/Inputs!$C$25*Inputs!$C$16*IFERROR(LOOKUP(A12,Abilities!$A$44:$A$45,Abilities!$D$44:$D$45),0)/IFERROR(LOOKUP(A12,Abilities!$A$44:$A$45,Abilities!$E$44:$E$45),1)</f>
        <v/>
      </c>
      <c r="AI12" s="27">
        <f>(1-X12)*V12+X12*AB12+AF12+AH12</f>
        <v/>
      </c>
      <c r="AJ12" s="27">
        <f>(AE12+3*AB12)/3</f>
        <v/>
      </c>
      <c r="AK12" s="28">
        <f>IFERROR(AF12/AI12,0)</f>
        <v/>
      </c>
      <c r="AL12" s="8">
        <f>IFERROR(ROUNDUP(C12/T12,0),"-")</f>
        <v/>
      </c>
      <c r="AM12" s="60">
        <f>IFERROR(C12/AI12,"-")</f>
        <v/>
      </c>
      <c r="AN12" s="9">
        <f>MAX(0,(E12+(B12-A12))*(1-R12)*(1-Q12*'Class Table'!$O$5/Inputs!$C$19)-Q12*'Class Table'!$O$5/25)</f>
        <v/>
      </c>
      <c r="AO12" s="26">
        <f>IFERROR(AN12/F12*AM12,"-")</f>
        <v/>
      </c>
      <c r="AP12" s="28">
        <f>IFERROR(AO12/O12,"-")</f>
        <v/>
      </c>
      <c r="AQ12" s="9">
        <f>IFERROR(O12*Inputs!$C$24/Inputs!$C$22*AM12,"-")</f>
        <v/>
      </c>
      <c r="AR12" s="28">
        <f>IFERROR(MAX(0,AO12-AQ12)/O12,"-")</f>
        <v/>
      </c>
    </row>
    <row r="13">
      <c r="A13" s="8" t="n">
        <v>10</v>
      </c>
      <c r="B13" s="14">
        <f>'Mob by Level'!B13</f>
        <v/>
      </c>
      <c r="C13" s="9">
        <f>'Mob by Level'!C13</f>
        <v/>
      </c>
      <c r="D13" s="9">
        <f>'Mob by Level'!D13</f>
        <v/>
      </c>
      <c r="E13" s="9">
        <f>'Mob by Level'!E13</f>
        <v/>
      </c>
      <c r="F13" s="16">
        <f>'Mob by Level'!F13</f>
        <v/>
      </c>
      <c r="G13" s="14">
        <f>SUMIFS(Gear!$D$4:$D$603,Gear!$A$4:$A$603,A13,Gear!$B$4:$B$603,"Rogue",Gear!$C$4:$C$603,Inputs!$C$5)</f>
        <v/>
      </c>
      <c r="H13" s="14">
        <f>SUMIFS(Gear!$E$4:$E$603,Gear!$A$4:$A$603,A13,Gear!$B$4:$B$603,"Rogue",Gear!$C$4:$C$603,Inputs!$C$5)</f>
        <v/>
      </c>
      <c r="I13" s="14">
        <f>SUMIFS(Gear!$F$4:$F$603,Gear!$A$4:$A$603,A13,Gear!$B$4:$B$603,"Rogue",Gear!$C$4:$C$603,Inputs!$C$5)+Inputs!$C$17*IFERROR(LOOKUP(A13,Abilities!$A$49:$A$53,Abilities!$C$49:$C$53),0)</f>
        <v/>
      </c>
      <c r="J13" s="13">
        <f>SUMIFS(Gear!$J$4:$J$603,Gear!$A$4:$A$603,A13,Gear!$B$4:$B$603,"Rogue",Gear!$C$4:$C$603,Inputs!$C$5)</f>
        <v/>
      </c>
      <c r="K13" s="13">
        <f>SUMIFS(Gear!$K$4:$K$603,Gear!$A$4:$A$603,A13,Gear!$B$4:$B$603,"Rogue",Gear!$C$4:$C$603,Inputs!$C$5)</f>
        <v/>
      </c>
      <c r="L13" s="13">
        <f>SUMIFS(Gear!$L$4:$L$603,Gear!$A$4:$A$603,A13,Gear!$B$4:$B$603,"Rogue",Gear!$C$4:$C$603,Inputs!$C$5)</f>
        <v/>
      </c>
      <c r="M13" s="13">
        <f>SUMIFS(Gear!$M$4:$M$603,Gear!$A$4:$A$603,A13,Gear!$B$4:$B$603,"Rogue",Gear!$C$4:$C$603,Inputs!$C$5)</f>
        <v/>
      </c>
      <c r="N13" s="13">
        <f>SUMIFS(Gear!$N$4:$N$603,Gear!$A$4:$A$603,A13,Gear!$B$4:$B$603,"Rogue",Gear!$C$4:$C$603,Inputs!$C$5)</f>
        <v/>
      </c>
      <c r="O13" s="9">
        <f>INDEX('Class Table'!$B$4:$B$53,A13)+SUMIFS(Gear!$G$4:$G$603,Gear!$A$4:$A$603,A13,Gear!$B$4:$B$603,"Rogue",Gear!$C$4:$C$603,Inputs!$C$5)</f>
        <v/>
      </c>
      <c r="P13" s="9">
        <f>INDEX('Class Table'!$C$4:$C$53,A13)+SUMIFS(Gear!$H$4:$H$603,Gear!$A$4:$A$603,A13,Gear!$B$4:$B$603,"Rogue",Gear!$C$4:$C$603,Inputs!$C$5)</f>
        <v/>
      </c>
      <c r="Q13" s="9">
        <f>INDEX('Class Table'!$D$4:$D$53,A13)+SUMIFS(Gear!$I$4:$I$603,Gear!$A$4:$A$603,A13,Gear!$B$4:$B$603,"Rogue",Gear!$C$4:$C$603,Inputs!$C$5)</f>
        <v/>
      </c>
      <c r="R13" s="13">
        <f>SUMIFS(Gear!$O$4:$O$603,Gear!$A$4:$A$603,A13,Gear!$B$4:$B$603,"Rogue",Gear!$C$4:$C$603,Inputs!$C$5)</f>
        <v/>
      </c>
      <c r="S13" s="26">
        <f>I13+0+G13+A13+MAX(1,A13/2)+(A13-B13)</f>
        <v/>
      </c>
      <c r="T13" s="9">
        <f>MAX(0,S13*(1+M13)*(1+L13)*Inputs!$C$20*(1-D13/Inputs!$C$19)-D13/25)</f>
        <v/>
      </c>
      <c r="U13" s="16">
        <f>H13/10*(1-MIN(0.95,N13+0))*Inputs!$C$21</f>
        <v/>
      </c>
      <c r="V13" s="27">
        <f>T13/U13</f>
        <v/>
      </c>
      <c r="W13" s="13">
        <f>IFERROR(LOOKUP(A13,Abilities!$A$38:$A$40,Abilities!$D$38:$D$40),0)</f>
        <v/>
      </c>
      <c r="X13" s="13">
        <f>Inputs!$C$16*IFERROR(LOOKUP(A13,Abilities!$A$38:$A$40,Abilities!$E$38:$E$40),0)/IFERROR(LOOKUP(A13,Abilities!$A$38:$A$40,Abilities!$F$38:$F$40),1)</f>
        <v/>
      </c>
      <c r="Y13" s="26">
        <f>I13+0+G13+A13+MAX(1,A13/2)+(A13-B13)</f>
        <v/>
      </c>
      <c r="Z13" s="9">
        <f>MAX(0,Y13*(1+M13)*(1+L13)*Inputs!$C$20*(1-D13/Inputs!$C$19)-D13/25)</f>
        <v/>
      </c>
      <c r="AA13" s="16">
        <f>H13/10*(1-MIN(0.95,N13+W13))*Inputs!$C$21</f>
        <v/>
      </c>
      <c r="AB13" s="27">
        <f>Z13/AA13</f>
        <v/>
      </c>
      <c r="AC13" s="14">
        <f>IFERROR(LOOKUP(A13,Abilities!$A$6:$A$10,Abilities!$C$6:$C$10),0)</f>
        <v/>
      </c>
      <c r="AD13" s="14">
        <f>IFERROR(LOOKUP(A13,Abilities!$A$6:$A$10,Abilities!$D$6:$D$10),1)</f>
        <v/>
      </c>
      <c r="AE13" s="9">
        <f>AC13*(I13+G13+A13)*(1+J13)*(1+K13)*Inputs!$C$20*(1+0.5*Inputs!$C$11)</f>
        <v/>
      </c>
      <c r="AF13" s="27">
        <f>AE13/AD13</f>
        <v/>
      </c>
      <c r="AG13" s="14">
        <f>IFERROR(LOOKUP(A13,Abilities!$A$44:$A$45,Abilities!$C$44:$C$45),0)</f>
        <v/>
      </c>
      <c r="AH13" s="17">
        <f>AG13/Inputs!$C$25*Inputs!$C$16*IFERROR(LOOKUP(A13,Abilities!$A$44:$A$45,Abilities!$D$44:$D$45),0)/IFERROR(LOOKUP(A13,Abilities!$A$44:$A$45,Abilities!$E$44:$E$45),1)</f>
        <v/>
      </c>
      <c r="AI13" s="27">
        <f>(1-X13)*V13+X13*AB13+AF13+AH13</f>
        <v/>
      </c>
      <c r="AJ13" s="27">
        <f>(AE13+3*AB13)/3</f>
        <v/>
      </c>
      <c r="AK13" s="28">
        <f>IFERROR(AF13/AI13,0)</f>
        <v/>
      </c>
      <c r="AL13" s="8">
        <f>IFERROR(ROUNDUP(C13/T13,0),"-")</f>
        <v/>
      </c>
      <c r="AM13" s="60">
        <f>IFERROR(C13/AI13,"-")</f>
        <v/>
      </c>
      <c r="AN13" s="9">
        <f>MAX(0,(E13+(B13-A13))*(1-R13)*(1-Q13*'Class Table'!$O$5/Inputs!$C$19)-Q13*'Class Table'!$O$5/25)</f>
        <v/>
      </c>
      <c r="AO13" s="26">
        <f>IFERROR(AN13/F13*AM13,"-")</f>
        <v/>
      </c>
      <c r="AP13" s="28">
        <f>IFERROR(AO13/O13,"-")</f>
        <v/>
      </c>
      <c r="AQ13" s="9">
        <f>IFERROR(O13*Inputs!$C$24/Inputs!$C$22*AM13,"-")</f>
        <v/>
      </c>
      <c r="AR13" s="28">
        <f>IFERROR(MAX(0,AO13-AQ13)/O13,"-")</f>
        <v/>
      </c>
    </row>
    <row r="14">
      <c r="A14" s="8" t="n">
        <v>11</v>
      </c>
      <c r="B14" s="14">
        <f>'Mob by Level'!B14</f>
        <v/>
      </c>
      <c r="C14" s="9">
        <f>'Mob by Level'!C14</f>
        <v/>
      </c>
      <c r="D14" s="9">
        <f>'Mob by Level'!D14</f>
        <v/>
      </c>
      <c r="E14" s="9">
        <f>'Mob by Level'!E14</f>
        <v/>
      </c>
      <c r="F14" s="16">
        <f>'Mob by Level'!F14</f>
        <v/>
      </c>
      <c r="G14" s="14">
        <f>SUMIFS(Gear!$D$4:$D$603,Gear!$A$4:$A$603,A14,Gear!$B$4:$B$603,"Rogue",Gear!$C$4:$C$603,Inputs!$C$5)</f>
        <v/>
      </c>
      <c r="H14" s="14">
        <f>SUMIFS(Gear!$E$4:$E$603,Gear!$A$4:$A$603,A14,Gear!$B$4:$B$603,"Rogue",Gear!$C$4:$C$603,Inputs!$C$5)</f>
        <v/>
      </c>
      <c r="I14" s="14">
        <f>SUMIFS(Gear!$F$4:$F$603,Gear!$A$4:$A$603,A14,Gear!$B$4:$B$603,"Rogue",Gear!$C$4:$C$603,Inputs!$C$5)+Inputs!$C$17*IFERROR(LOOKUP(A14,Abilities!$A$49:$A$53,Abilities!$C$49:$C$53),0)</f>
        <v/>
      </c>
      <c r="J14" s="13">
        <f>SUMIFS(Gear!$J$4:$J$603,Gear!$A$4:$A$603,A14,Gear!$B$4:$B$603,"Rogue",Gear!$C$4:$C$603,Inputs!$C$5)</f>
        <v/>
      </c>
      <c r="K14" s="13">
        <f>SUMIFS(Gear!$K$4:$K$603,Gear!$A$4:$A$603,A14,Gear!$B$4:$B$603,"Rogue",Gear!$C$4:$C$603,Inputs!$C$5)</f>
        <v/>
      </c>
      <c r="L14" s="13">
        <f>SUMIFS(Gear!$L$4:$L$603,Gear!$A$4:$A$603,A14,Gear!$B$4:$B$603,"Rogue",Gear!$C$4:$C$603,Inputs!$C$5)</f>
        <v/>
      </c>
      <c r="M14" s="13">
        <f>SUMIFS(Gear!$M$4:$M$603,Gear!$A$4:$A$603,A14,Gear!$B$4:$B$603,"Rogue",Gear!$C$4:$C$603,Inputs!$C$5)</f>
        <v/>
      </c>
      <c r="N14" s="13">
        <f>SUMIFS(Gear!$N$4:$N$603,Gear!$A$4:$A$603,A14,Gear!$B$4:$B$603,"Rogue",Gear!$C$4:$C$603,Inputs!$C$5)</f>
        <v/>
      </c>
      <c r="O14" s="9">
        <f>INDEX('Class Table'!$B$4:$B$53,A14)+SUMIFS(Gear!$G$4:$G$603,Gear!$A$4:$A$603,A14,Gear!$B$4:$B$603,"Rogue",Gear!$C$4:$C$603,Inputs!$C$5)</f>
        <v/>
      </c>
      <c r="P14" s="9">
        <f>INDEX('Class Table'!$C$4:$C$53,A14)+SUMIFS(Gear!$H$4:$H$603,Gear!$A$4:$A$603,A14,Gear!$B$4:$B$603,"Rogue",Gear!$C$4:$C$603,Inputs!$C$5)</f>
        <v/>
      </c>
      <c r="Q14" s="9">
        <f>INDEX('Class Table'!$D$4:$D$53,A14)+SUMIFS(Gear!$I$4:$I$603,Gear!$A$4:$A$603,A14,Gear!$B$4:$B$603,"Rogue",Gear!$C$4:$C$603,Inputs!$C$5)</f>
        <v/>
      </c>
      <c r="R14" s="13">
        <f>SUMIFS(Gear!$O$4:$O$603,Gear!$A$4:$A$603,A14,Gear!$B$4:$B$603,"Rogue",Gear!$C$4:$C$603,Inputs!$C$5)</f>
        <v/>
      </c>
      <c r="S14" s="26">
        <f>I14+0+G14+A14+MAX(1,A14/2)+(A14-B14)</f>
        <v/>
      </c>
      <c r="T14" s="9">
        <f>MAX(0,S14*(1+M14)*(1+L14)*Inputs!$C$20*(1-D14/Inputs!$C$19)-D14/25)</f>
        <v/>
      </c>
      <c r="U14" s="16">
        <f>H14/10*(1-MIN(0.95,N14+0))*Inputs!$C$21</f>
        <v/>
      </c>
      <c r="V14" s="27">
        <f>T14/U14</f>
        <v/>
      </c>
      <c r="W14" s="13">
        <f>IFERROR(LOOKUP(A14,Abilities!$A$38:$A$40,Abilities!$D$38:$D$40),0)</f>
        <v/>
      </c>
      <c r="X14" s="13">
        <f>Inputs!$C$16*IFERROR(LOOKUP(A14,Abilities!$A$38:$A$40,Abilities!$E$38:$E$40),0)/IFERROR(LOOKUP(A14,Abilities!$A$38:$A$40,Abilities!$F$38:$F$40),1)</f>
        <v/>
      </c>
      <c r="Y14" s="26">
        <f>I14+0+G14+A14+MAX(1,A14/2)+(A14-B14)</f>
        <v/>
      </c>
      <c r="Z14" s="9">
        <f>MAX(0,Y14*(1+M14)*(1+L14)*Inputs!$C$20*(1-D14/Inputs!$C$19)-D14/25)</f>
        <v/>
      </c>
      <c r="AA14" s="16">
        <f>H14/10*(1-MIN(0.95,N14+W14))*Inputs!$C$21</f>
        <v/>
      </c>
      <c r="AB14" s="27">
        <f>Z14/AA14</f>
        <v/>
      </c>
      <c r="AC14" s="14">
        <f>IFERROR(LOOKUP(A14,Abilities!$A$6:$A$10,Abilities!$C$6:$C$10),0)</f>
        <v/>
      </c>
      <c r="AD14" s="14">
        <f>IFERROR(LOOKUP(A14,Abilities!$A$6:$A$10,Abilities!$D$6:$D$10),1)</f>
        <v/>
      </c>
      <c r="AE14" s="9">
        <f>AC14*(I14+G14+A14)*(1+J14)*(1+K14)*Inputs!$C$20*(1+0.5*Inputs!$C$11)</f>
        <v/>
      </c>
      <c r="AF14" s="27">
        <f>AE14/AD14</f>
        <v/>
      </c>
      <c r="AG14" s="14">
        <f>IFERROR(LOOKUP(A14,Abilities!$A$44:$A$45,Abilities!$C$44:$C$45),0)</f>
        <v/>
      </c>
      <c r="AH14" s="17">
        <f>AG14/Inputs!$C$25*Inputs!$C$16*IFERROR(LOOKUP(A14,Abilities!$A$44:$A$45,Abilities!$D$44:$D$45),0)/IFERROR(LOOKUP(A14,Abilities!$A$44:$A$45,Abilities!$E$44:$E$45),1)</f>
        <v/>
      </c>
      <c r="AI14" s="27">
        <f>(1-X14)*V14+X14*AB14+AF14+AH14</f>
        <v/>
      </c>
      <c r="AJ14" s="27">
        <f>(AE14+3*AB14)/3</f>
        <v/>
      </c>
      <c r="AK14" s="28">
        <f>IFERROR(AF14/AI14,0)</f>
        <v/>
      </c>
      <c r="AL14" s="8">
        <f>IFERROR(ROUNDUP(C14/T14,0),"-")</f>
        <v/>
      </c>
      <c r="AM14" s="60">
        <f>IFERROR(C14/AI14,"-")</f>
        <v/>
      </c>
      <c r="AN14" s="9">
        <f>MAX(0,(E14+(B14-A14))*(1-R14)*(1-Q14*'Class Table'!$O$5/Inputs!$C$19)-Q14*'Class Table'!$O$5/25)</f>
        <v/>
      </c>
      <c r="AO14" s="26">
        <f>IFERROR(AN14/F14*AM14,"-")</f>
        <v/>
      </c>
      <c r="AP14" s="28">
        <f>IFERROR(AO14/O14,"-")</f>
        <v/>
      </c>
      <c r="AQ14" s="9">
        <f>IFERROR(O14*Inputs!$C$24/Inputs!$C$22*AM14,"-")</f>
        <v/>
      </c>
      <c r="AR14" s="28">
        <f>IFERROR(MAX(0,AO14-AQ14)/O14,"-")</f>
        <v/>
      </c>
    </row>
    <row r="15">
      <c r="A15" s="8" t="n">
        <v>12</v>
      </c>
      <c r="B15" s="14">
        <f>'Mob by Level'!B15</f>
        <v/>
      </c>
      <c r="C15" s="9">
        <f>'Mob by Level'!C15</f>
        <v/>
      </c>
      <c r="D15" s="9">
        <f>'Mob by Level'!D15</f>
        <v/>
      </c>
      <c r="E15" s="9">
        <f>'Mob by Level'!E15</f>
        <v/>
      </c>
      <c r="F15" s="16">
        <f>'Mob by Level'!F15</f>
        <v/>
      </c>
      <c r="G15" s="14">
        <f>SUMIFS(Gear!$D$4:$D$603,Gear!$A$4:$A$603,A15,Gear!$B$4:$B$603,"Rogue",Gear!$C$4:$C$603,Inputs!$C$5)</f>
        <v/>
      </c>
      <c r="H15" s="14">
        <f>SUMIFS(Gear!$E$4:$E$603,Gear!$A$4:$A$603,A15,Gear!$B$4:$B$603,"Rogue",Gear!$C$4:$C$603,Inputs!$C$5)</f>
        <v/>
      </c>
      <c r="I15" s="14">
        <f>SUMIFS(Gear!$F$4:$F$603,Gear!$A$4:$A$603,A15,Gear!$B$4:$B$603,"Rogue",Gear!$C$4:$C$603,Inputs!$C$5)+Inputs!$C$17*IFERROR(LOOKUP(A15,Abilities!$A$49:$A$53,Abilities!$C$49:$C$53),0)</f>
        <v/>
      </c>
      <c r="J15" s="13">
        <f>SUMIFS(Gear!$J$4:$J$603,Gear!$A$4:$A$603,A15,Gear!$B$4:$B$603,"Rogue",Gear!$C$4:$C$603,Inputs!$C$5)</f>
        <v/>
      </c>
      <c r="K15" s="13">
        <f>SUMIFS(Gear!$K$4:$K$603,Gear!$A$4:$A$603,A15,Gear!$B$4:$B$603,"Rogue",Gear!$C$4:$C$603,Inputs!$C$5)</f>
        <v/>
      </c>
      <c r="L15" s="13">
        <f>SUMIFS(Gear!$L$4:$L$603,Gear!$A$4:$A$603,A15,Gear!$B$4:$B$603,"Rogue",Gear!$C$4:$C$603,Inputs!$C$5)</f>
        <v/>
      </c>
      <c r="M15" s="13">
        <f>SUMIFS(Gear!$M$4:$M$603,Gear!$A$4:$A$603,A15,Gear!$B$4:$B$603,"Rogue",Gear!$C$4:$C$603,Inputs!$C$5)</f>
        <v/>
      </c>
      <c r="N15" s="13">
        <f>SUMIFS(Gear!$N$4:$N$603,Gear!$A$4:$A$603,A15,Gear!$B$4:$B$603,"Rogue",Gear!$C$4:$C$603,Inputs!$C$5)</f>
        <v/>
      </c>
      <c r="O15" s="9">
        <f>INDEX('Class Table'!$B$4:$B$53,A15)+SUMIFS(Gear!$G$4:$G$603,Gear!$A$4:$A$603,A15,Gear!$B$4:$B$603,"Rogue",Gear!$C$4:$C$603,Inputs!$C$5)</f>
        <v/>
      </c>
      <c r="P15" s="9">
        <f>INDEX('Class Table'!$C$4:$C$53,A15)+SUMIFS(Gear!$H$4:$H$603,Gear!$A$4:$A$603,A15,Gear!$B$4:$B$603,"Rogue",Gear!$C$4:$C$603,Inputs!$C$5)</f>
        <v/>
      </c>
      <c r="Q15" s="9">
        <f>INDEX('Class Table'!$D$4:$D$53,A15)+SUMIFS(Gear!$I$4:$I$603,Gear!$A$4:$A$603,A15,Gear!$B$4:$B$603,"Rogue",Gear!$C$4:$C$603,Inputs!$C$5)</f>
        <v/>
      </c>
      <c r="R15" s="13">
        <f>SUMIFS(Gear!$O$4:$O$603,Gear!$A$4:$A$603,A15,Gear!$B$4:$B$603,"Rogue",Gear!$C$4:$C$603,Inputs!$C$5)</f>
        <v/>
      </c>
      <c r="S15" s="26">
        <f>I15+0+G15+A15+MAX(1,A15/2)+(A15-B15)</f>
        <v/>
      </c>
      <c r="T15" s="9">
        <f>MAX(0,S15*(1+M15)*(1+L15)*Inputs!$C$20*(1-D15/Inputs!$C$19)-D15/25)</f>
        <v/>
      </c>
      <c r="U15" s="16">
        <f>H15/10*(1-MIN(0.95,N15+0))*Inputs!$C$21</f>
        <v/>
      </c>
      <c r="V15" s="27">
        <f>T15/U15</f>
        <v/>
      </c>
      <c r="W15" s="13">
        <f>IFERROR(LOOKUP(A15,Abilities!$A$38:$A$40,Abilities!$D$38:$D$40),0)</f>
        <v/>
      </c>
      <c r="X15" s="13">
        <f>Inputs!$C$16*IFERROR(LOOKUP(A15,Abilities!$A$38:$A$40,Abilities!$E$38:$E$40),0)/IFERROR(LOOKUP(A15,Abilities!$A$38:$A$40,Abilities!$F$38:$F$40),1)</f>
        <v/>
      </c>
      <c r="Y15" s="26">
        <f>I15+0+G15+A15+MAX(1,A15/2)+(A15-B15)</f>
        <v/>
      </c>
      <c r="Z15" s="9">
        <f>MAX(0,Y15*(1+M15)*(1+L15)*Inputs!$C$20*(1-D15/Inputs!$C$19)-D15/25)</f>
        <v/>
      </c>
      <c r="AA15" s="16">
        <f>H15/10*(1-MIN(0.95,N15+W15))*Inputs!$C$21</f>
        <v/>
      </c>
      <c r="AB15" s="27">
        <f>Z15/AA15</f>
        <v/>
      </c>
      <c r="AC15" s="14">
        <f>IFERROR(LOOKUP(A15,Abilities!$A$6:$A$10,Abilities!$C$6:$C$10),0)</f>
        <v/>
      </c>
      <c r="AD15" s="14">
        <f>IFERROR(LOOKUP(A15,Abilities!$A$6:$A$10,Abilities!$D$6:$D$10),1)</f>
        <v/>
      </c>
      <c r="AE15" s="9">
        <f>AC15*(I15+G15+A15)*(1+J15)*(1+K15)*Inputs!$C$20*(1+0.5*Inputs!$C$11)</f>
        <v/>
      </c>
      <c r="AF15" s="27">
        <f>AE15/AD15</f>
        <v/>
      </c>
      <c r="AG15" s="14">
        <f>IFERROR(LOOKUP(A15,Abilities!$A$44:$A$45,Abilities!$C$44:$C$45),0)</f>
        <v/>
      </c>
      <c r="AH15" s="17">
        <f>AG15/Inputs!$C$25*Inputs!$C$16*IFERROR(LOOKUP(A15,Abilities!$A$44:$A$45,Abilities!$D$44:$D$45),0)/IFERROR(LOOKUP(A15,Abilities!$A$44:$A$45,Abilities!$E$44:$E$45),1)</f>
        <v/>
      </c>
      <c r="AI15" s="27">
        <f>(1-X15)*V15+X15*AB15+AF15+AH15</f>
        <v/>
      </c>
      <c r="AJ15" s="27">
        <f>(AE15+3*AB15)/3</f>
        <v/>
      </c>
      <c r="AK15" s="28">
        <f>IFERROR(AF15/AI15,0)</f>
        <v/>
      </c>
      <c r="AL15" s="8">
        <f>IFERROR(ROUNDUP(C15/T15,0),"-")</f>
        <v/>
      </c>
      <c r="AM15" s="60">
        <f>IFERROR(C15/AI15,"-")</f>
        <v/>
      </c>
      <c r="AN15" s="9">
        <f>MAX(0,(E15+(B15-A15))*(1-R15)*(1-Q15*'Class Table'!$O$5/Inputs!$C$19)-Q15*'Class Table'!$O$5/25)</f>
        <v/>
      </c>
      <c r="AO15" s="26">
        <f>IFERROR(AN15/F15*AM15,"-")</f>
        <v/>
      </c>
      <c r="AP15" s="28">
        <f>IFERROR(AO15/O15,"-")</f>
        <v/>
      </c>
      <c r="AQ15" s="9">
        <f>IFERROR(O15*Inputs!$C$24/Inputs!$C$22*AM15,"-")</f>
        <v/>
      </c>
      <c r="AR15" s="28">
        <f>IFERROR(MAX(0,AO15-AQ15)/O15,"-")</f>
        <v/>
      </c>
    </row>
    <row r="16">
      <c r="A16" s="8" t="n">
        <v>13</v>
      </c>
      <c r="B16" s="14">
        <f>'Mob by Level'!B16</f>
        <v/>
      </c>
      <c r="C16" s="9">
        <f>'Mob by Level'!C16</f>
        <v/>
      </c>
      <c r="D16" s="9">
        <f>'Mob by Level'!D16</f>
        <v/>
      </c>
      <c r="E16" s="9">
        <f>'Mob by Level'!E16</f>
        <v/>
      </c>
      <c r="F16" s="16">
        <f>'Mob by Level'!F16</f>
        <v/>
      </c>
      <c r="G16" s="14">
        <f>SUMIFS(Gear!$D$4:$D$603,Gear!$A$4:$A$603,A16,Gear!$B$4:$B$603,"Rogue",Gear!$C$4:$C$603,Inputs!$C$5)</f>
        <v/>
      </c>
      <c r="H16" s="14">
        <f>SUMIFS(Gear!$E$4:$E$603,Gear!$A$4:$A$603,A16,Gear!$B$4:$B$603,"Rogue",Gear!$C$4:$C$603,Inputs!$C$5)</f>
        <v/>
      </c>
      <c r="I16" s="14">
        <f>SUMIFS(Gear!$F$4:$F$603,Gear!$A$4:$A$603,A16,Gear!$B$4:$B$603,"Rogue",Gear!$C$4:$C$603,Inputs!$C$5)+Inputs!$C$17*IFERROR(LOOKUP(A16,Abilities!$A$49:$A$53,Abilities!$C$49:$C$53),0)</f>
        <v/>
      </c>
      <c r="J16" s="13">
        <f>SUMIFS(Gear!$J$4:$J$603,Gear!$A$4:$A$603,A16,Gear!$B$4:$B$603,"Rogue",Gear!$C$4:$C$603,Inputs!$C$5)</f>
        <v/>
      </c>
      <c r="K16" s="13">
        <f>SUMIFS(Gear!$K$4:$K$603,Gear!$A$4:$A$603,A16,Gear!$B$4:$B$603,"Rogue",Gear!$C$4:$C$603,Inputs!$C$5)</f>
        <v/>
      </c>
      <c r="L16" s="13">
        <f>SUMIFS(Gear!$L$4:$L$603,Gear!$A$4:$A$603,A16,Gear!$B$4:$B$603,"Rogue",Gear!$C$4:$C$603,Inputs!$C$5)</f>
        <v/>
      </c>
      <c r="M16" s="13">
        <f>SUMIFS(Gear!$M$4:$M$603,Gear!$A$4:$A$603,A16,Gear!$B$4:$B$603,"Rogue",Gear!$C$4:$C$603,Inputs!$C$5)</f>
        <v/>
      </c>
      <c r="N16" s="13">
        <f>SUMIFS(Gear!$N$4:$N$603,Gear!$A$4:$A$603,A16,Gear!$B$4:$B$603,"Rogue",Gear!$C$4:$C$603,Inputs!$C$5)</f>
        <v/>
      </c>
      <c r="O16" s="9">
        <f>INDEX('Class Table'!$B$4:$B$53,A16)+SUMIFS(Gear!$G$4:$G$603,Gear!$A$4:$A$603,A16,Gear!$B$4:$B$603,"Rogue",Gear!$C$4:$C$603,Inputs!$C$5)</f>
        <v/>
      </c>
      <c r="P16" s="9">
        <f>INDEX('Class Table'!$C$4:$C$53,A16)+SUMIFS(Gear!$H$4:$H$603,Gear!$A$4:$A$603,A16,Gear!$B$4:$B$603,"Rogue",Gear!$C$4:$C$603,Inputs!$C$5)</f>
        <v/>
      </c>
      <c r="Q16" s="9">
        <f>INDEX('Class Table'!$D$4:$D$53,A16)+SUMIFS(Gear!$I$4:$I$603,Gear!$A$4:$A$603,A16,Gear!$B$4:$B$603,"Rogue",Gear!$C$4:$C$603,Inputs!$C$5)</f>
        <v/>
      </c>
      <c r="R16" s="13">
        <f>SUMIFS(Gear!$O$4:$O$603,Gear!$A$4:$A$603,A16,Gear!$B$4:$B$603,"Rogue",Gear!$C$4:$C$603,Inputs!$C$5)</f>
        <v/>
      </c>
      <c r="S16" s="26">
        <f>I16+0+G16+A16+MAX(1,A16/2)+(A16-B16)</f>
        <v/>
      </c>
      <c r="T16" s="9">
        <f>MAX(0,S16*(1+M16)*(1+L16)*Inputs!$C$20*(1-D16/Inputs!$C$19)-D16/25)</f>
        <v/>
      </c>
      <c r="U16" s="16">
        <f>H16/10*(1-MIN(0.95,N16+0))*Inputs!$C$21</f>
        <v/>
      </c>
      <c r="V16" s="27">
        <f>T16/U16</f>
        <v/>
      </c>
      <c r="W16" s="13">
        <f>IFERROR(LOOKUP(A16,Abilities!$A$38:$A$40,Abilities!$D$38:$D$40),0)</f>
        <v/>
      </c>
      <c r="X16" s="13">
        <f>Inputs!$C$16*IFERROR(LOOKUP(A16,Abilities!$A$38:$A$40,Abilities!$E$38:$E$40),0)/IFERROR(LOOKUP(A16,Abilities!$A$38:$A$40,Abilities!$F$38:$F$40),1)</f>
        <v/>
      </c>
      <c r="Y16" s="26">
        <f>I16+0+G16+A16+MAX(1,A16/2)+(A16-B16)</f>
        <v/>
      </c>
      <c r="Z16" s="9">
        <f>MAX(0,Y16*(1+M16)*(1+L16)*Inputs!$C$20*(1-D16/Inputs!$C$19)-D16/25)</f>
        <v/>
      </c>
      <c r="AA16" s="16">
        <f>H16/10*(1-MIN(0.95,N16+W16))*Inputs!$C$21</f>
        <v/>
      </c>
      <c r="AB16" s="27">
        <f>Z16/AA16</f>
        <v/>
      </c>
      <c r="AC16" s="14">
        <f>IFERROR(LOOKUP(A16,Abilities!$A$6:$A$10,Abilities!$C$6:$C$10),0)</f>
        <v/>
      </c>
      <c r="AD16" s="14">
        <f>IFERROR(LOOKUP(A16,Abilities!$A$6:$A$10,Abilities!$D$6:$D$10),1)</f>
        <v/>
      </c>
      <c r="AE16" s="9">
        <f>AC16*(I16+G16+A16)*(1+J16)*(1+K16)*Inputs!$C$20*(1+0.5*Inputs!$C$11)</f>
        <v/>
      </c>
      <c r="AF16" s="27">
        <f>AE16/AD16</f>
        <v/>
      </c>
      <c r="AG16" s="14">
        <f>IFERROR(LOOKUP(A16,Abilities!$A$44:$A$45,Abilities!$C$44:$C$45),0)</f>
        <v/>
      </c>
      <c r="AH16" s="17">
        <f>AG16/Inputs!$C$25*Inputs!$C$16*IFERROR(LOOKUP(A16,Abilities!$A$44:$A$45,Abilities!$D$44:$D$45),0)/IFERROR(LOOKUP(A16,Abilities!$A$44:$A$45,Abilities!$E$44:$E$45),1)</f>
        <v/>
      </c>
      <c r="AI16" s="27">
        <f>(1-X16)*V16+X16*AB16+AF16+AH16</f>
        <v/>
      </c>
      <c r="AJ16" s="27">
        <f>(AE16+3*AB16)/3</f>
        <v/>
      </c>
      <c r="AK16" s="28">
        <f>IFERROR(AF16/AI16,0)</f>
        <v/>
      </c>
      <c r="AL16" s="8">
        <f>IFERROR(ROUNDUP(C16/T16,0),"-")</f>
        <v/>
      </c>
      <c r="AM16" s="60">
        <f>IFERROR(C16/AI16,"-")</f>
        <v/>
      </c>
      <c r="AN16" s="9">
        <f>MAX(0,(E16+(B16-A16))*(1-R16)*(1-Q16*'Class Table'!$O$5/Inputs!$C$19)-Q16*'Class Table'!$O$5/25)</f>
        <v/>
      </c>
      <c r="AO16" s="26">
        <f>IFERROR(AN16/F16*AM16,"-")</f>
        <v/>
      </c>
      <c r="AP16" s="28">
        <f>IFERROR(AO16/O16,"-")</f>
        <v/>
      </c>
      <c r="AQ16" s="9">
        <f>IFERROR(O16*Inputs!$C$24/Inputs!$C$22*AM16,"-")</f>
        <v/>
      </c>
      <c r="AR16" s="28">
        <f>IFERROR(MAX(0,AO16-AQ16)/O16,"-")</f>
        <v/>
      </c>
    </row>
    <row r="17">
      <c r="A17" s="8" t="n">
        <v>14</v>
      </c>
      <c r="B17" s="14">
        <f>'Mob by Level'!B17</f>
        <v/>
      </c>
      <c r="C17" s="9">
        <f>'Mob by Level'!C17</f>
        <v/>
      </c>
      <c r="D17" s="9">
        <f>'Mob by Level'!D17</f>
        <v/>
      </c>
      <c r="E17" s="9">
        <f>'Mob by Level'!E17</f>
        <v/>
      </c>
      <c r="F17" s="16">
        <f>'Mob by Level'!F17</f>
        <v/>
      </c>
      <c r="G17" s="14">
        <f>SUMIFS(Gear!$D$4:$D$603,Gear!$A$4:$A$603,A17,Gear!$B$4:$B$603,"Rogue",Gear!$C$4:$C$603,Inputs!$C$5)</f>
        <v/>
      </c>
      <c r="H17" s="14">
        <f>SUMIFS(Gear!$E$4:$E$603,Gear!$A$4:$A$603,A17,Gear!$B$4:$B$603,"Rogue",Gear!$C$4:$C$603,Inputs!$C$5)</f>
        <v/>
      </c>
      <c r="I17" s="14">
        <f>SUMIFS(Gear!$F$4:$F$603,Gear!$A$4:$A$603,A17,Gear!$B$4:$B$603,"Rogue",Gear!$C$4:$C$603,Inputs!$C$5)+Inputs!$C$17*IFERROR(LOOKUP(A17,Abilities!$A$49:$A$53,Abilities!$C$49:$C$53),0)</f>
        <v/>
      </c>
      <c r="J17" s="13">
        <f>SUMIFS(Gear!$J$4:$J$603,Gear!$A$4:$A$603,A17,Gear!$B$4:$B$603,"Rogue",Gear!$C$4:$C$603,Inputs!$C$5)</f>
        <v/>
      </c>
      <c r="K17" s="13">
        <f>SUMIFS(Gear!$K$4:$K$603,Gear!$A$4:$A$603,A17,Gear!$B$4:$B$603,"Rogue",Gear!$C$4:$C$603,Inputs!$C$5)</f>
        <v/>
      </c>
      <c r="L17" s="13">
        <f>SUMIFS(Gear!$L$4:$L$603,Gear!$A$4:$A$603,A17,Gear!$B$4:$B$603,"Rogue",Gear!$C$4:$C$603,Inputs!$C$5)</f>
        <v/>
      </c>
      <c r="M17" s="13">
        <f>SUMIFS(Gear!$M$4:$M$603,Gear!$A$4:$A$603,A17,Gear!$B$4:$B$603,"Rogue",Gear!$C$4:$C$603,Inputs!$C$5)</f>
        <v/>
      </c>
      <c r="N17" s="13">
        <f>SUMIFS(Gear!$N$4:$N$603,Gear!$A$4:$A$603,A17,Gear!$B$4:$B$603,"Rogue",Gear!$C$4:$C$603,Inputs!$C$5)</f>
        <v/>
      </c>
      <c r="O17" s="9">
        <f>INDEX('Class Table'!$B$4:$B$53,A17)+SUMIFS(Gear!$G$4:$G$603,Gear!$A$4:$A$603,A17,Gear!$B$4:$B$603,"Rogue",Gear!$C$4:$C$603,Inputs!$C$5)</f>
        <v/>
      </c>
      <c r="P17" s="9">
        <f>INDEX('Class Table'!$C$4:$C$53,A17)+SUMIFS(Gear!$H$4:$H$603,Gear!$A$4:$A$603,A17,Gear!$B$4:$B$603,"Rogue",Gear!$C$4:$C$603,Inputs!$C$5)</f>
        <v/>
      </c>
      <c r="Q17" s="9">
        <f>INDEX('Class Table'!$D$4:$D$53,A17)+SUMIFS(Gear!$I$4:$I$603,Gear!$A$4:$A$603,A17,Gear!$B$4:$B$603,"Rogue",Gear!$C$4:$C$603,Inputs!$C$5)</f>
        <v/>
      </c>
      <c r="R17" s="13">
        <f>SUMIFS(Gear!$O$4:$O$603,Gear!$A$4:$A$603,A17,Gear!$B$4:$B$603,"Rogue",Gear!$C$4:$C$603,Inputs!$C$5)</f>
        <v/>
      </c>
      <c r="S17" s="26">
        <f>I17+0+G17+A17+MAX(1,A17/2)+(A17-B17)</f>
        <v/>
      </c>
      <c r="T17" s="9">
        <f>MAX(0,S17*(1+M17)*(1+L17)*Inputs!$C$20*(1-D17/Inputs!$C$19)-D17/25)</f>
        <v/>
      </c>
      <c r="U17" s="16">
        <f>H17/10*(1-MIN(0.95,N17+0))*Inputs!$C$21</f>
        <v/>
      </c>
      <c r="V17" s="27">
        <f>T17/U17</f>
        <v/>
      </c>
      <c r="W17" s="13">
        <f>IFERROR(LOOKUP(A17,Abilities!$A$38:$A$40,Abilities!$D$38:$D$40),0)</f>
        <v/>
      </c>
      <c r="X17" s="13">
        <f>Inputs!$C$16*IFERROR(LOOKUP(A17,Abilities!$A$38:$A$40,Abilities!$E$38:$E$40),0)/IFERROR(LOOKUP(A17,Abilities!$A$38:$A$40,Abilities!$F$38:$F$40),1)</f>
        <v/>
      </c>
      <c r="Y17" s="26">
        <f>I17+0+G17+A17+MAX(1,A17/2)+(A17-B17)</f>
        <v/>
      </c>
      <c r="Z17" s="9">
        <f>MAX(0,Y17*(1+M17)*(1+L17)*Inputs!$C$20*(1-D17/Inputs!$C$19)-D17/25)</f>
        <v/>
      </c>
      <c r="AA17" s="16">
        <f>H17/10*(1-MIN(0.95,N17+W17))*Inputs!$C$21</f>
        <v/>
      </c>
      <c r="AB17" s="27">
        <f>Z17/AA17</f>
        <v/>
      </c>
      <c r="AC17" s="14">
        <f>IFERROR(LOOKUP(A17,Abilities!$A$6:$A$10,Abilities!$C$6:$C$10),0)</f>
        <v/>
      </c>
      <c r="AD17" s="14">
        <f>IFERROR(LOOKUP(A17,Abilities!$A$6:$A$10,Abilities!$D$6:$D$10),1)</f>
        <v/>
      </c>
      <c r="AE17" s="9">
        <f>AC17*(I17+G17+A17)*(1+J17)*(1+K17)*Inputs!$C$20*(1+0.5*Inputs!$C$11)</f>
        <v/>
      </c>
      <c r="AF17" s="27">
        <f>AE17/AD17</f>
        <v/>
      </c>
      <c r="AG17" s="14">
        <f>IFERROR(LOOKUP(A17,Abilities!$A$44:$A$45,Abilities!$C$44:$C$45),0)</f>
        <v/>
      </c>
      <c r="AH17" s="17">
        <f>AG17/Inputs!$C$25*Inputs!$C$16*IFERROR(LOOKUP(A17,Abilities!$A$44:$A$45,Abilities!$D$44:$D$45),0)/IFERROR(LOOKUP(A17,Abilities!$A$44:$A$45,Abilities!$E$44:$E$45),1)</f>
        <v/>
      </c>
      <c r="AI17" s="27">
        <f>(1-X17)*V17+X17*AB17+AF17+AH17</f>
        <v/>
      </c>
      <c r="AJ17" s="27">
        <f>(AE17+3*AB17)/3</f>
        <v/>
      </c>
      <c r="AK17" s="28">
        <f>IFERROR(AF17/AI17,0)</f>
        <v/>
      </c>
      <c r="AL17" s="8">
        <f>IFERROR(ROUNDUP(C17/T17,0),"-")</f>
        <v/>
      </c>
      <c r="AM17" s="60">
        <f>IFERROR(C17/AI17,"-")</f>
        <v/>
      </c>
      <c r="AN17" s="9">
        <f>MAX(0,(E17+(B17-A17))*(1-R17)*(1-Q17*'Class Table'!$O$5/Inputs!$C$19)-Q17*'Class Table'!$O$5/25)</f>
        <v/>
      </c>
      <c r="AO17" s="26">
        <f>IFERROR(AN17/F17*AM17,"-")</f>
        <v/>
      </c>
      <c r="AP17" s="28">
        <f>IFERROR(AO17/O17,"-")</f>
        <v/>
      </c>
      <c r="AQ17" s="9">
        <f>IFERROR(O17*Inputs!$C$24/Inputs!$C$22*AM17,"-")</f>
        <v/>
      </c>
      <c r="AR17" s="28">
        <f>IFERROR(MAX(0,AO17-AQ17)/O17,"-")</f>
        <v/>
      </c>
    </row>
    <row r="18">
      <c r="A18" s="8" t="n">
        <v>15</v>
      </c>
      <c r="B18" s="14">
        <f>'Mob by Level'!B18</f>
        <v/>
      </c>
      <c r="C18" s="9">
        <f>'Mob by Level'!C18</f>
        <v/>
      </c>
      <c r="D18" s="9">
        <f>'Mob by Level'!D18</f>
        <v/>
      </c>
      <c r="E18" s="9">
        <f>'Mob by Level'!E18</f>
        <v/>
      </c>
      <c r="F18" s="16">
        <f>'Mob by Level'!F18</f>
        <v/>
      </c>
      <c r="G18" s="14">
        <f>SUMIFS(Gear!$D$4:$D$603,Gear!$A$4:$A$603,A18,Gear!$B$4:$B$603,"Rogue",Gear!$C$4:$C$603,Inputs!$C$5)</f>
        <v/>
      </c>
      <c r="H18" s="14">
        <f>SUMIFS(Gear!$E$4:$E$603,Gear!$A$4:$A$603,A18,Gear!$B$4:$B$603,"Rogue",Gear!$C$4:$C$603,Inputs!$C$5)</f>
        <v/>
      </c>
      <c r="I18" s="14">
        <f>SUMIFS(Gear!$F$4:$F$603,Gear!$A$4:$A$603,A18,Gear!$B$4:$B$603,"Rogue",Gear!$C$4:$C$603,Inputs!$C$5)+Inputs!$C$17*IFERROR(LOOKUP(A18,Abilities!$A$49:$A$53,Abilities!$C$49:$C$53),0)</f>
        <v/>
      </c>
      <c r="J18" s="13">
        <f>SUMIFS(Gear!$J$4:$J$603,Gear!$A$4:$A$603,A18,Gear!$B$4:$B$603,"Rogue",Gear!$C$4:$C$603,Inputs!$C$5)</f>
        <v/>
      </c>
      <c r="K18" s="13">
        <f>SUMIFS(Gear!$K$4:$K$603,Gear!$A$4:$A$603,A18,Gear!$B$4:$B$603,"Rogue",Gear!$C$4:$C$603,Inputs!$C$5)</f>
        <v/>
      </c>
      <c r="L18" s="13">
        <f>SUMIFS(Gear!$L$4:$L$603,Gear!$A$4:$A$603,A18,Gear!$B$4:$B$603,"Rogue",Gear!$C$4:$C$603,Inputs!$C$5)</f>
        <v/>
      </c>
      <c r="M18" s="13">
        <f>SUMIFS(Gear!$M$4:$M$603,Gear!$A$4:$A$603,A18,Gear!$B$4:$B$603,"Rogue",Gear!$C$4:$C$603,Inputs!$C$5)</f>
        <v/>
      </c>
      <c r="N18" s="13">
        <f>SUMIFS(Gear!$N$4:$N$603,Gear!$A$4:$A$603,A18,Gear!$B$4:$B$603,"Rogue",Gear!$C$4:$C$603,Inputs!$C$5)</f>
        <v/>
      </c>
      <c r="O18" s="9">
        <f>INDEX('Class Table'!$B$4:$B$53,A18)+SUMIFS(Gear!$G$4:$G$603,Gear!$A$4:$A$603,A18,Gear!$B$4:$B$603,"Rogue",Gear!$C$4:$C$603,Inputs!$C$5)</f>
        <v/>
      </c>
      <c r="P18" s="9">
        <f>INDEX('Class Table'!$C$4:$C$53,A18)+SUMIFS(Gear!$H$4:$H$603,Gear!$A$4:$A$603,A18,Gear!$B$4:$B$603,"Rogue",Gear!$C$4:$C$603,Inputs!$C$5)</f>
        <v/>
      </c>
      <c r="Q18" s="9">
        <f>INDEX('Class Table'!$D$4:$D$53,A18)+SUMIFS(Gear!$I$4:$I$603,Gear!$A$4:$A$603,A18,Gear!$B$4:$B$603,"Rogue",Gear!$C$4:$C$603,Inputs!$C$5)</f>
        <v/>
      </c>
      <c r="R18" s="13">
        <f>SUMIFS(Gear!$O$4:$O$603,Gear!$A$4:$A$603,A18,Gear!$B$4:$B$603,"Rogue",Gear!$C$4:$C$603,Inputs!$C$5)</f>
        <v/>
      </c>
      <c r="S18" s="26">
        <f>I18+0+G18+A18+MAX(1,A18/2)+(A18-B18)</f>
        <v/>
      </c>
      <c r="T18" s="9">
        <f>MAX(0,S18*(1+M18)*(1+L18)*Inputs!$C$20*(1-D18/Inputs!$C$19)-D18/25)</f>
        <v/>
      </c>
      <c r="U18" s="16">
        <f>H18/10*(1-MIN(0.95,N18+0))*Inputs!$C$21</f>
        <v/>
      </c>
      <c r="V18" s="27">
        <f>T18/U18</f>
        <v/>
      </c>
      <c r="W18" s="13">
        <f>IFERROR(LOOKUP(A18,Abilities!$A$38:$A$40,Abilities!$D$38:$D$40),0)</f>
        <v/>
      </c>
      <c r="X18" s="13">
        <f>Inputs!$C$16*IFERROR(LOOKUP(A18,Abilities!$A$38:$A$40,Abilities!$E$38:$E$40),0)/IFERROR(LOOKUP(A18,Abilities!$A$38:$A$40,Abilities!$F$38:$F$40),1)</f>
        <v/>
      </c>
      <c r="Y18" s="26">
        <f>I18+0+G18+A18+MAX(1,A18/2)+(A18-B18)</f>
        <v/>
      </c>
      <c r="Z18" s="9">
        <f>MAX(0,Y18*(1+M18)*(1+L18)*Inputs!$C$20*(1-D18/Inputs!$C$19)-D18/25)</f>
        <v/>
      </c>
      <c r="AA18" s="16">
        <f>H18/10*(1-MIN(0.95,N18+W18))*Inputs!$C$21</f>
        <v/>
      </c>
      <c r="AB18" s="27">
        <f>Z18/AA18</f>
        <v/>
      </c>
      <c r="AC18" s="14">
        <f>IFERROR(LOOKUP(A18,Abilities!$A$6:$A$10,Abilities!$C$6:$C$10),0)</f>
        <v/>
      </c>
      <c r="AD18" s="14">
        <f>IFERROR(LOOKUP(A18,Abilities!$A$6:$A$10,Abilities!$D$6:$D$10),1)</f>
        <v/>
      </c>
      <c r="AE18" s="9">
        <f>AC18*(I18+G18+A18)*(1+J18)*(1+K18)*Inputs!$C$20*(1+0.5*Inputs!$C$11)</f>
        <v/>
      </c>
      <c r="AF18" s="27">
        <f>AE18/AD18</f>
        <v/>
      </c>
      <c r="AG18" s="14">
        <f>IFERROR(LOOKUP(A18,Abilities!$A$44:$A$45,Abilities!$C$44:$C$45),0)</f>
        <v/>
      </c>
      <c r="AH18" s="17">
        <f>AG18/Inputs!$C$25*Inputs!$C$16*IFERROR(LOOKUP(A18,Abilities!$A$44:$A$45,Abilities!$D$44:$D$45),0)/IFERROR(LOOKUP(A18,Abilities!$A$44:$A$45,Abilities!$E$44:$E$45),1)</f>
        <v/>
      </c>
      <c r="AI18" s="27">
        <f>(1-X18)*V18+X18*AB18+AF18+AH18</f>
        <v/>
      </c>
      <c r="AJ18" s="27">
        <f>(AE18+3*AB18)/3</f>
        <v/>
      </c>
      <c r="AK18" s="28">
        <f>IFERROR(AF18/AI18,0)</f>
        <v/>
      </c>
      <c r="AL18" s="8">
        <f>IFERROR(ROUNDUP(C18/T18,0),"-")</f>
        <v/>
      </c>
      <c r="AM18" s="60">
        <f>IFERROR(C18/AI18,"-")</f>
        <v/>
      </c>
      <c r="AN18" s="9">
        <f>MAX(0,(E18+(B18-A18))*(1-R18)*(1-Q18*'Class Table'!$O$5/Inputs!$C$19)-Q18*'Class Table'!$O$5/25)</f>
        <v/>
      </c>
      <c r="AO18" s="26">
        <f>IFERROR(AN18/F18*AM18,"-")</f>
        <v/>
      </c>
      <c r="AP18" s="28">
        <f>IFERROR(AO18/O18,"-")</f>
        <v/>
      </c>
      <c r="AQ18" s="9">
        <f>IFERROR(O18*Inputs!$C$24/Inputs!$C$22*AM18,"-")</f>
        <v/>
      </c>
      <c r="AR18" s="28">
        <f>IFERROR(MAX(0,AO18-AQ18)/O18,"-")</f>
        <v/>
      </c>
    </row>
    <row r="19">
      <c r="A19" s="8" t="n">
        <v>16</v>
      </c>
      <c r="B19" s="14">
        <f>'Mob by Level'!B19</f>
        <v/>
      </c>
      <c r="C19" s="9">
        <f>'Mob by Level'!C19</f>
        <v/>
      </c>
      <c r="D19" s="9">
        <f>'Mob by Level'!D19</f>
        <v/>
      </c>
      <c r="E19" s="9">
        <f>'Mob by Level'!E19</f>
        <v/>
      </c>
      <c r="F19" s="16">
        <f>'Mob by Level'!F19</f>
        <v/>
      </c>
      <c r="G19" s="14">
        <f>SUMIFS(Gear!$D$4:$D$603,Gear!$A$4:$A$603,A19,Gear!$B$4:$B$603,"Rogue",Gear!$C$4:$C$603,Inputs!$C$5)</f>
        <v/>
      </c>
      <c r="H19" s="14">
        <f>SUMIFS(Gear!$E$4:$E$603,Gear!$A$4:$A$603,A19,Gear!$B$4:$B$603,"Rogue",Gear!$C$4:$C$603,Inputs!$C$5)</f>
        <v/>
      </c>
      <c r="I19" s="14">
        <f>SUMIFS(Gear!$F$4:$F$603,Gear!$A$4:$A$603,A19,Gear!$B$4:$B$603,"Rogue",Gear!$C$4:$C$603,Inputs!$C$5)+Inputs!$C$17*IFERROR(LOOKUP(A19,Abilities!$A$49:$A$53,Abilities!$C$49:$C$53),0)</f>
        <v/>
      </c>
      <c r="J19" s="13">
        <f>SUMIFS(Gear!$J$4:$J$603,Gear!$A$4:$A$603,A19,Gear!$B$4:$B$603,"Rogue",Gear!$C$4:$C$603,Inputs!$C$5)</f>
        <v/>
      </c>
      <c r="K19" s="13">
        <f>SUMIFS(Gear!$K$4:$K$603,Gear!$A$4:$A$603,A19,Gear!$B$4:$B$603,"Rogue",Gear!$C$4:$C$603,Inputs!$C$5)</f>
        <v/>
      </c>
      <c r="L19" s="13">
        <f>SUMIFS(Gear!$L$4:$L$603,Gear!$A$4:$A$603,A19,Gear!$B$4:$B$603,"Rogue",Gear!$C$4:$C$603,Inputs!$C$5)</f>
        <v/>
      </c>
      <c r="M19" s="13">
        <f>SUMIFS(Gear!$M$4:$M$603,Gear!$A$4:$A$603,A19,Gear!$B$4:$B$603,"Rogue",Gear!$C$4:$C$603,Inputs!$C$5)</f>
        <v/>
      </c>
      <c r="N19" s="13">
        <f>SUMIFS(Gear!$N$4:$N$603,Gear!$A$4:$A$603,A19,Gear!$B$4:$B$603,"Rogue",Gear!$C$4:$C$603,Inputs!$C$5)</f>
        <v/>
      </c>
      <c r="O19" s="9">
        <f>INDEX('Class Table'!$B$4:$B$53,A19)+SUMIFS(Gear!$G$4:$G$603,Gear!$A$4:$A$603,A19,Gear!$B$4:$B$603,"Rogue",Gear!$C$4:$C$603,Inputs!$C$5)</f>
        <v/>
      </c>
      <c r="P19" s="9">
        <f>INDEX('Class Table'!$C$4:$C$53,A19)+SUMIFS(Gear!$H$4:$H$603,Gear!$A$4:$A$603,A19,Gear!$B$4:$B$603,"Rogue",Gear!$C$4:$C$603,Inputs!$C$5)</f>
        <v/>
      </c>
      <c r="Q19" s="9">
        <f>INDEX('Class Table'!$D$4:$D$53,A19)+SUMIFS(Gear!$I$4:$I$603,Gear!$A$4:$A$603,A19,Gear!$B$4:$B$603,"Rogue",Gear!$C$4:$C$603,Inputs!$C$5)</f>
        <v/>
      </c>
      <c r="R19" s="13">
        <f>SUMIFS(Gear!$O$4:$O$603,Gear!$A$4:$A$603,A19,Gear!$B$4:$B$603,"Rogue",Gear!$C$4:$C$603,Inputs!$C$5)</f>
        <v/>
      </c>
      <c r="S19" s="26">
        <f>I19+0+G19+A19+MAX(1,A19/2)+(A19-B19)</f>
        <v/>
      </c>
      <c r="T19" s="9">
        <f>MAX(0,S19*(1+M19)*(1+L19)*Inputs!$C$20*(1-D19/Inputs!$C$19)-D19/25)</f>
        <v/>
      </c>
      <c r="U19" s="16">
        <f>H19/10*(1-MIN(0.95,N19+0))*Inputs!$C$21</f>
        <v/>
      </c>
      <c r="V19" s="27">
        <f>T19/U19</f>
        <v/>
      </c>
      <c r="W19" s="13">
        <f>IFERROR(LOOKUP(A19,Abilities!$A$38:$A$40,Abilities!$D$38:$D$40),0)</f>
        <v/>
      </c>
      <c r="X19" s="13">
        <f>Inputs!$C$16*IFERROR(LOOKUP(A19,Abilities!$A$38:$A$40,Abilities!$E$38:$E$40),0)/IFERROR(LOOKUP(A19,Abilities!$A$38:$A$40,Abilities!$F$38:$F$40),1)</f>
        <v/>
      </c>
      <c r="Y19" s="26">
        <f>I19+0+G19+A19+MAX(1,A19/2)+(A19-B19)</f>
        <v/>
      </c>
      <c r="Z19" s="9">
        <f>MAX(0,Y19*(1+M19)*(1+L19)*Inputs!$C$20*(1-D19/Inputs!$C$19)-D19/25)</f>
        <v/>
      </c>
      <c r="AA19" s="16">
        <f>H19/10*(1-MIN(0.95,N19+W19))*Inputs!$C$21</f>
        <v/>
      </c>
      <c r="AB19" s="27">
        <f>Z19/AA19</f>
        <v/>
      </c>
      <c r="AC19" s="14">
        <f>IFERROR(LOOKUP(A19,Abilities!$A$6:$A$10,Abilities!$C$6:$C$10),0)</f>
        <v/>
      </c>
      <c r="AD19" s="14">
        <f>IFERROR(LOOKUP(A19,Abilities!$A$6:$A$10,Abilities!$D$6:$D$10),1)</f>
        <v/>
      </c>
      <c r="AE19" s="9">
        <f>AC19*(I19+G19+A19)*(1+J19)*(1+K19)*Inputs!$C$20*(1+0.5*Inputs!$C$11)</f>
        <v/>
      </c>
      <c r="AF19" s="27">
        <f>AE19/AD19</f>
        <v/>
      </c>
      <c r="AG19" s="14">
        <f>IFERROR(LOOKUP(A19,Abilities!$A$44:$A$45,Abilities!$C$44:$C$45),0)</f>
        <v/>
      </c>
      <c r="AH19" s="17">
        <f>AG19/Inputs!$C$25*Inputs!$C$16*IFERROR(LOOKUP(A19,Abilities!$A$44:$A$45,Abilities!$D$44:$D$45),0)/IFERROR(LOOKUP(A19,Abilities!$A$44:$A$45,Abilities!$E$44:$E$45),1)</f>
        <v/>
      </c>
      <c r="AI19" s="27">
        <f>(1-X19)*V19+X19*AB19+AF19+AH19</f>
        <v/>
      </c>
      <c r="AJ19" s="27">
        <f>(AE19+3*AB19)/3</f>
        <v/>
      </c>
      <c r="AK19" s="28">
        <f>IFERROR(AF19/AI19,0)</f>
        <v/>
      </c>
      <c r="AL19" s="8">
        <f>IFERROR(ROUNDUP(C19/T19,0),"-")</f>
        <v/>
      </c>
      <c r="AM19" s="60">
        <f>IFERROR(C19/AI19,"-")</f>
        <v/>
      </c>
      <c r="AN19" s="9">
        <f>MAX(0,(E19+(B19-A19))*(1-R19)*(1-Q19*'Class Table'!$O$5/Inputs!$C$19)-Q19*'Class Table'!$O$5/25)</f>
        <v/>
      </c>
      <c r="AO19" s="26">
        <f>IFERROR(AN19/F19*AM19,"-")</f>
        <v/>
      </c>
      <c r="AP19" s="28">
        <f>IFERROR(AO19/O19,"-")</f>
        <v/>
      </c>
      <c r="AQ19" s="9">
        <f>IFERROR(O19*Inputs!$C$24/Inputs!$C$22*AM19,"-")</f>
        <v/>
      </c>
      <c r="AR19" s="28">
        <f>IFERROR(MAX(0,AO19-AQ19)/O19,"-")</f>
        <v/>
      </c>
    </row>
    <row r="20">
      <c r="A20" s="8" t="n">
        <v>17</v>
      </c>
      <c r="B20" s="14">
        <f>'Mob by Level'!B20</f>
        <v/>
      </c>
      <c r="C20" s="9">
        <f>'Mob by Level'!C20</f>
        <v/>
      </c>
      <c r="D20" s="9">
        <f>'Mob by Level'!D20</f>
        <v/>
      </c>
      <c r="E20" s="9">
        <f>'Mob by Level'!E20</f>
        <v/>
      </c>
      <c r="F20" s="16">
        <f>'Mob by Level'!F20</f>
        <v/>
      </c>
      <c r="G20" s="14">
        <f>SUMIFS(Gear!$D$4:$D$603,Gear!$A$4:$A$603,A20,Gear!$B$4:$B$603,"Rogue",Gear!$C$4:$C$603,Inputs!$C$5)</f>
        <v/>
      </c>
      <c r="H20" s="14">
        <f>SUMIFS(Gear!$E$4:$E$603,Gear!$A$4:$A$603,A20,Gear!$B$4:$B$603,"Rogue",Gear!$C$4:$C$603,Inputs!$C$5)</f>
        <v/>
      </c>
      <c r="I20" s="14">
        <f>SUMIFS(Gear!$F$4:$F$603,Gear!$A$4:$A$603,A20,Gear!$B$4:$B$603,"Rogue",Gear!$C$4:$C$603,Inputs!$C$5)+Inputs!$C$17*IFERROR(LOOKUP(A20,Abilities!$A$49:$A$53,Abilities!$C$49:$C$53),0)</f>
        <v/>
      </c>
      <c r="J20" s="13">
        <f>SUMIFS(Gear!$J$4:$J$603,Gear!$A$4:$A$603,A20,Gear!$B$4:$B$603,"Rogue",Gear!$C$4:$C$603,Inputs!$C$5)</f>
        <v/>
      </c>
      <c r="K20" s="13">
        <f>SUMIFS(Gear!$K$4:$K$603,Gear!$A$4:$A$603,A20,Gear!$B$4:$B$603,"Rogue",Gear!$C$4:$C$603,Inputs!$C$5)</f>
        <v/>
      </c>
      <c r="L20" s="13">
        <f>SUMIFS(Gear!$L$4:$L$603,Gear!$A$4:$A$603,A20,Gear!$B$4:$B$603,"Rogue",Gear!$C$4:$C$603,Inputs!$C$5)</f>
        <v/>
      </c>
      <c r="M20" s="13">
        <f>SUMIFS(Gear!$M$4:$M$603,Gear!$A$4:$A$603,A20,Gear!$B$4:$B$603,"Rogue",Gear!$C$4:$C$603,Inputs!$C$5)</f>
        <v/>
      </c>
      <c r="N20" s="13">
        <f>SUMIFS(Gear!$N$4:$N$603,Gear!$A$4:$A$603,A20,Gear!$B$4:$B$603,"Rogue",Gear!$C$4:$C$603,Inputs!$C$5)</f>
        <v/>
      </c>
      <c r="O20" s="9">
        <f>INDEX('Class Table'!$B$4:$B$53,A20)+SUMIFS(Gear!$G$4:$G$603,Gear!$A$4:$A$603,A20,Gear!$B$4:$B$603,"Rogue",Gear!$C$4:$C$603,Inputs!$C$5)</f>
        <v/>
      </c>
      <c r="P20" s="9">
        <f>INDEX('Class Table'!$C$4:$C$53,A20)+SUMIFS(Gear!$H$4:$H$603,Gear!$A$4:$A$603,A20,Gear!$B$4:$B$603,"Rogue",Gear!$C$4:$C$603,Inputs!$C$5)</f>
        <v/>
      </c>
      <c r="Q20" s="9">
        <f>INDEX('Class Table'!$D$4:$D$53,A20)+SUMIFS(Gear!$I$4:$I$603,Gear!$A$4:$A$603,A20,Gear!$B$4:$B$603,"Rogue",Gear!$C$4:$C$603,Inputs!$C$5)</f>
        <v/>
      </c>
      <c r="R20" s="13">
        <f>SUMIFS(Gear!$O$4:$O$603,Gear!$A$4:$A$603,A20,Gear!$B$4:$B$603,"Rogue",Gear!$C$4:$C$603,Inputs!$C$5)</f>
        <v/>
      </c>
      <c r="S20" s="26">
        <f>I20+0+G20+A20+MAX(1,A20/2)+(A20-B20)</f>
        <v/>
      </c>
      <c r="T20" s="9">
        <f>MAX(0,S20*(1+M20)*(1+L20)*Inputs!$C$20*(1-D20/Inputs!$C$19)-D20/25)</f>
        <v/>
      </c>
      <c r="U20" s="16">
        <f>H20/10*(1-MIN(0.95,N20+0))*Inputs!$C$21</f>
        <v/>
      </c>
      <c r="V20" s="27">
        <f>T20/U20</f>
        <v/>
      </c>
      <c r="W20" s="13">
        <f>IFERROR(LOOKUP(A20,Abilities!$A$38:$A$40,Abilities!$D$38:$D$40),0)</f>
        <v/>
      </c>
      <c r="X20" s="13">
        <f>Inputs!$C$16*IFERROR(LOOKUP(A20,Abilities!$A$38:$A$40,Abilities!$E$38:$E$40),0)/IFERROR(LOOKUP(A20,Abilities!$A$38:$A$40,Abilities!$F$38:$F$40),1)</f>
        <v/>
      </c>
      <c r="Y20" s="26">
        <f>I20+0+G20+A20+MAX(1,A20/2)+(A20-B20)</f>
        <v/>
      </c>
      <c r="Z20" s="9">
        <f>MAX(0,Y20*(1+M20)*(1+L20)*Inputs!$C$20*(1-D20/Inputs!$C$19)-D20/25)</f>
        <v/>
      </c>
      <c r="AA20" s="16">
        <f>H20/10*(1-MIN(0.95,N20+W20))*Inputs!$C$21</f>
        <v/>
      </c>
      <c r="AB20" s="27">
        <f>Z20/AA20</f>
        <v/>
      </c>
      <c r="AC20" s="14">
        <f>IFERROR(LOOKUP(A20,Abilities!$A$6:$A$10,Abilities!$C$6:$C$10),0)</f>
        <v/>
      </c>
      <c r="AD20" s="14">
        <f>IFERROR(LOOKUP(A20,Abilities!$A$6:$A$10,Abilities!$D$6:$D$10),1)</f>
        <v/>
      </c>
      <c r="AE20" s="9">
        <f>AC20*(I20+G20+A20)*(1+J20)*(1+K20)*Inputs!$C$20*(1+0.5*Inputs!$C$11)</f>
        <v/>
      </c>
      <c r="AF20" s="27">
        <f>AE20/AD20</f>
        <v/>
      </c>
      <c r="AG20" s="14">
        <f>IFERROR(LOOKUP(A20,Abilities!$A$44:$A$45,Abilities!$C$44:$C$45),0)</f>
        <v/>
      </c>
      <c r="AH20" s="17">
        <f>AG20/Inputs!$C$25*Inputs!$C$16*IFERROR(LOOKUP(A20,Abilities!$A$44:$A$45,Abilities!$D$44:$D$45),0)/IFERROR(LOOKUP(A20,Abilities!$A$44:$A$45,Abilities!$E$44:$E$45),1)</f>
        <v/>
      </c>
      <c r="AI20" s="27">
        <f>(1-X20)*V20+X20*AB20+AF20+AH20</f>
        <v/>
      </c>
      <c r="AJ20" s="27">
        <f>(AE20+3*AB20)/3</f>
        <v/>
      </c>
      <c r="AK20" s="28">
        <f>IFERROR(AF20/AI20,0)</f>
        <v/>
      </c>
      <c r="AL20" s="8">
        <f>IFERROR(ROUNDUP(C20/T20,0),"-")</f>
        <v/>
      </c>
      <c r="AM20" s="60">
        <f>IFERROR(C20/AI20,"-")</f>
        <v/>
      </c>
      <c r="AN20" s="9">
        <f>MAX(0,(E20+(B20-A20))*(1-R20)*(1-Q20*'Class Table'!$O$5/Inputs!$C$19)-Q20*'Class Table'!$O$5/25)</f>
        <v/>
      </c>
      <c r="AO20" s="26">
        <f>IFERROR(AN20/F20*AM20,"-")</f>
        <v/>
      </c>
      <c r="AP20" s="28">
        <f>IFERROR(AO20/O20,"-")</f>
        <v/>
      </c>
      <c r="AQ20" s="9">
        <f>IFERROR(O20*Inputs!$C$24/Inputs!$C$22*AM20,"-")</f>
        <v/>
      </c>
      <c r="AR20" s="28">
        <f>IFERROR(MAX(0,AO20-AQ20)/O20,"-")</f>
        <v/>
      </c>
    </row>
    <row r="21">
      <c r="A21" s="8" t="n">
        <v>18</v>
      </c>
      <c r="B21" s="14">
        <f>'Mob by Level'!B21</f>
        <v/>
      </c>
      <c r="C21" s="9">
        <f>'Mob by Level'!C21</f>
        <v/>
      </c>
      <c r="D21" s="9">
        <f>'Mob by Level'!D21</f>
        <v/>
      </c>
      <c r="E21" s="9">
        <f>'Mob by Level'!E21</f>
        <v/>
      </c>
      <c r="F21" s="16">
        <f>'Mob by Level'!F21</f>
        <v/>
      </c>
      <c r="G21" s="14">
        <f>SUMIFS(Gear!$D$4:$D$603,Gear!$A$4:$A$603,A21,Gear!$B$4:$B$603,"Rogue",Gear!$C$4:$C$603,Inputs!$C$5)</f>
        <v/>
      </c>
      <c r="H21" s="14">
        <f>SUMIFS(Gear!$E$4:$E$603,Gear!$A$4:$A$603,A21,Gear!$B$4:$B$603,"Rogue",Gear!$C$4:$C$603,Inputs!$C$5)</f>
        <v/>
      </c>
      <c r="I21" s="14">
        <f>SUMIFS(Gear!$F$4:$F$603,Gear!$A$4:$A$603,A21,Gear!$B$4:$B$603,"Rogue",Gear!$C$4:$C$603,Inputs!$C$5)+Inputs!$C$17*IFERROR(LOOKUP(A21,Abilities!$A$49:$A$53,Abilities!$C$49:$C$53),0)</f>
        <v/>
      </c>
      <c r="J21" s="13">
        <f>SUMIFS(Gear!$J$4:$J$603,Gear!$A$4:$A$603,A21,Gear!$B$4:$B$603,"Rogue",Gear!$C$4:$C$603,Inputs!$C$5)</f>
        <v/>
      </c>
      <c r="K21" s="13">
        <f>SUMIFS(Gear!$K$4:$K$603,Gear!$A$4:$A$603,A21,Gear!$B$4:$B$603,"Rogue",Gear!$C$4:$C$603,Inputs!$C$5)</f>
        <v/>
      </c>
      <c r="L21" s="13">
        <f>SUMIFS(Gear!$L$4:$L$603,Gear!$A$4:$A$603,A21,Gear!$B$4:$B$603,"Rogue",Gear!$C$4:$C$603,Inputs!$C$5)</f>
        <v/>
      </c>
      <c r="M21" s="13">
        <f>SUMIFS(Gear!$M$4:$M$603,Gear!$A$4:$A$603,A21,Gear!$B$4:$B$603,"Rogue",Gear!$C$4:$C$603,Inputs!$C$5)</f>
        <v/>
      </c>
      <c r="N21" s="13">
        <f>SUMIFS(Gear!$N$4:$N$603,Gear!$A$4:$A$603,A21,Gear!$B$4:$B$603,"Rogue",Gear!$C$4:$C$603,Inputs!$C$5)</f>
        <v/>
      </c>
      <c r="O21" s="9">
        <f>INDEX('Class Table'!$B$4:$B$53,A21)+SUMIFS(Gear!$G$4:$G$603,Gear!$A$4:$A$603,A21,Gear!$B$4:$B$603,"Rogue",Gear!$C$4:$C$603,Inputs!$C$5)</f>
        <v/>
      </c>
      <c r="P21" s="9">
        <f>INDEX('Class Table'!$C$4:$C$53,A21)+SUMIFS(Gear!$H$4:$H$603,Gear!$A$4:$A$603,A21,Gear!$B$4:$B$603,"Rogue",Gear!$C$4:$C$603,Inputs!$C$5)</f>
        <v/>
      </c>
      <c r="Q21" s="9">
        <f>INDEX('Class Table'!$D$4:$D$53,A21)+SUMIFS(Gear!$I$4:$I$603,Gear!$A$4:$A$603,A21,Gear!$B$4:$B$603,"Rogue",Gear!$C$4:$C$603,Inputs!$C$5)</f>
        <v/>
      </c>
      <c r="R21" s="13">
        <f>SUMIFS(Gear!$O$4:$O$603,Gear!$A$4:$A$603,A21,Gear!$B$4:$B$603,"Rogue",Gear!$C$4:$C$603,Inputs!$C$5)</f>
        <v/>
      </c>
      <c r="S21" s="26">
        <f>I21+0+G21+A21+MAX(1,A21/2)+(A21-B21)</f>
        <v/>
      </c>
      <c r="T21" s="9">
        <f>MAX(0,S21*(1+M21)*(1+L21)*Inputs!$C$20*(1-D21/Inputs!$C$19)-D21/25)</f>
        <v/>
      </c>
      <c r="U21" s="16">
        <f>H21/10*(1-MIN(0.95,N21+0))*Inputs!$C$21</f>
        <v/>
      </c>
      <c r="V21" s="27">
        <f>T21/U21</f>
        <v/>
      </c>
      <c r="W21" s="13">
        <f>IFERROR(LOOKUP(A21,Abilities!$A$38:$A$40,Abilities!$D$38:$D$40),0)</f>
        <v/>
      </c>
      <c r="X21" s="13">
        <f>Inputs!$C$16*IFERROR(LOOKUP(A21,Abilities!$A$38:$A$40,Abilities!$E$38:$E$40),0)/IFERROR(LOOKUP(A21,Abilities!$A$38:$A$40,Abilities!$F$38:$F$40),1)</f>
        <v/>
      </c>
      <c r="Y21" s="26">
        <f>I21+0+G21+A21+MAX(1,A21/2)+(A21-B21)</f>
        <v/>
      </c>
      <c r="Z21" s="9">
        <f>MAX(0,Y21*(1+M21)*(1+L21)*Inputs!$C$20*(1-D21/Inputs!$C$19)-D21/25)</f>
        <v/>
      </c>
      <c r="AA21" s="16">
        <f>H21/10*(1-MIN(0.95,N21+W21))*Inputs!$C$21</f>
        <v/>
      </c>
      <c r="AB21" s="27">
        <f>Z21/AA21</f>
        <v/>
      </c>
      <c r="AC21" s="14">
        <f>IFERROR(LOOKUP(A21,Abilities!$A$6:$A$10,Abilities!$C$6:$C$10),0)</f>
        <v/>
      </c>
      <c r="AD21" s="14">
        <f>IFERROR(LOOKUP(A21,Abilities!$A$6:$A$10,Abilities!$D$6:$D$10),1)</f>
        <v/>
      </c>
      <c r="AE21" s="9">
        <f>AC21*(I21+G21+A21)*(1+J21)*(1+K21)*Inputs!$C$20*(1+0.5*Inputs!$C$11)</f>
        <v/>
      </c>
      <c r="AF21" s="27">
        <f>AE21/AD21</f>
        <v/>
      </c>
      <c r="AG21" s="14">
        <f>IFERROR(LOOKUP(A21,Abilities!$A$44:$A$45,Abilities!$C$44:$C$45),0)</f>
        <v/>
      </c>
      <c r="AH21" s="17">
        <f>AG21/Inputs!$C$25*Inputs!$C$16*IFERROR(LOOKUP(A21,Abilities!$A$44:$A$45,Abilities!$D$44:$D$45),0)/IFERROR(LOOKUP(A21,Abilities!$A$44:$A$45,Abilities!$E$44:$E$45),1)</f>
        <v/>
      </c>
      <c r="AI21" s="27">
        <f>(1-X21)*V21+X21*AB21+AF21+AH21</f>
        <v/>
      </c>
      <c r="AJ21" s="27">
        <f>(AE21+3*AB21)/3</f>
        <v/>
      </c>
      <c r="AK21" s="28">
        <f>IFERROR(AF21/AI21,0)</f>
        <v/>
      </c>
      <c r="AL21" s="8">
        <f>IFERROR(ROUNDUP(C21/T21,0),"-")</f>
        <v/>
      </c>
      <c r="AM21" s="60">
        <f>IFERROR(C21/AI21,"-")</f>
        <v/>
      </c>
      <c r="AN21" s="9">
        <f>MAX(0,(E21+(B21-A21))*(1-R21)*(1-Q21*'Class Table'!$O$5/Inputs!$C$19)-Q21*'Class Table'!$O$5/25)</f>
        <v/>
      </c>
      <c r="AO21" s="26">
        <f>IFERROR(AN21/F21*AM21,"-")</f>
        <v/>
      </c>
      <c r="AP21" s="28">
        <f>IFERROR(AO21/O21,"-")</f>
        <v/>
      </c>
      <c r="AQ21" s="9">
        <f>IFERROR(O21*Inputs!$C$24/Inputs!$C$22*AM21,"-")</f>
        <v/>
      </c>
      <c r="AR21" s="28">
        <f>IFERROR(MAX(0,AO21-AQ21)/O21,"-")</f>
        <v/>
      </c>
    </row>
    <row r="22">
      <c r="A22" s="8" t="n">
        <v>19</v>
      </c>
      <c r="B22" s="14">
        <f>'Mob by Level'!B22</f>
        <v/>
      </c>
      <c r="C22" s="9">
        <f>'Mob by Level'!C22</f>
        <v/>
      </c>
      <c r="D22" s="9">
        <f>'Mob by Level'!D22</f>
        <v/>
      </c>
      <c r="E22" s="9">
        <f>'Mob by Level'!E22</f>
        <v/>
      </c>
      <c r="F22" s="16">
        <f>'Mob by Level'!F22</f>
        <v/>
      </c>
      <c r="G22" s="14">
        <f>SUMIFS(Gear!$D$4:$D$603,Gear!$A$4:$A$603,A22,Gear!$B$4:$B$603,"Rogue",Gear!$C$4:$C$603,Inputs!$C$5)</f>
        <v/>
      </c>
      <c r="H22" s="14">
        <f>SUMIFS(Gear!$E$4:$E$603,Gear!$A$4:$A$603,A22,Gear!$B$4:$B$603,"Rogue",Gear!$C$4:$C$603,Inputs!$C$5)</f>
        <v/>
      </c>
      <c r="I22" s="14">
        <f>SUMIFS(Gear!$F$4:$F$603,Gear!$A$4:$A$603,A22,Gear!$B$4:$B$603,"Rogue",Gear!$C$4:$C$603,Inputs!$C$5)+Inputs!$C$17*IFERROR(LOOKUP(A22,Abilities!$A$49:$A$53,Abilities!$C$49:$C$53),0)</f>
        <v/>
      </c>
      <c r="J22" s="13">
        <f>SUMIFS(Gear!$J$4:$J$603,Gear!$A$4:$A$603,A22,Gear!$B$4:$B$603,"Rogue",Gear!$C$4:$C$603,Inputs!$C$5)</f>
        <v/>
      </c>
      <c r="K22" s="13">
        <f>SUMIFS(Gear!$K$4:$K$603,Gear!$A$4:$A$603,A22,Gear!$B$4:$B$603,"Rogue",Gear!$C$4:$C$603,Inputs!$C$5)</f>
        <v/>
      </c>
      <c r="L22" s="13">
        <f>SUMIFS(Gear!$L$4:$L$603,Gear!$A$4:$A$603,A22,Gear!$B$4:$B$603,"Rogue",Gear!$C$4:$C$603,Inputs!$C$5)</f>
        <v/>
      </c>
      <c r="M22" s="13">
        <f>SUMIFS(Gear!$M$4:$M$603,Gear!$A$4:$A$603,A22,Gear!$B$4:$B$603,"Rogue",Gear!$C$4:$C$603,Inputs!$C$5)</f>
        <v/>
      </c>
      <c r="N22" s="13">
        <f>SUMIFS(Gear!$N$4:$N$603,Gear!$A$4:$A$603,A22,Gear!$B$4:$B$603,"Rogue",Gear!$C$4:$C$603,Inputs!$C$5)</f>
        <v/>
      </c>
      <c r="O22" s="9">
        <f>INDEX('Class Table'!$B$4:$B$53,A22)+SUMIFS(Gear!$G$4:$G$603,Gear!$A$4:$A$603,A22,Gear!$B$4:$B$603,"Rogue",Gear!$C$4:$C$603,Inputs!$C$5)</f>
        <v/>
      </c>
      <c r="P22" s="9">
        <f>INDEX('Class Table'!$C$4:$C$53,A22)+SUMIFS(Gear!$H$4:$H$603,Gear!$A$4:$A$603,A22,Gear!$B$4:$B$603,"Rogue",Gear!$C$4:$C$603,Inputs!$C$5)</f>
        <v/>
      </c>
      <c r="Q22" s="9">
        <f>INDEX('Class Table'!$D$4:$D$53,A22)+SUMIFS(Gear!$I$4:$I$603,Gear!$A$4:$A$603,A22,Gear!$B$4:$B$603,"Rogue",Gear!$C$4:$C$603,Inputs!$C$5)</f>
        <v/>
      </c>
      <c r="R22" s="13">
        <f>SUMIFS(Gear!$O$4:$O$603,Gear!$A$4:$A$603,A22,Gear!$B$4:$B$603,"Rogue",Gear!$C$4:$C$603,Inputs!$C$5)</f>
        <v/>
      </c>
      <c r="S22" s="26">
        <f>I22+0+G22+A22+MAX(1,A22/2)+(A22-B22)</f>
        <v/>
      </c>
      <c r="T22" s="9">
        <f>MAX(0,S22*(1+M22)*(1+L22)*Inputs!$C$20*(1-D22/Inputs!$C$19)-D22/25)</f>
        <v/>
      </c>
      <c r="U22" s="16">
        <f>H22/10*(1-MIN(0.95,N22+0))*Inputs!$C$21</f>
        <v/>
      </c>
      <c r="V22" s="27">
        <f>T22/U22</f>
        <v/>
      </c>
      <c r="W22" s="13">
        <f>IFERROR(LOOKUP(A22,Abilities!$A$38:$A$40,Abilities!$D$38:$D$40),0)</f>
        <v/>
      </c>
      <c r="X22" s="13">
        <f>Inputs!$C$16*IFERROR(LOOKUP(A22,Abilities!$A$38:$A$40,Abilities!$E$38:$E$40),0)/IFERROR(LOOKUP(A22,Abilities!$A$38:$A$40,Abilities!$F$38:$F$40),1)</f>
        <v/>
      </c>
      <c r="Y22" s="26">
        <f>I22+0+G22+A22+MAX(1,A22/2)+(A22-B22)</f>
        <v/>
      </c>
      <c r="Z22" s="9">
        <f>MAX(0,Y22*(1+M22)*(1+L22)*Inputs!$C$20*(1-D22/Inputs!$C$19)-D22/25)</f>
        <v/>
      </c>
      <c r="AA22" s="16">
        <f>H22/10*(1-MIN(0.95,N22+W22))*Inputs!$C$21</f>
        <v/>
      </c>
      <c r="AB22" s="27">
        <f>Z22/AA22</f>
        <v/>
      </c>
      <c r="AC22" s="14">
        <f>IFERROR(LOOKUP(A22,Abilities!$A$6:$A$10,Abilities!$C$6:$C$10),0)</f>
        <v/>
      </c>
      <c r="AD22" s="14">
        <f>IFERROR(LOOKUP(A22,Abilities!$A$6:$A$10,Abilities!$D$6:$D$10),1)</f>
        <v/>
      </c>
      <c r="AE22" s="9">
        <f>AC22*(I22+G22+A22)*(1+J22)*(1+K22)*Inputs!$C$20*(1+0.5*Inputs!$C$11)</f>
        <v/>
      </c>
      <c r="AF22" s="27">
        <f>AE22/AD22</f>
        <v/>
      </c>
      <c r="AG22" s="14">
        <f>IFERROR(LOOKUP(A22,Abilities!$A$44:$A$45,Abilities!$C$44:$C$45),0)</f>
        <v/>
      </c>
      <c r="AH22" s="17">
        <f>AG22/Inputs!$C$25*Inputs!$C$16*IFERROR(LOOKUP(A22,Abilities!$A$44:$A$45,Abilities!$D$44:$D$45),0)/IFERROR(LOOKUP(A22,Abilities!$A$44:$A$45,Abilities!$E$44:$E$45),1)</f>
        <v/>
      </c>
      <c r="AI22" s="27">
        <f>(1-X22)*V22+X22*AB22+AF22+AH22</f>
        <v/>
      </c>
      <c r="AJ22" s="27">
        <f>(AE22+3*AB22)/3</f>
        <v/>
      </c>
      <c r="AK22" s="28">
        <f>IFERROR(AF22/AI22,0)</f>
        <v/>
      </c>
      <c r="AL22" s="8">
        <f>IFERROR(ROUNDUP(C22/T22,0),"-")</f>
        <v/>
      </c>
      <c r="AM22" s="60">
        <f>IFERROR(C22/AI22,"-")</f>
        <v/>
      </c>
      <c r="AN22" s="9">
        <f>MAX(0,(E22+(B22-A22))*(1-R22)*(1-Q22*'Class Table'!$O$5/Inputs!$C$19)-Q22*'Class Table'!$O$5/25)</f>
        <v/>
      </c>
      <c r="AO22" s="26">
        <f>IFERROR(AN22/F22*AM22,"-")</f>
        <v/>
      </c>
      <c r="AP22" s="28">
        <f>IFERROR(AO22/O22,"-")</f>
        <v/>
      </c>
      <c r="AQ22" s="9">
        <f>IFERROR(O22*Inputs!$C$24/Inputs!$C$22*AM22,"-")</f>
        <v/>
      </c>
      <c r="AR22" s="28">
        <f>IFERROR(MAX(0,AO22-AQ22)/O22,"-")</f>
        <v/>
      </c>
    </row>
    <row r="23">
      <c r="A23" s="8" t="n">
        <v>20</v>
      </c>
      <c r="B23" s="14">
        <f>'Mob by Level'!B23</f>
        <v/>
      </c>
      <c r="C23" s="9">
        <f>'Mob by Level'!C23</f>
        <v/>
      </c>
      <c r="D23" s="9">
        <f>'Mob by Level'!D23</f>
        <v/>
      </c>
      <c r="E23" s="9">
        <f>'Mob by Level'!E23</f>
        <v/>
      </c>
      <c r="F23" s="16">
        <f>'Mob by Level'!F23</f>
        <v/>
      </c>
      <c r="G23" s="14">
        <f>SUMIFS(Gear!$D$4:$D$603,Gear!$A$4:$A$603,A23,Gear!$B$4:$B$603,"Rogue",Gear!$C$4:$C$603,Inputs!$C$5)</f>
        <v/>
      </c>
      <c r="H23" s="14">
        <f>SUMIFS(Gear!$E$4:$E$603,Gear!$A$4:$A$603,A23,Gear!$B$4:$B$603,"Rogue",Gear!$C$4:$C$603,Inputs!$C$5)</f>
        <v/>
      </c>
      <c r="I23" s="14">
        <f>SUMIFS(Gear!$F$4:$F$603,Gear!$A$4:$A$603,A23,Gear!$B$4:$B$603,"Rogue",Gear!$C$4:$C$603,Inputs!$C$5)+Inputs!$C$17*IFERROR(LOOKUP(A23,Abilities!$A$49:$A$53,Abilities!$C$49:$C$53),0)</f>
        <v/>
      </c>
      <c r="J23" s="13">
        <f>SUMIFS(Gear!$J$4:$J$603,Gear!$A$4:$A$603,A23,Gear!$B$4:$B$603,"Rogue",Gear!$C$4:$C$603,Inputs!$C$5)</f>
        <v/>
      </c>
      <c r="K23" s="13">
        <f>SUMIFS(Gear!$K$4:$K$603,Gear!$A$4:$A$603,A23,Gear!$B$4:$B$603,"Rogue",Gear!$C$4:$C$603,Inputs!$C$5)</f>
        <v/>
      </c>
      <c r="L23" s="13">
        <f>SUMIFS(Gear!$L$4:$L$603,Gear!$A$4:$A$603,A23,Gear!$B$4:$B$603,"Rogue",Gear!$C$4:$C$603,Inputs!$C$5)</f>
        <v/>
      </c>
      <c r="M23" s="13">
        <f>SUMIFS(Gear!$M$4:$M$603,Gear!$A$4:$A$603,A23,Gear!$B$4:$B$603,"Rogue",Gear!$C$4:$C$603,Inputs!$C$5)</f>
        <v/>
      </c>
      <c r="N23" s="13">
        <f>SUMIFS(Gear!$N$4:$N$603,Gear!$A$4:$A$603,A23,Gear!$B$4:$B$603,"Rogue",Gear!$C$4:$C$603,Inputs!$C$5)</f>
        <v/>
      </c>
      <c r="O23" s="9">
        <f>INDEX('Class Table'!$B$4:$B$53,A23)+SUMIFS(Gear!$G$4:$G$603,Gear!$A$4:$A$603,A23,Gear!$B$4:$B$603,"Rogue",Gear!$C$4:$C$603,Inputs!$C$5)</f>
        <v/>
      </c>
      <c r="P23" s="9">
        <f>INDEX('Class Table'!$C$4:$C$53,A23)+SUMIFS(Gear!$H$4:$H$603,Gear!$A$4:$A$603,A23,Gear!$B$4:$B$603,"Rogue",Gear!$C$4:$C$603,Inputs!$C$5)</f>
        <v/>
      </c>
      <c r="Q23" s="9">
        <f>INDEX('Class Table'!$D$4:$D$53,A23)+SUMIFS(Gear!$I$4:$I$603,Gear!$A$4:$A$603,A23,Gear!$B$4:$B$603,"Rogue",Gear!$C$4:$C$603,Inputs!$C$5)</f>
        <v/>
      </c>
      <c r="R23" s="13">
        <f>SUMIFS(Gear!$O$4:$O$603,Gear!$A$4:$A$603,A23,Gear!$B$4:$B$603,"Rogue",Gear!$C$4:$C$603,Inputs!$C$5)</f>
        <v/>
      </c>
      <c r="S23" s="26">
        <f>I23+0+G23+A23+MAX(1,A23/2)+(A23-B23)</f>
        <v/>
      </c>
      <c r="T23" s="9">
        <f>MAX(0,S23*(1+M23)*(1+L23)*Inputs!$C$20*(1-D23/Inputs!$C$19)-D23/25)</f>
        <v/>
      </c>
      <c r="U23" s="16">
        <f>H23/10*(1-MIN(0.95,N23+0))*Inputs!$C$21</f>
        <v/>
      </c>
      <c r="V23" s="27">
        <f>T23/U23</f>
        <v/>
      </c>
      <c r="W23" s="13">
        <f>IFERROR(LOOKUP(A23,Abilities!$A$38:$A$40,Abilities!$D$38:$D$40),0)</f>
        <v/>
      </c>
      <c r="X23" s="13">
        <f>Inputs!$C$16*IFERROR(LOOKUP(A23,Abilities!$A$38:$A$40,Abilities!$E$38:$E$40),0)/IFERROR(LOOKUP(A23,Abilities!$A$38:$A$40,Abilities!$F$38:$F$40),1)</f>
        <v/>
      </c>
      <c r="Y23" s="26">
        <f>I23+0+G23+A23+MAX(1,A23/2)+(A23-B23)</f>
        <v/>
      </c>
      <c r="Z23" s="9">
        <f>MAX(0,Y23*(1+M23)*(1+L23)*Inputs!$C$20*(1-D23/Inputs!$C$19)-D23/25)</f>
        <v/>
      </c>
      <c r="AA23" s="16">
        <f>H23/10*(1-MIN(0.95,N23+W23))*Inputs!$C$21</f>
        <v/>
      </c>
      <c r="AB23" s="27">
        <f>Z23/AA23</f>
        <v/>
      </c>
      <c r="AC23" s="14">
        <f>IFERROR(LOOKUP(A23,Abilities!$A$6:$A$10,Abilities!$C$6:$C$10),0)</f>
        <v/>
      </c>
      <c r="AD23" s="14">
        <f>IFERROR(LOOKUP(A23,Abilities!$A$6:$A$10,Abilities!$D$6:$D$10),1)</f>
        <v/>
      </c>
      <c r="AE23" s="9">
        <f>AC23*(I23+G23+A23)*(1+J23)*(1+K23)*Inputs!$C$20*(1+0.5*Inputs!$C$11)</f>
        <v/>
      </c>
      <c r="AF23" s="27">
        <f>AE23/AD23</f>
        <v/>
      </c>
      <c r="AG23" s="14">
        <f>IFERROR(LOOKUP(A23,Abilities!$A$44:$A$45,Abilities!$C$44:$C$45),0)</f>
        <v/>
      </c>
      <c r="AH23" s="17">
        <f>AG23/Inputs!$C$25*Inputs!$C$16*IFERROR(LOOKUP(A23,Abilities!$A$44:$A$45,Abilities!$D$44:$D$45),0)/IFERROR(LOOKUP(A23,Abilities!$A$44:$A$45,Abilities!$E$44:$E$45),1)</f>
        <v/>
      </c>
      <c r="AI23" s="27">
        <f>(1-X23)*V23+X23*AB23+AF23+AH23</f>
        <v/>
      </c>
      <c r="AJ23" s="27">
        <f>(AE23+3*AB23)/3</f>
        <v/>
      </c>
      <c r="AK23" s="28">
        <f>IFERROR(AF23/AI23,0)</f>
        <v/>
      </c>
      <c r="AL23" s="8">
        <f>IFERROR(ROUNDUP(C23/T23,0),"-")</f>
        <v/>
      </c>
      <c r="AM23" s="60">
        <f>IFERROR(C23/AI23,"-")</f>
        <v/>
      </c>
      <c r="AN23" s="9">
        <f>MAX(0,(E23+(B23-A23))*(1-R23)*(1-Q23*'Class Table'!$O$5/Inputs!$C$19)-Q23*'Class Table'!$O$5/25)</f>
        <v/>
      </c>
      <c r="AO23" s="26">
        <f>IFERROR(AN23/F23*AM23,"-")</f>
        <v/>
      </c>
      <c r="AP23" s="28">
        <f>IFERROR(AO23/O23,"-")</f>
        <v/>
      </c>
      <c r="AQ23" s="9">
        <f>IFERROR(O23*Inputs!$C$24/Inputs!$C$22*AM23,"-")</f>
        <v/>
      </c>
      <c r="AR23" s="28">
        <f>IFERROR(MAX(0,AO23-AQ23)/O23,"-")</f>
        <v/>
      </c>
    </row>
    <row r="24">
      <c r="A24" s="8" t="n">
        <v>21</v>
      </c>
      <c r="B24" s="14">
        <f>'Mob by Level'!B24</f>
        <v/>
      </c>
      <c r="C24" s="9">
        <f>'Mob by Level'!C24</f>
        <v/>
      </c>
      <c r="D24" s="9">
        <f>'Mob by Level'!D24</f>
        <v/>
      </c>
      <c r="E24" s="9">
        <f>'Mob by Level'!E24</f>
        <v/>
      </c>
      <c r="F24" s="16">
        <f>'Mob by Level'!F24</f>
        <v/>
      </c>
      <c r="G24" s="14">
        <f>SUMIFS(Gear!$D$4:$D$603,Gear!$A$4:$A$603,A24,Gear!$B$4:$B$603,"Rogue",Gear!$C$4:$C$603,Inputs!$C$5)</f>
        <v/>
      </c>
      <c r="H24" s="14">
        <f>SUMIFS(Gear!$E$4:$E$603,Gear!$A$4:$A$603,A24,Gear!$B$4:$B$603,"Rogue",Gear!$C$4:$C$603,Inputs!$C$5)</f>
        <v/>
      </c>
      <c r="I24" s="14">
        <f>SUMIFS(Gear!$F$4:$F$603,Gear!$A$4:$A$603,A24,Gear!$B$4:$B$603,"Rogue",Gear!$C$4:$C$603,Inputs!$C$5)+Inputs!$C$17*IFERROR(LOOKUP(A24,Abilities!$A$49:$A$53,Abilities!$C$49:$C$53),0)</f>
        <v/>
      </c>
      <c r="J24" s="13">
        <f>SUMIFS(Gear!$J$4:$J$603,Gear!$A$4:$A$603,A24,Gear!$B$4:$B$603,"Rogue",Gear!$C$4:$C$603,Inputs!$C$5)</f>
        <v/>
      </c>
      <c r="K24" s="13">
        <f>SUMIFS(Gear!$K$4:$K$603,Gear!$A$4:$A$603,A24,Gear!$B$4:$B$603,"Rogue",Gear!$C$4:$C$603,Inputs!$C$5)</f>
        <v/>
      </c>
      <c r="L24" s="13">
        <f>SUMIFS(Gear!$L$4:$L$603,Gear!$A$4:$A$603,A24,Gear!$B$4:$B$603,"Rogue",Gear!$C$4:$C$603,Inputs!$C$5)</f>
        <v/>
      </c>
      <c r="M24" s="13">
        <f>SUMIFS(Gear!$M$4:$M$603,Gear!$A$4:$A$603,A24,Gear!$B$4:$B$603,"Rogue",Gear!$C$4:$C$603,Inputs!$C$5)</f>
        <v/>
      </c>
      <c r="N24" s="13">
        <f>SUMIFS(Gear!$N$4:$N$603,Gear!$A$4:$A$603,A24,Gear!$B$4:$B$603,"Rogue",Gear!$C$4:$C$603,Inputs!$C$5)</f>
        <v/>
      </c>
      <c r="O24" s="9">
        <f>INDEX('Class Table'!$B$4:$B$53,A24)+SUMIFS(Gear!$G$4:$G$603,Gear!$A$4:$A$603,A24,Gear!$B$4:$B$603,"Rogue",Gear!$C$4:$C$603,Inputs!$C$5)</f>
        <v/>
      </c>
      <c r="P24" s="9">
        <f>INDEX('Class Table'!$C$4:$C$53,A24)+SUMIFS(Gear!$H$4:$H$603,Gear!$A$4:$A$603,A24,Gear!$B$4:$B$603,"Rogue",Gear!$C$4:$C$603,Inputs!$C$5)</f>
        <v/>
      </c>
      <c r="Q24" s="9">
        <f>INDEX('Class Table'!$D$4:$D$53,A24)+SUMIFS(Gear!$I$4:$I$603,Gear!$A$4:$A$603,A24,Gear!$B$4:$B$603,"Rogue",Gear!$C$4:$C$603,Inputs!$C$5)</f>
        <v/>
      </c>
      <c r="R24" s="13">
        <f>SUMIFS(Gear!$O$4:$O$603,Gear!$A$4:$A$603,A24,Gear!$B$4:$B$603,"Rogue",Gear!$C$4:$C$603,Inputs!$C$5)</f>
        <v/>
      </c>
      <c r="S24" s="26">
        <f>I24+0+G24+A24+MAX(1,A24/2)+(A24-B24)</f>
        <v/>
      </c>
      <c r="T24" s="9">
        <f>MAX(0,S24*(1+M24)*(1+L24)*Inputs!$C$20*(1-D24/Inputs!$C$19)-D24/25)</f>
        <v/>
      </c>
      <c r="U24" s="16">
        <f>H24/10*(1-MIN(0.95,N24+0))*Inputs!$C$21</f>
        <v/>
      </c>
      <c r="V24" s="27">
        <f>T24/U24</f>
        <v/>
      </c>
      <c r="W24" s="13">
        <f>IFERROR(LOOKUP(A24,Abilities!$A$38:$A$40,Abilities!$D$38:$D$40),0)</f>
        <v/>
      </c>
      <c r="X24" s="13">
        <f>Inputs!$C$16*IFERROR(LOOKUP(A24,Abilities!$A$38:$A$40,Abilities!$E$38:$E$40),0)/IFERROR(LOOKUP(A24,Abilities!$A$38:$A$40,Abilities!$F$38:$F$40),1)</f>
        <v/>
      </c>
      <c r="Y24" s="26">
        <f>I24+0+G24+A24+MAX(1,A24/2)+(A24-B24)</f>
        <v/>
      </c>
      <c r="Z24" s="9">
        <f>MAX(0,Y24*(1+M24)*(1+L24)*Inputs!$C$20*(1-D24/Inputs!$C$19)-D24/25)</f>
        <v/>
      </c>
      <c r="AA24" s="16">
        <f>H24/10*(1-MIN(0.95,N24+W24))*Inputs!$C$21</f>
        <v/>
      </c>
      <c r="AB24" s="27">
        <f>Z24/AA24</f>
        <v/>
      </c>
      <c r="AC24" s="14">
        <f>IFERROR(LOOKUP(A24,Abilities!$A$6:$A$10,Abilities!$C$6:$C$10),0)</f>
        <v/>
      </c>
      <c r="AD24" s="14">
        <f>IFERROR(LOOKUP(A24,Abilities!$A$6:$A$10,Abilities!$D$6:$D$10),1)</f>
        <v/>
      </c>
      <c r="AE24" s="9">
        <f>AC24*(I24+G24+A24)*(1+J24)*(1+K24)*Inputs!$C$20*(1+0.5*Inputs!$C$11)</f>
        <v/>
      </c>
      <c r="AF24" s="27">
        <f>AE24/AD24</f>
        <v/>
      </c>
      <c r="AG24" s="14">
        <f>IFERROR(LOOKUP(A24,Abilities!$A$44:$A$45,Abilities!$C$44:$C$45),0)</f>
        <v/>
      </c>
      <c r="AH24" s="17">
        <f>AG24/Inputs!$C$25*Inputs!$C$16*IFERROR(LOOKUP(A24,Abilities!$A$44:$A$45,Abilities!$D$44:$D$45),0)/IFERROR(LOOKUP(A24,Abilities!$A$44:$A$45,Abilities!$E$44:$E$45),1)</f>
        <v/>
      </c>
      <c r="AI24" s="27">
        <f>(1-X24)*V24+X24*AB24+AF24+AH24</f>
        <v/>
      </c>
      <c r="AJ24" s="27">
        <f>(AE24+3*AB24)/3</f>
        <v/>
      </c>
      <c r="AK24" s="28">
        <f>IFERROR(AF24/AI24,0)</f>
        <v/>
      </c>
      <c r="AL24" s="8">
        <f>IFERROR(ROUNDUP(C24/T24,0),"-")</f>
        <v/>
      </c>
      <c r="AM24" s="60">
        <f>IFERROR(C24/AI24,"-")</f>
        <v/>
      </c>
      <c r="AN24" s="9">
        <f>MAX(0,(E24+(B24-A24))*(1-R24)*(1-Q24*'Class Table'!$O$5/Inputs!$C$19)-Q24*'Class Table'!$O$5/25)</f>
        <v/>
      </c>
      <c r="AO24" s="26">
        <f>IFERROR(AN24/F24*AM24,"-")</f>
        <v/>
      </c>
      <c r="AP24" s="28">
        <f>IFERROR(AO24/O24,"-")</f>
        <v/>
      </c>
      <c r="AQ24" s="9">
        <f>IFERROR(O24*Inputs!$C$24/Inputs!$C$22*AM24,"-")</f>
        <v/>
      </c>
      <c r="AR24" s="28">
        <f>IFERROR(MAX(0,AO24-AQ24)/O24,"-")</f>
        <v/>
      </c>
    </row>
    <row r="25">
      <c r="A25" s="8" t="n">
        <v>22</v>
      </c>
      <c r="B25" s="14">
        <f>'Mob by Level'!B25</f>
        <v/>
      </c>
      <c r="C25" s="9">
        <f>'Mob by Level'!C25</f>
        <v/>
      </c>
      <c r="D25" s="9">
        <f>'Mob by Level'!D25</f>
        <v/>
      </c>
      <c r="E25" s="9">
        <f>'Mob by Level'!E25</f>
        <v/>
      </c>
      <c r="F25" s="16">
        <f>'Mob by Level'!F25</f>
        <v/>
      </c>
      <c r="G25" s="14">
        <f>SUMIFS(Gear!$D$4:$D$603,Gear!$A$4:$A$603,A25,Gear!$B$4:$B$603,"Rogue",Gear!$C$4:$C$603,Inputs!$C$5)</f>
        <v/>
      </c>
      <c r="H25" s="14">
        <f>SUMIFS(Gear!$E$4:$E$603,Gear!$A$4:$A$603,A25,Gear!$B$4:$B$603,"Rogue",Gear!$C$4:$C$603,Inputs!$C$5)</f>
        <v/>
      </c>
      <c r="I25" s="14">
        <f>SUMIFS(Gear!$F$4:$F$603,Gear!$A$4:$A$603,A25,Gear!$B$4:$B$603,"Rogue",Gear!$C$4:$C$603,Inputs!$C$5)+Inputs!$C$17*IFERROR(LOOKUP(A25,Abilities!$A$49:$A$53,Abilities!$C$49:$C$53),0)</f>
        <v/>
      </c>
      <c r="J25" s="13">
        <f>SUMIFS(Gear!$J$4:$J$603,Gear!$A$4:$A$603,A25,Gear!$B$4:$B$603,"Rogue",Gear!$C$4:$C$603,Inputs!$C$5)</f>
        <v/>
      </c>
      <c r="K25" s="13">
        <f>SUMIFS(Gear!$K$4:$K$603,Gear!$A$4:$A$603,A25,Gear!$B$4:$B$603,"Rogue",Gear!$C$4:$C$603,Inputs!$C$5)</f>
        <v/>
      </c>
      <c r="L25" s="13">
        <f>SUMIFS(Gear!$L$4:$L$603,Gear!$A$4:$A$603,A25,Gear!$B$4:$B$603,"Rogue",Gear!$C$4:$C$603,Inputs!$C$5)</f>
        <v/>
      </c>
      <c r="M25" s="13">
        <f>SUMIFS(Gear!$M$4:$M$603,Gear!$A$4:$A$603,A25,Gear!$B$4:$B$603,"Rogue",Gear!$C$4:$C$603,Inputs!$C$5)</f>
        <v/>
      </c>
      <c r="N25" s="13">
        <f>SUMIFS(Gear!$N$4:$N$603,Gear!$A$4:$A$603,A25,Gear!$B$4:$B$603,"Rogue",Gear!$C$4:$C$603,Inputs!$C$5)</f>
        <v/>
      </c>
      <c r="O25" s="9">
        <f>INDEX('Class Table'!$B$4:$B$53,A25)+SUMIFS(Gear!$G$4:$G$603,Gear!$A$4:$A$603,A25,Gear!$B$4:$B$603,"Rogue",Gear!$C$4:$C$603,Inputs!$C$5)</f>
        <v/>
      </c>
      <c r="P25" s="9">
        <f>INDEX('Class Table'!$C$4:$C$53,A25)+SUMIFS(Gear!$H$4:$H$603,Gear!$A$4:$A$603,A25,Gear!$B$4:$B$603,"Rogue",Gear!$C$4:$C$603,Inputs!$C$5)</f>
        <v/>
      </c>
      <c r="Q25" s="9">
        <f>INDEX('Class Table'!$D$4:$D$53,A25)+SUMIFS(Gear!$I$4:$I$603,Gear!$A$4:$A$603,A25,Gear!$B$4:$B$603,"Rogue",Gear!$C$4:$C$603,Inputs!$C$5)</f>
        <v/>
      </c>
      <c r="R25" s="13">
        <f>SUMIFS(Gear!$O$4:$O$603,Gear!$A$4:$A$603,A25,Gear!$B$4:$B$603,"Rogue",Gear!$C$4:$C$603,Inputs!$C$5)</f>
        <v/>
      </c>
      <c r="S25" s="26">
        <f>I25+0+G25+A25+MAX(1,A25/2)+(A25-B25)</f>
        <v/>
      </c>
      <c r="T25" s="9">
        <f>MAX(0,S25*(1+M25)*(1+L25)*Inputs!$C$20*(1-D25/Inputs!$C$19)-D25/25)</f>
        <v/>
      </c>
      <c r="U25" s="16">
        <f>H25/10*(1-MIN(0.95,N25+0))*Inputs!$C$21</f>
        <v/>
      </c>
      <c r="V25" s="27">
        <f>T25/U25</f>
        <v/>
      </c>
      <c r="W25" s="13">
        <f>IFERROR(LOOKUP(A25,Abilities!$A$38:$A$40,Abilities!$D$38:$D$40),0)</f>
        <v/>
      </c>
      <c r="X25" s="13">
        <f>Inputs!$C$16*IFERROR(LOOKUP(A25,Abilities!$A$38:$A$40,Abilities!$E$38:$E$40),0)/IFERROR(LOOKUP(A25,Abilities!$A$38:$A$40,Abilities!$F$38:$F$40),1)</f>
        <v/>
      </c>
      <c r="Y25" s="26">
        <f>I25+0+G25+A25+MAX(1,A25/2)+(A25-B25)</f>
        <v/>
      </c>
      <c r="Z25" s="9">
        <f>MAX(0,Y25*(1+M25)*(1+L25)*Inputs!$C$20*(1-D25/Inputs!$C$19)-D25/25)</f>
        <v/>
      </c>
      <c r="AA25" s="16">
        <f>H25/10*(1-MIN(0.95,N25+W25))*Inputs!$C$21</f>
        <v/>
      </c>
      <c r="AB25" s="27">
        <f>Z25/AA25</f>
        <v/>
      </c>
      <c r="AC25" s="14">
        <f>IFERROR(LOOKUP(A25,Abilities!$A$6:$A$10,Abilities!$C$6:$C$10),0)</f>
        <v/>
      </c>
      <c r="AD25" s="14">
        <f>IFERROR(LOOKUP(A25,Abilities!$A$6:$A$10,Abilities!$D$6:$D$10),1)</f>
        <v/>
      </c>
      <c r="AE25" s="9">
        <f>AC25*(I25+G25+A25)*(1+J25)*(1+K25)*Inputs!$C$20*(1+0.5*Inputs!$C$11)</f>
        <v/>
      </c>
      <c r="AF25" s="27">
        <f>AE25/AD25</f>
        <v/>
      </c>
      <c r="AG25" s="14">
        <f>IFERROR(LOOKUP(A25,Abilities!$A$44:$A$45,Abilities!$C$44:$C$45),0)</f>
        <v/>
      </c>
      <c r="AH25" s="17">
        <f>AG25/Inputs!$C$25*Inputs!$C$16*IFERROR(LOOKUP(A25,Abilities!$A$44:$A$45,Abilities!$D$44:$D$45),0)/IFERROR(LOOKUP(A25,Abilities!$A$44:$A$45,Abilities!$E$44:$E$45),1)</f>
        <v/>
      </c>
      <c r="AI25" s="27">
        <f>(1-X25)*V25+X25*AB25+AF25+AH25</f>
        <v/>
      </c>
      <c r="AJ25" s="27">
        <f>(AE25+3*AB25)/3</f>
        <v/>
      </c>
      <c r="AK25" s="28">
        <f>IFERROR(AF25/AI25,0)</f>
        <v/>
      </c>
      <c r="AL25" s="8">
        <f>IFERROR(ROUNDUP(C25/T25,0),"-")</f>
        <v/>
      </c>
      <c r="AM25" s="60">
        <f>IFERROR(C25/AI25,"-")</f>
        <v/>
      </c>
      <c r="AN25" s="9">
        <f>MAX(0,(E25+(B25-A25))*(1-R25)*(1-Q25*'Class Table'!$O$5/Inputs!$C$19)-Q25*'Class Table'!$O$5/25)</f>
        <v/>
      </c>
      <c r="AO25" s="26">
        <f>IFERROR(AN25/F25*AM25,"-")</f>
        <v/>
      </c>
      <c r="AP25" s="28">
        <f>IFERROR(AO25/O25,"-")</f>
        <v/>
      </c>
      <c r="AQ25" s="9">
        <f>IFERROR(O25*Inputs!$C$24/Inputs!$C$22*AM25,"-")</f>
        <v/>
      </c>
      <c r="AR25" s="28">
        <f>IFERROR(MAX(0,AO25-AQ25)/O25,"-")</f>
        <v/>
      </c>
    </row>
    <row r="26">
      <c r="A26" s="8" t="n">
        <v>23</v>
      </c>
      <c r="B26" s="14">
        <f>'Mob by Level'!B26</f>
        <v/>
      </c>
      <c r="C26" s="9">
        <f>'Mob by Level'!C26</f>
        <v/>
      </c>
      <c r="D26" s="9">
        <f>'Mob by Level'!D26</f>
        <v/>
      </c>
      <c r="E26" s="9">
        <f>'Mob by Level'!E26</f>
        <v/>
      </c>
      <c r="F26" s="16">
        <f>'Mob by Level'!F26</f>
        <v/>
      </c>
      <c r="G26" s="14">
        <f>SUMIFS(Gear!$D$4:$D$603,Gear!$A$4:$A$603,A26,Gear!$B$4:$B$603,"Rogue",Gear!$C$4:$C$603,Inputs!$C$5)</f>
        <v/>
      </c>
      <c r="H26" s="14">
        <f>SUMIFS(Gear!$E$4:$E$603,Gear!$A$4:$A$603,A26,Gear!$B$4:$B$603,"Rogue",Gear!$C$4:$C$603,Inputs!$C$5)</f>
        <v/>
      </c>
      <c r="I26" s="14">
        <f>SUMIFS(Gear!$F$4:$F$603,Gear!$A$4:$A$603,A26,Gear!$B$4:$B$603,"Rogue",Gear!$C$4:$C$603,Inputs!$C$5)+Inputs!$C$17*IFERROR(LOOKUP(A26,Abilities!$A$49:$A$53,Abilities!$C$49:$C$53),0)</f>
        <v/>
      </c>
      <c r="J26" s="13">
        <f>SUMIFS(Gear!$J$4:$J$603,Gear!$A$4:$A$603,A26,Gear!$B$4:$B$603,"Rogue",Gear!$C$4:$C$603,Inputs!$C$5)</f>
        <v/>
      </c>
      <c r="K26" s="13">
        <f>SUMIFS(Gear!$K$4:$K$603,Gear!$A$4:$A$603,A26,Gear!$B$4:$B$603,"Rogue",Gear!$C$4:$C$603,Inputs!$C$5)</f>
        <v/>
      </c>
      <c r="L26" s="13">
        <f>SUMIFS(Gear!$L$4:$L$603,Gear!$A$4:$A$603,A26,Gear!$B$4:$B$603,"Rogue",Gear!$C$4:$C$603,Inputs!$C$5)</f>
        <v/>
      </c>
      <c r="M26" s="13">
        <f>SUMIFS(Gear!$M$4:$M$603,Gear!$A$4:$A$603,A26,Gear!$B$4:$B$603,"Rogue",Gear!$C$4:$C$603,Inputs!$C$5)</f>
        <v/>
      </c>
      <c r="N26" s="13">
        <f>SUMIFS(Gear!$N$4:$N$603,Gear!$A$4:$A$603,A26,Gear!$B$4:$B$603,"Rogue",Gear!$C$4:$C$603,Inputs!$C$5)</f>
        <v/>
      </c>
      <c r="O26" s="9">
        <f>INDEX('Class Table'!$B$4:$B$53,A26)+SUMIFS(Gear!$G$4:$G$603,Gear!$A$4:$A$603,A26,Gear!$B$4:$B$603,"Rogue",Gear!$C$4:$C$603,Inputs!$C$5)</f>
        <v/>
      </c>
      <c r="P26" s="9">
        <f>INDEX('Class Table'!$C$4:$C$53,A26)+SUMIFS(Gear!$H$4:$H$603,Gear!$A$4:$A$603,A26,Gear!$B$4:$B$603,"Rogue",Gear!$C$4:$C$603,Inputs!$C$5)</f>
        <v/>
      </c>
      <c r="Q26" s="9">
        <f>INDEX('Class Table'!$D$4:$D$53,A26)+SUMIFS(Gear!$I$4:$I$603,Gear!$A$4:$A$603,A26,Gear!$B$4:$B$603,"Rogue",Gear!$C$4:$C$603,Inputs!$C$5)</f>
        <v/>
      </c>
      <c r="R26" s="13">
        <f>SUMIFS(Gear!$O$4:$O$603,Gear!$A$4:$A$603,A26,Gear!$B$4:$B$603,"Rogue",Gear!$C$4:$C$603,Inputs!$C$5)</f>
        <v/>
      </c>
      <c r="S26" s="26">
        <f>I26+0+G26+A26+MAX(1,A26/2)+(A26-B26)</f>
        <v/>
      </c>
      <c r="T26" s="9">
        <f>MAX(0,S26*(1+M26)*(1+L26)*Inputs!$C$20*(1-D26/Inputs!$C$19)-D26/25)</f>
        <v/>
      </c>
      <c r="U26" s="16">
        <f>H26/10*(1-MIN(0.95,N26+0))*Inputs!$C$21</f>
        <v/>
      </c>
      <c r="V26" s="27">
        <f>T26/U26</f>
        <v/>
      </c>
      <c r="W26" s="13">
        <f>IFERROR(LOOKUP(A26,Abilities!$A$38:$A$40,Abilities!$D$38:$D$40),0)</f>
        <v/>
      </c>
      <c r="X26" s="13">
        <f>Inputs!$C$16*IFERROR(LOOKUP(A26,Abilities!$A$38:$A$40,Abilities!$E$38:$E$40),0)/IFERROR(LOOKUP(A26,Abilities!$A$38:$A$40,Abilities!$F$38:$F$40),1)</f>
        <v/>
      </c>
      <c r="Y26" s="26">
        <f>I26+0+G26+A26+MAX(1,A26/2)+(A26-B26)</f>
        <v/>
      </c>
      <c r="Z26" s="9">
        <f>MAX(0,Y26*(1+M26)*(1+L26)*Inputs!$C$20*(1-D26/Inputs!$C$19)-D26/25)</f>
        <v/>
      </c>
      <c r="AA26" s="16">
        <f>H26/10*(1-MIN(0.95,N26+W26))*Inputs!$C$21</f>
        <v/>
      </c>
      <c r="AB26" s="27">
        <f>Z26/AA26</f>
        <v/>
      </c>
      <c r="AC26" s="14">
        <f>IFERROR(LOOKUP(A26,Abilities!$A$6:$A$10,Abilities!$C$6:$C$10),0)</f>
        <v/>
      </c>
      <c r="AD26" s="14">
        <f>IFERROR(LOOKUP(A26,Abilities!$A$6:$A$10,Abilities!$D$6:$D$10),1)</f>
        <v/>
      </c>
      <c r="AE26" s="9">
        <f>AC26*(I26+G26+A26)*(1+J26)*(1+K26)*Inputs!$C$20*(1+0.5*Inputs!$C$11)</f>
        <v/>
      </c>
      <c r="AF26" s="27">
        <f>AE26/AD26</f>
        <v/>
      </c>
      <c r="AG26" s="14">
        <f>IFERROR(LOOKUP(A26,Abilities!$A$44:$A$45,Abilities!$C$44:$C$45),0)</f>
        <v/>
      </c>
      <c r="AH26" s="17">
        <f>AG26/Inputs!$C$25*Inputs!$C$16*IFERROR(LOOKUP(A26,Abilities!$A$44:$A$45,Abilities!$D$44:$D$45),0)/IFERROR(LOOKUP(A26,Abilities!$A$44:$A$45,Abilities!$E$44:$E$45),1)</f>
        <v/>
      </c>
      <c r="AI26" s="27">
        <f>(1-X26)*V26+X26*AB26+AF26+AH26</f>
        <v/>
      </c>
      <c r="AJ26" s="27">
        <f>(AE26+3*AB26)/3</f>
        <v/>
      </c>
      <c r="AK26" s="28">
        <f>IFERROR(AF26/AI26,0)</f>
        <v/>
      </c>
      <c r="AL26" s="8">
        <f>IFERROR(ROUNDUP(C26/T26,0),"-")</f>
        <v/>
      </c>
      <c r="AM26" s="60">
        <f>IFERROR(C26/AI26,"-")</f>
        <v/>
      </c>
      <c r="AN26" s="9">
        <f>MAX(0,(E26+(B26-A26))*(1-R26)*(1-Q26*'Class Table'!$O$5/Inputs!$C$19)-Q26*'Class Table'!$O$5/25)</f>
        <v/>
      </c>
      <c r="AO26" s="26">
        <f>IFERROR(AN26/F26*AM26,"-")</f>
        <v/>
      </c>
      <c r="AP26" s="28">
        <f>IFERROR(AO26/O26,"-")</f>
        <v/>
      </c>
      <c r="AQ26" s="9">
        <f>IFERROR(O26*Inputs!$C$24/Inputs!$C$22*AM26,"-")</f>
        <v/>
      </c>
      <c r="AR26" s="28">
        <f>IFERROR(MAX(0,AO26-AQ26)/O26,"-")</f>
        <v/>
      </c>
    </row>
    <row r="27">
      <c r="A27" s="8" t="n">
        <v>24</v>
      </c>
      <c r="B27" s="14">
        <f>'Mob by Level'!B27</f>
        <v/>
      </c>
      <c r="C27" s="9">
        <f>'Mob by Level'!C27</f>
        <v/>
      </c>
      <c r="D27" s="9">
        <f>'Mob by Level'!D27</f>
        <v/>
      </c>
      <c r="E27" s="9">
        <f>'Mob by Level'!E27</f>
        <v/>
      </c>
      <c r="F27" s="16">
        <f>'Mob by Level'!F27</f>
        <v/>
      </c>
      <c r="G27" s="14">
        <f>SUMIFS(Gear!$D$4:$D$603,Gear!$A$4:$A$603,A27,Gear!$B$4:$B$603,"Rogue",Gear!$C$4:$C$603,Inputs!$C$5)</f>
        <v/>
      </c>
      <c r="H27" s="14">
        <f>SUMIFS(Gear!$E$4:$E$603,Gear!$A$4:$A$603,A27,Gear!$B$4:$B$603,"Rogue",Gear!$C$4:$C$603,Inputs!$C$5)</f>
        <v/>
      </c>
      <c r="I27" s="14">
        <f>SUMIFS(Gear!$F$4:$F$603,Gear!$A$4:$A$603,A27,Gear!$B$4:$B$603,"Rogue",Gear!$C$4:$C$603,Inputs!$C$5)+Inputs!$C$17*IFERROR(LOOKUP(A27,Abilities!$A$49:$A$53,Abilities!$C$49:$C$53),0)</f>
        <v/>
      </c>
      <c r="J27" s="13">
        <f>SUMIFS(Gear!$J$4:$J$603,Gear!$A$4:$A$603,A27,Gear!$B$4:$B$603,"Rogue",Gear!$C$4:$C$603,Inputs!$C$5)</f>
        <v/>
      </c>
      <c r="K27" s="13">
        <f>SUMIFS(Gear!$K$4:$K$603,Gear!$A$4:$A$603,A27,Gear!$B$4:$B$603,"Rogue",Gear!$C$4:$C$603,Inputs!$C$5)</f>
        <v/>
      </c>
      <c r="L27" s="13">
        <f>SUMIFS(Gear!$L$4:$L$603,Gear!$A$4:$A$603,A27,Gear!$B$4:$B$603,"Rogue",Gear!$C$4:$C$603,Inputs!$C$5)</f>
        <v/>
      </c>
      <c r="M27" s="13">
        <f>SUMIFS(Gear!$M$4:$M$603,Gear!$A$4:$A$603,A27,Gear!$B$4:$B$603,"Rogue",Gear!$C$4:$C$603,Inputs!$C$5)</f>
        <v/>
      </c>
      <c r="N27" s="13">
        <f>SUMIFS(Gear!$N$4:$N$603,Gear!$A$4:$A$603,A27,Gear!$B$4:$B$603,"Rogue",Gear!$C$4:$C$603,Inputs!$C$5)</f>
        <v/>
      </c>
      <c r="O27" s="9">
        <f>INDEX('Class Table'!$B$4:$B$53,A27)+SUMIFS(Gear!$G$4:$G$603,Gear!$A$4:$A$603,A27,Gear!$B$4:$B$603,"Rogue",Gear!$C$4:$C$603,Inputs!$C$5)</f>
        <v/>
      </c>
      <c r="P27" s="9">
        <f>INDEX('Class Table'!$C$4:$C$53,A27)+SUMIFS(Gear!$H$4:$H$603,Gear!$A$4:$A$603,A27,Gear!$B$4:$B$603,"Rogue",Gear!$C$4:$C$603,Inputs!$C$5)</f>
        <v/>
      </c>
      <c r="Q27" s="9">
        <f>INDEX('Class Table'!$D$4:$D$53,A27)+SUMIFS(Gear!$I$4:$I$603,Gear!$A$4:$A$603,A27,Gear!$B$4:$B$603,"Rogue",Gear!$C$4:$C$603,Inputs!$C$5)</f>
        <v/>
      </c>
      <c r="R27" s="13">
        <f>SUMIFS(Gear!$O$4:$O$603,Gear!$A$4:$A$603,A27,Gear!$B$4:$B$603,"Rogue",Gear!$C$4:$C$603,Inputs!$C$5)</f>
        <v/>
      </c>
      <c r="S27" s="26">
        <f>I27+0+G27+A27+MAX(1,A27/2)+(A27-B27)</f>
        <v/>
      </c>
      <c r="T27" s="9">
        <f>MAX(0,S27*(1+M27)*(1+L27)*Inputs!$C$20*(1-D27/Inputs!$C$19)-D27/25)</f>
        <v/>
      </c>
      <c r="U27" s="16">
        <f>H27/10*(1-MIN(0.95,N27+0))*Inputs!$C$21</f>
        <v/>
      </c>
      <c r="V27" s="27">
        <f>T27/U27</f>
        <v/>
      </c>
      <c r="W27" s="13">
        <f>IFERROR(LOOKUP(A27,Abilities!$A$38:$A$40,Abilities!$D$38:$D$40),0)</f>
        <v/>
      </c>
      <c r="X27" s="13">
        <f>Inputs!$C$16*IFERROR(LOOKUP(A27,Abilities!$A$38:$A$40,Abilities!$E$38:$E$40),0)/IFERROR(LOOKUP(A27,Abilities!$A$38:$A$40,Abilities!$F$38:$F$40),1)</f>
        <v/>
      </c>
      <c r="Y27" s="26">
        <f>I27+0+G27+A27+MAX(1,A27/2)+(A27-B27)</f>
        <v/>
      </c>
      <c r="Z27" s="9">
        <f>MAX(0,Y27*(1+M27)*(1+L27)*Inputs!$C$20*(1-D27/Inputs!$C$19)-D27/25)</f>
        <v/>
      </c>
      <c r="AA27" s="16">
        <f>H27/10*(1-MIN(0.95,N27+W27))*Inputs!$C$21</f>
        <v/>
      </c>
      <c r="AB27" s="27">
        <f>Z27/AA27</f>
        <v/>
      </c>
      <c r="AC27" s="14">
        <f>IFERROR(LOOKUP(A27,Abilities!$A$6:$A$10,Abilities!$C$6:$C$10),0)</f>
        <v/>
      </c>
      <c r="AD27" s="14">
        <f>IFERROR(LOOKUP(A27,Abilities!$A$6:$A$10,Abilities!$D$6:$D$10),1)</f>
        <v/>
      </c>
      <c r="AE27" s="9">
        <f>AC27*(I27+G27+A27)*(1+J27)*(1+K27)*Inputs!$C$20*(1+0.5*Inputs!$C$11)</f>
        <v/>
      </c>
      <c r="AF27" s="27">
        <f>AE27/AD27</f>
        <v/>
      </c>
      <c r="AG27" s="14">
        <f>IFERROR(LOOKUP(A27,Abilities!$A$44:$A$45,Abilities!$C$44:$C$45),0)</f>
        <v/>
      </c>
      <c r="AH27" s="17">
        <f>AG27/Inputs!$C$25*Inputs!$C$16*IFERROR(LOOKUP(A27,Abilities!$A$44:$A$45,Abilities!$D$44:$D$45),0)/IFERROR(LOOKUP(A27,Abilities!$A$44:$A$45,Abilities!$E$44:$E$45),1)</f>
        <v/>
      </c>
      <c r="AI27" s="27">
        <f>(1-X27)*V27+X27*AB27+AF27+AH27</f>
        <v/>
      </c>
      <c r="AJ27" s="27">
        <f>(AE27+3*AB27)/3</f>
        <v/>
      </c>
      <c r="AK27" s="28">
        <f>IFERROR(AF27/AI27,0)</f>
        <v/>
      </c>
      <c r="AL27" s="8">
        <f>IFERROR(ROUNDUP(C27/T27,0),"-")</f>
        <v/>
      </c>
      <c r="AM27" s="60">
        <f>IFERROR(C27/AI27,"-")</f>
        <v/>
      </c>
      <c r="AN27" s="9">
        <f>MAX(0,(E27+(B27-A27))*(1-R27)*(1-Q27*'Class Table'!$O$5/Inputs!$C$19)-Q27*'Class Table'!$O$5/25)</f>
        <v/>
      </c>
      <c r="AO27" s="26">
        <f>IFERROR(AN27/F27*AM27,"-")</f>
        <v/>
      </c>
      <c r="AP27" s="28">
        <f>IFERROR(AO27/O27,"-")</f>
        <v/>
      </c>
      <c r="AQ27" s="9">
        <f>IFERROR(O27*Inputs!$C$24/Inputs!$C$22*AM27,"-")</f>
        <v/>
      </c>
      <c r="AR27" s="28">
        <f>IFERROR(MAX(0,AO27-AQ27)/O27,"-")</f>
        <v/>
      </c>
    </row>
    <row r="28">
      <c r="A28" s="8" t="n">
        <v>25</v>
      </c>
      <c r="B28" s="14">
        <f>'Mob by Level'!B28</f>
        <v/>
      </c>
      <c r="C28" s="9">
        <f>'Mob by Level'!C28</f>
        <v/>
      </c>
      <c r="D28" s="9">
        <f>'Mob by Level'!D28</f>
        <v/>
      </c>
      <c r="E28" s="9">
        <f>'Mob by Level'!E28</f>
        <v/>
      </c>
      <c r="F28" s="16">
        <f>'Mob by Level'!F28</f>
        <v/>
      </c>
      <c r="G28" s="14">
        <f>SUMIFS(Gear!$D$4:$D$603,Gear!$A$4:$A$603,A28,Gear!$B$4:$B$603,"Rogue",Gear!$C$4:$C$603,Inputs!$C$5)</f>
        <v/>
      </c>
      <c r="H28" s="14">
        <f>SUMIFS(Gear!$E$4:$E$603,Gear!$A$4:$A$603,A28,Gear!$B$4:$B$603,"Rogue",Gear!$C$4:$C$603,Inputs!$C$5)</f>
        <v/>
      </c>
      <c r="I28" s="14">
        <f>SUMIFS(Gear!$F$4:$F$603,Gear!$A$4:$A$603,A28,Gear!$B$4:$B$603,"Rogue",Gear!$C$4:$C$603,Inputs!$C$5)+Inputs!$C$17*IFERROR(LOOKUP(A28,Abilities!$A$49:$A$53,Abilities!$C$49:$C$53),0)</f>
        <v/>
      </c>
      <c r="J28" s="13">
        <f>SUMIFS(Gear!$J$4:$J$603,Gear!$A$4:$A$603,A28,Gear!$B$4:$B$603,"Rogue",Gear!$C$4:$C$603,Inputs!$C$5)</f>
        <v/>
      </c>
      <c r="K28" s="13">
        <f>SUMIFS(Gear!$K$4:$K$603,Gear!$A$4:$A$603,A28,Gear!$B$4:$B$603,"Rogue",Gear!$C$4:$C$603,Inputs!$C$5)</f>
        <v/>
      </c>
      <c r="L28" s="13">
        <f>SUMIFS(Gear!$L$4:$L$603,Gear!$A$4:$A$603,A28,Gear!$B$4:$B$603,"Rogue",Gear!$C$4:$C$603,Inputs!$C$5)</f>
        <v/>
      </c>
      <c r="M28" s="13">
        <f>SUMIFS(Gear!$M$4:$M$603,Gear!$A$4:$A$603,A28,Gear!$B$4:$B$603,"Rogue",Gear!$C$4:$C$603,Inputs!$C$5)</f>
        <v/>
      </c>
      <c r="N28" s="13">
        <f>SUMIFS(Gear!$N$4:$N$603,Gear!$A$4:$A$603,A28,Gear!$B$4:$B$603,"Rogue",Gear!$C$4:$C$603,Inputs!$C$5)</f>
        <v/>
      </c>
      <c r="O28" s="9">
        <f>INDEX('Class Table'!$B$4:$B$53,A28)+SUMIFS(Gear!$G$4:$G$603,Gear!$A$4:$A$603,A28,Gear!$B$4:$B$603,"Rogue",Gear!$C$4:$C$603,Inputs!$C$5)</f>
        <v/>
      </c>
      <c r="P28" s="9">
        <f>INDEX('Class Table'!$C$4:$C$53,A28)+SUMIFS(Gear!$H$4:$H$603,Gear!$A$4:$A$603,A28,Gear!$B$4:$B$603,"Rogue",Gear!$C$4:$C$603,Inputs!$C$5)</f>
        <v/>
      </c>
      <c r="Q28" s="9">
        <f>INDEX('Class Table'!$D$4:$D$53,A28)+SUMIFS(Gear!$I$4:$I$603,Gear!$A$4:$A$603,A28,Gear!$B$4:$B$603,"Rogue",Gear!$C$4:$C$603,Inputs!$C$5)</f>
        <v/>
      </c>
      <c r="R28" s="13">
        <f>SUMIFS(Gear!$O$4:$O$603,Gear!$A$4:$A$603,A28,Gear!$B$4:$B$603,"Rogue",Gear!$C$4:$C$603,Inputs!$C$5)</f>
        <v/>
      </c>
      <c r="S28" s="26">
        <f>I28+0+G28+A28+MAX(1,A28/2)+(A28-B28)</f>
        <v/>
      </c>
      <c r="T28" s="9">
        <f>MAX(0,S28*(1+M28)*(1+L28)*Inputs!$C$20*(1-D28/Inputs!$C$19)-D28/25)</f>
        <v/>
      </c>
      <c r="U28" s="16">
        <f>H28/10*(1-MIN(0.95,N28+0))*Inputs!$C$21</f>
        <v/>
      </c>
      <c r="V28" s="27">
        <f>T28/U28</f>
        <v/>
      </c>
      <c r="W28" s="13">
        <f>IFERROR(LOOKUP(A28,Abilities!$A$38:$A$40,Abilities!$D$38:$D$40),0)</f>
        <v/>
      </c>
      <c r="X28" s="13">
        <f>Inputs!$C$16*IFERROR(LOOKUP(A28,Abilities!$A$38:$A$40,Abilities!$E$38:$E$40),0)/IFERROR(LOOKUP(A28,Abilities!$A$38:$A$40,Abilities!$F$38:$F$40),1)</f>
        <v/>
      </c>
      <c r="Y28" s="26">
        <f>I28+0+G28+A28+MAX(1,A28/2)+(A28-B28)</f>
        <v/>
      </c>
      <c r="Z28" s="9">
        <f>MAX(0,Y28*(1+M28)*(1+L28)*Inputs!$C$20*(1-D28/Inputs!$C$19)-D28/25)</f>
        <v/>
      </c>
      <c r="AA28" s="16">
        <f>H28/10*(1-MIN(0.95,N28+W28))*Inputs!$C$21</f>
        <v/>
      </c>
      <c r="AB28" s="27">
        <f>Z28/AA28</f>
        <v/>
      </c>
      <c r="AC28" s="14">
        <f>IFERROR(LOOKUP(A28,Abilities!$A$6:$A$10,Abilities!$C$6:$C$10),0)</f>
        <v/>
      </c>
      <c r="AD28" s="14">
        <f>IFERROR(LOOKUP(A28,Abilities!$A$6:$A$10,Abilities!$D$6:$D$10),1)</f>
        <v/>
      </c>
      <c r="AE28" s="9">
        <f>AC28*(I28+G28+A28)*(1+J28)*(1+K28)*Inputs!$C$20*(1+0.5*Inputs!$C$11)</f>
        <v/>
      </c>
      <c r="AF28" s="27">
        <f>AE28/AD28</f>
        <v/>
      </c>
      <c r="AG28" s="14">
        <f>IFERROR(LOOKUP(A28,Abilities!$A$44:$A$45,Abilities!$C$44:$C$45),0)</f>
        <v/>
      </c>
      <c r="AH28" s="17">
        <f>AG28/Inputs!$C$25*Inputs!$C$16*IFERROR(LOOKUP(A28,Abilities!$A$44:$A$45,Abilities!$D$44:$D$45),0)/IFERROR(LOOKUP(A28,Abilities!$A$44:$A$45,Abilities!$E$44:$E$45),1)</f>
        <v/>
      </c>
      <c r="AI28" s="27">
        <f>(1-X28)*V28+X28*AB28+AF28+AH28</f>
        <v/>
      </c>
      <c r="AJ28" s="27">
        <f>(AE28+3*AB28)/3</f>
        <v/>
      </c>
      <c r="AK28" s="28">
        <f>IFERROR(AF28/AI28,0)</f>
        <v/>
      </c>
      <c r="AL28" s="8">
        <f>IFERROR(ROUNDUP(C28/T28,0),"-")</f>
        <v/>
      </c>
      <c r="AM28" s="60">
        <f>IFERROR(C28/AI28,"-")</f>
        <v/>
      </c>
      <c r="AN28" s="9">
        <f>MAX(0,(E28+(B28-A28))*(1-R28)*(1-Q28*'Class Table'!$O$5/Inputs!$C$19)-Q28*'Class Table'!$O$5/25)</f>
        <v/>
      </c>
      <c r="AO28" s="26">
        <f>IFERROR(AN28/F28*AM28,"-")</f>
        <v/>
      </c>
      <c r="AP28" s="28">
        <f>IFERROR(AO28/O28,"-")</f>
        <v/>
      </c>
      <c r="AQ28" s="9">
        <f>IFERROR(O28*Inputs!$C$24/Inputs!$C$22*AM28,"-")</f>
        <v/>
      </c>
      <c r="AR28" s="28">
        <f>IFERROR(MAX(0,AO28-AQ28)/O28,"-")</f>
        <v/>
      </c>
    </row>
    <row r="29">
      <c r="A29" s="8" t="n">
        <v>26</v>
      </c>
      <c r="B29" s="14">
        <f>'Mob by Level'!B29</f>
        <v/>
      </c>
      <c r="C29" s="9">
        <f>'Mob by Level'!C29</f>
        <v/>
      </c>
      <c r="D29" s="9">
        <f>'Mob by Level'!D29</f>
        <v/>
      </c>
      <c r="E29" s="9">
        <f>'Mob by Level'!E29</f>
        <v/>
      </c>
      <c r="F29" s="16">
        <f>'Mob by Level'!F29</f>
        <v/>
      </c>
      <c r="G29" s="14">
        <f>SUMIFS(Gear!$D$4:$D$603,Gear!$A$4:$A$603,A29,Gear!$B$4:$B$603,"Rogue",Gear!$C$4:$C$603,Inputs!$C$5)</f>
        <v/>
      </c>
      <c r="H29" s="14">
        <f>SUMIFS(Gear!$E$4:$E$603,Gear!$A$4:$A$603,A29,Gear!$B$4:$B$603,"Rogue",Gear!$C$4:$C$603,Inputs!$C$5)</f>
        <v/>
      </c>
      <c r="I29" s="14">
        <f>SUMIFS(Gear!$F$4:$F$603,Gear!$A$4:$A$603,A29,Gear!$B$4:$B$603,"Rogue",Gear!$C$4:$C$603,Inputs!$C$5)+Inputs!$C$17*IFERROR(LOOKUP(A29,Abilities!$A$49:$A$53,Abilities!$C$49:$C$53),0)</f>
        <v/>
      </c>
      <c r="J29" s="13">
        <f>SUMIFS(Gear!$J$4:$J$603,Gear!$A$4:$A$603,A29,Gear!$B$4:$B$603,"Rogue",Gear!$C$4:$C$603,Inputs!$C$5)</f>
        <v/>
      </c>
      <c r="K29" s="13">
        <f>SUMIFS(Gear!$K$4:$K$603,Gear!$A$4:$A$603,A29,Gear!$B$4:$B$603,"Rogue",Gear!$C$4:$C$603,Inputs!$C$5)</f>
        <v/>
      </c>
      <c r="L29" s="13">
        <f>SUMIFS(Gear!$L$4:$L$603,Gear!$A$4:$A$603,A29,Gear!$B$4:$B$603,"Rogue",Gear!$C$4:$C$603,Inputs!$C$5)</f>
        <v/>
      </c>
      <c r="M29" s="13">
        <f>SUMIFS(Gear!$M$4:$M$603,Gear!$A$4:$A$603,A29,Gear!$B$4:$B$603,"Rogue",Gear!$C$4:$C$603,Inputs!$C$5)</f>
        <v/>
      </c>
      <c r="N29" s="13">
        <f>SUMIFS(Gear!$N$4:$N$603,Gear!$A$4:$A$603,A29,Gear!$B$4:$B$603,"Rogue",Gear!$C$4:$C$603,Inputs!$C$5)</f>
        <v/>
      </c>
      <c r="O29" s="9">
        <f>INDEX('Class Table'!$B$4:$B$53,A29)+SUMIFS(Gear!$G$4:$G$603,Gear!$A$4:$A$603,A29,Gear!$B$4:$B$603,"Rogue",Gear!$C$4:$C$603,Inputs!$C$5)</f>
        <v/>
      </c>
      <c r="P29" s="9">
        <f>INDEX('Class Table'!$C$4:$C$53,A29)+SUMIFS(Gear!$H$4:$H$603,Gear!$A$4:$A$603,A29,Gear!$B$4:$B$603,"Rogue",Gear!$C$4:$C$603,Inputs!$C$5)</f>
        <v/>
      </c>
      <c r="Q29" s="9">
        <f>INDEX('Class Table'!$D$4:$D$53,A29)+SUMIFS(Gear!$I$4:$I$603,Gear!$A$4:$A$603,A29,Gear!$B$4:$B$603,"Rogue",Gear!$C$4:$C$603,Inputs!$C$5)</f>
        <v/>
      </c>
      <c r="R29" s="13">
        <f>SUMIFS(Gear!$O$4:$O$603,Gear!$A$4:$A$603,A29,Gear!$B$4:$B$603,"Rogue",Gear!$C$4:$C$603,Inputs!$C$5)</f>
        <v/>
      </c>
      <c r="S29" s="26">
        <f>I29+0+G29+A29+MAX(1,A29/2)+(A29-B29)</f>
        <v/>
      </c>
      <c r="T29" s="9">
        <f>MAX(0,S29*(1+M29)*(1+L29)*Inputs!$C$20*(1-D29/Inputs!$C$19)-D29/25)</f>
        <v/>
      </c>
      <c r="U29" s="16">
        <f>H29/10*(1-MIN(0.95,N29+0))*Inputs!$C$21</f>
        <v/>
      </c>
      <c r="V29" s="27">
        <f>T29/U29</f>
        <v/>
      </c>
      <c r="W29" s="13">
        <f>IFERROR(LOOKUP(A29,Abilities!$A$38:$A$40,Abilities!$D$38:$D$40),0)</f>
        <v/>
      </c>
      <c r="X29" s="13">
        <f>Inputs!$C$16*IFERROR(LOOKUP(A29,Abilities!$A$38:$A$40,Abilities!$E$38:$E$40),0)/IFERROR(LOOKUP(A29,Abilities!$A$38:$A$40,Abilities!$F$38:$F$40),1)</f>
        <v/>
      </c>
      <c r="Y29" s="26">
        <f>I29+0+G29+A29+MAX(1,A29/2)+(A29-B29)</f>
        <v/>
      </c>
      <c r="Z29" s="9">
        <f>MAX(0,Y29*(1+M29)*(1+L29)*Inputs!$C$20*(1-D29/Inputs!$C$19)-D29/25)</f>
        <v/>
      </c>
      <c r="AA29" s="16">
        <f>H29/10*(1-MIN(0.95,N29+W29))*Inputs!$C$21</f>
        <v/>
      </c>
      <c r="AB29" s="27">
        <f>Z29/AA29</f>
        <v/>
      </c>
      <c r="AC29" s="14">
        <f>IFERROR(LOOKUP(A29,Abilities!$A$6:$A$10,Abilities!$C$6:$C$10),0)</f>
        <v/>
      </c>
      <c r="AD29" s="14">
        <f>IFERROR(LOOKUP(A29,Abilities!$A$6:$A$10,Abilities!$D$6:$D$10),1)</f>
        <v/>
      </c>
      <c r="AE29" s="9">
        <f>AC29*(I29+G29+A29)*(1+J29)*(1+K29)*Inputs!$C$20*(1+0.5*Inputs!$C$11)</f>
        <v/>
      </c>
      <c r="AF29" s="27">
        <f>AE29/AD29</f>
        <v/>
      </c>
      <c r="AG29" s="14">
        <f>IFERROR(LOOKUP(A29,Abilities!$A$44:$A$45,Abilities!$C$44:$C$45),0)</f>
        <v/>
      </c>
      <c r="AH29" s="17">
        <f>AG29/Inputs!$C$25*Inputs!$C$16*IFERROR(LOOKUP(A29,Abilities!$A$44:$A$45,Abilities!$D$44:$D$45),0)/IFERROR(LOOKUP(A29,Abilities!$A$44:$A$45,Abilities!$E$44:$E$45),1)</f>
        <v/>
      </c>
      <c r="AI29" s="27">
        <f>(1-X29)*V29+X29*AB29+AF29+AH29</f>
        <v/>
      </c>
      <c r="AJ29" s="27">
        <f>(AE29+3*AB29)/3</f>
        <v/>
      </c>
      <c r="AK29" s="28">
        <f>IFERROR(AF29/AI29,0)</f>
        <v/>
      </c>
      <c r="AL29" s="8">
        <f>IFERROR(ROUNDUP(C29/T29,0),"-")</f>
        <v/>
      </c>
      <c r="AM29" s="60">
        <f>IFERROR(C29/AI29,"-")</f>
        <v/>
      </c>
      <c r="AN29" s="9">
        <f>MAX(0,(E29+(B29-A29))*(1-R29)*(1-Q29*'Class Table'!$O$5/Inputs!$C$19)-Q29*'Class Table'!$O$5/25)</f>
        <v/>
      </c>
      <c r="AO29" s="26">
        <f>IFERROR(AN29/F29*AM29,"-")</f>
        <v/>
      </c>
      <c r="AP29" s="28">
        <f>IFERROR(AO29/O29,"-")</f>
        <v/>
      </c>
      <c r="AQ29" s="9">
        <f>IFERROR(O29*Inputs!$C$24/Inputs!$C$22*AM29,"-")</f>
        <v/>
      </c>
      <c r="AR29" s="28">
        <f>IFERROR(MAX(0,AO29-AQ29)/O29,"-")</f>
        <v/>
      </c>
    </row>
    <row r="30">
      <c r="A30" s="8" t="n">
        <v>27</v>
      </c>
      <c r="B30" s="14">
        <f>'Mob by Level'!B30</f>
        <v/>
      </c>
      <c r="C30" s="9">
        <f>'Mob by Level'!C30</f>
        <v/>
      </c>
      <c r="D30" s="9">
        <f>'Mob by Level'!D30</f>
        <v/>
      </c>
      <c r="E30" s="9">
        <f>'Mob by Level'!E30</f>
        <v/>
      </c>
      <c r="F30" s="16">
        <f>'Mob by Level'!F30</f>
        <v/>
      </c>
      <c r="G30" s="14">
        <f>SUMIFS(Gear!$D$4:$D$603,Gear!$A$4:$A$603,A30,Gear!$B$4:$B$603,"Rogue",Gear!$C$4:$C$603,Inputs!$C$5)</f>
        <v/>
      </c>
      <c r="H30" s="14">
        <f>SUMIFS(Gear!$E$4:$E$603,Gear!$A$4:$A$603,A30,Gear!$B$4:$B$603,"Rogue",Gear!$C$4:$C$603,Inputs!$C$5)</f>
        <v/>
      </c>
      <c r="I30" s="14">
        <f>SUMIFS(Gear!$F$4:$F$603,Gear!$A$4:$A$603,A30,Gear!$B$4:$B$603,"Rogue",Gear!$C$4:$C$603,Inputs!$C$5)+Inputs!$C$17*IFERROR(LOOKUP(A30,Abilities!$A$49:$A$53,Abilities!$C$49:$C$53),0)</f>
        <v/>
      </c>
      <c r="J30" s="13">
        <f>SUMIFS(Gear!$J$4:$J$603,Gear!$A$4:$A$603,A30,Gear!$B$4:$B$603,"Rogue",Gear!$C$4:$C$603,Inputs!$C$5)</f>
        <v/>
      </c>
      <c r="K30" s="13">
        <f>SUMIFS(Gear!$K$4:$K$603,Gear!$A$4:$A$603,A30,Gear!$B$4:$B$603,"Rogue",Gear!$C$4:$C$603,Inputs!$C$5)</f>
        <v/>
      </c>
      <c r="L30" s="13">
        <f>SUMIFS(Gear!$L$4:$L$603,Gear!$A$4:$A$603,A30,Gear!$B$4:$B$603,"Rogue",Gear!$C$4:$C$603,Inputs!$C$5)</f>
        <v/>
      </c>
      <c r="M30" s="13">
        <f>SUMIFS(Gear!$M$4:$M$603,Gear!$A$4:$A$603,A30,Gear!$B$4:$B$603,"Rogue",Gear!$C$4:$C$603,Inputs!$C$5)</f>
        <v/>
      </c>
      <c r="N30" s="13">
        <f>SUMIFS(Gear!$N$4:$N$603,Gear!$A$4:$A$603,A30,Gear!$B$4:$B$603,"Rogue",Gear!$C$4:$C$603,Inputs!$C$5)</f>
        <v/>
      </c>
      <c r="O30" s="9">
        <f>INDEX('Class Table'!$B$4:$B$53,A30)+SUMIFS(Gear!$G$4:$G$603,Gear!$A$4:$A$603,A30,Gear!$B$4:$B$603,"Rogue",Gear!$C$4:$C$603,Inputs!$C$5)</f>
        <v/>
      </c>
      <c r="P30" s="9">
        <f>INDEX('Class Table'!$C$4:$C$53,A30)+SUMIFS(Gear!$H$4:$H$603,Gear!$A$4:$A$603,A30,Gear!$B$4:$B$603,"Rogue",Gear!$C$4:$C$603,Inputs!$C$5)</f>
        <v/>
      </c>
      <c r="Q30" s="9">
        <f>INDEX('Class Table'!$D$4:$D$53,A30)+SUMIFS(Gear!$I$4:$I$603,Gear!$A$4:$A$603,A30,Gear!$B$4:$B$603,"Rogue",Gear!$C$4:$C$603,Inputs!$C$5)</f>
        <v/>
      </c>
      <c r="R30" s="13">
        <f>SUMIFS(Gear!$O$4:$O$603,Gear!$A$4:$A$603,A30,Gear!$B$4:$B$603,"Rogue",Gear!$C$4:$C$603,Inputs!$C$5)</f>
        <v/>
      </c>
      <c r="S30" s="26">
        <f>I30+0+G30+A30+MAX(1,A30/2)+(A30-B30)</f>
        <v/>
      </c>
      <c r="T30" s="9">
        <f>MAX(0,S30*(1+M30)*(1+L30)*Inputs!$C$20*(1-D30/Inputs!$C$19)-D30/25)</f>
        <v/>
      </c>
      <c r="U30" s="16">
        <f>H30/10*(1-MIN(0.95,N30+0))*Inputs!$C$21</f>
        <v/>
      </c>
      <c r="V30" s="27">
        <f>T30/U30</f>
        <v/>
      </c>
      <c r="W30" s="13">
        <f>IFERROR(LOOKUP(A30,Abilities!$A$38:$A$40,Abilities!$D$38:$D$40),0)</f>
        <v/>
      </c>
      <c r="X30" s="13">
        <f>Inputs!$C$16*IFERROR(LOOKUP(A30,Abilities!$A$38:$A$40,Abilities!$E$38:$E$40),0)/IFERROR(LOOKUP(A30,Abilities!$A$38:$A$40,Abilities!$F$38:$F$40),1)</f>
        <v/>
      </c>
      <c r="Y30" s="26">
        <f>I30+0+G30+A30+MAX(1,A30/2)+(A30-B30)</f>
        <v/>
      </c>
      <c r="Z30" s="9">
        <f>MAX(0,Y30*(1+M30)*(1+L30)*Inputs!$C$20*(1-D30/Inputs!$C$19)-D30/25)</f>
        <v/>
      </c>
      <c r="AA30" s="16">
        <f>H30/10*(1-MIN(0.95,N30+W30))*Inputs!$C$21</f>
        <v/>
      </c>
      <c r="AB30" s="27">
        <f>Z30/AA30</f>
        <v/>
      </c>
      <c r="AC30" s="14">
        <f>IFERROR(LOOKUP(A30,Abilities!$A$6:$A$10,Abilities!$C$6:$C$10),0)</f>
        <v/>
      </c>
      <c r="AD30" s="14">
        <f>IFERROR(LOOKUP(A30,Abilities!$A$6:$A$10,Abilities!$D$6:$D$10),1)</f>
        <v/>
      </c>
      <c r="AE30" s="9">
        <f>AC30*(I30+G30+A30)*(1+J30)*(1+K30)*Inputs!$C$20*(1+0.5*Inputs!$C$11)</f>
        <v/>
      </c>
      <c r="AF30" s="27">
        <f>AE30/AD30</f>
        <v/>
      </c>
      <c r="AG30" s="14">
        <f>IFERROR(LOOKUP(A30,Abilities!$A$44:$A$45,Abilities!$C$44:$C$45),0)</f>
        <v/>
      </c>
      <c r="AH30" s="17">
        <f>AG30/Inputs!$C$25*Inputs!$C$16*IFERROR(LOOKUP(A30,Abilities!$A$44:$A$45,Abilities!$D$44:$D$45),0)/IFERROR(LOOKUP(A30,Abilities!$A$44:$A$45,Abilities!$E$44:$E$45),1)</f>
        <v/>
      </c>
      <c r="AI30" s="27">
        <f>(1-X30)*V30+X30*AB30+AF30+AH30</f>
        <v/>
      </c>
      <c r="AJ30" s="27">
        <f>(AE30+3*AB30)/3</f>
        <v/>
      </c>
      <c r="AK30" s="28">
        <f>IFERROR(AF30/AI30,0)</f>
        <v/>
      </c>
      <c r="AL30" s="8">
        <f>IFERROR(ROUNDUP(C30/T30,0),"-")</f>
        <v/>
      </c>
      <c r="AM30" s="60">
        <f>IFERROR(C30/AI30,"-")</f>
        <v/>
      </c>
      <c r="AN30" s="9">
        <f>MAX(0,(E30+(B30-A30))*(1-R30)*(1-Q30*'Class Table'!$O$5/Inputs!$C$19)-Q30*'Class Table'!$O$5/25)</f>
        <v/>
      </c>
      <c r="AO30" s="26">
        <f>IFERROR(AN30/F30*AM30,"-")</f>
        <v/>
      </c>
      <c r="AP30" s="28">
        <f>IFERROR(AO30/O30,"-")</f>
        <v/>
      </c>
      <c r="AQ30" s="9">
        <f>IFERROR(O30*Inputs!$C$24/Inputs!$C$22*AM30,"-")</f>
        <v/>
      </c>
      <c r="AR30" s="28">
        <f>IFERROR(MAX(0,AO30-AQ30)/O30,"-")</f>
        <v/>
      </c>
    </row>
    <row r="31">
      <c r="A31" s="8" t="n">
        <v>28</v>
      </c>
      <c r="B31" s="14">
        <f>'Mob by Level'!B31</f>
        <v/>
      </c>
      <c r="C31" s="9">
        <f>'Mob by Level'!C31</f>
        <v/>
      </c>
      <c r="D31" s="9">
        <f>'Mob by Level'!D31</f>
        <v/>
      </c>
      <c r="E31" s="9">
        <f>'Mob by Level'!E31</f>
        <v/>
      </c>
      <c r="F31" s="16">
        <f>'Mob by Level'!F31</f>
        <v/>
      </c>
      <c r="G31" s="14">
        <f>SUMIFS(Gear!$D$4:$D$603,Gear!$A$4:$A$603,A31,Gear!$B$4:$B$603,"Rogue",Gear!$C$4:$C$603,Inputs!$C$5)</f>
        <v/>
      </c>
      <c r="H31" s="14">
        <f>SUMIFS(Gear!$E$4:$E$603,Gear!$A$4:$A$603,A31,Gear!$B$4:$B$603,"Rogue",Gear!$C$4:$C$603,Inputs!$C$5)</f>
        <v/>
      </c>
      <c r="I31" s="14">
        <f>SUMIFS(Gear!$F$4:$F$603,Gear!$A$4:$A$603,A31,Gear!$B$4:$B$603,"Rogue",Gear!$C$4:$C$603,Inputs!$C$5)+Inputs!$C$17*IFERROR(LOOKUP(A31,Abilities!$A$49:$A$53,Abilities!$C$49:$C$53),0)</f>
        <v/>
      </c>
      <c r="J31" s="13">
        <f>SUMIFS(Gear!$J$4:$J$603,Gear!$A$4:$A$603,A31,Gear!$B$4:$B$603,"Rogue",Gear!$C$4:$C$603,Inputs!$C$5)</f>
        <v/>
      </c>
      <c r="K31" s="13">
        <f>SUMIFS(Gear!$K$4:$K$603,Gear!$A$4:$A$603,A31,Gear!$B$4:$B$603,"Rogue",Gear!$C$4:$C$603,Inputs!$C$5)</f>
        <v/>
      </c>
      <c r="L31" s="13">
        <f>SUMIFS(Gear!$L$4:$L$603,Gear!$A$4:$A$603,A31,Gear!$B$4:$B$603,"Rogue",Gear!$C$4:$C$603,Inputs!$C$5)</f>
        <v/>
      </c>
      <c r="M31" s="13">
        <f>SUMIFS(Gear!$M$4:$M$603,Gear!$A$4:$A$603,A31,Gear!$B$4:$B$603,"Rogue",Gear!$C$4:$C$603,Inputs!$C$5)</f>
        <v/>
      </c>
      <c r="N31" s="13">
        <f>SUMIFS(Gear!$N$4:$N$603,Gear!$A$4:$A$603,A31,Gear!$B$4:$B$603,"Rogue",Gear!$C$4:$C$603,Inputs!$C$5)</f>
        <v/>
      </c>
      <c r="O31" s="9">
        <f>INDEX('Class Table'!$B$4:$B$53,A31)+SUMIFS(Gear!$G$4:$G$603,Gear!$A$4:$A$603,A31,Gear!$B$4:$B$603,"Rogue",Gear!$C$4:$C$603,Inputs!$C$5)</f>
        <v/>
      </c>
      <c r="P31" s="9">
        <f>INDEX('Class Table'!$C$4:$C$53,A31)+SUMIFS(Gear!$H$4:$H$603,Gear!$A$4:$A$603,A31,Gear!$B$4:$B$603,"Rogue",Gear!$C$4:$C$603,Inputs!$C$5)</f>
        <v/>
      </c>
      <c r="Q31" s="9">
        <f>INDEX('Class Table'!$D$4:$D$53,A31)+SUMIFS(Gear!$I$4:$I$603,Gear!$A$4:$A$603,A31,Gear!$B$4:$B$603,"Rogue",Gear!$C$4:$C$603,Inputs!$C$5)</f>
        <v/>
      </c>
      <c r="R31" s="13">
        <f>SUMIFS(Gear!$O$4:$O$603,Gear!$A$4:$A$603,A31,Gear!$B$4:$B$603,"Rogue",Gear!$C$4:$C$603,Inputs!$C$5)</f>
        <v/>
      </c>
      <c r="S31" s="26">
        <f>I31+0+G31+A31+MAX(1,A31/2)+(A31-B31)</f>
        <v/>
      </c>
      <c r="T31" s="9">
        <f>MAX(0,S31*(1+M31)*(1+L31)*Inputs!$C$20*(1-D31/Inputs!$C$19)-D31/25)</f>
        <v/>
      </c>
      <c r="U31" s="16">
        <f>H31/10*(1-MIN(0.95,N31+0))*Inputs!$C$21</f>
        <v/>
      </c>
      <c r="V31" s="27">
        <f>T31/U31</f>
        <v/>
      </c>
      <c r="W31" s="13">
        <f>IFERROR(LOOKUP(A31,Abilities!$A$38:$A$40,Abilities!$D$38:$D$40),0)</f>
        <v/>
      </c>
      <c r="X31" s="13">
        <f>Inputs!$C$16*IFERROR(LOOKUP(A31,Abilities!$A$38:$A$40,Abilities!$E$38:$E$40),0)/IFERROR(LOOKUP(A31,Abilities!$A$38:$A$40,Abilities!$F$38:$F$40),1)</f>
        <v/>
      </c>
      <c r="Y31" s="26">
        <f>I31+0+G31+A31+MAX(1,A31/2)+(A31-B31)</f>
        <v/>
      </c>
      <c r="Z31" s="9">
        <f>MAX(0,Y31*(1+M31)*(1+L31)*Inputs!$C$20*(1-D31/Inputs!$C$19)-D31/25)</f>
        <v/>
      </c>
      <c r="AA31" s="16">
        <f>H31/10*(1-MIN(0.95,N31+W31))*Inputs!$C$21</f>
        <v/>
      </c>
      <c r="AB31" s="27">
        <f>Z31/AA31</f>
        <v/>
      </c>
      <c r="AC31" s="14">
        <f>IFERROR(LOOKUP(A31,Abilities!$A$6:$A$10,Abilities!$C$6:$C$10),0)</f>
        <v/>
      </c>
      <c r="AD31" s="14">
        <f>IFERROR(LOOKUP(A31,Abilities!$A$6:$A$10,Abilities!$D$6:$D$10),1)</f>
        <v/>
      </c>
      <c r="AE31" s="9">
        <f>AC31*(I31+G31+A31)*(1+J31)*(1+K31)*Inputs!$C$20*(1+0.5*Inputs!$C$11)</f>
        <v/>
      </c>
      <c r="AF31" s="27">
        <f>AE31/AD31</f>
        <v/>
      </c>
      <c r="AG31" s="14">
        <f>IFERROR(LOOKUP(A31,Abilities!$A$44:$A$45,Abilities!$C$44:$C$45),0)</f>
        <v/>
      </c>
      <c r="AH31" s="17">
        <f>AG31/Inputs!$C$25*Inputs!$C$16*IFERROR(LOOKUP(A31,Abilities!$A$44:$A$45,Abilities!$D$44:$D$45),0)/IFERROR(LOOKUP(A31,Abilities!$A$44:$A$45,Abilities!$E$44:$E$45),1)</f>
        <v/>
      </c>
      <c r="AI31" s="27">
        <f>(1-X31)*V31+X31*AB31+AF31+AH31</f>
        <v/>
      </c>
      <c r="AJ31" s="27">
        <f>(AE31+3*AB31)/3</f>
        <v/>
      </c>
      <c r="AK31" s="28">
        <f>IFERROR(AF31/AI31,0)</f>
        <v/>
      </c>
      <c r="AL31" s="8">
        <f>IFERROR(ROUNDUP(C31/T31,0),"-")</f>
        <v/>
      </c>
      <c r="AM31" s="60">
        <f>IFERROR(C31/AI31,"-")</f>
        <v/>
      </c>
      <c r="AN31" s="9">
        <f>MAX(0,(E31+(B31-A31))*(1-R31)*(1-Q31*'Class Table'!$O$5/Inputs!$C$19)-Q31*'Class Table'!$O$5/25)</f>
        <v/>
      </c>
      <c r="AO31" s="26">
        <f>IFERROR(AN31/F31*AM31,"-")</f>
        <v/>
      </c>
      <c r="AP31" s="28">
        <f>IFERROR(AO31/O31,"-")</f>
        <v/>
      </c>
      <c r="AQ31" s="9">
        <f>IFERROR(O31*Inputs!$C$24/Inputs!$C$22*AM31,"-")</f>
        <v/>
      </c>
      <c r="AR31" s="28">
        <f>IFERROR(MAX(0,AO31-AQ31)/O31,"-")</f>
        <v/>
      </c>
    </row>
    <row r="32">
      <c r="A32" s="8" t="n">
        <v>29</v>
      </c>
      <c r="B32" s="14">
        <f>'Mob by Level'!B32</f>
        <v/>
      </c>
      <c r="C32" s="9">
        <f>'Mob by Level'!C32</f>
        <v/>
      </c>
      <c r="D32" s="9">
        <f>'Mob by Level'!D32</f>
        <v/>
      </c>
      <c r="E32" s="9">
        <f>'Mob by Level'!E32</f>
        <v/>
      </c>
      <c r="F32" s="16">
        <f>'Mob by Level'!F32</f>
        <v/>
      </c>
      <c r="G32" s="14">
        <f>SUMIFS(Gear!$D$4:$D$603,Gear!$A$4:$A$603,A32,Gear!$B$4:$B$603,"Rogue",Gear!$C$4:$C$603,Inputs!$C$5)</f>
        <v/>
      </c>
      <c r="H32" s="14">
        <f>SUMIFS(Gear!$E$4:$E$603,Gear!$A$4:$A$603,A32,Gear!$B$4:$B$603,"Rogue",Gear!$C$4:$C$603,Inputs!$C$5)</f>
        <v/>
      </c>
      <c r="I32" s="14">
        <f>SUMIFS(Gear!$F$4:$F$603,Gear!$A$4:$A$603,A32,Gear!$B$4:$B$603,"Rogue",Gear!$C$4:$C$603,Inputs!$C$5)+Inputs!$C$17*IFERROR(LOOKUP(A32,Abilities!$A$49:$A$53,Abilities!$C$49:$C$53),0)</f>
        <v/>
      </c>
      <c r="J32" s="13">
        <f>SUMIFS(Gear!$J$4:$J$603,Gear!$A$4:$A$603,A32,Gear!$B$4:$B$603,"Rogue",Gear!$C$4:$C$603,Inputs!$C$5)</f>
        <v/>
      </c>
      <c r="K32" s="13">
        <f>SUMIFS(Gear!$K$4:$K$603,Gear!$A$4:$A$603,A32,Gear!$B$4:$B$603,"Rogue",Gear!$C$4:$C$603,Inputs!$C$5)</f>
        <v/>
      </c>
      <c r="L32" s="13">
        <f>SUMIFS(Gear!$L$4:$L$603,Gear!$A$4:$A$603,A32,Gear!$B$4:$B$603,"Rogue",Gear!$C$4:$C$603,Inputs!$C$5)</f>
        <v/>
      </c>
      <c r="M32" s="13">
        <f>SUMIFS(Gear!$M$4:$M$603,Gear!$A$4:$A$603,A32,Gear!$B$4:$B$603,"Rogue",Gear!$C$4:$C$603,Inputs!$C$5)</f>
        <v/>
      </c>
      <c r="N32" s="13">
        <f>SUMIFS(Gear!$N$4:$N$603,Gear!$A$4:$A$603,A32,Gear!$B$4:$B$603,"Rogue",Gear!$C$4:$C$603,Inputs!$C$5)</f>
        <v/>
      </c>
      <c r="O32" s="9">
        <f>INDEX('Class Table'!$B$4:$B$53,A32)+SUMIFS(Gear!$G$4:$G$603,Gear!$A$4:$A$603,A32,Gear!$B$4:$B$603,"Rogue",Gear!$C$4:$C$603,Inputs!$C$5)</f>
        <v/>
      </c>
      <c r="P32" s="9">
        <f>INDEX('Class Table'!$C$4:$C$53,A32)+SUMIFS(Gear!$H$4:$H$603,Gear!$A$4:$A$603,A32,Gear!$B$4:$B$603,"Rogue",Gear!$C$4:$C$603,Inputs!$C$5)</f>
        <v/>
      </c>
      <c r="Q32" s="9">
        <f>INDEX('Class Table'!$D$4:$D$53,A32)+SUMIFS(Gear!$I$4:$I$603,Gear!$A$4:$A$603,A32,Gear!$B$4:$B$603,"Rogue",Gear!$C$4:$C$603,Inputs!$C$5)</f>
        <v/>
      </c>
      <c r="R32" s="13">
        <f>SUMIFS(Gear!$O$4:$O$603,Gear!$A$4:$A$603,A32,Gear!$B$4:$B$603,"Rogue",Gear!$C$4:$C$603,Inputs!$C$5)</f>
        <v/>
      </c>
      <c r="S32" s="26">
        <f>I32+0+G32+A32+MAX(1,A32/2)+(A32-B32)</f>
        <v/>
      </c>
      <c r="T32" s="9">
        <f>MAX(0,S32*(1+M32)*(1+L32)*Inputs!$C$20*(1-D32/Inputs!$C$19)-D32/25)</f>
        <v/>
      </c>
      <c r="U32" s="16">
        <f>H32/10*(1-MIN(0.95,N32+0))*Inputs!$C$21</f>
        <v/>
      </c>
      <c r="V32" s="27">
        <f>T32/U32</f>
        <v/>
      </c>
      <c r="W32" s="13">
        <f>IFERROR(LOOKUP(A32,Abilities!$A$38:$A$40,Abilities!$D$38:$D$40),0)</f>
        <v/>
      </c>
      <c r="X32" s="13">
        <f>Inputs!$C$16*IFERROR(LOOKUP(A32,Abilities!$A$38:$A$40,Abilities!$E$38:$E$40),0)/IFERROR(LOOKUP(A32,Abilities!$A$38:$A$40,Abilities!$F$38:$F$40),1)</f>
        <v/>
      </c>
      <c r="Y32" s="26">
        <f>I32+0+G32+A32+MAX(1,A32/2)+(A32-B32)</f>
        <v/>
      </c>
      <c r="Z32" s="9">
        <f>MAX(0,Y32*(1+M32)*(1+L32)*Inputs!$C$20*(1-D32/Inputs!$C$19)-D32/25)</f>
        <v/>
      </c>
      <c r="AA32" s="16">
        <f>H32/10*(1-MIN(0.95,N32+W32))*Inputs!$C$21</f>
        <v/>
      </c>
      <c r="AB32" s="27">
        <f>Z32/AA32</f>
        <v/>
      </c>
      <c r="AC32" s="14">
        <f>IFERROR(LOOKUP(A32,Abilities!$A$6:$A$10,Abilities!$C$6:$C$10),0)</f>
        <v/>
      </c>
      <c r="AD32" s="14">
        <f>IFERROR(LOOKUP(A32,Abilities!$A$6:$A$10,Abilities!$D$6:$D$10),1)</f>
        <v/>
      </c>
      <c r="AE32" s="9">
        <f>AC32*(I32+G32+A32)*(1+J32)*(1+K32)*Inputs!$C$20*(1+0.5*Inputs!$C$11)</f>
        <v/>
      </c>
      <c r="AF32" s="27">
        <f>AE32/AD32</f>
        <v/>
      </c>
      <c r="AG32" s="14">
        <f>IFERROR(LOOKUP(A32,Abilities!$A$44:$A$45,Abilities!$C$44:$C$45),0)</f>
        <v/>
      </c>
      <c r="AH32" s="17">
        <f>AG32/Inputs!$C$25*Inputs!$C$16*IFERROR(LOOKUP(A32,Abilities!$A$44:$A$45,Abilities!$D$44:$D$45),0)/IFERROR(LOOKUP(A32,Abilities!$A$44:$A$45,Abilities!$E$44:$E$45),1)</f>
        <v/>
      </c>
      <c r="AI32" s="27">
        <f>(1-X32)*V32+X32*AB32+AF32+AH32</f>
        <v/>
      </c>
      <c r="AJ32" s="27">
        <f>(AE32+3*AB32)/3</f>
        <v/>
      </c>
      <c r="AK32" s="28">
        <f>IFERROR(AF32/AI32,0)</f>
        <v/>
      </c>
      <c r="AL32" s="8">
        <f>IFERROR(ROUNDUP(C32/T32,0),"-")</f>
        <v/>
      </c>
      <c r="AM32" s="60">
        <f>IFERROR(C32/AI32,"-")</f>
        <v/>
      </c>
      <c r="AN32" s="9">
        <f>MAX(0,(E32+(B32-A32))*(1-R32)*(1-Q32*'Class Table'!$O$5/Inputs!$C$19)-Q32*'Class Table'!$O$5/25)</f>
        <v/>
      </c>
      <c r="AO32" s="26">
        <f>IFERROR(AN32/F32*AM32,"-")</f>
        <v/>
      </c>
      <c r="AP32" s="28">
        <f>IFERROR(AO32/O32,"-")</f>
        <v/>
      </c>
      <c r="AQ32" s="9">
        <f>IFERROR(O32*Inputs!$C$24/Inputs!$C$22*AM32,"-")</f>
        <v/>
      </c>
      <c r="AR32" s="28">
        <f>IFERROR(MAX(0,AO32-AQ32)/O32,"-")</f>
        <v/>
      </c>
    </row>
    <row r="33">
      <c r="A33" s="8" t="n">
        <v>30</v>
      </c>
      <c r="B33" s="14">
        <f>'Mob by Level'!B33</f>
        <v/>
      </c>
      <c r="C33" s="9">
        <f>'Mob by Level'!C33</f>
        <v/>
      </c>
      <c r="D33" s="9">
        <f>'Mob by Level'!D33</f>
        <v/>
      </c>
      <c r="E33" s="9">
        <f>'Mob by Level'!E33</f>
        <v/>
      </c>
      <c r="F33" s="16">
        <f>'Mob by Level'!F33</f>
        <v/>
      </c>
      <c r="G33" s="14">
        <f>SUMIFS(Gear!$D$4:$D$603,Gear!$A$4:$A$603,A33,Gear!$B$4:$B$603,"Rogue",Gear!$C$4:$C$603,Inputs!$C$5)</f>
        <v/>
      </c>
      <c r="H33" s="14">
        <f>SUMIFS(Gear!$E$4:$E$603,Gear!$A$4:$A$603,A33,Gear!$B$4:$B$603,"Rogue",Gear!$C$4:$C$603,Inputs!$C$5)</f>
        <v/>
      </c>
      <c r="I33" s="14">
        <f>SUMIFS(Gear!$F$4:$F$603,Gear!$A$4:$A$603,A33,Gear!$B$4:$B$603,"Rogue",Gear!$C$4:$C$603,Inputs!$C$5)+Inputs!$C$17*IFERROR(LOOKUP(A33,Abilities!$A$49:$A$53,Abilities!$C$49:$C$53),0)</f>
        <v/>
      </c>
      <c r="J33" s="13">
        <f>SUMIFS(Gear!$J$4:$J$603,Gear!$A$4:$A$603,A33,Gear!$B$4:$B$603,"Rogue",Gear!$C$4:$C$603,Inputs!$C$5)</f>
        <v/>
      </c>
      <c r="K33" s="13">
        <f>SUMIFS(Gear!$K$4:$K$603,Gear!$A$4:$A$603,A33,Gear!$B$4:$B$603,"Rogue",Gear!$C$4:$C$603,Inputs!$C$5)</f>
        <v/>
      </c>
      <c r="L33" s="13">
        <f>SUMIFS(Gear!$L$4:$L$603,Gear!$A$4:$A$603,A33,Gear!$B$4:$B$603,"Rogue",Gear!$C$4:$C$603,Inputs!$C$5)</f>
        <v/>
      </c>
      <c r="M33" s="13">
        <f>SUMIFS(Gear!$M$4:$M$603,Gear!$A$4:$A$603,A33,Gear!$B$4:$B$603,"Rogue",Gear!$C$4:$C$603,Inputs!$C$5)</f>
        <v/>
      </c>
      <c r="N33" s="13">
        <f>SUMIFS(Gear!$N$4:$N$603,Gear!$A$4:$A$603,A33,Gear!$B$4:$B$603,"Rogue",Gear!$C$4:$C$603,Inputs!$C$5)</f>
        <v/>
      </c>
      <c r="O33" s="9">
        <f>INDEX('Class Table'!$B$4:$B$53,A33)+SUMIFS(Gear!$G$4:$G$603,Gear!$A$4:$A$603,A33,Gear!$B$4:$B$603,"Rogue",Gear!$C$4:$C$603,Inputs!$C$5)</f>
        <v/>
      </c>
      <c r="P33" s="9">
        <f>INDEX('Class Table'!$C$4:$C$53,A33)+SUMIFS(Gear!$H$4:$H$603,Gear!$A$4:$A$603,A33,Gear!$B$4:$B$603,"Rogue",Gear!$C$4:$C$603,Inputs!$C$5)</f>
        <v/>
      </c>
      <c r="Q33" s="9">
        <f>INDEX('Class Table'!$D$4:$D$53,A33)+SUMIFS(Gear!$I$4:$I$603,Gear!$A$4:$A$603,A33,Gear!$B$4:$B$603,"Rogue",Gear!$C$4:$C$603,Inputs!$C$5)</f>
        <v/>
      </c>
      <c r="R33" s="13">
        <f>SUMIFS(Gear!$O$4:$O$603,Gear!$A$4:$A$603,A33,Gear!$B$4:$B$603,"Rogue",Gear!$C$4:$C$603,Inputs!$C$5)</f>
        <v/>
      </c>
      <c r="S33" s="26">
        <f>I33+0+G33+A33+MAX(1,A33/2)+(A33-B33)</f>
        <v/>
      </c>
      <c r="T33" s="9">
        <f>MAX(0,S33*(1+M33)*(1+L33)*Inputs!$C$20*(1-D33/Inputs!$C$19)-D33/25)</f>
        <v/>
      </c>
      <c r="U33" s="16">
        <f>H33/10*(1-MIN(0.95,N33+0))*Inputs!$C$21</f>
        <v/>
      </c>
      <c r="V33" s="27">
        <f>T33/U33</f>
        <v/>
      </c>
      <c r="W33" s="13">
        <f>IFERROR(LOOKUP(A33,Abilities!$A$38:$A$40,Abilities!$D$38:$D$40),0)</f>
        <v/>
      </c>
      <c r="X33" s="13">
        <f>Inputs!$C$16*IFERROR(LOOKUP(A33,Abilities!$A$38:$A$40,Abilities!$E$38:$E$40),0)/IFERROR(LOOKUP(A33,Abilities!$A$38:$A$40,Abilities!$F$38:$F$40),1)</f>
        <v/>
      </c>
      <c r="Y33" s="26">
        <f>I33+0+G33+A33+MAX(1,A33/2)+(A33-B33)</f>
        <v/>
      </c>
      <c r="Z33" s="9">
        <f>MAX(0,Y33*(1+M33)*(1+L33)*Inputs!$C$20*(1-D33/Inputs!$C$19)-D33/25)</f>
        <v/>
      </c>
      <c r="AA33" s="16">
        <f>H33/10*(1-MIN(0.95,N33+W33))*Inputs!$C$21</f>
        <v/>
      </c>
      <c r="AB33" s="27">
        <f>Z33/AA33</f>
        <v/>
      </c>
      <c r="AC33" s="14">
        <f>IFERROR(LOOKUP(A33,Abilities!$A$6:$A$10,Abilities!$C$6:$C$10),0)</f>
        <v/>
      </c>
      <c r="AD33" s="14">
        <f>IFERROR(LOOKUP(A33,Abilities!$A$6:$A$10,Abilities!$D$6:$D$10),1)</f>
        <v/>
      </c>
      <c r="AE33" s="9">
        <f>AC33*(I33+G33+A33)*(1+J33)*(1+K33)*Inputs!$C$20*(1+0.5*Inputs!$C$11)</f>
        <v/>
      </c>
      <c r="AF33" s="27">
        <f>AE33/AD33</f>
        <v/>
      </c>
      <c r="AG33" s="14">
        <f>IFERROR(LOOKUP(A33,Abilities!$A$44:$A$45,Abilities!$C$44:$C$45),0)</f>
        <v/>
      </c>
      <c r="AH33" s="17">
        <f>AG33/Inputs!$C$25*Inputs!$C$16*IFERROR(LOOKUP(A33,Abilities!$A$44:$A$45,Abilities!$D$44:$D$45),0)/IFERROR(LOOKUP(A33,Abilities!$A$44:$A$45,Abilities!$E$44:$E$45),1)</f>
        <v/>
      </c>
      <c r="AI33" s="27">
        <f>(1-X33)*V33+X33*AB33+AF33+AH33</f>
        <v/>
      </c>
      <c r="AJ33" s="27">
        <f>(AE33+3*AB33)/3</f>
        <v/>
      </c>
      <c r="AK33" s="28">
        <f>IFERROR(AF33/AI33,0)</f>
        <v/>
      </c>
      <c r="AL33" s="8">
        <f>IFERROR(ROUNDUP(C33/T33,0),"-")</f>
        <v/>
      </c>
      <c r="AM33" s="60">
        <f>IFERROR(C33/AI33,"-")</f>
        <v/>
      </c>
      <c r="AN33" s="9">
        <f>MAX(0,(E33+(B33-A33))*(1-R33)*(1-Q33*'Class Table'!$O$5/Inputs!$C$19)-Q33*'Class Table'!$O$5/25)</f>
        <v/>
      </c>
      <c r="AO33" s="26">
        <f>IFERROR(AN33/F33*AM33,"-")</f>
        <v/>
      </c>
      <c r="AP33" s="28">
        <f>IFERROR(AO33/O33,"-")</f>
        <v/>
      </c>
      <c r="AQ33" s="9">
        <f>IFERROR(O33*Inputs!$C$24/Inputs!$C$22*AM33,"-")</f>
        <v/>
      </c>
      <c r="AR33" s="28">
        <f>IFERROR(MAX(0,AO33-AQ33)/O33,"-")</f>
        <v/>
      </c>
    </row>
    <row r="34">
      <c r="A34" s="8" t="n">
        <v>31</v>
      </c>
      <c r="B34" s="14">
        <f>'Mob by Level'!B34</f>
        <v/>
      </c>
      <c r="C34" s="9">
        <f>'Mob by Level'!C34</f>
        <v/>
      </c>
      <c r="D34" s="9">
        <f>'Mob by Level'!D34</f>
        <v/>
      </c>
      <c r="E34" s="9">
        <f>'Mob by Level'!E34</f>
        <v/>
      </c>
      <c r="F34" s="16">
        <f>'Mob by Level'!F34</f>
        <v/>
      </c>
      <c r="G34" s="14">
        <f>SUMIFS(Gear!$D$4:$D$603,Gear!$A$4:$A$603,A34,Gear!$B$4:$B$603,"Rogue",Gear!$C$4:$C$603,Inputs!$C$5)</f>
        <v/>
      </c>
      <c r="H34" s="14">
        <f>SUMIFS(Gear!$E$4:$E$603,Gear!$A$4:$A$603,A34,Gear!$B$4:$B$603,"Rogue",Gear!$C$4:$C$603,Inputs!$C$5)</f>
        <v/>
      </c>
      <c r="I34" s="14">
        <f>SUMIFS(Gear!$F$4:$F$603,Gear!$A$4:$A$603,A34,Gear!$B$4:$B$603,"Rogue",Gear!$C$4:$C$603,Inputs!$C$5)+Inputs!$C$17*IFERROR(LOOKUP(A34,Abilities!$A$49:$A$53,Abilities!$C$49:$C$53),0)</f>
        <v/>
      </c>
      <c r="J34" s="13">
        <f>SUMIFS(Gear!$J$4:$J$603,Gear!$A$4:$A$603,A34,Gear!$B$4:$B$603,"Rogue",Gear!$C$4:$C$603,Inputs!$C$5)</f>
        <v/>
      </c>
      <c r="K34" s="13">
        <f>SUMIFS(Gear!$K$4:$K$603,Gear!$A$4:$A$603,A34,Gear!$B$4:$B$603,"Rogue",Gear!$C$4:$C$603,Inputs!$C$5)</f>
        <v/>
      </c>
      <c r="L34" s="13">
        <f>SUMIFS(Gear!$L$4:$L$603,Gear!$A$4:$A$603,A34,Gear!$B$4:$B$603,"Rogue",Gear!$C$4:$C$603,Inputs!$C$5)</f>
        <v/>
      </c>
      <c r="M34" s="13">
        <f>SUMIFS(Gear!$M$4:$M$603,Gear!$A$4:$A$603,A34,Gear!$B$4:$B$603,"Rogue",Gear!$C$4:$C$603,Inputs!$C$5)</f>
        <v/>
      </c>
      <c r="N34" s="13">
        <f>SUMIFS(Gear!$N$4:$N$603,Gear!$A$4:$A$603,A34,Gear!$B$4:$B$603,"Rogue",Gear!$C$4:$C$603,Inputs!$C$5)</f>
        <v/>
      </c>
      <c r="O34" s="9">
        <f>INDEX('Class Table'!$B$4:$B$53,A34)+SUMIFS(Gear!$G$4:$G$603,Gear!$A$4:$A$603,A34,Gear!$B$4:$B$603,"Rogue",Gear!$C$4:$C$603,Inputs!$C$5)</f>
        <v/>
      </c>
      <c r="P34" s="9">
        <f>INDEX('Class Table'!$C$4:$C$53,A34)+SUMIFS(Gear!$H$4:$H$603,Gear!$A$4:$A$603,A34,Gear!$B$4:$B$603,"Rogue",Gear!$C$4:$C$603,Inputs!$C$5)</f>
        <v/>
      </c>
      <c r="Q34" s="9">
        <f>INDEX('Class Table'!$D$4:$D$53,A34)+SUMIFS(Gear!$I$4:$I$603,Gear!$A$4:$A$603,A34,Gear!$B$4:$B$603,"Rogue",Gear!$C$4:$C$603,Inputs!$C$5)</f>
        <v/>
      </c>
      <c r="R34" s="13">
        <f>SUMIFS(Gear!$O$4:$O$603,Gear!$A$4:$A$603,A34,Gear!$B$4:$B$603,"Rogue",Gear!$C$4:$C$603,Inputs!$C$5)</f>
        <v/>
      </c>
      <c r="S34" s="26">
        <f>I34+0+G34+A34+MAX(1,A34/2)+(A34-B34)</f>
        <v/>
      </c>
      <c r="T34" s="9">
        <f>MAX(0,S34*(1+M34)*(1+L34)*Inputs!$C$20*(1-D34/Inputs!$C$19)-D34/25)</f>
        <v/>
      </c>
      <c r="U34" s="16">
        <f>H34/10*(1-MIN(0.95,N34+0))*Inputs!$C$21</f>
        <v/>
      </c>
      <c r="V34" s="27">
        <f>T34/U34</f>
        <v/>
      </c>
      <c r="W34" s="13">
        <f>IFERROR(LOOKUP(A34,Abilities!$A$38:$A$40,Abilities!$D$38:$D$40),0)</f>
        <v/>
      </c>
      <c r="X34" s="13">
        <f>Inputs!$C$16*IFERROR(LOOKUP(A34,Abilities!$A$38:$A$40,Abilities!$E$38:$E$40),0)/IFERROR(LOOKUP(A34,Abilities!$A$38:$A$40,Abilities!$F$38:$F$40),1)</f>
        <v/>
      </c>
      <c r="Y34" s="26">
        <f>I34+0+G34+A34+MAX(1,A34/2)+(A34-B34)</f>
        <v/>
      </c>
      <c r="Z34" s="9">
        <f>MAX(0,Y34*(1+M34)*(1+L34)*Inputs!$C$20*(1-D34/Inputs!$C$19)-D34/25)</f>
        <v/>
      </c>
      <c r="AA34" s="16">
        <f>H34/10*(1-MIN(0.95,N34+W34))*Inputs!$C$21</f>
        <v/>
      </c>
      <c r="AB34" s="27">
        <f>Z34/AA34</f>
        <v/>
      </c>
      <c r="AC34" s="14">
        <f>IFERROR(LOOKUP(A34,Abilities!$A$6:$A$10,Abilities!$C$6:$C$10),0)</f>
        <v/>
      </c>
      <c r="AD34" s="14">
        <f>IFERROR(LOOKUP(A34,Abilities!$A$6:$A$10,Abilities!$D$6:$D$10),1)</f>
        <v/>
      </c>
      <c r="AE34" s="9">
        <f>AC34*(I34+G34+A34)*(1+J34)*(1+K34)*Inputs!$C$20*(1+0.5*Inputs!$C$11)</f>
        <v/>
      </c>
      <c r="AF34" s="27">
        <f>AE34/AD34</f>
        <v/>
      </c>
      <c r="AG34" s="14">
        <f>IFERROR(LOOKUP(A34,Abilities!$A$44:$A$45,Abilities!$C$44:$C$45),0)</f>
        <v/>
      </c>
      <c r="AH34" s="17">
        <f>AG34/Inputs!$C$25*Inputs!$C$16*IFERROR(LOOKUP(A34,Abilities!$A$44:$A$45,Abilities!$D$44:$D$45),0)/IFERROR(LOOKUP(A34,Abilities!$A$44:$A$45,Abilities!$E$44:$E$45),1)</f>
        <v/>
      </c>
      <c r="AI34" s="27">
        <f>(1-X34)*V34+X34*AB34+AF34+AH34</f>
        <v/>
      </c>
      <c r="AJ34" s="27">
        <f>(AE34+3*AB34)/3</f>
        <v/>
      </c>
      <c r="AK34" s="28">
        <f>IFERROR(AF34/AI34,0)</f>
        <v/>
      </c>
      <c r="AL34" s="8">
        <f>IFERROR(ROUNDUP(C34/T34,0),"-")</f>
        <v/>
      </c>
      <c r="AM34" s="60">
        <f>IFERROR(C34/AI34,"-")</f>
        <v/>
      </c>
      <c r="AN34" s="9">
        <f>MAX(0,(E34+(B34-A34))*(1-R34)*(1-Q34*'Class Table'!$O$5/Inputs!$C$19)-Q34*'Class Table'!$O$5/25)</f>
        <v/>
      </c>
      <c r="AO34" s="26">
        <f>IFERROR(AN34/F34*AM34,"-")</f>
        <v/>
      </c>
      <c r="AP34" s="28">
        <f>IFERROR(AO34/O34,"-")</f>
        <v/>
      </c>
      <c r="AQ34" s="9">
        <f>IFERROR(O34*Inputs!$C$24/Inputs!$C$22*AM34,"-")</f>
        <v/>
      </c>
      <c r="AR34" s="28">
        <f>IFERROR(MAX(0,AO34-AQ34)/O34,"-")</f>
        <v/>
      </c>
    </row>
    <row r="35">
      <c r="A35" s="8" t="n">
        <v>32</v>
      </c>
      <c r="B35" s="14">
        <f>'Mob by Level'!B35</f>
        <v/>
      </c>
      <c r="C35" s="9">
        <f>'Mob by Level'!C35</f>
        <v/>
      </c>
      <c r="D35" s="9">
        <f>'Mob by Level'!D35</f>
        <v/>
      </c>
      <c r="E35" s="9">
        <f>'Mob by Level'!E35</f>
        <v/>
      </c>
      <c r="F35" s="16">
        <f>'Mob by Level'!F35</f>
        <v/>
      </c>
      <c r="G35" s="14">
        <f>SUMIFS(Gear!$D$4:$D$603,Gear!$A$4:$A$603,A35,Gear!$B$4:$B$603,"Rogue",Gear!$C$4:$C$603,Inputs!$C$5)</f>
        <v/>
      </c>
      <c r="H35" s="14">
        <f>SUMIFS(Gear!$E$4:$E$603,Gear!$A$4:$A$603,A35,Gear!$B$4:$B$603,"Rogue",Gear!$C$4:$C$603,Inputs!$C$5)</f>
        <v/>
      </c>
      <c r="I35" s="14">
        <f>SUMIFS(Gear!$F$4:$F$603,Gear!$A$4:$A$603,A35,Gear!$B$4:$B$603,"Rogue",Gear!$C$4:$C$603,Inputs!$C$5)+Inputs!$C$17*IFERROR(LOOKUP(A35,Abilities!$A$49:$A$53,Abilities!$C$49:$C$53),0)</f>
        <v/>
      </c>
      <c r="J35" s="13">
        <f>SUMIFS(Gear!$J$4:$J$603,Gear!$A$4:$A$603,A35,Gear!$B$4:$B$603,"Rogue",Gear!$C$4:$C$603,Inputs!$C$5)</f>
        <v/>
      </c>
      <c r="K35" s="13">
        <f>SUMIFS(Gear!$K$4:$K$603,Gear!$A$4:$A$603,A35,Gear!$B$4:$B$603,"Rogue",Gear!$C$4:$C$603,Inputs!$C$5)</f>
        <v/>
      </c>
      <c r="L35" s="13">
        <f>SUMIFS(Gear!$L$4:$L$603,Gear!$A$4:$A$603,A35,Gear!$B$4:$B$603,"Rogue",Gear!$C$4:$C$603,Inputs!$C$5)</f>
        <v/>
      </c>
      <c r="M35" s="13">
        <f>SUMIFS(Gear!$M$4:$M$603,Gear!$A$4:$A$603,A35,Gear!$B$4:$B$603,"Rogue",Gear!$C$4:$C$603,Inputs!$C$5)</f>
        <v/>
      </c>
      <c r="N35" s="13">
        <f>SUMIFS(Gear!$N$4:$N$603,Gear!$A$4:$A$603,A35,Gear!$B$4:$B$603,"Rogue",Gear!$C$4:$C$603,Inputs!$C$5)</f>
        <v/>
      </c>
      <c r="O35" s="9">
        <f>INDEX('Class Table'!$B$4:$B$53,A35)+SUMIFS(Gear!$G$4:$G$603,Gear!$A$4:$A$603,A35,Gear!$B$4:$B$603,"Rogue",Gear!$C$4:$C$603,Inputs!$C$5)</f>
        <v/>
      </c>
      <c r="P35" s="9">
        <f>INDEX('Class Table'!$C$4:$C$53,A35)+SUMIFS(Gear!$H$4:$H$603,Gear!$A$4:$A$603,A35,Gear!$B$4:$B$603,"Rogue",Gear!$C$4:$C$603,Inputs!$C$5)</f>
        <v/>
      </c>
      <c r="Q35" s="9">
        <f>INDEX('Class Table'!$D$4:$D$53,A35)+SUMIFS(Gear!$I$4:$I$603,Gear!$A$4:$A$603,A35,Gear!$B$4:$B$603,"Rogue",Gear!$C$4:$C$603,Inputs!$C$5)</f>
        <v/>
      </c>
      <c r="R35" s="13">
        <f>SUMIFS(Gear!$O$4:$O$603,Gear!$A$4:$A$603,A35,Gear!$B$4:$B$603,"Rogue",Gear!$C$4:$C$603,Inputs!$C$5)</f>
        <v/>
      </c>
      <c r="S35" s="26">
        <f>I35+0+G35+A35+MAX(1,A35/2)+(A35-B35)</f>
        <v/>
      </c>
      <c r="T35" s="9">
        <f>MAX(0,S35*(1+M35)*(1+L35)*Inputs!$C$20*(1-D35/Inputs!$C$19)-D35/25)</f>
        <v/>
      </c>
      <c r="U35" s="16">
        <f>H35/10*(1-MIN(0.95,N35+0))*Inputs!$C$21</f>
        <v/>
      </c>
      <c r="V35" s="27">
        <f>T35/U35</f>
        <v/>
      </c>
      <c r="W35" s="13">
        <f>IFERROR(LOOKUP(A35,Abilities!$A$38:$A$40,Abilities!$D$38:$D$40),0)</f>
        <v/>
      </c>
      <c r="X35" s="13">
        <f>Inputs!$C$16*IFERROR(LOOKUP(A35,Abilities!$A$38:$A$40,Abilities!$E$38:$E$40),0)/IFERROR(LOOKUP(A35,Abilities!$A$38:$A$40,Abilities!$F$38:$F$40),1)</f>
        <v/>
      </c>
      <c r="Y35" s="26">
        <f>I35+0+G35+A35+MAX(1,A35/2)+(A35-B35)</f>
        <v/>
      </c>
      <c r="Z35" s="9">
        <f>MAX(0,Y35*(1+M35)*(1+L35)*Inputs!$C$20*(1-D35/Inputs!$C$19)-D35/25)</f>
        <v/>
      </c>
      <c r="AA35" s="16">
        <f>H35/10*(1-MIN(0.95,N35+W35))*Inputs!$C$21</f>
        <v/>
      </c>
      <c r="AB35" s="27">
        <f>Z35/AA35</f>
        <v/>
      </c>
      <c r="AC35" s="14">
        <f>IFERROR(LOOKUP(A35,Abilities!$A$6:$A$10,Abilities!$C$6:$C$10),0)</f>
        <v/>
      </c>
      <c r="AD35" s="14">
        <f>IFERROR(LOOKUP(A35,Abilities!$A$6:$A$10,Abilities!$D$6:$D$10),1)</f>
        <v/>
      </c>
      <c r="AE35" s="9">
        <f>AC35*(I35+G35+A35)*(1+J35)*(1+K35)*Inputs!$C$20*(1+0.5*Inputs!$C$11)</f>
        <v/>
      </c>
      <c r="AF35" s="27">
        <f>AE35/AD35</f>
        <v/>
      </c>
      <c r="AG35" s="14">
        <f>IFERROR(LOOKUP(A35,Abilities!$A$44:$A$45,Abilities!$C$44:$C$45),0)</f>
        <v/>
      </c>
      <c r="AH35" s="17">
        <f>AG35/Inputs!$C$25*Inputs!$C$16*IFERROR(LOOKUP(A35,Abilities!$A$44:$A$45,Abilities!$D$44:$D$45),0)/IFERROR(LOOKUP(A35,Abilities!$A$44:$A$45,Abilities!$E$44:$E$45),1)</f>
        <v/>
      </c>
      <c r="AI35" s="27">
        <f>(1-X35)*V35+X35*AB35+AF35+AH35</f>
        <v/>
      </c>
      <c r="AJ35" s="27">
        <f>(AE35+3*AB35)/3</f>
        <v/>
      </c>
      <c r="AK35" s="28">
        <f>IFERROR(AF35/AI35,0)</f>
        <v/>
      </c>
      <c r="AL35" s="8">
        <f>IFERROR(ROUNDUP(C35/T35,0),"-")</f>
        <v/>
      </c>
      <c r="AM35" s="60">
        <f>IFERROR(C35/AI35,"-")</f>
        <v/>
      </c>
      <c r="AN35" s="9">
        <f>MAX(0,(E35+(B35-A35))*(1-R35)*(1-Q35*'Class Table'!$O$5/Inputs!$C$19)-Q35*'Class Table'!$O$5/25)</f>
        <v/>
      </c>
      <c r="AO35" s="26">
        <f>IFERROR(AN35/F35*AM35,"-")</f>
        <v/>
      </c>
      <c r="AP35" s="28">
        <f>IFERROR(AO35/O35,"-")</f>
        <v/>
      </c>
      <c r="AQ35" s="9">
        <f>IFERROR(O35*Inputs!$C$24/Inputs!$C$22*AM35,"-")</f>
        <v/>
      </c>
      <c r="AR35" s="28">
        <f>IFERROR(MAX(0,AO35-AQ35)/O35,"-")</f>
        <v/>
      </c>
    </row>
    <row r="36">
      <c r="A36" s="8" t="n">
        <v>33</v>
      </c>
      <c r="B36" s="14">
        <f>'Mob by Level'!B36</f>
        <v/>
      </c>
      <c r="C36" s="9">
        <f>'Mob by Level'!C36</f>
        <v/>
      </c>
      <c r="D36" s="9">
        <f>'Mob by Level'!D36</f>
        <v/>
      </c>
      <c r="E36" s="9">
        <f>'Mob by Level'!E36</f>
        <v/>
      </c>
      <c r="F36" s="16">
        <f>'Mob by Level'!F36</f>
        <v/>
      </c>
      <c r="G36" s="14">
        <f>SUMIFS(Gear!$D$4:$D$603,Gear!$A$4:$A$603,A36,Gear!$B$4:$B$603,"Rogue",Gear!$C$4:$C$603,Inputs!$C$5)</f>
        <v/>
      </c>
      <c r="H36" s="14">
        <f>SUMIFS(Gear!$E$4:$E$603,Gear!$A$4:$A$603,A36,Gear!$B$4:$B$603,"Rogue",Gear!$C$4:$C$603,Inputs!$C$5)</f>
        <v/>
      </c>
      <c r="I36" s="14">
        <f>SUMIFS(Gear!$F$4:$F$603,Gear!$A$4:$A$603,A36,Gear!$B$4:$B$603,"Rogue",Gear!$C$4:$C$603,Inputs!$C$5)+Inputs!$C$17*IFERROR(LOOKUP(A36,Abilities!$A$49:$A$53,Abilities!$C$49:$C$53),0)</f>
        <v/>
      </c>
      <c r="J36" s="13">
        <f>SUMIFS(Gear!$J$4:$J$603,Gear!$A$4:$A$603,A36,Gear!$B$4:$B$603,"Rogue",Gear!$C$4:$C$603,Inputs!$C$5)</f>
        <v/>
      </c>
      <c r="K36" s="13">
        <f>SUMIFS(Gear!$K$4:$K$603,Gear!$A$4:$A$603,A36,Gear!$B$4:$B$603,"Rogue",Gear!$C$4:$C$603,Inputs!$C$5)</f>
        <v/>
      </c>
      <c r="L36" s="13">
        <f>SUMIFS(Gear!$L$4:$L$603,Gear!$A$4:$A$603,A36,Gear!$B$4:$B$603,"Rogue",Gear!$C$4:$C$603,Inputs!$C$5)</f>
        <v/>
      </c>
      <c r="M36" s="13">
        <f>SUMIFS(Gear!$M$4:$M$603,Gear!$A$4:$A$603,A36,Gear!$B$4:$B$603,"Rogue",Gear!$C$4:$C$603,Inputs!$C$5)</f>
        <v/>
      </c>
      <c r="N36" s="13">
        <f>SUMIFS(Gear!$N$4:$N$603,Gear!$A$4:$A$603,A36,Gear!$B$4:$B$603,"Rogue",Gear!$C$4:$C$603,Inputs!$C$5)</f>
        <v/>
      </c>
      <c r="O36" s="9">
        <f>INDEX('Class Table'!$B$4:$B$53,A36)+SUMIFS(Gear!$G$4:$G$603,Gear!$A$4:$A$603,A36,Gear!$B$4:$B$603,"Rogue",Gear!$C$4:$C$603,Inputs!$C$5)</f>
        <v/>
      </c>
      <c r="P36" s="9">
        <f>INDEX('Class Table'!$C$4:$C$53,A36)+SUMIFS(Gear!$H$4:$H$603,Gear!$A$4:$A$603,A36,Gear!$B$4:$B$603,"Rogue",Gear!$C$4:$C$603,Inputs!$C$5)</f>
        <v/>
      </c>
      <c r="Q36" s="9">
        <f>INDEX('Class Table'!$D$4:$D$53,A36)+SUMIFS(Gear!$I$4:$I$603,Gear!$A$4:$A$603,A36,Gear!$B$4:$B$603,"Rogue",Gear!$C$4:$C$603,Inputs!$C$5)</f>
        <v/>
      </c>
      <c r="R36" s="13">
        <f>SUMIFS(Gear!$O$4:$O$603,Gear!$A$4:$A$603,A36,Gear!$B$4:$B$603,"Rogue",Gear!$C$4:$C$603,Inputs!$C$5)</f>
        <v/>
      </c>
      <c r="S36" s="26">
        <f>I36+0+G36+A36+MAX(1,A36/2)+(A36-B36)</f>
        <v/>
      </c>
      <c r="T36" s="9">
        <f>MAX(0,S36*(1+M36)*(1+L36)*Inputs!$C$20*(1-D36/Inputs!$C$19)-D36/25)</f>
        <v/>
      </c>
      <c r="U36" s="16">
        <f>H36/10*(1-MIN(0.95,N36+0))*Inputs!$C$21</f>
        <v/>
      </c>
      <c r="V36" s="27">
        <f>T36/U36</f>
        <v/>
      </c>
      <c r="W36" s="13">
        <f>IFERROR(LOOKUP(A36,Abilities!$A$38:$A$40,Abilities!$D$38:$D$40),0)</f>
        <v/>
      </c>
      <c r="X36" s="13">
        <f>Inputs!$C$16*IFERROR(LOOKUP(A36,Abilities!$A$38:$A$40,Abilities!$E$38:$E$40),0)/IFERROR(LOOKUP(A36,Abilities!$A$38:$A$40,Abilities!$F$38:$F$40),1)</f>
        <v/>
      </c>
      <c r="Y36" s="26">
        <f>I36+0+G36+A36+MAX(1,A36/2)+(A36-B36)</f>
        <v/>
      </c>
      <c r="Z36" s="9">
        <f>MAX(0,Y36*(1+M36)*(1+L36)*Inputs!$C$20*(1-D36/Inputs!$C$19)-D36/25)</f>
        <v/>
      </c>
      <c r="AA36" s="16">
        <f>H36/10*(1-MIN(0.95,N36+W36))*Inputs!$C$21</f>
        <v/>
      </c>
      <c r="AB36" s="27">
        <f>Z36/AA36</f>
        <v/>
      </c>
      <c r="AC36" s="14">
        <f>IFERROR(LOOKUP(A36,Abilities!$A$6:$A$10,Abilities!$C$6:$C$10),0)</f>
        <v/>
      </c>
      <c r="AD36" s="14">
        <f>IFERROR(LOOKUP(A36,Abilities!$A$6:$A$10,Abilities!$D$6:$D$10),1)</f>
        <v/>
      </c>
      <c r="AE36" s="9">
        <f>AC36*(I36+G36+A36)*(1+J36)*(1+K36)*Inputs!$C$20*(1+0.5*Inputs!$C$11)</f>
        <v/>
      </c>
      <c r="AF36" s="27">
        <f>AE36/AD36</f>
        <v/>
      </c>
      <c r="AG36" s="14">
        <f>IFERROR(LOOKUP(A36,Abilities!$A$44:$A$45,Abilities!$C$44:$C$45),0)</f>
        <v/>
      </c>
      <c r="AH36" s="17">
        <f>AG36/Inputs!$C$25*Inputs!$C$16*IFERROR(LOOKUP(A36,Abilities!$A$44:$A$45,Abilities!$D$44:$D$45),0)/IFERROR(LOOKUP(A36,Abilities!$A$44:$A$45,Abilities!$E$44:$E$45),1)</f>
        <v/>
      </c>
      <c r="AI36" s="27">
        <f>(1-X36)*V36+X36*AB36+AF36+AH36</f>
        <v/>
      </c>
      <c r="AJ36" s="27">
        <f>(AE36+3*AB36)/3</f>
        <v/>
      </c>
      <c r="AK36" s="28">
        <f>IFERROR(AF36/AI36,0)</f>
        <v/>
      </c>
      <c r="AL36" s="8">
        <f>IFERROR(ROUNDUP(C36/T36,0),"-")</f>
        <v/>
      </c>
      <c r="AM36" s="60">
        <f>IFERROR(C36/AI36,"-")</f>
        <v/>
      </c>
      <c r="AN36" s="9">
        <f>MAX(0,(E36+(B36-A36))*(1-R36)*(1-Q36*'Class Table'!$O$5/Inputs!$C$19)-Q36*'Class Table'!$O$5/25)</f>
        <v/>
      </c>
      <c r="AO36" s="26">
        <f>IFERROR(AN36/F36*AM36,"-")</f>
        <v/>
      </c>
      <c r="AP36" s="28">
        <f>IFERROR(AO36/O36,"-")</f>
        <v/>
      </c>
      <c r="AQ36" s="9">
        <f>IFERROR(O36*Inputs!$C$24/Inputs!$C$22*AM36,"-")</f>
        <v/>
      </c>
      <c r="AR36" s="28">
        <f>IFERROR(MAX(0,AO36-AQ36)/O36,"-")</f>
        <v/>
      </c>
    </row>
    <row r="37">
      <c r="A37" s="8" t="n">
        <v>34</v>
      </c>
      <c r="B37" s="14">
        <f>'Mob by Level'!B37</f>
        <v/>
      </c>
      <c r="C37" s="9">
        <f>'Mob by Level'!C37</f>
        <v/>
      </c>
      <c r="D37" s="9">
        <f>'Mob by Level'!D37</f>
        <v/>
      </c>
      <c r="E37" s="9">
        <f>'Mob by Level'!E37</f>
        <v/>
      </c>
      <c r="F37" s="16">
        <f>'Mob by Level'!F37</f>
        <v/>
      </c>
      <c r="G37" s="14">
        <f>SUMIFS(Gear!$D$4:$D$603,Gear!$A$4:$A$603,A37,Gear!$B$4:$B$603,"Rogue",Gear!$C$4:$C$603,Inputs!$C$5)</f>
        <v/>
      </c>
      <c r="H37" s="14">
        <f>SUMIFS(Gear!$E$4:$E$603,Gear!$A$4:$A$603,A37,Gear!$B$4:$B$603,"Rogue",Gear!$C$4:$C$603,Inputs!$C$5)</f>
        <v/>
      </c>
      <c r="I37" s="14">
        <f>SUMIFS(Gear!$F$4:$F$603,Gear!$A$4:$A$603,A37,Gear!$B$4:$B$603,"Rogue",Gear!$C$4:$C$603,Inputs!$C$5)+Inputs!$C$17*IFERROR(LOOKUP(A37,Abilities!$A$49:$A$53,Abilities!$C$49:$C$53),0)</f>
        <v/>
      </c>
      <c r="J37" s="13">
        <f>SUMIFS(Gear!$J$4:$J$603,Gear!$A$4:$A$603,A37,Gear!$B$4:$B$603,"Rogue",Gear!$C$4:$C$603,Inputs!$C$5)</f>
        <v/>
      </c>
      <c r="K37" s="13">
        <f>SUMIFS(Gear!$K$4:$K$603,Gear!$A$4:$A$603,A37,Gear!$B$4:$B$603,"Rogue",Gear!$C$4:$C$603,Inputs!$C$5)</f>
        <v/>
      </c>
      <c r="L37" s="13">
        <f>SUMIFS(Gear!$L$4:$L$603,Gear!$A$4:$A$603,A37,Gear!$B$4:$B$603,"Rogue",Gear!$C$4:$C$603,Inputs!$C$5)</f>
        <v/>
      </c>
      <c r="M37" s="13">
        <f>SUMIFS(Gear!$M$4:$M$603,Gear!$A$4:$A$603,A37,Gear!$B$4:$B$603,"Rogue",Gear!$C$4:$C$603,Inputs!$C$5)</f>
        <v/>
      </c>
      <c r="N37" s="13">
        <f>SUMIFS(Gear!$N$4:$N$603,Gear!$A$4:$A$603,A37,Gear!$B$4:$B$603,"Rogue",Gear!$C$4:$C$603,Inputs!$C$5)</f>
        <v/>
      </c>
      <c r="O37" s="9">
        <f>INDEX('Class Table'!$B$4:$B$53,A37)+SUMIFS(Gear!$G$4:$G$603,Gear!$A$4:$A$603,A37,Gear!$B$4:$B$603,"Rogue",Gear!$C$4:$C$603,Inputs!$C$5)</f>
        <v/>
      </c>
      <c r="P37" s="9">
        <f>INDEX('Class Table'!$C$4:$C$53,A37)+SUMIFS(Gear!$H$4:$H$603,Gear!$A$4:$A$603,A37,Gear!$B$4:$B$603,"Rogue",Gear!$C$4:$C$603,Inputs!$C$5)</f>
        <v/>
      </c>
      <c r="Q37" s="9">
        <f>INDEX('Class Table'!$D$4:$D$53,A37)+SUMIFS(Gear!$I$4:$I$603,Gear!$A$4:$A$603,A37,Gear!$B$4:$B$603,"Rogue",Gear!$C$4:$C$603,Inputs!$C$5)</f>
        <v/>
      </c>
      <c r="R37" s="13">
        <f>SUMIFS(Gear!$O$4:$O$603,Gear!$A$4:$A$603,A37,Gear!$B$4:$B$603,"Rogue",Gear!$C$4:$C$603,Inputs!$C$5)</f>
        <v/>
      </c>
      <c r="S37" s="26">
        <f>I37+0+G37+A37+MAX(1,A37/2)+(A37-B37)</f>
        <v/>
      </c>
      <c r="T37" s="9">
        <f>MAX(0,S37*(1+M37)*(1+L37)*Inputs!$C$20*(1-D37/Inputs!$C$19)-D37/25)</f>
        <v/>
      </c>
      <c r="U37" s="16">
        <f>H37/10*(1-MIN(0.95,N37+0))*Inputs!$C$21</f>
        <v/>
      </c>
      <c r="V37" s="27">
        <f>T37/U37</f>
        <v/>
      </c>
      <c r="W37" s="13">
        <f>IFERROR(LOOKUP(A37,Abilities!$A$38:$A$40,Abilities!$D$38:$D$40),0)</f>
        <v/>
      </c>
      <c r="X37" s="13">
        <f>Inputs!$C$16*IFERROR(LOOKUP(A37,Abilities!$A$38:$A$40,Abilities!$E$38:$E$40),0)/IFERROR(LOOKUP(A37,Abilities!$A$38:$A$40,Abilities!$F$38:$F$40),1)</f>
        <v/>
      </c>
      <c r="Y37" s="26">
        <f>I37+0+G37+A37+MAX(1,A37/2)+(A37-B37)</f>
        <v/>
      </c>
      <c r="Z37" s="9">
        <f>MAX(0,Y37*(1+M37)*(1+L37)*Inputs!$C$20*(1-D37/Inputs!$C$19)-D37/25)</f>
        <v/>
      </c>
      <c r="AA37" s="16">
        <f>H37/10*(1-MIN(0.95,N37+W37))*Inputs!$C$21</f>
        <v/>
      </c>
      <c r="AB37" s="27">
        <f>Z37/AA37</f>
        <v/>
      </c>
      <c r="AC37" s="14">
        <f>IFERROR(LOOKUP(A37,Abilities!$A$6:$A$10,Abilities!$C$6:$C$10),0)</f>
        <v/>
      </c>
      <c r="AD37" s="14">
        <f>IFERROR(LOOKUP(A37,Abilities!$A$6:$A$10,Abilities!$D$6:$D$10),1)</f>
        <v/>
      </c>
      <c r="AE37" s="9">
        <f>AC37*(I37+G37+A37)*(1+J37)*(1+K37)*Inputs!$C$20*(1+0.5*Inputs!$C$11)</f>
        <v/>
      </c>
      <c r="AF37" s="27">
        <f>AE37/AD37</f>
        <v/>
      </c>
      <c r="AG37" s="14">
        <f>IFERROR(LOOKUP(A37,Abilities!$A$44:$A$45,Abilities!$C$44:$C$45),0)</f>
        <v/>
      </c>
      <c r="AH37" s="17">
        <f>AG37/Inputs!$C$25*Inputs!$C$16*IFERROR(LOOKUP(A37,Abilities!$A$44:$A$45,Abilities!$D$44:$D$45),0)/IFERROR(LOOKUP(A37,Abilities!$A$44:$A$45,Abilities!$E$44:$E$45),1)</f>
        <v/>
      </c>
      <c r="AI37" s="27">
        <f>(1-X37)*V37+X37*AB37+AF37+AH37</f>
        <v/>
      </c>
      <c r="AJ37" s="27">
        <f>(AE37+3*AB37)/3</f>
        <v/>
      </c>
      <c r="AK37" s="28">
        <f>IFERROR(AF37/AI37,0)</f>
        <v/>
      </c>
      <c r="AL37" s="8">
        <f>IFERROR(ROUNDUP(C37/T37,0),"-")</f>
        <v/>
      </c>
      <c r="AM37" s="60">
        <f>IFERROR(C37/AI37,"-")</f>
        <v/>
      </c>
      <c r="AN37" s="9">
        <f>MAX(0,(E37+(B37-A37))*(1-R37)*(1-Q37*'Class Table'!$O$5/Inputs!$C$19)-Q37*'Class Table'!$O$5/25)</f>
        <v/>
      </c>
      <c r="AO37" s="26">
        <f>IFERROR(AN37/F37*AM37,"-")</f>
        <v/>
      </c>
      <c r="AP37" s="28">
        <f>IFERROR(AO37/O37,"-")</f>
        <v/>
      </c>
      <c r="AQ37" s="9">
        <f>IFERROR(O37*Inputs!$C$24/Inputs!$C$22*AM37,"-")</f>
        <v/>
      </c>
      <c r="AR37" s="28">
        <f>IFERROR(MAX(0,AO37-AQ37)/O37,"-")</f>
        <v/>
      </c>
    </row>
    <row r="38">
      <c r="A38" s="8" t="n">
        <v>35</v>
      </c>
      <c r="B38" s="14">
        <f>'Mob by Level'!B38</f>
        <v/>
      </c>
      <c r="C38" s="9">
        <f>'Mob by Level'!C38</f>
        <v/>
      </c>
      <c r="D38" s="9">
        <f>'Mob by Level'!D38</f>
        <v/>
      </c>
      <c r="E38" s="9">
        <f>'Mob by Level'!E38</f>
        <v/>
      </c>
      <c r="F38" s="16">
        <f>'Mob by Level'!F38</f>
        <v/>
      </c>
      <c r="G38" s="14">
        <f>SUMIFS(Gear!$D$4:$D$603,Gear!$A$4:$A$603,A38,Gear!$B$4:$B$603,"Rogue",Gear!$C$4:$C$603,Inputs!$C$5)</f>
        <v/>
      </c>
      <c r="H38" s="14">
        <f>SUMIFS(Gear!$E$4:$E$603,Gear!$A$4:$A$603,A38,Gear!$B$4:$B$603,"Rogue",Gear!$C$4:$C$603,Inputs!$C$5)</f>
        <v/>
      </c>
      <c r="I38" s="14">
        <f>SUMIFS(Gear!$F$4:$F$603,Gear!$A$4:$A$603,A38,Gear!$B$4:$B$603,"Rogue",Gear!$C$4:$C$603,Inputs!$C$5)+Inputs!$C$17*IFERROR(LOOKUP(A38,Abilities!$A$49:$A$53,Abilities!$C$49:$C$53),0)</f>
        <v/>
      </c>
      <c r="J38" s="13">
        <f>SUMIFS(Gear!$J$4:$J$603,Gear!$A$4:$A$603,A38,Gear!$B$4:$B$603,"Rogue",Gear!$C$4:$C$603,Inputs!$C$5)</f>
        <v/>
      </c>
      <c r="K38" s="13">
        <f>SUMIFS(Gear!$K$4:$K$603,Gear!$A$4:$A$603,A38,Gear!$B$4:$B$603,"Rogue",Gear!$C$4:$C$603,Inputs!$C$5)</f>
        <v/>
      </c>
      <c r="L38" s="13">
        <f>SUMIFS(Gear!$L$4:$L$603,Gear!$A$4:$A$603,A38,Gear!$B$4:$B$603,"Rogue",Gear!$C$4:$C$603,Inputs!$C$5)</f>
        <v/>
      </c>
      <c r="M38" s="13">
        <f>SUMIFS(Gear!$M$4:$M$603,Gear!$A$4:$A$603,A38,Gear!$B$4:$B$603,"Rogue",Gear!$C$4:$C$603,Inputs!$C$5)</f>
        <v/>
      </c>
      <c r="N38" s="13">
        <f>SUMIFS(Gear!$N$4:$N$603,Gear!$A$4:$A$603,A38,Gear!$B$4:$B$603,"Rogue",Gear!$C$4:$C$603,Inputs!$C$5)</f>
        <v/>
      </c>
      <c r="O38" s="9">
        <f>INDEX('Class Table'!$B$4:$B$53,A38)+SUMIFS(Gear!$G$4:$G$603,Gear!$A$4:$A$603,A38,Gear!$B$4:$B$603,"Rogue",Gear!$C$4:$C$603,Inputs!$C$5)</f>
        <v/>
      </c>
      <c r="P38" s="9">
        <f>INDEX('Class Table'!$C$4:$C$53,A38)+SUMIFS(Gear!$H$4:$H$603,Gear!$A$4:$A$603,A38,Gear!$B$4:$B$603,"Rogue",Gear!$C$4:$C$603,Inputs!$C$5)</f>
        <v/>
      </c>
      <c r="Q38" s="9">
        <f>INDEX('Class Table'!$D$4:$D$53,A38)+SUMIFS(Gear!$I$4:$I$603,Gear!$A$4:$A$603,A38,Gear!$B$4:$B$603,"Rogue",Gear!$C$4:$C$603,Inputs!$C$5)</f>
        <v/>
      </c>
      <c r="R38" s="13">
        <f>SUMIFS(Gear!$O$4:$O$603,Gear!$A$4:$A$603,A38,Gear!$B$4:$B$603,"Rogue",Gear!$C$4:$C$603,Inputs!$C$5)</f>
        <v/>
      </c>
      <c r="S38" s="26">
        <f>I38+0+G38+A38+MAX(1,A38/2)+(A38-B38)</f>
        <v/>
      </c>
      <c r="T38" s="9">
        <f>MAX(0,S38*(1+M38)*(1+L38)*Inputs!$C$20*(1-D38/Inputs!$C$19)-D38/25)</f>
        <v/>
      </c>
      <c r="U38" s="16">
        <f>H38/10*(1-MIN(0.95,N38+0))*Inputs!$C$21</f>
        <v/>
      </c>
      <c r="V38" s="27">
        <f>T38/U38</f>
        <v/>
      </c>
      <c r="W38" s="13">
        <f>IFERROR(LOOKUP(A38,Abilities!$A$38:$A$40,Abilities!$D$38:$D$40),0)</f>
        <v/>
      </c>
      <c r="X38" s="13">
        <f>Inputs!$C$16*IFERROR(LOOKUP(A38,Abilities!$A$38:$A$40,Abilities!$E$38:$E$40),0)/IFERROR(LOOKUP(A38,Abilities!$A$38:$A$40,Abilities!$F$38:$F$40),1)</f>
        <v/>
      </c>
      <c r="Y38" s="26">
        <f>I38+0+G38+A38+MAX(1,A38/2)+(A38-B38)</f>
        <v/>
      </c>
      <c r="Z38" s="9">
        <f>MAX(0,Y38*(1+M38)*(1+L38)*Inputs!$C$20*(1-D38/Inputs!$C$19)-D38/25)</f>
        <v/>
      </c>
      <c r="AA38" s="16">
        <f>H38/10*(1-MIN(0.95,N38+W38))*Inputs!$C$21</f>
        <v/>
      </c>
      <c r="AB38" s="27">
        <f>Z38/AA38</f>
        <v/>
      </c>
      <c r="AC38" s="14">
        <f>IFERROR(LOOKUP(A38,Abilities!$A$6:$A$10,Abilities!$C$6:$C$10),0)</f>
        <v/>
      </c>
      <c r="AD38" s="14">
        <f>IFERROR(LOOKUP(A38,Abilities!$A$6:$A$10,Abilities!$D$6:$D$10),1)</f>
        <v/>
      </c>
      <c r="AE38" s="9">
        <f>AC38*(I38+G38+A38)*(1+J38)*(1+K38)*Inputs!$C$20*(1+0.5*Inputs!$C$11)</f>
        <v/>
      </c>
      <c r="AF38" s="27">
        <f>AE38/AD38</f>
        <v/>
      </c>
      <c r="AG38" s="14">
        <f>IFERROR(LOOKUP(A38,Abilities!$A$44:$A$45,Abilities!$C$44:$C$45),0)</f>
        <v/>
      </c>
      <c r="AH38" s="17">
        <f>AG38/Inputs!$C$25*Inputs!$C$16*IFERROR(LOOKUP(A38,Abilities!$A$44:$A$45,Abilities!$D$44:$D$45),0)/IFERROR(LOOKUP(A38,Abilities!$A$44:$A$45,Abilities!$E$44:$E$45),1)</f>
        <v/>
      </c>
      <c r="AI38" s="27">
        <f>(1-X38)*V38+X38*AB38+AF38+AH38</f>
        <v/>
      </c>
      <c r="AJ38" s="27">
        <f>(AE38+3*AB38)/3</f>
        <v/>
      </c>
      <c r="AK38" s="28">
        <f>IFERROR(AF38/AI38,0)</f>
        <v/>
      </c>
      <c r="AL38" s="8">
        <f>IFERROR(ROUNDUP(C38/T38,0),"-")</f>
        <v/>
      </c>
      <c r="AM38" s="60">
        <f>IFERROR(C38/AI38,"-")</f>
        <v/>
      </c>
      <c r="AN38" s="9">
        <f>MAX(0,(E38+(B38-A38))*(1-R38)*(1-Q38*'Class Table'!$O$5/Inputs!$C$19)-Q38*'Class Table'!$O$5/25)</f>
        <v/>
      </c>
      <c r="AO38" s="26">
        <f>IFERROR(AN38/F38*AM38,"-")</f>
        <v/>
      </c>
      <c r="AP38" s="28">
        <f>IFERROR(AO38/O38,"-")</f>
        <v/>
      </c>
      <c r="AQ38" s="9">
        <f>IFERROR(O38*Inputs!$C$24/Inputs!$C$22*AM38,"-")</f>
        <v/>
      </c>
      <c r="AR38" s="28">
        <f>IFERROR(MAX(0,AO38-AQ38)/O38,"-")</f>
        <v/>
      </c>
    </row>
    <row r="39">
      <c r="A39" s="8" t="n">
        <v>36</v>
      </c>
      <c r="B39" s="14">
        <f>'Mob by Level'!B39</f>
        <v/>
      </c>
      <c r="C39" s="9">
        <f>'Mob by Level'!C39</f>
        <v/>
      </c>
      <c r="D39" s="9">
        <f>'Mob by Level'!D39</f>
        <v/>
      </c>
      <c r="E39" s="9">
        <f>'Mob by Level'!E39</f>
        <v/>
      </c>
      <c r="F39" s="16">
        <f>'Mob by Level'!F39</f>
        <v/>
      </c>
      <c r="G39" s="14">
        <f>SUMIFS(Gear!$D$4:$D$603,Gear!$A$4:$A$603,A39,Gear!$B$4:$B$603,"Rogue",Gear!$C$4:$C$603,Inputs!$C$5)</f>
        <v/>
      </c>
      <c r="H39" s="14">
        <f>SUMIFS(Gear!$E$4:$E$603,Gear!$A$4:$A$603,A39,Gear!$B$4:$B$603,"Rogue",Gear!$C$4:$C$603,Inputs!$C$5)</f>
        <v/>
      </c>
      <c r="I39" s="14">
        <f>SUMIFS(Gear!$F$4:$F$603,Gear!$A$4:$A$603,A39,Gear!$B$4:$B$603,"Rogue",Gear!$C$4:$C$603,Inputs!$C$5)+Inputs!$C$17*IFERROR(LOOKUP(A39,Abilities!$A$49:$A$53,Abilities!$C$49:$C$53),0)</f>
        <v/>
      </c>
      <c r="J39" s="13">
        <f>SUMIFS(Gear!$J$4:$J$603,Gear!$A$4:$A$603,A39,Gear!$B$4:$B$603,"Rogue",Gear!$C$4:$C$603,Inputs!$C$5)</f>
        <v/>
      </c>
      <c r="K39" s="13">
        <f>SUMIFS(Gear!$K$4:$K$603,Gear!$A$4:$A$603,A39,Gear!$B$4:$B$603,"Rogue",Gear!$C$4:$C$603,Inputs!$C$5)</f>
        <v/>
      </c>
      <c r="L39" s="13">
        <f>SUMIFS(Gear!$L$4:$L$603,Gear!$A$4:$A$603,A39,Gear!$B$4:$B$603,"Rogue",Gear!$C$4:$C$603,Inputs!$C$5)</f>
        <v/>
      </c>
      <c r="M39" s="13">
        <f>SUMIFS(Gear!$M$4:$M$603,Gear!$A$4:$A$603,A39,Gear!$B$4:$B$603,"Rogue",Gear!$C$4:$C$603,Inputs!$C$5)</f>
        <v/>
      </c>
      <c r="N39" s="13">
        <f>SUMIFS(Gear!$N$4:$N$603,Gear!$A$4:$A$603,A39,Gear!$B$4:$B$603,"Rogue",Gear!$C$4:$C$603,Inputs!$C$5)</f>
        <v/>
      </c>
      <c r="O39" s="9">
        <f>INDEX('Class Table'!$B$4:$B$53,A39)+SUMIFS(Gear!$G$4:$G$603,Gear!$A$4:$A$603,A39,Gear!$B$4:$B$603,"Rogue",Gear!$C$4:$C$603,Inputs!$C$5)</f>
        <v/>
      </c>
      <c r="P39" s="9">
        <f>INDEX('Class Table'!$C$4:$C$53,A39)+SUMIFS(Gear!$H$4:$H$603,Gear!$A$4:$A$603,A39,Gear!$B$4:$B$603,"Rogue",Gear!$C$4:$C$603,Inputs!$C$5)</f>
        <v/>
      </c>
      <c r="Q39" s="9">
        <f>INDEX('Class Table'!$D$4:$D$53,A39)+SUMIFS(Gear!$I$4:$I$603,Gear!$A$4:$A$603,A39,Gear!$B$4:$B$603,"Rogue",Gear!$C$4:$C$603,Inputs!$C$5)</f>
        <v/>
      </c>
      <c r="R39" s="13">
        <f>SUMIFS(Gear!$O$4:$O$603,Gear!$A$4:$A$603,A39,Gear!$B$4:$B$603,"Rogue",Gear!$C$4:$C$603,Inputs!$C$5)</f>
        <v/>
      </c>
      <c r="S39" s="26">
        <f>I39+0+G39+A39+MAX(1,A39/2)+(A39-B39)</f>
        <v/>
      </c>
      <c r="T39" s="9">
        <f>MAX(0,S39*(1+M39)*(1+L39)*Inputs!$C$20*(1-D39/Inputs!$C$19)-D39/25)</f>
        <v/>
      </c>
      <c r="U39" s="16">
        <f>H39/10*(1-MIN(0.95,N39+0))*Inputs!$C$21</f>
        <v/>
      </c>
      <c r="V39" s="27">
        <f>T39/U39</f>
        <v/>
      </c>
      <c r="W39" s="13">
        <f>IFERROR(LOOKUP(A39,Abilities!$A$38:$A$40,Abilities!$D$38:$D$40),0)</f>
        <v/>
      </c>
      <c r="X39" s="13">
        <f>Inputs!$C$16*IFERROR(LOOKUP(A39,Abilities!$A$38:$A$40,Abilities!$E$38:$E$40),0)/IFERROR(LOOKUP(A39,Abilities!$A$38:$A$40,Abilities!$F$38:$F$40),1)</f>
        <v/>
      </c>
      <c r="Y39" s="26">
        <f>I39+0+G39+A39+MAX(1,A39/2)+(A39-B39)</f>
        <v/>
      </c>
      <c r="Z39" s="9">
        <f>MAX(0,Y39*(1+M39)*(1+L39)*Inputs!$C$20*(1-D39/Inputs!$C$19)-D39/25)</f>
        <v/>
      </c>
      <c r="AA39" s="16">
        <f>H39/10*(1-MIN(0.95,N39+W39))*Inputs!$C$21</f>
        <v/>
      </c>
      <c r="AB39" s="27">
        <f>Z39/AA39</f>
        <v/>
      </c>
      <c r="AC39" s="14">
        <f>IFERROR(LOOKUP(A39,Abilities!$A$6:$A$10,Abilities!$C$6:$C$10),0)</f>
        <v/>
      </c>
      <c r="AD39" s="14">
        <f>IFERROR(LOOKUP(A39,Abilities!$A$6:$A$10,Abilities!$D$6:$D$10),1)</f>
        <v/>
      </c>
      <c r="AE39" s="9">
        <f>AC39*(I39+G39+A39)*(1+J39)*(1+K39)*Inputs!$C$20*(1+0.5*Inputs!$C$11)</f>
        <v/>
      </c>
      <c r="AF39" s="27">
        <f>AE39/AD39</f>
        <v/>
      </c>
      <c r="AG39" s="14">
        <f>IFERROR(LOOKUP(A39,Abilities!$A$44:$A$45,Abilities!$C$44:$C$45),0)</f>
        <v/>
      </c>
      <c r="AH39" s="17">
        <f>AG39/Inputs!$C$25*Inputs!$C$16*IFERROR(LOOKUP(A39,Abilities!$A$44:$A$45,Abilities!$D$44:$D$45),0)/IFERROR(LOOKUP(A39,Abilities!$A$44:$A$45,Abilities!$E$44:$E$45),1)</f>
        <v/>
      </c>
      <c r="AI39" s="27">
        <f>(1-X39)*V39+X39*AB39+AF39+AH39</f>
        <v/>
      </c>
      <c r="AJ39" s="27">
        <f>(AE39+3*AB39)/3</f>
        <v/>
      </c>
      <c r="AK39" s="28">
        <f>IFERROR(AF39/AI39,0)</f>
        <v/>
      </c>
      <c r="AL39" s="8">
        <f>IFERROR(ROUNDUP(C39/T39,0),"-")</f>
        <v/>
      </c>
      <c r="AM39" s="60">
        <f>IFERROR(C39/AI39,"-")</f>
        <v/>
      </c>
      <c r="AN39" s="9">
        <f>MAX(0,(E39+(B39-A39))*(1-R39)*(1-Q39*'Class Table'!$O$5/Inputs!$C$19)-Q39*'Class Table'!$O$5/25)</f>
        <v/>
      </c>
      <c r="AO39" s="26">
        <f>IFERROR(AN39/F39*AM39,"-")</f>
        <v/>
      </c>
      <c r="AP39" s="28">
        <f>IFERROR(AO39/O39,"-")</f>
        <v/>
      </c>
      <c r="AQ39" s="9">
        <f>IFERROR(O39*Inputs!$C$24/Inputs!$C$22*AM39,"-")</f>
        <v/>
      </c>
      <c r="AR39" s="28">
        <f>IFERROR(MAX(0,AO39-AQ39)/O39,"-")</f>
        <v/>
      </c>
    </row>
    <row r="40">
      <c r="A40" s="8" t="n">
        <v>37</v>
      </c>
      <c r="B40" s="14">
        <f>'Mob by Level'!B40</f>
        <v/>
      </c>
      <c r="C40" s="9">
        <f>'Mob by Level'!C40</f>
        <v/>
      </c>
      <c r="D40" s="9">
        <f>'Mob by Level'!D40</f>
        <v/>
      </c>
      <c r="E40" s="9">
        <f>'Mob by Level'!E40</f>
        <v/>
      </c>
      <c r="F40" s="16">
        <f>'Mob by Level'!F40</f>
        <v/>
      </c>
      <c r="G40" s="14">
        <f>SUMIFS(Gear!$D$4:$D$603,Gear!$A$4:$A$603,A40,Gear!$B$4:$B$603,"Rogue",Gear!$C$4:$C$603,Inputs!$C$5)</f>
        <v/>
      </c>
      <c r="H40" s="14">
        <f>SUMIFS(Gear!$E$4:$E$603,Gear!$A$4:$A$603,A40,Gear!$B$4:$B$603,"Rogue",Gear!$C$4:$C$603,Inputs!$C$5)</f>
        <v/>
      </c>
      <c r="I40" s="14">
        <f>SUMIFS(Gear!$F$4:$F$603,Gear!$A$4:$A$603,A40,Gear!$B$4:$B$603,"Rogue",Gear!$C$4:$C$603,Inputs!$C$5)+Inputs!$C$17*IFERROR(LOOKUP(A40,Abilities!$A$49:$A$53,Abilities!$C$49:$C$53),0)</f>
        <v/>
      </c>
      <c r="J40" s="13">
        <f>SUMIFS(Gear!$J$4:$J$603,Gear!$A$4:$A$603,A40,Gear!$B$4:$B$603,"Rogue",Gear!$C$4:$C$603,Inputs!$C$5)</f>
        <v/>
      </c>
      <c r="K40" s="13">
        <f>SUMIFS(Gear!$K$4:$K$603,Gear!$A$4:$A$603,A40,Gear!$B$4:$B$603,"Rogue",Gear!$C$4:$C$603,Inputs!$C$5)</f>
        <v/>
      </c>
      <c r="L40" s="13">
        <f>SUMIFS(Gear!$L$4:$L$603,Gear!$A$4:$A$603,A40,Gear!$B$4:$B$603,"Rogue",Gear!$C$4:$C$603,Inputs!$C$5)</f>
        <v/>
      </c>
      <c r="M40" s="13">
        <f>SUMIFS(Gear!$M$4:$M$603,Gear!$A$4:$A$603,A40,Gear!$B$4:$B$603,"Rogue",Gear!$C$4:$C$603,Inputs!$C$5)</f>
        <v/>
      </c>
      <c r="N40" s="13">
        <f>SUMIFS(Gear!$N$4:$N$603,Gear!$A$4:$A$603,A40,Gear!$B$4:$B$603,"Rogue",Gear!$C$4:$C$603,Inputs!$C$5)</f>
        <v/>
      </c>
      <c r="O40" s="9">
        <f>INDEX('Class Table'!$B$4:$B$53,A40)+SUMIFS(Gear!$G$4:$G$603,Gear!$A$4:$A$603,A40,Gear!$B$4:$B$603,"Rogue",Gear!$C$4:$C$603,Inputs!$C$5)</f>
        <v/>
      </c>
      <c r="P40" s="9">
        <f>INDEX('Class Table'!$C$4:$C$53,A40)+SUMIFS(Gear!$H$4:$H$603,Gear!$A$4:$A$603,A40,Gear!$B$4:$B$603,"Rogue",Gear!$C$4:$C$603,Inputs!$C$5)</f>
        <v/>
      </c>
      <c r="Q40" s="9">
        <f>INDEX('Class Table'!$D$4:$D$53,A40)+SUMIFS(Gear!$I$4:$I$603,Gear!$A$4:$A$603,A40,Gear!$B$4:$B$603,"Rogue",Gear!$C$4:$C$603,Inputs!$C$5)</f>
        <v/>
      </c>
      <c r="R40" s="13">
        <f>SUMIFS(Gear!$O$4:$O$603,Gear!$A$4:$A$603,A40,Gear!$B$4:$B$603,"Rogue",Gear!$C$4:$C$603,Inputs!$C$5)</f>
        <v/>
      </c>
      <c r="S40" s="26">
        <f>I40+0+G40+A40+MAX(1,A40/2)+(A40-B40)</f>
        <v/>
      </c>
      <c r="T40" s="9">
        <f>MAX(0,S40*(1+M40)*(1+L40)*Inputs!$C$20*(1-D40/Inputs!$C$19)-D40/25)</f>
        <v/>
      </c>
      <c r="U40" s="16">
        <f>H40/10*(1-MIN(0.95,N40+0))*Inputs!$C$21</f>
        <v/>
      </c>
      <c r="V40" s="27">
        <f>T40/U40</f>
        <v/>
      </c>
      <c r="W40" s="13">
        <f>IFERROR(LOOKUP(A40,Abilities!$A$38:$A$40,Abilities!$D$38:$D$40),0)</f>
        <v/>
      </c>
      <c r="X40" s="13">
        <f>Inputs!$C$16*IFERROR(LOOKUP(A40,Abilities!$A$38:$A$40,Abilities!$E$38:$E$40),0)/IFERROR(LOOKUP(A40,Abilities!$A$38:$A$40,Abilities!$F$38:$F$40),1)</f>
        <v/>
      </c>
      <c r="Y40" s="26">
        <f>I40+0+G40+A40+MAX(1,A40/2)+(A40-B40)</f>
        <v/>
      </c>
      <c r="Z40" s="9">
        <f>MAX(0,Y40*(1+M40)*(1+L40)*Inputs!$C$20*(1-D40/Inputs!$C$19)-D40/25)</f>
        <v/>
      </c>
      <c r="AA40" s="16">
        <f>H40/10*(1-MIN(0.95,N40+W40))*Inputs!$C$21</f>
        <v/>
      </c>
      <c r="AB40" s="27">
        <f>Z40/AA40</f>
        <v/>
      </c>
      <c r="AC40" s="14">
        <f>IFERROR(LOOKUP(A40,Abilities!$A$6:$A$10,Abilities!$C$6:$C$10),0)</f>
        <v/>
      </c>
      <c r="AD40" s="14">
        <f>IFERROR(LOOKUP(A40,Abilities!$A$6:$A$10,Abilities!$D$6:$D$10),1)</f>
        <v/>
      </c>
      <c r="AE40" s="9">
        <f>AC40*(I40+G40+A40)*(1+J40)*(1+K40)*Inputs!$C$20*(1+0.5*Inputs!$C$11)</f>
        <v/>
      </c>
      <c r="AF40" s="27">
        <f>AE40/AD40</f>
        <v/>
      </c>
      <c r="AG40" s="14">
        <f>IFERROR(LOOKUP(A40,Abilities!$A$44:$A$45,Abilities!$C$44:$C$45),0)</f>
        <v/>
      </c>
      <c r="AH40" s="17">
        <f>AG40/Inputs!$C$25*Inputs!$C$16*IFERROR(LOOKUP(A40,Abilities!$A$44:$A$45,Abilities!$D$44:$D$45),0)/IFERROR(LOOKUP(A40,Abilities!$A$44:$A$45,Abilities!$E$44:$E$45),1)</f>
        <v/>
      </c>
      <c r="AI40" s="27">
        <f>(1-X40)*V40+X40*AB40+AF40+AH40</f>
        <v/>
      </c>
      <c r="AJ40" s="27">
        <f>(AE40+3*AB40)/3</f>
        <v/>
      </c>
      <c r="AK40" s="28">
        <f>IFERROR(AF40/AI40,0)</f>
        <v/>
      </c>
      <c r="AL40" s="8">
        <f>IFERROR(ROUNDUP(C40/T40,0),"-")</f>
        <v/>
      </c>
      <c r="AM40" s="60">
        <f>IFERROR(C40/AI40,"-")</f>
        <v/>
      </c>
      <c r="AN40" s="9">
        <f>MAX(0,(E40+(B40-A40))*(1-R40)*(1-Q40*'Class Table'!$O$5/Inputs!$C$19)-Q40*'Class Table'!$O$5/25)</f>
        <v/>
      </c>
      <c r="AO40" s="26">
        <f>IFERROR(AN40/F40*AM40,"-")</f>
        <v/>
      </c>
      <c r="AP40" s="28">
        <f>IFERROR(AO40/O40,"-")</f>
        <v/>
      </c>
      <c r="AQ40" s="9">
        <f>IFERROR(O40*Inputs!$C$24/Inputs!$C$22*AM40,"-")</f>
        <v/>
      </c>
      <c r="AR40" s="28">
        <f>IFERROR(MAX(0,AO40-AQ40)/O40,"-")</f>
        <v/>
      </c>
    </row>
    <row r="41">
      <c r="A41" s="8" t="n">
        <v>38</v>
      </c>
      <c r="B41" s="14">
        <f>'Mob by Level'!B41</f>
        <v/>
      </c>
      <c r="C41" s="9">
        <f>'Mob by Level'!C41</f>
        <v/>
      </c>
      <c r="D41" s="9">
        <f>'Mob by Level'!D41</f>
        <v/>
      </c>
      <c r="E41" s="9">
        <f>'Mob by Level'!E41</f>
        <v/>
      </c>
      <c r="F41" s="16">
        <f>'Mob by Level'!F41</f>
        <v/>
      </c>
      <c r="G41" s="14">
        <f>SUMIFS(Gear!$D$4:$D$603,Gear!$A$4:$A$603,A41,Gear!$B$4:$B$603,"Rogue",Gear!$C$4:$C$603,Inputs!$C$5)</f>
        <v/>
      </c>
      <c r="H41" s="14">
        <f>SUMIFS(Gear!$E$4:$E$603,Gear!$A$4:$A$603,A41,Gear!$B$4:$B$603,"Rogue",Gear!$C$4:$C$603,Inputs!$C$5)</f>
        <v/>
      </c>
      <c r="I41" s="14">
        <f>SUMIFS(Gear!$F$4:$F$603,Gear!$A$4:$A$603,A41,Gear!$B$4:$B$603,"Rogue",Gear!$C$4:$C$603,Inputs!$C$5)+Inputs!$C$17*IFERROR(LOOKUP(A41,Abilities!$A$49:$A$53,Abilities!$C$49:$C$53),0)</f>
        <v/>
      </c>
      <c r="J41" s="13">
        <f>SUMIFS(Gear!$J$4:$J$603,Gear!$A$4:$A$603,A41,Gear!$B$4:$B$603,"Rogue",Gear!$C$4:$C$603,Inputs!$C$5)</f>
        <v/>
      </c>
      <c r="K41" s="13">
        <f>SUMIFS(Gear!$K$4:$K$603,Gear!$A$4:$A$603,A41,Gear!$B$4:$B$603,"Rogue",Gear!$C$4:$C$603,Inputs!$C$5)</f>
        <v/>
      </c>
      <c r="L41" s="13">
        <f>SUMIFS(Gear!$L$4:$L$603,Gear!$A$4:$A$603,A41,Gear!$B$4:$B$603,"Rogue",Gear!$C$4:$C$603,Inputs!$C$5)</f>
        <v/>
      </c>
      <c r="M41" s="13">
        <f>SUMIFS(Gear!$M$4:$M$603,Gear!$A$4:$A$603,A41,Gear!$B$4:$B$603,"Rogue",Gear!$C$4:$C$603,Inputs!$C$5)</f>
        <v/>
      </c>
      <c r="N41" s="13">
        <f>SUMIFS(Gear!$N$4:$N$603,Gear!$A$4:$A$603,A41,Gear!$B$4:$B$603,"Rogue",Gear!$C$4:$C$603,Inputs!$C$5)</f>
        <v/>
      </c>
      <c r="O41" s="9">
        <f>INDEX('Class Table'!$B$4:$B$53,A41)+SUMIFS(Gear!$G$4:$G$603,Gear!$A$4:$A$603,A41,Gear!$B$4:$B$603,"Rogue",Gear!$C$4:$C$603,Inputs!$C$5)</f>
        <v/>
      </c>
      <c r="P41" s="9">
        <f>INDEX('Class Table'!$C$4:$C$53,A41)+SUMIFS(Gear!$H$4:$H$603,Gear!$A$4:$A$603,A41,Gear!$B$4:$B$603,"Rogue",Gear!$C$4:$C$603,Inputs!$C$5)</f>
        <v/>
      </c>
      <c r="Q41" s="9">
        <f>INDEX('Class Table'!$D$4:$D$53,A41)+SUMIFS(Gear!$I$4:$I$603,Gear!$A$4:$A$603,A41,Gear!$B$4:$B$603,"Rogue",Gear!$C$4:$C$603,Inputs!$C$5)</f>
        <v/>
      </c>
      <c r="R41" s="13">
        <f>SUMIFS(Gear!$O$4:$O$603,Gear!$A$4:$A$603,A41,Gear!$B$4:$B$603,"Rogue",Gear!$C$4:$C$603,Inputs!$C$5)</f>
        <v/>
      </c>
      <c r="S41" s="26">
        <f>I41+0+G41+A41+MAX(1,A41/2)+(A41-B41)</f>
        <v/>
      </c>
      <c r="T41" s="9">
        <f>MAX(0,S41*(1+M41)*(1+L41)*Inputs!$C$20*(1-D41/Inputs!$C$19)-D41/25)</f>
        <v/>
      </c>
      <c r="U41" s="16">
        <f>H41/10*(1-MIN(0.95,N41+0))*Inputs!$C$21</f>
        <v/>
      </c>
      <c r="V41" s="27">
        <f>T41/U41</f>
        <v/>
      </c>
      <c r="W41" s="13">
        <f>IFERROR(LOOKUP(A41,Abilities!$A$38:$A$40,Abilities!$D$38:$D$40),0)</f>
        <v/>
      </c>
      <c r="X41" s="13">
        <f>Inputs!$C$16*IFERROR(LOOKUP(A41,Abilities!$A$38:$A$40,Abilities!$E$38:$E$40),0)/IFERROR(LOOKUP(A41,Abilities!$A$38:$A$40,Abilities!$F$38:$F$40),1)</f>
        <v/>
      </c>
      <c r="Y41" s="26">
        <f>I41+0+G41+A41+MAX(1,A41/2)+(A41-B41)</f>
        <v/>
      </c>
      <c r="Z41" s="9">
        <f>MAX(0,Y41*(1+M41)*(1+L41)*Inputs!$C$20*(1-D41/Inputs!$C$19)-D41/25)</f>
        <v/>
      </c>
      <c r="AA41" s="16">
        <f>H41/10*(1-MIN(0.95,N41+W41))*Inputs!$C$21</f>
        <v/>
      </c>
      <c r="AB41" s="27">
        <f>Z41/AA41</f>
        <v/>
      </c>
      <c r="AC41" s="14">
        <f>IFERROR(LOOKUP(A41,Abilities!$A$6:$A$10,Abilities!$C$6:$C$10),0)</f>
        <v/>
      </c>
      <c r="AD41" s="14">
        <f>IFERROR(LOOKUP(A41,Abilities!$A$6:$A$10,Abilities!$D$6:$D$10),1)</f>
        <v/>
      </c>
      <c r="AE41" s="9">
        <f>AC41*(I41+G41+A41)*(1+J41)*(1+K41)*Inputs!$C$20*(1+0.5*Inputs!$C$11)</f>
        <v/>
      </c>
      <c r="AF41" s="27">
        <f>AE41/AD41</f>
        <v/>
      </c>
      <c r="AG41" s="14">
        <f>IFERROR(LOOKUP(A41,Abilities!$A$44:$A$45,Abilities!$C$44:$C$45),0)</f>
        <v/>
      </c>
      <c r="AH41" s="17">
        <f>AG41/Inputs!$C$25*Inputs!$C$16*IFERROR(LOOKUP(A41,Abilities!$A$44:$A$45,Abilities!$D$44:$D$45),0)/IFERROR(LOOKUP(A41,Abilities!$A$44:$A$45,Abilities!$E$44:$E$45),1)</f>
        <v/>
      </c>
      <c r="AI41" s="27">
        <f>(1-X41)*V41+X41*AB41+AF41+AH41</f>
        <v/>
      </c>
      <c r="AJ41" s="27">
        <f>(AE41+3*AB41)/3</f>
        <v/>
      </c>
      <c r="AK41" s="28">
        <f>IFERROR(AF41/AI41,0)</f>
        <v/>
      </c>
      <c r="AL41" s="8">
        <f>IFERROR(ROUNDUP(C41/T41,0),"-")</f>
        <v/>
      </c>
      <c r="AM41" s="60">
        <f>IFERROR(C41/AI41,"-")</f>
        <v/>
      </c>
      <c r="AN41" s="9">
        <f>MAX(0,(E41+(B41-A41))*(1-R41)*(1-Q41*'Class Table'!$O$5/Inputs!$C$19)-Q41*'Class Table'!$O$5/25)</f>
        <v/>
      </c>
      <c r="AO41" s="26">
        <f>IFERROR(AN41/F41*AM41,"-")</f>
        <v/>
      </c>
      <c r="AP41" s="28">
        <f>IFERROR(AO41/O41,"-")</f>
        <v/>
      </c>
      <c r="AQ41" s="9">
        <f>IFERROR(O41*Inputs!$C$24/Inputs!$C$22*AM41,"-")</f>
        <v/>
      </c>
      <c r="AR41" s="28">
        <f>IFERROR(MAX(0,AO41-AQ41)/O41,"-")</f>
        <v/>
      </c>
    </row>
    <row r="42">
      <c r="A42" s="8" t="n">
        <v>39</v>
      </c>
      <c r="B42" s="14">
        <f>'Mob by Level'!B42</f>
        <v/>
      </c>
      <c r="C42" s="9">
        <f>'Mob by Level'!C42</f>
        <v/>
      </c>
      <c r="D42" s="9">
        <f>'Mob by Level'!D42</f>
        <v/>
      </c>
      <c r="E42" s="9">
        <f>'Mob by Level'!E42</f>
        <v/>
      </c>
      <c r="F42" s="16">
        <f>'Mob by Level'!F42</f>
        <v/>
      </c>
      <c r="G42" s="14">
        <f>SUMIFS(Gear!$D$4:$D$603,Gear!$A$4:$A$603,A42,Gear!$B$4:$B$603,"Rogue",Gear!$C$4:$C$603,Inputs!$C$5)</f>
        <v/>
      </c>
      <c r="H42" s="14">
        <f>SUMIFS(Gear!$E$4:$E$603,Gear!$A$4:$A$603,A42,Gear!$B$4:$B$603,"Rogue",Gear!$C$4:$C$603,Inputs!$C$5)</f>
        <v/>
      </c>
      <c r="I42" s="14">
        <f>SUMIFS(Gear!$F$4:$F$603,Gear!$A$4:$A$603,A42,Gear!$B$4:$B$603,"Rogue",Gear!$C$4:$C$603,Inputs!$C$5)+Inputs!$C$17*IFERROR(LOOKUP(A42,Abilities!$A$49:$A$53,Abilities!$C$49:$C$53),0)</f>
        <v/>
      </c>
      <c r="J42" s="13">
        <f>SUMIFS(Gear!$J$4:$J$603,Gear!$A$4:$A$603,A42,Gear!$B$4:$B$603,"Rogue",Gear!$C$4:$C$603,Inputs!$C$5)</f>
        <v/>
      </c>
      <c r="K42" s="13">
        <f>SUMIFS(Gear!$K$4:$K$603,Gear!$A$4:$A$603,A42,Gear!$B$4:$B$603,"Rogue",Gear!$C$4:$C$603,Inputs!$C$5)</f>
        <v/>
      </c>
      <c r="L42" s="13">
        <f>SUMIFS(Gear!$L$4:$L$603,Gear!$A$4:$A$603,A42,Gear!$B$4:$B$603,"Rogue",Gear!$C$4:$C$603,Inputs!$C$5)</f>
        <v/>
      </c>
      <c r="M42" s="13">
        <f>SUMIFS(Gear!$M$4:$M$603,Gear!$A$4:$A$603,A42,Gear!$B$4:$B$603,"Rogue",Gear!$C$4:$C$603,Inputs!$C$5)</f>
        <v/>
      </c>
      <c r="N42" s="13">
        <f>SUMIFS(Gear!$N$4:$N$603,Gear!$A$4:$A$603,A42,Gear!$B$4:$B$603,"Rogue",Gear!$C$4:$C$603,Inputs!$C$5)</f>
        <v/>
      </c>
      <c r="O42" s="9">
        <f>INDEX('Class Table'!$B$4:$B$53,A42)+SUMIFS(Gear!$G$4:$G$603,Gear!$A$4:$A$603,A42,Gear!$B$4:$B$603,"Rogue",Gear!$C$4:$C$603,Inputs!$C$5)</f>
        <v/>
      </c>
      <c r="P42" s="9">
        <f>INDEX('Class Table'!$C$4:$C$53,A42)+SUMIFS(Gear!$H$4:$H$603,Gear!$A$4:$A$603,A42,Gear!$B$4:$B$603,"Rogue",Gear!$C$4:$C$603,Inputs!$C$5)</f>
        <v/>
      </c>
      <c r="Q42" s="9">
        <f>INDEX('Class Table'!$D$4:$D$53,A42)+SUMIFS(Gear!$I$4:$I$603,Gear!$A$4:$A$603,A42,Gear!$B$4:$B$603,"Rogue",Gear!$C$4:$C$603,Inputs!$C$5)</f>
        <v/>
      </c>
      <c r="R42" s="13">
        <f>SUMIFS(Gear!$O$4:$O$603,Gear!$A$4:$A$603,A42,Gear!$B$4:$B$603,"Rogue",Gear!$C$4:$C$603,Inputs!$C$5)</f>
        <v/>
      </c>
      <c r="S42" s="26">
        <f>I42+0+G42+A42+MAX(1,A42/2)+(A42-B42)</f>
        <v/>
      </c>
      <c r="T42" s="9">
        <f>MAX(0,S42*(1+M42)*(1+L42)*Inputs!$C$20*(1-D42/Inputs!$C$19)-D42/25)</f>
        <v/>
      </c>
      <c r="U42" s="16">
        <f>H42/10*(1-MIN(0.95,N42+0))*Inputs!$C$21</f>
        <v/>
      </c>
      <c r="V42" s="27">
        <f>T42/U42</f>
        <v/>
      </c>
      <c r="W42" s="13">
        <f>IFERROR(LOOKUP(A42,Abilities!$A$38:$A$40,Abilities!$D$38:$D$40),0)</f>
        <v/>
      </c>
      <c r="X42" s="13">
        <f>Inputs!$C$16*IFERROR(LOOKUP(A42,Abilities!$A$38:$A$40,Abilities!$E$38:$E$40),0)/IFERROR(LOOKUP(A42,Abilities!$A$38:$A$40,Abilities!$F$38:$F$40),1)</f>
        <v/>
      </c>
      <c r="Y42" s="26">
        <f>I42+0+G42+A42+MAX(1,A42/2)+(A42-B42)</f>
        <v/>
      </c>
      <c r="Z42" s="9">
        <f>MAX(0,Y42*(1+M42)*(1+L42)*Inputs!$C$20*(1-D42/Inputs!$C$19)-D42/25)</f>
        <v/>
      </c>
      <c r="AA42" s="16">
        <f>H42/10*(1-MIN(0.95,N42+W42))*Inputs!$C$21</f>
        <v/>
      </c>
      <c r="AB42" s="27">
        <f>Z42/AA42</f>
        <v/>
      </c>
      <c r="AC42" s="14">
        <f>IFERROR(LOOKUP(A42,Abilities!$A$6:$A$10,Abilities!$C$6:$C$10),0)</f>
        <v/>
      </c>
      <c r="AD42" s="14">
        <f>IFERROR(LOOKUP(A42,Abilities!$A$6:$A$10,Abilities!$D$6:$D$10),1)</f>
        <v/>
      </c>
      <c r="AE42" s="9">
        <f>AC42*(I42+G42+A42)*(1+J42)*(1+K42)*Inputs!$C$20*(1+0.5*Inputs!$C$11)</f>
        <v/>
      </c>
      <c r="AF42" s="27">
        <f>AE42/AD42</f>
        <v/>
      </c>
      <c r="AG42" s="14">
        <f>IFERROR(LOOKUP(A42,Abilities!$A$44:$A$45,Abilities!$C$44:$C$45),0)</f>
        <v/>
      </c>
      <c r="AH42" s="17">
        <f>AG42/Inputs!$C$25*Inputs!$C$16*IFERROR(LOOKUP(A42,Abilities!$A$44:$A$45,Abilities!$D$44:$D$45),0)/IFERROR(LOOKUP(A42,Abilities!$A$44:$A$45,Abilities!$E$44:$E$45),1)</f>
        <v/>
      </c>
      <c r="AI42" s="27">
        <f>(1-X42)*V42+X42*AB42+AF42+AH42</f>
        <v/>
      </c>
      <c r="AJ42" s="27">
        <f>(AE42+3*AB42)/3</f>
        <v/>
      </c>
      <c r="AK42" s="28">
        <f>IFERROR(AF42/AI42,0)</f>
        <v/>
      </c>
      <c r="AL42" s="8">
        <f>IFERROR(ROUNDUP(C42/T42,0),"-")</f>
        <v/>
      </c>
      <c r="AM42" s="60">
        <f>IFERROR(C42/AI42,"-")</f>
        <v/>
      </c>
      <c r="AN42" s="9">
        <f>MAX(0,(E42+(B42-A42))*(1-R42)*(1-Q42*'Class Table'!$O$5/Inputs!$C$19)-Q42*'Class Table'!$O$5/25)</f>
        <v/>
      </c>
      <c r="AO42" s="26">
        <f>IFERROR(AN42/F42*AM42,"-")</f>
        <v/>
      </c>
      <c r="AP42" s="28">
        <f>IFERROR(AO42/O42,"-")</f>
        <v/>
      </c>
      <c r="AQ42" s="9">
        <f>IFERROR(O42*Inputs!$C$24/Inputs!$C$22*AM42,"-")</f>
        <v/>
      </c>
      <c r="AR42" s="28">
        <f>IFERROR(MAX(0,AO42-AQ42)/O42,"-")</f>
        <v/>
      </c>
    </row>
    <row r="43">
      <c r="A43" s="8" t="n">
        <v>40</v>
      </c>
      <c r="B43" s="14">
        <f>'Mob by Level'!B43</f>
        <v/>
      </c>
      <c r="C43" s="9">
        <f>'Mob by Level'!C43</f>
        <v/>
      </c>
      <c r="D43" s="9">
        <f>'Mob by Level'!D43</f>
        <v/>
      </c>
      <c r="E43" s="9">
        <f>'Mob by Level'!E43</f>
        <v/>
      </c>
      <c r="F43" s="16">
        <f>'Mob by Level'!F43</f>
        <v/>
      </c>
      <c r="G43" s="14">
        <f>SUMIFS(Gear!$D$4:$D$603,Gear!$A$4:$A$603,A43,Gear!$B$4:$B$603,"Rogue",Gear!$C$4:$C$603,Inputs!$C$5)</f>
        <v/>
      </c>
      <c r="H43" s="14">
        <f>SUMIFS(Gear!$E$4:$E$603,Gear!$A$4:$A$603,A43,Gear!$B$4:$B$603,"Rogue",Gear!$C$4:$C$603,Inputs!$C$5)</f>
        <v/>
      </c>
      <c r="I43" s="14">
        <f>SUMIFS(Gear!$F$4:$F$603,Gear!$A$4:$A$603,A43,Gear!$B$4:$B$603,"Rogue",Gear!$C$4:$C$603,Inputs!$C$5)+Inputs!$C$17*IFERROR(LOOKUP(A43,Abilities!$A$49:$A$53,Abilities!$C$49:$C$53),0)</f>
        <v/>
      </c>
      <c r="J43" s="13">
        <f>SUMIFS(Gear!$J$4:$J$603,Gear!$A$4:$A$603,A43,Gear!$B$4:$B$603,"Rogue",Gear!$C$4:$C$603,Inputs!$C$5)</f>
        <v/>
      </c>
      <c r="K43" s="13">
        <f>SUMIFS(Gear!$K$4:$K$603,Gear!$A$4:$A$603,A43,Gear!$B$4:$B$603,"Rogue",Gear!$C$4:$C$603,Inputs!$C$5)</f>
        <v/>
      </c>
      <c r="L43" s="13">
        <f>SUMIFS(Gear!$L$4:$L$603,Gear!$A$4:$A$603,A43,Gear!$B$4:$B$603,"Rogue",Gear!$C$4:$C$603,Inputs!$C$5)</f>
        <v/>
      </c>
      <c r="M43" s="13">
        <f>SUMIFS(Gear!$M$4:$M$603,Gear!$A$4:$A$603,A43,Gear!$B$4:$B$603,"Rogue",Gear!$C$4:$C$603,Inputs!$C$5)</f>
        <v/>
      </c>
      <c r="N43" s="13">
        <f>SUMIFS(Gear!$N$4:$N$603,Gear!$A$4:$A$603,A43,Gear!$B$4:$B$603,"Rogue",Gear!$C$4:$C$603,Inputs!$C$5)</f>
        <v/>
      </c>
      <c r="O43" s="9">
        <f>INDEX('Class Table'!$B$4:$B$53,A43)+SUMIFS(Gear!$G$4:$G$603,Gear!$A$4:$A$603,A43,Gear!$B$4:$B$603,"Rogue",Gear!$C$4:$C$603,Inputs!$C$5)</f>
        <v/>
      </c>
      <c r="P43" s="9">
        <f>INDEX('Class Table'!$C$4:$C$53,A43)+SUMIFS(Gear!$H$4:$H$603,Gear!$A$4:$A$603,A43,Gear!$B$4:$B$603,"Rogue",Gear!$C$4:$C$603,Inputs!$C$5)</f>
        <v/>
      </c>
      <c r="Q43" s="9">
        <f>INDEX('Class Table'!$D$4:$D$53,A43)+SUMIFS(Gear!$I$4:$I$603,Gear!$A$4:$A$603,A43,Gear!$B$4:$B$603,"Rogue",Gear!$C$4:$C$603,Inputs!$C$5)</f>
        <v/>
      </c>
      <c r="R43" s="13">
        <f>SUMIFS(Gear!$O$4:$O$603,Gear!$A$4:$A$603,A43,Gear!$B$4:$B$603,"Rogue",Gear!$C$4:$C$603,Inputs!$C$5)</f>
        <v/>
      </c>
      <c r="S43" s="26">
        <f>I43+0+G43+A43+MAX(1,A43/2)+(A43-B43)</f>
        <v/>
      </c>
      <c r="T43" s="9">
        <f>MAX(0,S43*(1+M43)*(1+L43)*Inputs!$C$20*(1-D43/Inputs!$C$19)-D43/25)</f>
        <v/>
      </c>
      <c r="U43" s="16">
        <f>H43/10*(1-MIN(0.95,N43+0))*Inputs!$C$21</f>
        <v/>
      </c>
      <c r="V43" s="27">
        <f>T43/U43</f>
        <v/>
      </c>
      <c r="W43" s="13">
        <f>IFERROR(LOOKUP(A43,Abilities!$A$38:$A$40,Abilities!$D$38:$D$40),0)</f>
        <v/>
      </c>
      <c r="X43" s="13">
        <f>Inputs!$C$16*IFERROR(LOOKUP(A43,Abilities!$A$38:$A$40,Abilities!$E$38:$E$40),0)/IFERROR(LOOKUP(A43,Abilities!$A$38:$A$40,Abilities!$F$38:$F$40),1)</f>
        <v/>
      </c>
      <c r="Y43" s="26">
        <f>I43+0+G43+A43+MAX(1,A43/2)+(A43-B43)</f>
        <v/>
      </c>
      <c r="Z43" s="9">
        <f>MAX(0,Y43*(1+M43)*(1+L43)*Inputs!$C$20*(1-D43/Inputs!$C$19)-D43/25)</f>
        <v/>
      </c>
      <c r="AA43" s="16">
        <f>H43/10*(1-MIN(0.95,N43+W43))*Inputs!$C$21</f>
        <v/>
      </c>
      <c r="AB43" s="27">
        <f>Z43/AA43</f>
        <v/>
      </c>
      <c r="AC43" s="14">
        <f>IFERROR(LOOKUP(A43,Abilities!$A$6:$A$10,Abilities!$C$6:$C$10),0)</f>
        <v/>
      </c>
      <c r="AD43" s="14">
        <f>IFERROR(LOOKUP(A43,Abilities!$A$6:$A$10,Abilities!$D$6:$D$10),1)</f>
        <v/>
      </c>
      <c r="AE43" s="9">
        <f>AC43*(I43+G43+A43)*(1+J43)*(1+K43)*Inputs!$C$20*(1+0.5*Inputs!$C$11)</f>
        <v/>
      </c>
      <c r="AF43" s="27">
        <f>AE43/AD43</f>
        <v/>
      </c>
      <c r="AG43" s="14">
        <f>IFERROR(LOOKUP(A43,Abilities!$A$44:$A$45,Abilities!$C$44:$C$45),0)</f>
        <v/>
      </c>
      <c r="AH43" s="17">
        <f>AG43/Inputs!$C$25*Inputs!$C$16*IFERROR(LOOKUP(A43,Abilities!$A$44:$A$45,Abilities!$D$44:$D$45),0)/IFERROR(LOOKUP(A43,Abilities!$A$44:$A$45,Abilities!$E$44:$E$45),1)</f>
        <v/>
      </c>
      <c r="AI43" s="27">
        <f>(1-X43)*V43+X43*AB43+AF43+AH43</f>
        <v/>
      </c>
      <c r="AJ43" s="27">
        <f>(AE43+3*AB43)/3</f>
        <v/>
      </c>
      <c r="AK43" s="28">
        <f>IFERROR(AF43/AI43,0)</f>
        <v/>
      </c>
      <c r="AL43" s="8">
        <f>IFERROR(ROUNDUP(C43/T43,0),"-")</f>
        <v/>
      </c>
      <c r="AM43" s="60">
        <f>IFERROR(C43/AI43,"-")</f>
        <v/>
      </c>
      <c r="AN43" s="9">
        <f>MAX(0,(E43+(B43-A43))*(1-R43)*(1-Q43*'Class Table'!$O$5/Inputs!$C$19)-Q43*'Class Table'!$O$5/25)</f>
        <v/>
      </c>
      <c r="AO43" s="26">
        <f>IFERROR(AN43/F43*AM43,"-")</f>
        <v/>
      </c>
      <c r="AP43" s="28">
        <f>IFERROR(AO43/O43,"-")</f>
        <v/>
      </c>
      <c r="AQ43" s="9">
        <f>IFERROR(O43*Inputs!$C$24/Inputs!$C$22*AM43,"-")</f>
        <v/>
      </c>
      <c r="AR43" s="28">
        <f>IFERROR(MAX(0,AO43-AQ43)/O43,"-")</f>
        <v/>
      </c>
    </row>
    <row r="44">
      <c r="A44" s="8" t="n">
        <v>41</v>
      </c>
      <c r="B44" s="14">
        <f>'Mob by Level'!B44</f>
        <v/>
      </c>
      <c r="C44" s="9">
        <f>'Mob by Level'!C44</f>
        <v/>
      </c>
      <c r="D44" s="9">
        <f>'Mob by Level'!D44</f>
        <v/>
      </c>
      <c r="E44" s="9">
        <f>'Mob by Level'!E44</f>
        <v/>
      </c>
      <c r="F44" s="16">
        <f>'Mob by Level'!F44</f>
        <v/>
      </c>
      <c r="G44" s="14">
        <f>SUMIFS(Gear!$D$4:$D$603,Gear!$A$4:$A$603,A44,Gear!$B$4:$B$603,"Rogue",Gear!$C$4:$C$603,Inputs!$C$5)</f>
        <v/>
      </c>
      <c r="H44" s="14">
        <f>SUMIFS(Gear!$E$4:$E$603,Gear!$A$4:$A$603,A44,Gear!$B$4:$B$603,"Rogue",Gear!$C$4:$C$603,Inputs!$C$5)</f>
        <v/>
      </c>
      <c r="I44" s="14">
        <f>SUMIFS(Gear!$F$4:$F$603,Gear!$A$4:$A$603,A44,Gear!$B$4:$B$603,"Rogue",Gear!$C$4:$C$603,Inputs!$C$5)+Inputs!$C$17*IFERROR(LOOKUP(A44,Abilities!$A$49:$A$53,Abilities!$C$49:$C$53),0)</f>
        <v/>
      </c>
      <c r="J44" s="13">
        <f>SUMIFS(Gear!$J$4:$J$603,Gear!$A$4:$A$603,A44,Gear!$B$4:$B$603,"Rogue",Gear!$C$4:$C$603,Inputs!$C$5)</f>
        <v/>
      </c>
      <c r="K44" s="13">
        <f>SUMIFS(Gear!$K$4:$K$603,Gear!$A$4:$A$603,A44,Gear!$B$4:$B$603,"Rogue",Gear!$C$4:$C$603,Inputs!$C$5)</f>
        <v/>
      </c>
      <c r="L44" s="13">
        <f>SUMIFS(Gear!$L$4:$L$603,Gear!$A$4:$A$603,A44,Gear!$B$4:$B$603,"Rogue",Gear!$C$4:$C$603,Inputs!$C$5)</f>
        <v/>
      </c>
      <c r="M44" s="13">
        <f>SUMIFS(Gear!$M$4:$M$603,Gear!$A$4:$A$603,A44,Gear!$B$4:$B$603,"Rogue",Gear!$C$4:$C$603,Inputs!$C$5)</f>
        <v/>
      </c>
      <c r="N44" s="13">
        <f>SUMIFS(Gear!$N$4:$N$603,Gear!$A$4:$A$603,A44,Gear!$B$4:$B$603,"Rogue",Gear!$C$4:$C$603,Inputs!$C$5)</f>
        <v/>
      </c>
      <c r="O44" s="9">
        <f>INDEX('Class Table'!$B$4:$B$53,A44)+SUMIFS(Gear!$G$4:$G$603,Gear!$A$4:$A$603,A44,Gear!$B$4:$B$603,"Rogue",Gear!$C$4:$C$603,Inputs!$C$5)</f>
        <v/>
      </c>
      <c r="P44" s="9">
        <f>INDEX('Class Table'!$C$4:$C$53,A44)+SUMIFS(Gear!$H$4:$H$603,Gear!$A$4:$A$603,A44,Gear!$B$4:$B$603,"Rogue",Gear!$C$4:$C$603,Inputs!$C$5)</f>
        <v/>
      </c>
      <c r="Q44" s="9">
        <f>INDEX('Class Table'!$D$4:$D$53,A44)+SUMIFS(Gear!$I$4:$I$603,Gear!$A$4:$A$603,A44,Gear!$B$4:$B$603,"Rogue",Gear!$C$4:$C$603,Inputs!$C$5)</f>
        <v/>
      </c>
      <c r="R44" s="13">
        <f>SUMIFS(Gear!$O$4:$O$603,Gear!$A$4:$A$603,A44,Gear!$B$4:$B$603,"Rogue",Gear!$C$4:$C$603,Inputs!$C$5)</f>
        <v/>
      </c>
      <c r="S44" s="26">
        <f>I44+0+G44+A44+MAX(1,A44/2)+(A44-B44)</f>
        <v/>
      </c>
      <c r="T44" s="9">
        <f>MAX(0,S44*(1+M44)*(1+L44)*Inputs!$C$20*(1-D44/Inputs!$C$19)-D44/25)</f>
        <v/>
      </c>
      <c r="U44" s="16">
        <f>H44/10*(1-MIN(0.95,N44+0))*Inputs!$C$21</f>
        <v/>
      </c>
      <c r="V44" s="27">
        <f>T44/U44</f>
        <v/>
      </c>
      <c r="W44" s="13">
        <f>IFERROR(LOOKUP(A44,Abilities!$A$38:$A$40,Abilities!$D$38:$D$40),0)</f>
        <v/>
      </c>
      <c r="X44" s="13">
        <f>Inputs!$C$16*IFERROR(LOOKUP(A44,Abilities!$A$38:$A$40,Abilities!$E$38:$E$40),0)/IFERROR(LOOKUP(A44,Abilities!$A$38:$A$40,Abilities!$F$38:$F$40),1)</f>
        <v/>
      </c>
      <c r="Y44" s="26">
        <f>I44+0+G44+A44+MAX(1,A44/2)+(A44-B44)</f>
        <v/>
      </c>
      <c r="Z44" s="9">
        <f>MAX(0,Y44*(1+M44)*(1+L44)*Inputs!$C$20*(1-D44/Inputs!$C$19)-D44/25)</f>
        <v/>
      </c>
      <c r="AA44" s="16">
        <f>H44/10*(1-MIN(0.95,N44+W44))*Inputs!$C$21</f>
        <v/>
      </c>
      <c r="AB44" s="27">
        <f>Z44/AA44</f>
        <v/>
      </c>
      <c r="AC44" s="14">
        <f>IFERROR(LOOKUP(A44,Abilities!$A$6:$A$10,Abilities!$C$6:$C$10),0)</f>
        <v/>
      </c>
      <c r="AD44" s="14">
        <f>IFERROR(LOOKUP(A44,Abilities!$A$6:$A$10,Abilities!$D$6:$D$10),1)</f>
        <v/>
      </c>
      <c r="AE44" s="9">
        <f>AC44*(I44+G44+A44)*(1+J44)*(1+K44)*Inputs!$C$20*(1+0.5*Inputs!$C$11)</f>
        <v/>
      </c>
      <c r="AF44" s="27">
        <f>AE44/AD44</f>
        <v/>
      </c>
      <c r="AG44" s="14">
        <f>IFERROR(LOOKUP(A44,Abilities!$A$44:$A$45,Abilities!$C$44:$C$45),0)</f>
        <v/>
      </c>
      <c r="AH44" s="17">
        <f>AG44/Inputs!$C$25*Inputs!$C$16*IFERROR(LOOKUP(A44,Abilities!$A$44:$A$45,Abilities!$D$44:$D$45),0)/IFERROR(LOOKUP(A44,Abilities!$A$44:$A$45,Abilities!$E$44:$E$45),1)</f>
        <v/>
      </c>
      <c r="AI44" s="27">
        <f>(1-X44)*V44+X44*AB44+AF44+AH44</f>
        <v/>
      </c>
      <c r="AJ44" s="27">
        <f>(AE44+3*AB44)/3</f>
        <v/>
      </c>
      <c r="AK44" s="28">
        <f>IFERROR(AF44/AI44,0)</f>
        <v/>
      </c>
      <c r="AL44" s="8">
        <f>IFERROR(ROUNDUP(C44/T44,0),"-")</f>
        <v/>
      </c>
      <c r="AM44" s="60">
        <f>IFERROR(C44/AI44,"-")</f>
        <v/>
      </c>
      <c r="AN44" s="9">
        <f>MAX(0,(E44+(B44-A44))*(1-R44)*(1-Q44*'Class Table'!$O$5/Inputs!$C$19)-Q44*'Class Table'!$O$5/25)</f>
        <v/>
      </c>
      <c r="AO44" s="26">
        <f>IFERROR(AN44/F44*AM44,"-")</f>
        <v/>
      </c>
      <c r="AP44" s="28">
        <f>IFERROR(AO44/O44,"-")</f>
        <v/>
      </c>
      <c r="AQ44" s="9">
        <f>IFERROR(O44*Inputs!$C$24/Inputs!$C$22*AM44,"-")</f>
        <v/>
      </c>
      <c r="AR44" s="28">
        <f>IFERROR(MAX(0,AO44-AQ44)/O44,"-")</f>
        <v/>
      </c>
    </row>
    <row r="45">
      <c r="A45" s="8" t="n">
        <v>42</v>
      </c>
      <c r="B45" s="14">
        <f>'Mob by Level'!B45</f>
        <v/>
      </c>
      <c r="C45" s="9">
        <f>'Mob by Level'!C45</f>
        <v/>
      </c>
      <c r="D45" s="9">
        <f>'Mob by Level'!D45</f>
        <v/>
      </c>
      <c r="E45" s="9">
        <f>'Mob by Level'!E45</f>
        <v/>
      </c>
      <c r="F45" s="16">
        <f>'Mob by Level'!F45</f>
        <v/>
      </c>
      <c r="G45" s="14">
        <f>SUMIFS(Gear!$D$4:$D$603,Gear!$A$4:$A$603,A45,Gear!$B$4:$B$603,"Rogue",Gear!$C$4:$C$603,Inputs!$C$5)</f>
        <v/>
      </c>
      <c r="H45" s="14">
        <f>SUMIFS(Gear!$E$4:$E$603,Gear!$A$4:$A$603,A45,Gear!$B$4:$B$603,"Rogue",Gear!$C$4:$C$603,Inputs!$C$5)</f>
        <v/>
      </c>
      <c r="I45" s="14">
        <f>SUMIFS(Gear!$F$4:$F$603,Gear!$A$4:$A$603,A45,Gear!$B$4:$B$603,"Rogue",Gear!$C$4:$C$603,Inputs!$C$5)+Inputs!$C$17*IFERROR(LOOKUP(A45,Abilities!$A$49:$A$53,Abilities!$C$49:$C$53),0)</f>
        <v/>
      </c>
      <c r="J45" s="13">
        <f>SUMIFS(Gear!$J$4:$J$603,Gear!$A$4:$A$603,A45,Gear!$B$4:$B$603,"Rogue",Gear!$C$4:$C$603,Inputs!$C$5)</f>
        <v/>
      </c>
      <c r="K45" s="13">
        <f>SUMIFS(Gear!$K$4:$K$603,Gear!$A$4:$A$603,A45,Gear!$B$4:$B$603,"Rogue",Gear!$C$4:$C$603,Inputs!$C$5)</f>
        <v/>
      </c>
      <c r="L45" s="13">
        <f>SUMIFS(Gear!$L$4:$L$603,Gear!$A$4:$A$603,A45,Gear!$B$4:$B$603,"Rogue",Gear!$C$4:$C$603,Inputs!$C$5)</f>
        <v/>
      </c>
      <c r="M45" s="13">
        <f>SUMIFS(Gear!$M$4:$M$603,Gear!$A$4:$A$603,A45,Gear!$B$4:$B$603,"Rogue",Gear!$C$4:$C$603,Inputs!$C$5)</f>
        <v/>
      </c>
      <c r="N45" s="13">
        <f>SUMIFS(Gear!$N$4:$N$603,Gear!$A$4:$A$603,A45,Gear!$B$4:$B$603,"Rogue",Gear!$C$4:$C$603,Inputs!$C$5)</f>
        <v/>
      </c>
      <c r="O45" s="9">
        <f>INDEX('Class Table'!$B$4:$B$53,A45)+SUMIFS(Gear!$G$4:$G$603,Gear!$A$4:$A$603,A45,Gear!$B$4:$B$603,"Rogue",Gear!$C$4:$C$603,Inputs!$C$5)</f>
        <v/>
      </c>
      <c r="P45" s="9">
        <f>INDEX('Class Table'!$C$4:$C$53,A45)+SUMIFS(Gear!$H$4:$H$603,Gear!$A$4:$A$603,A45,Gear!$B$4:$B$603,"Rogue",Gear!$C$4:$C$603,Inputs!$C$5)</f>
        <v/>
      </c>
      <c r="Q45" s="9">
        <f>INDEX('Class Table'!$D$4:$D$53,A45)+SUMIFS(Gear!$I$4:$I$603,Gear!$A$4:$A$603,A45,Gear!$B$4:$B$603,"Rogue",Gear!$C$4:$C$603,Inputs!$C$5)</f>
        <v/>
      </c>
      <c r="R45" s="13">
        <f>SUMIFS(Gear!$O$4:$O$603,Gear!$A$4:$A$603,A45,Gear!$B$4:$B$603,"Rogue",Gear!$C$4:$C$603,Inputs!$C$5)</f>
        <v/>
      </c>
      <c r="S45" s="26">
        <f>I45+0+G45+A45+MAX(1,A45/2)+(A45-B45)</f>
        <v/>
      </c>
      <c r="T45" s="9">
        <f>MAX(0,S45*(1+M45)*(1+L45)*Inputs!$C$20*(1-D45/Inputs!$C$19)-D45/25)</f>
        <v/>
      </c>
      <c r="U45" s="16">
        <f>H45/10*(1-MIN(0.95,N45+0))*Inputs!$C$21</f>
        <v/>
      </c>
      <c r="V45" s="27">
        <f>T45/U45</f>
        <v/>
      </c>
      <c r="W45" s="13">
        <f>IFERROR(LOOKUP(A45,Abilities!$A$38:$A$40,Abilities!$D$38:$D$40),0)</f>
        <v/>
      </c>
      <c r="X45" s="13">
        <f>Inputs!$C$16*IFERROR(LOOKUP(A45,Abilities!$A$38:$A$40,Abilities!$E$38:$E$40),0)/IFERROR(LOOKUP(A45,Abilities!$A$38:$A$40,Abilities!$F$38:$F$40),1)</f>
        <v/>
      </c>
      <c r="Y45" s="26">
        <f>I45+0+G45+A45+MAX(1,A45/2)+(A45-B45)</f>
        <v/>
      </c>
      <c r="Z45" s="9">
        <f>MAX(0,Y45*(1+M45)*(1+L45)*Inputs!$C$20*(1-D45/Inputs!$C$19)-D45/25)</f>
        <v/>
      </c>
      <c r="AA45" s="16">
        <f>H45/10*(1-MIN(0.95,N45+W45))*Inputs!$C$21</f>
        <v/>
      </c>
      <c r="AB45" s="27">
        <f>Z45/AA45</f>
        <v/>
      </c>
      <c r="AC45" s="14">
        <f>IFERROR(LOOKUP(A45,Abilities!$A$6:$A$10,Abilities!$C$6:$C$10),0)</f>
        <v/>
      </c>
      <c r="AD45" s="14">
        <f>IFERROR(LOOKUP(A45,Abilities!$A$6:$A$10,Abilities!$D$6:$D$10),1)</f>
        <v/>
      </c>
      <c r="AE45" s="9">
        <f>AC45*(I45+G45+A45)*(1+J45)*(1+K45)*Inputs!$C$20*(1+0.5*Inputs!$C$11)</f>
        <v/>
      </c>
      <c r="AF45" s="27">
        <f>AE45/AD45</f>
        <v/>
      </c>
      <c r="AG45" s="14">
        <f>IFERROR(LOOKUP(A45,Abilities!$A$44:$A$45,Abilities!$C$44:$C$45),0)</f>
        <v/>
      </c>
      <c r="AH45" s="17">
        <f>AG45/Inputs!$C$25*Inputs!$C$16*IFERROR(LOOKUP(A45,Abilities!$A$44:$A$45,Abilities!$D$44:$D$45),0)/IFERROR(LOOKUP(A45,Abilities!$A$44:$A$45,Abilities!$E$44:$E$45),1)</f>
        <v/>
      </c>
      <c r="AI45" s="27">
        <f>(1-X45)*V45+X45*AB45+AF45+AH45</f>
        <v/>
      </c>
      <c r="AJ45" s="27">
        <f>(AE45+3*AB45)/3</f>
        <v/>
      </c>
      <c r="AK45" s="28">
        <f>IFERROR(AF45/AI45,0)</f>
        <v/>
      </c>
      <c r="AL45" s="8">
        <f>IFERROR(ROUNDUP(C45/T45,0),"-")</f>
        <v/>
      </c>
      <c r="AM45" s="60">
        <f>IFERROR(C45/AI45,"-")</f>
        <v/>
      </c>
      <c r="AN45" s="9">
        <f>MAX(0,(E45+(B45-A45))*(1-R45)*(1-Q45*'Class Table'!$O$5/Inputs!$C$19)-Q45*'Class Table'!$O$5/25)</f>
        <v/>
      </c>
      <c r="AO45" s="26">
        <f>IFERROR(AN45/F45*AM45,"-")</f>
        <v/>
      </c>
      <c r="AP45" s="28">
        <f>IFERROR(AO45/O45,"-")</f>
        <v/>
      </c>
      <c r="AQ45" s="9">
        <f>IFERROR(O45*Inputs!$C$24/Inputs!$C$22*AM45,"-")</f>
        <v/>
      </c>
      <c r="AR45" s="28">
        <f>IFERROR(MAX(0,AO45-AQ45)/O45,"-")</f>
        <v/>
      </c>
    </row>
    <row r="46">
      <c r="A46" s="8" t="n">
        <v>43</v>
      </c>
      <c r="B46" s="14">
        <f>'Mob by Level'!B46</f>
        <v/>
      </c>
      <c r="C46" s="9">
        <f>'Mob by Level'!C46</f>
        <v/>
      </c>
      <c r="D46" s="9">
        <f>'Mob by Level'!D46</f>
        <v/>
      </c>
      <c r="E46" s="9">
        <f>'Mob by Level'!E46</f>
        <v/>
      </c>
      <c r="F46" s="16">
        <f>'Mob by Level'!F46</f>
        <v/>
      </c>
      <c r="G46" s="14">
        <f>SUMIFS(Gear!$D$4:$D$603,Gear!$A$4:$A$603,A46,Gear!$B$4:$B$603,"Rogue",Gear!$C$4:$C$603,Inputs!$C$5)</f>
        <v/>
      </c>
      <c r="H46" s="14">
        <f>SUMIFS(Gear!$E$4:$E$603,Gear!$A$4:$A$603,A46,Gear!$B$4:$B$603,"Rogue",Gear!$C$4:$C$603,Inputs!$C$5)</f>
        <v/>
      </c>
      <c r="I46" s="14">
        <f>SUMIFS(Gear!$F$4:$F$603,Gear!$A$4:$A$603,A46,Gear!$B$4:$B$603,"Rogue",Gear!$C$4:$C$603,Inputs!$C$5)+Inputs!$C$17*IFERROR(LOOKUP(A46,Abilities!$A$49:$A$53,Abilities!$C$49:$C$53),0)</f>
        <v/>
      </c>
      <c r="J46" s="13">
        <f>SUMIFS(Gear!$J$4:$J$603,Gear!$A$4:$A$603,A46,Gear!$B$4:$B$603,"Rogue",Gear!$C$4:$C$603,Inputs!$C$5)</f>
        <v/>
      </c>
      <c r="K46" s="13">
        <f>SUMIFS(Gear!$K$4:$K$603,Gear!$A$4:$A$603,A46,Gear!$B$4:$B$603,"Rogue",Gear!$C$4:$C$603,Inputs!$C$5)</f>
        <v/>
      </c>
      <c r="L46" s="13">
        <f>SUMIFS(Gear!$L$4:$L$603,Gear!$A$4:$A$603,A46,Gear!$B$4:$B$603,"Rogue",Gear!$C$4:$C$603,Inputs!$C$5)</f>
        <v/>
      </c>
      <c r="M46" s="13">
        <f>SUMIFS(Gear!$M$4:$M$603,Gear!$A$4:$A$603,A46,Gear!$B$4:$B$603,"Rogue",Gear!$C$4:$C$603,Inputs!$C$5)</f>
        <v/>
      </c>
      <c r="N46" s="13">
        <f>SUMIFS(Gear!$N$4:$N$603,Gear!$A$4:$A$603,A46,Gear!$B$4:$B$603,"Rogue",Gear!$C$4:$C$603,Inputs!$C$5)</f>
        <v/>
      </c>
      <c r="O46" s="9">
        <f>INDEX('Class Table'!$B$4:$B$53,A46)+SUMIFS(Gear!$G$4:$G$603,Gear!$A$4:$A$603,A46,Gear!$B$4:$B$603,"Rogue",Gear!$C$4:$C$603,Inputs!$C$5)</f>
        <v/>
      </c>
      <c r="P46" s="9">
        <f>INDEX('Class Table'!$C$4:$C$53,A46)+SUMIFS(Gear!$H$4:$H$603,Gear!$A$4:$A$603,A46,Gear!$B$4:$B$603,"Rogue",Gear!$C$4:$C$603,Inputs!$C$5)</f>
        <v/>
      </c>
      <c r="Q46" s="9">
        <f>INDEX('Class Table'!$D$4:$D$53,A46)+SUMIFS(Gear!$I$4:$I$603,Gear!$A$4:$A$603,A46,Gear!$B$4:$B$603,"Rogue",Gear!$C$4:$C$603,Inputs!$C$5)</f>
        <v/>
      </c>
      <c r="R46" s="13">
        <f>SUMIFS(Gear!$O$4:$O$603,Gear!$A$4:$A$603,A46,Gear!$B$4:$B$603,"Rogue",Gear!$C$4:$C$603,Inputs!$C$5)</f>
        <v/>
      </c>
      <c r="S46" s="26">
        <f>I46+0+G46+A46+MAX(1,A46/2)+(A46-B46)</f>
        <v/>
      </c>
      <c r="T46" s="9">
        <f>MAX(0,S46*(1+M46)*(1+L46)*Inputs!$C$20*(1-D46/Inputs!$C$19)-D46/25)</f>
        <v/>
      </c>
      <c r="U46" s="16">
        <f>H46/10*(1-MIN(0.95,N46+0))*Inputs!$C$21</f>
        <v/>
      </c>
      <c r="V46" s="27">
        <f>T46/U46</f>
        <v/>
      </c>
      <c r="W46" s="13">
        <f>IFERROR(LOOKUP(A46,Abilities!$A$38:$A$40,Abilities!$D$38:$D$40),0)</f>
        <v/>
      </c>
      <c r="X46" s="13">
        <f>Inputs!$C$16*IFERROR(LOOKUP(A46,Abilities!$A$38:$A$40,Abilities!$E$38:$E$40),0)/IFERROR(LOOKUP(A46,Abilities!$A$38:$A$40,Abilities!$F$38:$F$40),1)</f>
        <v/>
      </c>
      <c r="Y46" s="26">
        <f>I46+0+G46+A46+MAX(1,A46/2)+(A46-B46)</f>
        <v/>
      </c>
      <c r="Z46" s="9">
        <f>MAX(0,Y46*(1+M46)*(1+L46)*Inputs!$C$20*(1-D46/Inputs!$C$19)-D46/25)</f>
        <v/>
      </c>
      <c r="AA46" s="16">
        <f>H46/10*(1-MIN(0.95,N46+W46))*Inputs!$C$21</f>
        <v/>
      </c>
      <c r="AB46" s="27">
        <f>Z46/AA46</f>
        <v/>
      </c>
      <c r="AC46" s="14">
        <f>IFERROR(LOOKUP(A46,Abilities!$A$6:$A$10,Abilities!$C$6:$C$10),0)</f>
        <v/>
      </c>
      <c r="AD46" s="14">
        <f>IFERROR(LOOKUP(A46,Abilities!$A$6:$A$10,Abilities!$D$6:$D$10),1)</f>
        <v/>
      </c>
      <c r="AE46" s="9">
        <f>AC46*(I46+G46+A46)*(1+J46)*(1+K46)*Inputs!$C$20*(1+0.5*Inputs!$C$11)</f>
        <v/>
      </c>
      <c r="AF46" s="27">
        <f>AE46/AD46</f>
        <v/>
      </c>
      <c r="AG46" s="14">
        <f>IFERROR(LOOKUP(A46,Abilities!$A$44:$A$45,Abilities!$C$44:$C$45),0)</f>
        <v/>
      </c>
      <c r="AH46" s="17">
        <f>AG46/Inputs!$C$25*Inputs!$C$16*IFERROR(LOOKUP(A46,Abilities!$A$44:$A$45,Abilities!$D$44:$D$45),0)/IFERROR(LOOKUP(A46,Abilities!$A$44:$A$45,Abilities!$E$44:$E$45),1)</f>
        <v/>
      </c>
      <c r="AI46" s="27">
        <f>(1-X46)*V46+X46*AB46+AF46+AH46</f>
        <v/>
      </c>
      <c r="AJ46" s="27">
        <f>(AE46+3*AB46)/3</f>
        <v/>
      </c>
      <c r="AK46" s="28">
        <f>IFERROR(AF46/AI46,0)</f>
        <v/>
      </c>
      <c r="AL46" s="8">
        <f>IFERROR(ROUNDUP(C46/T46,0),"-")</f>
        <v/>
      </c>
      <c r="AM46" s="60">
        <f>IFERROR(C46/AI46,"-")</f>
        <v/>
      </c>
      <c r="AN46" s="9">
        <f>MAX(0,(E46+(B46-A46))*(1-R46)*(1-Q46*'Class Table'!$O$5/Inputs!$C$19)-Q46*'Class Table'!$O$5/25)</f>
        <v/>
      </c>
      <c r="AO46" s="26">
        <f>IFERROR(AN46/F46*AM46,"-")</f>
        <v/>
      </c>
      <c r="AP46" s="28">
        <f>IFERROR(AO46/O46,"-")</f>
        <v/>
      </c>
      <c r="AQ46" s="9">
        <f>IFERROR(O46*Inputs!$C$24/Inputs!$C$22*AM46,"-")</f>
        <v/>
      </c>
      <c r="AR46" s="28">
        <f>IFERROR(MAX(0,AO46-AQ46)/O46,"-")</f>
        <v/>
      </c>
    </row>
    <row r="47">
      <c r="A47" s="8" t="n">
        <v>44</v>
      </c>
      <c r="B47" s="14">
        <f>'Mob by Level'!B47</f>
        <v/>
      </c>
      <c r="C47" s="9">
        <f>'Mob by Level'!C47</f>
        <v/>
      </c>
      <c r="D47" s="9">
        <f>'Mob by Level'!D47</f>
        <v/>
      </c>
      <c r="E47" s="9">
        <f>'Mob by Level'!E47</f>
        <v/>
      </c>
      <c r="F47" s="16">
        <f>'Mob by Level'!F47</f>
        <v/>
      </c>
      <c r="G47" s="14">
        <f>SUMIFS(Gear!$D$4:$D$603,Gear!$A$4:$A$603,A47,Gear!$B$4:$B$603,"Rogue",Gear!$C$4:$C$603,Inputs!$C$5)</f>
        <v/>
      </c>
      <c r="H47" s="14">
        <f>SUMIFS(Gear!$E$4:$E$603,Gear!$A$4:$A$603,A47,Gear!$B$4:$B$603,"Rogue",Gear!$C$4:$C$603,Inputs!$C$5)</f>
        <v/>
      </c>
      <c r="I47" s="14">
        <f>SUMIFS(Gear!$F$4:$F$603,Gear!$A$4:$A$603,A47,Gear!$B$4:$B$603,"Rogue",Gear!$C$4:$C$603,Inputs!$C$5)+Inputs!$C$17*IFERROR(LOOKUP(A47,Abilities!$A$49:$A$53,Abilities!$C$49:$C$53),0)</f>
        <v/>
      </c>
      <c r="J47" s="13">
        <f>SUMIFS(Gear!$J$4:$J$603,Gear!$A$4:$A$603,A47,Gear!$B$4:$B$603,"Rogue",Gear!$C$4:$C$603,Inputs!$C$5)</f>
        <v/>
      </c>
      <c r="K47" s="13">
        <f>SUMIFS(Gear!$K$4:$K$603,Gear!$A$4:$A$603,A47,Gear!$B$4:$B$603,"Rogue",Gear!$C$4:$C$603,Inputs!$C$5)</f>
        <v/>
      </c>
      <c r="L47" s="13">
        <f>SUMIFS(Gear!$L$4:$L$603,Gear!$A$4:$A$603,A47,Gear!$B$4:$B$603,"Rogue",Gear!$C$4:$C$603,Inputs!$C$5)</f>
        <v/>
      </c>
      <c r="M47" s="13">
        <f>SUMIFS(Gear!$M$4:$M$603,Gear!$A$4:$A$603,A47,Gear!$B$4:$B$603,"Rogue",Gear!$C$4:$C$603,Inputs!$C$5)</f>
        <v/>
      </c>
      <c r="N47" s="13">
        <f>SUMIFS(Gear!$N$4:$N$603,Gear!$A$4:$A$603,A47,Gear!$B$4:$B$603,"Rogue",Gear!$C$4:$C$603,Inputs!$C$5)</f>
        <v/>
      </c>
      <c r="O47" s="9">
        <f>INDEX('Class Table'!$B$4:$B$53,A47)+SUMIFS(Gear!$G$4:$G$603,Gear!$A$4:$A$603,A47,Gear!$B$4:$B$603,"Rogue",Gear!$C$4:$C$603,Inputs!$C$5)</f>
        <v/>
      </c>
      <c r="P47" s="9">
        <f>INDEX('Class Table'!$C$4:$C$53,A47)+SUMIFS(Gear!$H$4:$H$603,Gear!$A$4:$A$603,A47,Gear!$B$4:$B$603,"Rogue",Gear!$C$4:$C$603,Inputs!$C$5)</f>
        <v/>
      </c>
      <c r="Q47" s="9">
        <f>INDEX('Class Table'!$D$4:$D$53,A47)+SUMIFS(Gear!$I$4:$I$603,Gear!$A$4:$A$603,A47,Gear!$B$4:$B$603,"Rogue",Gear!$C$4:$C$603,Inputs!$C$5)</f>
        <v/>
      </c>
      <c r="R47" s="13">
        <f>SUMIFS(Gear!$O$4:$O$603,Gear!$A$4:$A$603,A47,Gear!$B$4:$B$603,"Rogue",Gear!$C$4:$C$603,Inputs!$C$5)</f>
        <v/>
      </c>
      <c r="S47" s="26">
        <f>I47+0+G47+A47+MAX(1,A47/2)+(A47-B47)</f>
        <v/>
      </c>
      <c r="T47" s="9">
        <f>MAX(0,S47*(1+M47)*(1+L47)*Inputs!$C$20*(1-D47/Inputs!$C$19)-D47/25)</f>
        <v/>
      </c>
      <c r="U47" s="16">
        <f>H47/10*(1-MIN(0.95,N47+0))*Inputs!$C$21</f>
        <v/>
      </c>
      <c r="V47" s="27">
        <f>T47/U47</f>
        <v/>
      </c>
      <c r="W47" s="13">
        <f>IFERROR(LOOKUP(A47,Abilities!$A$38:$A$40,Abilities!$D$38:$D$40),0)</f>
        <v/>
      </c>
      <c r="X47" s="13">
        <f>Inputs!$C$16*IFERROR(LOOKUP(A47,Abilities!$A$38:$A$40,Abilities!$E$38:$E$40),0)/IFERROR(LOOKUP(A47,Abilities!$A$38:$A$40,Abilities!$F$38:$F$40),1)</f>
        <v/>
      </c>
      <c r="Y47" s="26">
        <f>I47+0+G47+A47+MAX(1,A47/2)+(A47-B47)</f>
        <v/>
      </c>
      <c r="Z47" s="9">
        <f>MAX(0,Y47*(1+M47)*(1+L47)*Inputs!$C$20*(1-D47/Inputs!$C$19)-D47/25)</f>
        <v/>
      </c>
      <c r="AA47" s="16">
        <f>H47/10*(1-MIN(0.95,N47+W47))*Inputs!$C$21</f>
        <v/>
      </c>
      <c r="AB47" s="27">
        <f>Z47/AA47</f>
        <v/>
      </c>
      <c r="AC47" s="14">
        <f>IFERROR(LOOKUP(A47,Abilities!$A$6:$A$10,Abilities!$C$6:$C$10),0)</f>
        <v/>
      </c>
      <c r="AD47" s="14">
        <f>IFERROR(LOOKUP(A47,Abilities!$A$6:$A$10,Abilities!$D$6:$D$10),1)</f>
        <v/>
      </c>
      <c r="AE47" s="9">
        <f>AC47*(I47+G47+A47)*(1+J47)*(1+K47)*Inputs!$C$20*(1+0.5*Inputs!$C$11)</f>
        <v/>
      </c>
      <c r="AF47" s="27">
        <f>AE47/AD47</f>
        <v/>
      </c>
      <c r="AG47" s="14">
        <f>IFERROR(LOOKUP(A47,Abilities!$A$44:$A$45,Abilities!$C$44:$C$45),0)</f>
        <v/>
      </c>
      <c r="AH47" s="17">
        <f>AG47/Inputs!$C$25*Inputs!$C$16*IFERROR(LOOKUP(A47,Abilities!$A$44:$A$45,Abilities!$D$44:$D$45),0)/IFERROR(LOOKUP(A47,Abilities!$A$44:$A$45,Abilities!$E$44:$E$45),1)</f>
        <v/>
      </c>
      <c r="AI47" s="27">
        <f>(1-X47)*V47+X47*AB47+AF47+AH47</f>
        <v/>
      </c>
      <c r="AJ47" s="27">
        <f>(AE47+3*AB47)/3</f>
        <v/>
      </c>
      <c r="AK47" s="28">
        <f>IFERROR(AF47/AI47,0)</f>
        <v/>
      </c>
      <c r="AL47" s="8">
        <f>IFERROR(ROUNDUP(C47/T47,0),"-")</f>
        <v/>
      </c>
      <c r="AM47" s="60">
        <f>IFERROR(C47/AI47,"-")</f>
        <v/>
      </c>
      <c r="AN47" s="9">
        <f>MAX(0,(E47+(B47-A47))*(1-R47)*(1-Q47*'Class Table'!$O$5/Inputs!$C$19)-Q47*'Class Table'!$O$5/25)</f>
        <v/>
      </c>
      <c r="AO47" s="26">
        <f>IFERROR(AN47/F47*AM47,"-")</f>
        <v/>
      </c>
      <c r="AP47" s="28">
        <f>IFERROR(AO47/O47,"-")</f>
        <v/>
      </c>
      <c r="AQ47" s="9">
        <f>IFERROR(O47*Inputs!$C$24/Inputs!$C$22*AM47,"-")</f>
        <v/>
      </c>
      <c r="AR47" s="28">
        <f>IFERROR(MAX(0,AO47-AQ47)/O47,"-")</f>
        <v/>
      </c>
    </row>
    <row r="48">
      <c r="A48" s="8" t="n">
        <v>45</v>
      </c>
      <c r="B48" s="14">
        <f>'Mob by Level'!B48</f>
        <v/>
      </c>
      <c r="C48" s="9">
        <f>'Mob by Level'!C48</f>
        <v/>
      </c>
      <c r="D48" s="9">
        <f>'Mob by Level'!D48</f>
        <v/>
      </c>
      <c r="E48" s="9">
        <f>'Mob by Level'!E48</f>
        <v/>
      </c>
      <c r="F48" s="16">
        <f>'Mob by Level'!F48</f>
        <v/>
      </c>
      <c r="G48" s="14">
        <f>SUMIFS(Gear!$D$4:$D$603,Gear!$A$4:$A$603,A48,Gear!$B$4:$B$603,"Rogue",Gear!$C$4:$C$603,Inputs!$C$5)</f>
        <v/>
      </c>
      <c r="H48" s="14">
        <f>SUMIFS(Gear!$E$4:$E$603,Gear!$A$4:$A$603,A48,Gear!$B$4:$B$603,"Rogue",Gear!$C$4:$C$603,Inputs!$C$5)</f>
        <v/>
      </c>
      <c r="I48" s="14">
        <f>SUMIFS(Gear!$F$4:$F$603,Gear!$A$4:$A$603,A48,Gear!$B$4:$B$603,"Rogue",Gear!$C$4:$C$603,Inputs!$C$5)+Inputs!$C$17*IFERROR(LOOKUP(A48,Abilities!$A$49:$A$53,Abilities!$C$49:$C$53),0)</f>
        <v/>
      </c>
      <c r="J48" s="13">
        <f>SUMIFS(Gear!$J$4:$J$603,Gear!$A$4:$A$603,A48,Gear!$B$4:$B$603,"Rogue",Gear!$C$4:$C$603,Inputs!$C$5)</f>
        <v/>
      </c>
      <c r="K48" s="13">
        <f>SUMIFS(Gear!$K$4:$K$603,Gear!$A$4:$A$603,A48,Gear!$B$4:$B$603,"Rogue",Gear!$C$4:$C$603,Inputs!$C$5)</f>
        <v/>
      </c>
      <c r="L48" s="13">
        <f>SUMIFS(Gear!$L$4:$L$603,Gear!$A$4:$A$603,A48,Gear!$B$4:$B$603,"Rogue",Gear!$C$4:$C$603,Inputs!$C$5)</f>
        <v/>
      </c>
      <c r="M48" s="13">
        <f>SUMIFS(Gear!$M$4:$M$603,Gear!$A$4:$A$603,A48,Gear!$B$4:$B$603,"Rogue",Gear!$C$4:$C$603,Inputs!$C$5)</f>
        <v/>
      </c>
      <c r="N48" s="13">
        <f>SUMIFS(Gear!$N$4:$N$603,Gear!$A$4:$A$603,A48,Gear!$B$4:$B$603,"Rogue",Gear!$C$4:$C$603,Inputs!$C$5)</f>
        <v/>
      </c>
      <c r="O48" s="9">
        <f>INDEX('Class Table'!$B$4:$B$53,A48)+SUMIFS(Gear!$G$4:$G$603,Gear!$A$4:$A$603,A48,Gear!$B$4:$B$603,"Rogue",Gear!$C$4:$C$603,Inputs!$C$5)</f>
        <v/>
      </c>
      <c r="P48" s="9">
        <f>INDEX('Class Table'!$C$4:$C$53,A48)+SUMIFS(Gear!$H$4:$H$603,Gear!$A$4:$A$603,A48,Gear!$B$4:$B$603,"Rogue",Gear!$C$4:$C$603,Inputs!$C$5)</f>
        <v/>
      </c>
      <c r="Q48" s="9">
        <f>INDEX('Class Table'!$D$4:$D$53,A48)+SUMIFS(Gear!$I$4:$I$603,Gear!$A$4:$A$603,A48,Gear!$B$4:$B$603,"Rogue",Gear!$C$4:$C$603,Inputs!$C$5)</f>
        <v/>
      </c>
      <c r="R48" s="13">
        <f>SUMIFS(Gear!$O$4:$O$603,Gear!$A$4:$A$603,A48,Gear!$B$4:$B$603,"Rogue",Gear!$C$4:$C$603,Inputs!$C$5)</f>
        <v/>
      </c>
      <c r="S48" s="26">
        <f>I48+0+G48+A48+MAX(1,A48/2)+(A48-B48)</f>
        <v/>
      </c>
      <c r="T48" s="9">
        <f>MAX(0,S48*(1+M48)*(1+L48)*Inputs!$C$20*(1-D48/Inputs!$C$19)-D48/25)</f>
        <v/>
      </c>
      <c r="U48" s="16">
        <f>H48/10*(1-MIN(0.95,N48+0))*Inputs!$C$21</f>
        <v/>
      </c>
      <c r="V48" s="27">
        <f>T48/U48</f>
        <v/>
      </c>
      <c r="W48" s="13">
        <f>IFERROR(LOOKUP(A48,Abilities!$A$38:$A$40,Abilities!$D$38:$D$40),0)</f>
        <v/>
      </c>
      <c r="X48" s="13">
        <f>Inputs!$C$16*IFERROR(LOOKUP(A48,Abilities!$A$38:$A$40,Abilities!$E$38:$E$40),0)/IFERROR(LOOKUP(A48,Abilities!$A$38:$A$40,Abilities!$F$38:$F$40),1)</f>
        <v/>
      </c>
      <c r="Y48" s="26">
        <f>I48+0+G48+A48+MAX(1,A48/2)+(A48-B48)</f>
        <v/>
      </c>
      <c r="Z48" s="9">
        <f>MAX(0,Y48*(1+M48)*(1+L48)*Inputs!$C$20*(1-D48/Inputs!$C$19)-D48/25)</f>
        <v/>
      </c>
      <c r="AA48" s="16">
        <f>H48/10*(1-MIN(0.95,N48+W48))*Inputs!$C$21</f>
        <v/>
      </c>
      <c r="AB48" s="27">
        <f>Z48/AA48</f>
        <v/>
      </c>
      <c r="AC48" s="14">
        <f>IFERROR(LOOKUP(A48,Abilities!$A$6:$A$10,Abilities!$C$6:$C$10),0)</f>
        <v/>
      </c>
      <c r="AD48" s="14">
        <f>IFERROR(LOOKUP(A48,Abilities!$A$6:$A$10,Abilities!$D$6:$D$10),1)</f>
        <v/>
      </c>
      <c r="AE48" s="9">
        <f>AC48*(I48+G48+A48)*(1+J48)*(1+K48)*Inputs!$C$20*(1+0.5*Inputs!$C$11)</f>
        <v/>
      </c>
      <c r="AF48" s="27">
        <f>AE48/AD48</f>
        <v/>
      </c>
      <c r="AG48" s="14">
        <f>IFERROR(LOOKUP(A48,Abilities!$A$44:$A$45,Abilities!$C$44:$C$45),0)</f>
        <v/>
      </c>
      <c r="AH48" s="17">
        <f>AG48/Inputs!$C$25*Inputs!$C$16*IFERROR(LOOKUP(A48,Abilities!$A$44:$A$45,Abilities!$D$44:$D$45),0)/IFERROR(LOOKUP(A48,Abilities!$A$44:$A$45,Abilities!$E$44:$E$45),1)</f>
        <v/>
      </c>
      <c r="AI48" s="27">
        <f>(1-X48)*V48+X48*AB48+AF48+AH48</f>
        <v/>
      </c>
      <c r="AJ48" s="27">
        <f>(AE48+3*AB48)/3</f>
        <v/>
      </c>
      <c r="AK48" s="28">
        <f>IFERROR(AF48/AI48,0)</f>
        <v/>
      </c>
      <c r="AL48" s="8">
        <f>IFERROR(ROUNDUP(C48/T48,0),"-")</f>
        <v/>
      </c>
      <c r="AM48" s="60">
        <f>IFERROR(C48/AI48,"-")</f>
        <v/>
      </c>
      <c r="AN48" s="9">
        <f>MAX(0,(E48+(B48-A48))*(1-R48)*(1-Q48*'Class Table'!$O$5/Inputs!$C$19)-Q48*'Class Table'!$O$5/25)</f>
        <v/>
      </c>
      <c r="AO48" s="26">
        <f>IFERROR(AN48/F48*AM48,"-")</f>
        <v/>
      </c>
      <c r="AP48" s="28">
        <f>IFERROR(AO48/O48,"-")</f>
        <v/>
      </c>
      <c r="AQ48" s="9">
        <f>IFERROR(O48*Inputs!$C$24/Inputs!$C$22*AM48,"-")</f>
        <v/>
      </c>
      <c r="AR48" s="28">
        <f>IFERROR(MAX(0,AO48-AQ48)/O48,"-")</f>
        <v/>
      </c>
    </row>
    <row r="49">
      <c r="A49" s="8" t="n">
        <v>46</v>
      </c>
      <c r="B49" s="14">
        <f>'Mob by Level'!B49</f>
        <v/>
      </c>
      <c r="C49" s="9">
        <f>'Mob by Level'!C49</f>
        <v/>
      </c>
      <c r="D49" s="9">
        <f>'Mob by Level'!D49</f>
        <v/>
      </c>
      <c r="E49" s="9">
        <f>'Mob by Level'!E49</f>
        <v/>
      </c>
      <c r="F49" s="16">
        <f>'Mob by Level'!F49</f>
        <v/>
      </c>
      <c r="G49" s="14">
        <f>SUMIFS(Gear!$D$4:$D$603,Gear!$A$4:$A$603,A49,Gear!$B$4:$B$603,"Rogue",Gear!$C$4:$C$603,Inputs!$C$5)</f>
        <v/>
      </c>
      <c r="H49" s="14">
        <f>SUMIFS(Gear!$E$4:$E$603,Gear!$A$4:$A$603,A49,Gear!$B$4:$B$603,"Rogue",Gear!$C$4:$C$603,Inputs!$C$5)</f>
        <v/>
      </c>
      <c r="I49" s="14">
        <f>SUMIFS(Gear!$F$4:$F$603,Gear!$A$4:$A$603,A49,Gear!$B$4:$B$603,"Rogue",Gear!$C$4:$C$603,Inputs!$C$5)+Inputs!$C$17*IFERROR(LOOKUP(A49,Abilities!$A$49:$A$53,Abilities!$C$49:$C$53),0)</f>
        <v/>
      </c>
      <c r="J49" s="13">
        <f>SUMIFS(Gear!$J$4:$J$603,Gear!$A$4:$A$603,A49,Gear!$B$4:$B$603,"Rogue",Gear!$C$4:$C$603,Inputs!$C$5)</f>
        <v/>
      </c>
      <c r="K49" s="13">
        <f>SUMIFS(Gear!$K$4:$K$603,Gear!$A$4:$A$603,A49,Gear!$B$4:$B$603,"Rogue",Gear!$C$4:$C$603,Inputs!$C$5)</f>
        <v/>
      </c>
      <c r="L49" s="13">
        <f>SUMIFS(Gear!$L$4:$L$603,Gear!$A$4:$A$603,A49,Gear!$B$4:$B$603,"Rogue",Gear!$C$4:$C$603,Inputs!$C$5)</f>
        <v/>
      </c>
      <c r="M49" s="13">
        <f>SUMIFS(Gear!$M$4:$M$603,Gear!$A$4:$A$603,A49,Gear!$B$4:$B$603,"Rogue",Gear!$C$4:$C$603,Inputs!$C$5)</f>
        <v/>
      </c>
      <c r="N49" s="13">
        <f>SUMIFS(Gear!$N$4:$N$603,Gear!$A$4:$A$603,A49,Gear!$B$4:$B$603,"Rogue",Gear!$C$4:$C$603,Inputs!$C$5)</f>
        <v/>
      </c>
      <c r="O49" s="9">
        <f>INDEX('Class Table'!$B$4:$B$53,A49)+SUMIFS(Gear!$G$4:$G$603,Gear!$A$4:$A$603,A49,Gear!$B$4:$B$603,"Rogue",Gear!$C$4:$C$603,Inputs!$C$5)</f>
        <v/>
      </c>
      <c r="P49" s="9">
        <f>INDEX('Class Table'!$C$4:$C$53,A49)+SUMIFS(Gear!$H$4:$H$603,Gear!$A$4:$A$603,A49,Gear!$B$4:$B$603,"Rogue",Gear!$C$4:$C$603,Inputs!$C$5)</f>
        <v/>
      </c>
      <c r="Q49" s="9">
        <f>INDEX('Class Table'!$D$4:$D$53,A49)+SUMIFS(Gear!$I$4:$I$603,Gear!$A$4:$A$603,A49,Gear!$B$4:$B$603,"Rogue",Gear!$C$4:$C$603,Inputs!$C$5)</f>
        <v/>
      </c>
      <c r="R49" s="13">
        <f>SUMIFS(Gear!$O$4:$O$603,Gear!$A$4:$A$603,A49,Gear!$B$4:$B$603,"Rogue",Gear!$C$4:$C$603,Inputs!$C$5)</f>
        <v/>
      </c>
      <c r="S49" s="26">
        <f>I49+0+G49+A49+MAX(1,A49/2)+(A49-B49)</f>
        <v/>
      </c>
      <c r="T49" s="9">
        <f>MAX(0,S49*(1+M49)*(1+L49)*Inputs!$C$20*(1-D49/Inputs!$C$19)-D49/25)</f>
        <v/>
      </c>
      <c r="U49" s="16">
        <f>H49/10*(1-MIN(0.95,N49+0))*Inputs!$C$21</f>
        <v/>
      </c>
      <c r="V49" s="27">
        <f>T49/U49</f>
        <v/>
      </c>
      <c r="W49" s="13">
        <f>IFERROR(LOOKUP(A49,Abilities!$A$38:$A$40,Abilities!$D$38:$D$40),0)</f>
        <v/>
      </c>
      <c r="X49" s="13">
        <f>Inputs!$C$16*IFERROR(LOOKUP(A49,Abilities!$A$38:$A$40,Abilities!$E$38:$E$40),0)/IFERROR(LOOKUP(A49,Abilities!$A$38:$A$40,Abilities!$F$38:$F$40),1)</f>
        <v/>
      </c>
      <c r="Y49" s="26">
        <f>I49+0+G49+A49+MAX(1,A49/2)+(A49-B49)</f>
        <v/>
      </c>
      <c r="Z49" s="9">
        <f>MAX(0,Y49*(1+M49)*(1+L49)*Inputs!$C$20*(1-D49/Inputs!$C$19)-D49/25)</f>
        <v/>
      </c>
      <c r="AA49" s="16">
        <f>H49/10*(1-MIN(0.95,N49+W49))*Inputs!$C$21</f>
        <v/>
      </c>
      <c r="AB49" s="27">
        <f>Z49/AA49</f>
        <v/>
      </c>
      <c r="AC49" s="14">
        <f>IFERROR(LOOKUP(A49,Abilities!$A$6:$A$10,Abilities!$C$6:$C$10),0)</f>
        <v/>
      </c>
      <c r="AD49" s="14">
        <f>IFERROR(LOOKUP(A49,Abilities!$A$6:$A$10,Abilities!$D$6:$D$10),1)</f>
        <v/>
      </c>
      <c r="AE49" s="9">
        <f>AC49*(I49+G49+A49)*(1+J49)*(1+K49)*Inputs!$C$20*(1+0.5*Inputs!$C$11)</f>
        <v/>
      </c>
      <c r="AF49" s="27">
        <f>AE49/AD49</f>
        <v/>
      </c>
      <c r="AG49" s="14">
        <f>IFERROR(LOOKUP(A49,Abilities!$A$44:$A$45,Abilities!$C$44:$C$45),0)</f>
        <v/>
      </c>
      <c r="AH49" s="17">
        <f>AG49/Inputs!$C$25*Inputs!$C$16*IFERROR(LOOKUP(A49,Abilities!$A$44:$A$45,Abilities!$D$44:$D$45),0)/IFERROR(LOOKUP(A49,Abilities!$A$44:$A$45,Abilities!$E$44:$E$45),1)</f>
        <v/>
      </c>
      <c r="AI49" s="27">
        <f>(1-X49)*V49+X49*AB49+AF49+AH49</f>
        <v/>
      </c>
      <c r="AJ49" s="27">
        <f>(AE49+3*AB49)/3</f>
        <v/>
      </c>
      <c r="AK49" s="28">
        <f>IFERROR(AF49/AI49,0)</f>
        <v/>
      </c>
      <c r="AL49" s="8">
        <f>IFERROR(ROUNDUP(C49/T49,0),"-")</f>
        <v/>
      </c>
      <c r="AM49" s="60">
        <f>IFERROR(C49/AI49,"-")</f>
        <v/>
      </c>
      <c r="AN49" s="9">
        <f>MAX(0,(E49+(B49-A49))*(1-R49)*(1-Q49*'Class Table'!$O$5/Inputs!$C$19)-Q49*'Class Table'!$O$5/25)</f>
        <v/>
      </c>
      <c r="AO49" s="26">
        <f>IFERROR(AN49/F49*AM49,"-")</f>
        <v/>
      </c>
      <c r="AP49" s="28">
        <f>IFERROR(AO49/O49,"-")</f>
        <v/>
      </c>
      <c r="AQ49" s="9">
        <f>IFERROR(O49*Inputs!$C$24/Inputs!$C$22*AM49,"-")</f>
        <v/>
      </c>
      <c r="AR49" s="28">
        <f>IFERROR(MAX(0,AO49-AQ49)/O49,"-")</f>
        <v/>
      </c>
    </row>
    <row r="50">
      <c r="A50" s="8" t="n">
        <v>47</v>
      </c>
      <c r="B50" s="14">
        <f>'Mob by Level'!B50</f>
        <v/>
      </c>
      <c r="C50" s="9">
        <f>'Mob by Level'!C50</f>
        <v/>
      </c>
      <c r="D50" s="9">
        <f>'Mob by Level'!D50</f>
        <v/>
      </c>
      <c r="E50" s="9">
        <f>'Mob by Level'!E50</f>
        <v/>
      </c>
      <c r="F50" s="16">
        <f>'Mob by Level'!F50</f>
        <v/>
      </c>
      <c r="G50" s="14">
        <f>SUMIFS(Gear!$D$4:$D$603,Gear!$A$4:$A$603,A50,Gear!$B$4:$B$603,"Rogue",Gear!$C$4:$C$603,Inputs!$C$5)</f>
        <v/>
      </c>
      <c r="H50" s="14">
        <f>SUMIFS(Gear!$E$4:$E$603,Gear!$A$4:$A$603,A50,Gear!$B$4:$B$603,"Rogue",Gear!$C$4:$C$603,Inputs!$C$5)</f>
        <v/>
      </c>
      <c r="I50" s="14">
        <f>SUMIFS(Gear!$F$4:$F$603,Gear!$A$4:$A$603,A50,Gear!$B$4:$B$603,"Rogue",Gear!$C$4:$C$603,Inputs!$C$5)+Inputs!$C$17*IFERROR(LOOKUP(A50,Abilities!$A$49:$A$53,Abilities!$C$49:$C$53),0)</f>
        <v/>
      </c>
      <c r="J50" s="13">
        <f>SUMIFS(Gear!$J$4:$J$603,Gear!$A$4:$A$603,A50,Gear!$B$4:$B$603,"Rogue",Gear!$C$4:$C$603,Inputs!$C$5)</f>
        <v/>
      </c>
      <c r="K50" s="13">
        <f>SUMIFS(Gear!$K$4:$K$603,Gear!$A$4:$A$603,A50,Gear!$B$4:$B$603,"Rogue",Gear!$C$4:$C$603,Inputs!$C$5)</f>
        <v/>
      </c>
      <c r="L50" s="13">
        <f>SUMIFS(Gear!$L$4:$L$603,Gear!$A$4:$A$603,A50,Gear!$B$4:$B$603,"Rogue",Gear!$C$4:$C$603,Inputs!$C$5)</f>
        <v/>
      </c>
      <c r="M50" s="13">
        <f>SUMIFS(Gear!$M$4:$M$603,Gear!$A$4:$A$603,A50,Gear!$B$4:$B$603,"Rogue",Gear!$C$4:$C$603,Inputs!$C$5)</f>
        <v/>
      </c>
      <c r="N50" s="13">
        <f>SUMIFS(Gear!$N$4:$N$603,Gear!$A$4:$A$603,A50,Gear!$B$4:$B$603,"Rogue",Gear!$C$4:$C$603,Inputs!$C$5)</f>
        <v/>
      </c>
      <c r="O50" s="9">
        <f>INDEX('Class Table'!$B$4:$B$53,A50)+SUMIFS(Gear!$G$4:$G$603,Gear!$A$4:$A$603,A50,Gear!$B$4:$B$603,"Rogue",Gear!$C$4:$C$603,Inputs!$C$5)</f>
        <v/>
      </c>
      <c r="P50" s="9">
        <f>INDEX('Class Table'!$C$4:$C$53,A50)+SUMIFS(Gear!$H$4:$H$603,Gear!$A$4:$A$603,A50,Gear!$B$4:$B$603,"Rogue",Gear!$C$4:$C$603,Inputs!$C$5)</f>
        <v/>
      </c>
      <c r="Q50" s="9">
        <f>INDEX('Class Table'!$D$4:$D$53,A50)+SUMIFS(Gear!$I$4:$I$603,Gear!$A$4:$A$603,A50,Gear!$B$4:$B$603,"Rogue",Gear!$C$4:$C$603,Inputs!$C$5)</f>
        <v/>
      </c>
      <c r="R50" s="13">
        <f>SUMIFS(Gear!$O$4:$O$603,Gear!$A$4:$A$603,A50,Gear!$B$4:$B$603,"Rogue",Gear!$C$4:$C$603,Inputs!$C$5)</f>
        <v/>
      </c>
      <c r="S50" s="26">
        <f>I50+0+G50+A50+MAX(1,A50/2)+(A50-B50)</f>
        <v/>
      </c>
      <c r="T50" s="9">
        <f>MAX(0,S50*(1+M50)*(1+L50)*Inputs!$C$20*(1-D50/Inputs!$C$19)-D50/25)</f>
        <v/>
      </c>
      <c r="U50" s="16">
        <f>H50/10*(1-MIN(0.95,N50+0))*Inputs!$C$21</f>
        <v/>
      </c>
      <c r="V50" s="27">
        <f>T50/U50</f>
        <v/>
      </c>
      <c r="W50" s="13">
        <f>IFERROR(LOOKUP(A50,Abilities!$A$38:$A$40,Abilities!$D$38:$D$40),0)</f>
        <v/>
      </c>
      <c r="X50" s="13">
        <f>Inputs!$C$16*IFERROR(LOOKUP(A50,Abilities!$A$38:$A$40,Abilities!$E$38:$E$40),0)/IFERROR(LOOKUP(A50,Abilities!$A$38:$A$40,Abilities!$F$38:$F$40),1)</f>
        <v/>
      </c>
      <c r="Y50" s="26">
        <f>I50+0+G50+A50+MAX(1,A50/2)+(A50-B50)</f>
        <v/>
      </c>
      <c r="Z50" s="9">
        <f>MAX(0,Y50*(1+M50)*(1+L50)*Inputs!$C$20*(1-D50/Inputs!$C$19)-D50/25)</f>
        <v/>
      </c>
      <c r="AA50" s="16">
        <f>H50/10*(1-MIN(0.95,N50+W50))*Inputs!$C$21</f>
        <v/>
      </c>
      <c r="AB50" s="27">
        <f>Z50/AA50</f>
        <v/>
      </c>
      <c r="AC50" s="14">
        <f>IFERROR(LOOKUP(A50,Abilities!$A$6:$A$10,Abilities!$C$6:$C$10),0)</f>
        <v/>
      </c>
      <c r="AD50" s="14">
        <f>IFERROR(LOOKUP(A50,Abilities!$A$6:$A$10,Abilities!$D$6:$D$10),1)</f>
        <v/>
      </c>
      <c r="AE50" s="9">
        <f>AC50*(I50+G50+A50)*(1+J50)*(1+K50)*Inputs!$C$20*(1+0.5*Inputs!$C$11)</f>
        <v/>
      </c>
      <c r="AF50" s="27">
        <f>AE50/AD50</f>
        <v/>
      </c>
      <c r="AG50" s="14">
        <f>IFERROR(LOOKUP(A50,Abilities!$A$44:$A$45,Abilities!$C$44:$C$45),0)</f>
        <v/>
      </c>
      <c r="AH50" s="17">
        <f>AG50/Inputs!$C$25*Inputs!$C$16*IFERROR(LOOKUP(A50,Abilities!$A$44:$A$45,Abilities!$D$44:$D$45),0)/IFERROR(LOOKUP(A50,Abilities!$A$44:$A$45,Abilities!$E$44:$E$45),1)</f>
        <v/>
      </c>
      <c r="AI50" s="27">
        <f>(1-X50)*V50+X50*AB50+AF50+AH50</f>
        <v/>
      </c>
      <c r="AJ50" s="27">
        <f>(AE50+3*AB50)/3</f>
        <v/>
      </c>
      <c r="AK50" s="28">
        <f>IFERROR(AF50/AI50,0)</f>
        <v/>
      </c>
      <c r="AL50" s="8">
        <f>IFERROR(ROUNDUP(C50/T50,0),"-")</f>
        <v/>
      </c>
      <c r="AM50" s="60">
        <f>IFERROR(C50/AI50,"-")</f>
        <v/>
      </c>
      <c r="AN50" s="9">
        <f>MAX(0,(E50+(B50-A50))*(1-R50)*(1-Q50*'Class Table'!$O$5/Inputs!$C$19)-Q50*'Class Table'!$O$5/25)</f>
        <v/>
      </c>
      <c r="AO50" s="26">
        <f>IFERROR(AN50/F50*AM50,"-")</f>
        <v/>
      </c>
      <c r="AP50" s="28">
        <f>IFERROR(AO50/O50,"-")</f>
        <v/>
      </c>
      <c r="AQ50" s="9">
        <f>IFERROR(O50*Inputs!$C$24/Inputs!$C$22*AM50,"-")</f>
        <v/>
      </c>
      <c r="AR50" s="28">
        <f>IFERROR(MAX(0,AO50-AQ50)/O50,"-")</f>
        <v/>
      </c>
    </row>
    <row r="51">
      <c r="A51" s="8" t="n">
        <v>48</v>
      </c>
      <c r="B51" s="14">
        <f>'Mob by Level'!B51</f>
        <v/>
      </c>
      <c r="C51" s="9">
        <f>'Mob by Level'!C51</f>
        <v/>
      </c>
      <c r="D51" s="9">
        <f>'Mob by Level'!D51</f>
        <v/>
      </c>
      <c r="E51" s="9">
        <f>'Mob by Level'!E51</f>
        <v/>
      </c>
      <c r="F51" s="16">
        <f>'Mob by Level'!F51</f>
        <v/>
      </c>
      <c r="G51" s="14">
        <f>SUMIFS(Gear!$D$4:$D$603,Gear!$A$4:$A$603,A51,Gear!$B$4:$B$603,"Rogue",Gear!$C$4:$C$603,Inputs!$C$5)</f>
        <v/>
      </c>
      <c r="H51" s="14">
        <f>SUMIFS(Gear!$E$4:$E$603,Gear!$A$4:$A$603,A51,Gear!$B$4:$B$603,"Rogue",Gear!$C$4:$C$603,Inputs!$C$5)</f>
        <v/>
      </c>
      <c r="I51" s="14">
        <f>SUMIFS(Gear!$F$4:$F$603,Gear!$A$4:$A$603,A51,Gear!$B$4:$B$603,"Rogue",Gear!$C$4:$C$603,Inputs!$C$5)+Inputs!$C$17*IFERROR(LOOKUP(A51,Abilities!$A$49:$A$53,Abilities!$C$49:$C$53),0)</f>
        <v/>
      </c>
      <c r="J51" s="13">
        <f>SUMIFS(Gear!$J$4:$J$603,Gear!$A$4:$A$603,A51,Gear!$B$4:$B$603,"Rogue",Gear!$C$4:$C$603,Inputs!$C$5)</f>
        <v/>
      </c>
      <c r="K51" s="13">
        <f>SUMIFS(Gear!$K$4:$K$603,Gear!$A$4:$A$603,A51,Gear!$B$4:$B$603,"Rogue",Gear!$C$4:$C$603,Inputs!$C$5)</f>
        <v/>
      </c>
      <c r="L51" s="13">
        <f>SUMIFS(Gear!$L$4:$L$603,Gear!$A$4:$A$603,A51,Gear!$B$4:$B$603,"Rogue",Gear!$C$4:$C$603,Inputs!$C$5)</f>
        <v/>
      </c>
      <c r="M51" s="13">
        <f>SUMIFS(Gear!$M$4:$M$603,Gear!$A$4:$A$603,A51,Gear!$B$4:$B$603,"Rogue",Gear!$C$4:$C$603,Inputs!$C$5)</f>
        <v/>
      </c>
      <c r="N51" s="13">
        <f>SUMIFS(Gear!$N$4:$N$603,Gear!$A$4:$A$603,A51,Gear!$B$4:$B$603,"Rogue",Gear!$C$4:$C$603,Inputs!$C$5)</f>
        <v/>
      </c>
      <c r="O51" s="9">
        <f>INDEX('Class Table'!$B$4:$B$53,A51)+SUMIFS(Gear!$G$4:$G$603,Gear!$A$4:$A$603,A51,Gear!$B$4:$B$603,"Rogue",Gear!$C$4:$C$603,Inputs!$C$5)</f>
        <v/>
      </c>
      <c r="P51" s="9">
        <f>INDEX('Class Table'!$C$4:$C$53,A51)+SUMIFS(Gear!$H$4:$H$603,Gear!$A$4:$A$603,A51,Gear!$B$4:$B$603,"Rogue",Gear!$C$4:$C$603,Inputs!$C$5)</f>
        <v/>
      </c>
      <c r="Q51" s="9">
        <f>INDEX('Class Table'!$D$4:$D$53,A51)+SUMIFS(Gear!$I$4:$I$603,Gear!$A$4:$A$603,A51,Gear!$B$4:$B$603,"Rogue",Gear!$C$4:$C$603,Inputs!$C$5)</f>
        <v/>
      </c>
      <c r="R51" s="13">
        <f>SUMIFS(Gear!$O$4:$O$603,Gear!$A$4:$A$603,A51,Gear!$B$4:$B$603,"Rogue",Gear!$C$4:$C$603,Inputs!$C$5)</f>
        <v/>
      </c>
      <c r="S51" s="26">
        <f>I51+0+G51+A51+MAX(1,A51/2)+(A51-B51)</f>
        <v/>
      </c>
      <c r="T51" s="9">
        <f>MAX(0,S51*(1+M51)*(1+L51)*Inputs!$C$20*(1-D51/Inputs!$C$19)-D51/25)</f>
        <v/>
      </c>
      <c r="U51" s="16">
        <f>H51/10*(1-MIN(0.95,N51+0))*Inputs!$C$21</f>
        <v/>
      </c>
      <c r="V51" s="27">
        <f>T51/U51</f>
        <v/>
      </c>
      <c r="W51" s="13">
        <f>IFERROR(LOOKUP(A51,Abilities!$A$38:$A$40,Abilities!$D$38:$D$40),0)</f>
        <v/>
      </c>
      <c r="X51" s="13">
        <f>Inputs!$C$16*IFERROR(LOOKUP(A51,Abilities!$A$38:$A$40,Abilities!$E$38:$E$40),0)/IFERROR(LOOKUP(A51,Abilities!$A$38:$A$40,Abilities!$F$38:$F$40),1)</f>
        <v/>
      </c>
      <c r="Y51" s="26">
        <f>I51+0+G51+A51+MAX(1,A51/2)+(A51-B51)</f>
        <v/>
      </c>
      <c r="Z51" s="9">
        <f>MAX(0,Y51*(1+M51)*(1+L51)*Inputs!$C$20*(1-D51/Inputs!$C$19)-D51/25)</f>
        <v/>
      </c>
      <c r="AA51" s="16">
        <f>H51/10*(1-MIN(0.95,N51+W51))*Inputs!$C$21</f>
        <v/>
      </c>
      <c r="AB51" s="27">
        <f>Z51/AA51</f>
        <v/>
      </c>
      <c r="AC51" s="14">
        <f>IFERROR(LOOKUP(A51,Abilities!$A$6:$A$10,Abilities!$C$6:$C$10),0)</f>
        <v/>
      </c>
      <c r="AD51" s="14">
        <f>IFERROR(LOOKUP(A51,Abilities!$A$6:$A$10,Abilities!$D$6:$D$10),1)</f>
        <v/>
      </c>
      <c r="AE51" s="9">
        <f>AC51*(I51+G51+A51)*(1+J51)*(1+K51)*Inputs!$C$20*(1+0.5*Inputs!$C$11)</f>
        <v/>
      </c>
      <c r="AF51" s="27">
        <f>AE51/AD51</f>
        <v/>
      </c>
      <c r="AG51" s="14">
        <f>IFERROR(LOOKUP(A51,Abilities!$A$44:$A$45,Abilities!$C$44:$C$45),0)</f>
        <v/>
      </c>
      <c r="AH51" s="17">
        <f>AG51/Inputs!$C$25*Inputs!$C$16*IFERROR(LOOKUP(A51,Abilities!$A$44:$A$45,Abilities!$D$44:$D$45),0)/IFERROR(LOOKUP(A51,Abilities!$A$44:$A$45,Abilities!$E$44:$E$45),1)</f>
        <v/>
      </c>
      <c r="AI51" s="27">
        <f>(1-X51)*V51+X51*AB51+AF51+AH51</f>
        <v/>
      </c>
      <c r="AJ51" s="27">
        <f>(AE51+3*AB51)/3</f>
        <v/>
      </c>
      <c r="AK51" s="28">
        <f>IFERROR(AF51/AI51,0)</f>
        <v/>
      </c>
      <c r="AL51" s="8">
        <f>IFERROR(ROUNDUP(C51/T51,0),"-")</f>
        <v/>
      </c>
      <c r="AM51" s="60">
        <f>IFERROR(C51/AI51,"-")</f>
        <v/>
      </c>
      <c r="AN51" s="9">
        <f>MAX(0,(E51+(B51-A51))*(1-R51)*(1-Q51*'Class Table'!$O$5/Inputs!$C$19)-Q51*'Class Table'!$O$5/25)</f>
        <v/>
      </c>
      <c r="AO51" s="26">
        <f>IFERROR(AN51/F51*AM51,"-")</f>
        <v/>
      </c>
      <c r="AP51" s="28">
        <f>IFERROR(AO51/O51,"-")</f>
        <v/>
      </c>
      <c r="AQ51" s="9">
        <f>IFERROR(O51*Inputs!$C$24/Inputs!$C$22*AM51,"-")</f>
        <v/>
      </c>
      <c r="AR51" s="28">
        <f>IFERROR(MAX(0,AO51-AQ51)/O51,"-")</f>
        <v/>
      </c>
    </row>
    <row r="52">
      <c r="A52" s="8" t="n">
        <v>49</v>
      </c>
      <c r="B52" s="14">
        <f>'Mob by Level'!B52</f>
        <v/>
      </c>
      <c r="C52" s="9">
        <f>'Mob by Level'!C52</f>
        <v/>
      </c>
      <c r="D52" s="9">
        <f>'Mob by Level'!D52</f>
        <v/>
      </c>
      <c r="E52" s="9">
        <f>'Mob by Level'!E52</f>
        <v/>
      </c>
      <c r="F52" s="16">
        <f>'Mob by Level'!F52</f>
        <v/>
      </c>
      <c r="G52" s="14">
        <f>SUMIFS(Gear!$D$4:$D$603,Gear!$A$4:$A$603,A52,Gear!$B$4:$B$603,"Rogue",Gear!$C$4:$C$603,Inputs!$C$5)</f>
        <v/>
      </c>
      <c r="H52" s="14">
        <f>SUMIFS(Gear!$E$4:$E$603,Gear!$A$4:$A$603,A52,Gear!$B$4:$B$603,"Rogue",Gear!$C$4:$C$603,Inputs!$C$5)</f>
        <v/>
      </c>
      <c r="I52" s="14">
        <f>SUMIFS(Gear!$F$4:$F$603,Gear!$A$4:$A$603,A52,Gear!$B$4:$B$603,"Rogue",Gear!$C$4:$C$603,Inputs!$C$5)+Inputs!$C$17*IFERROR(LOOKUP(A52,Abilities!$A$49:$A$53,Abilities!$C$49:$C$53),0)</f>
        <v/>
      </c>
      <c r="J52" s="13">
        <f>SUMIFS(Gear!$J$4:$J$603,Gear!$A$4:$A$603,A52,Gear!$B$4:$B$603,"Rogue",Gear!$C$4:$C$603,Inputs!$C$5)</f>
        <v/>
      </c>
      <c r="K52" s="13">
        <f>SUMIFS(Gear!$K$4:$K$603,Gear!$A$4:$A$603,A52,Gear!$B$4:$B$603,"Rogue",Gear!$C$4:$C$603,Inputs!$C$5)</f>
        <v/>
      </c>
      <c r="L52" s="13">
        <f>SUMIFS(Gear!$L$4:$L$603,Gear!$A$4:$A$603,A52,Gear!$B$4:$B$603,"Rogue",Gear!$C$4:$C$603,Inputs!$C$5)</f>
        <v/>
      </c>
      <c r="M52" s="13">
        <f>SUMIFS(Gear!$M$4:$M$603,Gear!$A$4:$A$603,A52,Gear!$B$4:$B$603,"Rogue",Gear!$C$4:$C$603,Inputs!$C$5)</f>
        <v/>
      </c>
      <c r="N52" s="13">
        <f>SUMIFS(Gear!$N$4:$N$603,Gear!$A$4:$A$603,A52,Gear!$B$4:$B$603,"Rogue",Gear!$C$4:$C$603,Inputs!$C$5)</f>
        <v/>
      </c>
      <c r="O52" s="9">
        <f>INDEX('Class Table'!$B$4:$B$53,A52)+SUMIFS(Gear!$G$4:$G$603,Gear!$A$4:$A$603,A52,Gear!$B$4:$B$603,"Rogue",Gear!$C$4:$C$603,Inputs!$C$5)</f>
        <v/>
      </c>
      <c r="P52" s="9">
        <f>INDEX('Class Table'!$C$4:$C$53,A52)+SUMIFS(Gear!$H$4:$H$603,Gear!$A$4:$A$603,A52,Gear!$B$4:$B$603,"Rogue",Gear!$C$4:$C$603,Inputs!$C$5)</f>
        <v/>
      </c>
      <c r="Q52" s="9">
        <f>INDEX('Class Table'!$D$4:$D$53,A52)+SUMIFS(Gear!$I$4:$I$603,Gear!$A$4:$A$603,A52,Gear!$B$4:$B$603,"Rogue",Gear!$C$4:$C$603,Inputs!$C$5)</f>
        <v/>
      </c>
      <c r="R52" s="13">
        <f>SUMIFS(Gear!$O$4:$O$603,Gear!$A$4:$A$603,A52,Gear!$B$4:$B$603,"Rogue",Gear!$C$4:$C$603,Inputs!$C$5)</f>
        <v/>
      </c>
      <c r="S52" s="26">
        <f>I52+0+G52+A52+MAX(1,A52/2)+(A52-B52)</f>
        <v/>
      </c>
      <c r="T52" s="9">
        <f>MAX(0,S52*(1+M52)*(1+L52)*Inputs!$C$20*(1-D52/Inputs!$C$19)-D52/25)</f>
        <v/>
      </c>
      <c r="U52" s="16">
        <f>H52/10*(1-MIN(0.95,N52+0))*Inputs!$C$21</f>
        <v/>
      </c>
      <c r="V52" s="27">
        <f>T52/U52</f>
        <v/>
      </c>
      <c r="W52" s="13">
        <f>IFERROR(LOOKUP(A52,Abilities!$A$38:$A$40,Abilities!$D$38:$D$40),0)</f>
        <v/>
      </c>
      <c r="X52" s="13">
        <f>Inputs!$C$16*IFERROR(LOOKUP(A52,Abilities!$A$38:$A$40,Abilities!$E$38:$E$40),0)/IFERROR(LOOKUP(A52,Abilities!$A$38:$A$40,Abilities!$F$38:$F$40),1)</f>
        <v/>
      </c>
      <c r="Y52" s="26">
        <f>I52+0+G52+A52+MAX(1,A52/2)+(A52-B52)</f>
        <v/>
      </c>
      <c r="Z52" s="9">
        <f>MAX(0,Y52*(1+M52)*(1+L52)*Inputs!$C$20*(1-D52/Inputs!$C$19)-D52/25)</f>
        <v/>
      </c>
      <c r="AA52" s="16">
        <f>H52/10*(1-MIN(0.95,N52+W52))*Inputs!$C$21</f>
        <v/>
      </c>
      <c r="AB52" s="27">
        <f>Z52/AA52</f>
        <v/>
      </c>
      <c r="AC52" s="14">
        <f>IFERROR(LOOKUP(A52,Abilities!$A$6:$A$10,Abilities!$C$6:$C$10),0)</f>
        <v/>
      </c>
      <c r="AD52" s="14">
        <f>IFERROR(LOOKUP(A52,Abilities!$A$6:$A$10,Abilities!$D$6:$D$10),1)</f>
        <v/>
      </c>
      <c r="AE52" s="9">
        <f>AC52*(I52+G52+A52)*(1+J52)*(1+K52)*Inputs!$C$20*(1+0.5*Inputs!$C$11)</f>
        <v/>
      </c>
      <c r="AF52" s="27">
        <f>AE52/AD52</f>
        <v/>
      </c>
      <c r="AG52" s="14">
        <f>IFERROR(LOOKUP(A52,Abilities!$A$44:$A$45,Abilities!$C$44:$C$45),0)</f>
        <v/>
      </c>
      <c r="AH52" s="17">
        <f>AG52/Inputs!$C$25*Inputs!$C$16*IFERROR(LOOKUP(A52,Abilities!$A$44:$A$45,Abilities!$D$44:$D$45),0)/IFERROR(LOOKUP(A52,Abilities!$A$44:$A$45,Abilities!$E$44:$E$45),1)</f>
        <v/>
      </c>
      <c r="AI52" s="27">
        <f>(1-X52)*V52+X52*AB52+AF52+AH52</f>
        <v/>
      </c>
      <c r="AJ52" s="27">
        <f>(AE52+3*AB52)/3</f>
        <v/>
      </c>
      <c r="AK52" s="28">
        <f>IFERROR(AF52/AI52,0)</f>
        <v/>
      </c>
      <c r="AL52" s="8">
        <f>IFERROR(ROUNDUP(C52/T52,0),"-")</f>
        <v/>
      </c>
      <c r="AM52" s="60">
        <f>IFERROR(C52/AI52,"-")</f>
        <v/>
      </c>
      <c r="AN52" s="9">
        <f>MAX(0,(E52+(B52-A52))*(1-R52)*(1-Q52*'Class Table'!$O$5/Inputs!$C$19)-Q52*'Class Table'!$O$5/25)</f>
        <v/>
      </c>
      <c r="AO52" s="26">
        <f>IFERROR(AN52/F52*AM52,"-")</f>
        <v/>
      </c>
      <c r="AP52" s="28">
        <f>IFERROR(AO52/O52,"-")</f>
        <v/>
      </c>
      <c r="AQ52" s="9">
        <f>IFERROR(O52*Inputs!$C$24/Inputs!$C$22*AM52,"-")</f>
        <v/>
      </c>
      <c r="AR52" s="28">
        <f>IFERROR(MAX(0,AO52-AQ52)/O52,"-")</f>
        <v/>
      </c>
    </row>
  </sheetData>
  <mergeCells count="7">
    <mergeCell ref="AC2:AH2"/>
    <mergeCell ref="G2:R2"/>
    <mergeCell ref="B2:F2"/>
    <mergeCell ref="AM2:AR2"/>
    <mergeCell ref="S2:V2"/>
    <mergeCell ref="AI2:AL2"/>
    <mergeCell ref="W2:AB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W5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1.5"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11.5" customWidth="1" min="20" max="20"/>
    <col width="11.5" customWidth="1" min="21" max="21"/>
    <col width="11.5" customWidth="1" min="22" max="22"/>
    <col width="11.5" customWidth="1" min="23" max="23"/>
    <col width="11.5" customWidth="1" min="24" max="24"/>
    <col outlineLevel="1" width="11.5" customWidth="1" min="25" max="25"/>
    <col outlineLevel="1" width="11.5" customWidth="1" min="26" max="26"/>
    <col outlineLevel="1" width="11.5" customWidth="1" min="27" max="27"/>
    <col outlineLevel="1" width="11.5" customWidth="1" min="28" max="28"/>
    <col outlineLevel="1" width="11.5" customWidth="1" min="29" max="29"/>
    <col outlineLevel="1" width="11.5" customWidth="1" min="30" max="30"/>
    <col outlineLevel="1" width="11.5" customWidth="1" min="31" max="31"/>
    <col outlineLevel="1" width="11.5" customWidth="1" min="32" max="32"/>
    <col outlineLevel="1" width="11.5" customWidth="1" min="33" max="33"/>
    <col outlineLevel="1" width="11.5" customWidth="1" min="34" max="34"/>
    <col outlineLevel="1" width="11.5" customWidth="1" min="35" max="35"/>
    <col outlineLevel="1" width="11.5" customWidth="1" min="36" max="36"/>
    <col outlineLevel="1" width="11.5" customWidth="1" min="37" max="37"/>
    <col outlineLevel="1" width="11.5" customWidth="1" min="38" max="38"/>
    <col outlineLevel="1" width="11.5" customWidth="1" min="39" max="39"/>
    <col outlineLevel="1" width="11.5" customWidth="1" min="40" max="40"/>
    <col outlineLevel="1" width="11.5" customWidth="1" min="41" max="41"/>
    <col outlineLevel="1" width="11.5" customWidth="1" min="42" max="42"/>
    <col outlineLevel="1" width="11.5" customWidth="1" min="43" max="43"/>
    <col outlineLevel="1" width="11.5" customWidth="1" min="44" max="44"/>
    <col outlineLevel="1" width="11.5" customWidth="1" min="45" max="45"/>
    <col outlineLevel="1" width="11.5" customWidth="1" min="46" max="46"/>
    <col outlineLevel="1" width="11.5" customWidth="1" min="47" max="47"/>
    <col outlineLevel="1" width="11.5" customWidth="1" min="48" max="48"/>
    <col outlineLevel="1" width="11.5" customWidth="1" min="49" max="49"/>
    <col outlineLevel="1" width="11.5" customWidth="1" min="50" max="50"/>
    <col outlineLevel="1" width="11.5" customWidth="1" min="51" max="51"/>
    <col outlineLevel="1" width="11.5" customWidth="1" min="52" max="52"/>
    <col outlineLevel="1" width="11.5" customWidth="1" min="53" max="53"/>
    <col outlineLevel="1" width="11.5" customWidth="1" min="54" max="54"/>
    <col width="11.5" customWidth="1" min="55" max="55"/>
    <col width="11.5" customWidth="1" min="56" max="56"/>
    <col width="11.5" customWidth="1" min="57" max="57"/>
    <col width="11.5" customWidth="1" min="58" max="58"/>
    <col width="11.5" customWidth="1" min="59" max="59"/>
    <col width="11.5" customWidth="1" min="60" max="60"/>
    <col width="11.5" customWidth="1" min="61" max="61"/>
    <col width="11.5" customWidth="1" min="62" max="62"/>
    <col width="11.5" customWidth="1" min="63" max="63"/>
    <col width="11.5" customWidth="1" min="64" max="64"/>
    <col width="11.5" customWidth="1" min="65" max="65"/>
    <col width="11.5" customWidth="1" min="66" max="66"/>
    <col width="11.5" customWidth="1" min="67" max="67"/>
    <col width="11.5" customWidth="1" min="68" max="68"/>
    <col width="11.5" customWidth="1" min="69" max="69"/>
    <col width="11.5" customWidth="1" min="70" max="70"/>
    <col width="11.5" customWidth="1" min="71" max="71"/>
    <col width="11.5" customWidth="1" min="72" max="72"/>
    <col width="11.5" customWidth="1" min="73" max="73"/>
    <col width="11.5" customWidth="1" min="74" max="74"/>
    <col width="11.5" customWidth="1" min="75" max="75"/>
  </cols>
  <sheetData>
    <row r="1">
      <c r="A1" s="1" t="inlineStr">
        <is>
          <t>Magus - expected damage by level</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row>
    <row r="2">
      <c r="A2" s="42" t="inlineStr">
        <is>
          <t>Elemental Strike: every learned tier is scored, the best one is used. Area tiers count targets per the Inputs target mode. DPS counts damage on all targets, so time per kill = mob HP / DPS.</t>
        </is>
      </c>
      <c r="B2" s="6" t="inlineStr">
        <is>
          <t>Opponent</t>
        </is>
      </c>
      <c r="G2" s="6" t="inlineStr">
        <is>
          <t>Gear / class</t>
        </is>
      </c>
      <c r="S2" s="6" t="inlineStr">
        <is>
          <t>Staff melee</t>
        </is>
      </c>
      <c r="W2" s="6" t="inlineStr">
        <is>
          <t>Spell inputs</t>
        </is>
      </c>
      <c r="Y2" s="6" t="inlineStr">
        <is>
          <t>Per tier, full MP (0 = not learned)</t>
        </is>
      </c>
      <c r="AI2" s="6" t="inlineStr">
        <is>
          <t>Per tier, MP-limited</t>
        </is>
      </c>
      <c r="AS2" s="6" t="inlineStr">
        <is>
          <t>Per tier, 2-spell rotation</t>
        </is>
      </c>
      <c r="BC2" s="6" t="inlineStr">
        <is>
          <t>Elemental Strike (best tier)</t>
        </is>
      </c>
      <c r="BN2" s="6" t="inlineStr">
        <is>
          <t>Result</t>
        </is>
      </c>
      <c r="BR2" s="6" t="inlineStr">
        <is>
          <t>Survival (one fight from full MP)</t>
        </is>
      </c>
    </row>
    <row r="3" ht="45" customHeight="1">
      <c r="A3" s="7" t="inlineStr">
        <is>
          <t>Level</t>
        </is>
      </c>
      <c r="B3" s="7" t="inlineStr">
        <is>
          <t>Mob level</t>
        </is>
      </c>
      <c r="C3" s="7" t="inlineStr">
        <is>
          <t>Mob HP</t>
        </is>
      </c>
      <c r="D3" s="7" t="inlineStr">
        <is>
          <t>Mob eff. AC</t>
        </is>
      </c>
      <c r="E3" s="7" t="inlineStr">
        <is>
          <t>Mob base hit</t>
        </is>
      </c>
      <c r="F3" s="7" t="inlineStr">
        <is>
          <t>Mob atk s</t>
        </is>
      </c>
      <c r="G3" s="7" t="inlineStr">
        <is>
          <t>Weapon dmg</t>
        </is>
      </c>
      <c r="H3" s="7" t="inlineStr">
        <is>
          <t>Weapon delay</t>
        </is>
      </c>
      <c r="I3" s="7" t="inlineStr">
        <is>
          <t>STR (gear + priest buff)</t>
        </is>
      </c>
      <c r="J3" s="7" t="inlineStr">
        <is>
          <t>Spell dmg %</t>
        </is>
      </c>
      <c r="K3" s="7" t="inlineStr">
        <is>
          <t>Spell crit %</t>
        </is>
      </c>
      <c r="L3" s="7" t="inlineStr">
        <is>
          <t>Melee dmg %</t>
        </is>
      </c>
      <c r="M3" s="7" t="inlineStr">
        <is>
          <t>Melee crit %</t>
        </is>
      </c>
      <c r="N3" s="7" t="inlineStr">
        <is>
          <t>Haste %</t>
        </is>
      </c>
      <c r="O3" s="7" t="inlineStr">
        <is>
          <t>Player max HP</t>
        </is>
      </c>
      <c r="P3" s="7" t="inlineStr">
        <is>
          <t>Player max MP</t>
        </is>
      </c>
      <c r="Q3" s="7" t="inlineStr">
        <is>
          <t>Player AC</t>
        </is>
      </c>
      <c r="R3" s="7" t="inlineStr">
        <is>
          <t>Dmg reduce %</t>
        </is>
      </c>
      <c r="S3" s="7" t="inlineStr">
        <is>
          <t>Raw melee hit</t>
        </is>
      </c>
      <c r="T3" s="7" t="inlineStr">
        <is>
          <t>Melee hit vs mob</t>
        </is>
      </c>
      <c r="U3" s="7" t="inlineStr">
        <is>
          <t>Swing s</t>
        </is>
      </c>
      <c r="V3" s="7" t="inlineStr">
        <is>
          <t>Melee DPS</t>
        </is>
      </c>
      <c r="W3" s="7" t="inlineStr">
        <is>
          <t>Spell multiplier (SD x crit)</t>
        </is>
      </c>
      <c r="X3" s="7" t="inlineStr">
        <is>
          <t>MP regen /s</t>
        </is>
      </c>
      <c r="Y3" s="7" t="inlineStr">
        <is>
          <t>ES 1 DPS (full MP)</t>
        </is>
      </c>
      <c r="Z3" s="7" t="inlineStr">
        <is>
          <t>ES 2 DPS (full MP)</t>
        </is>
      </c>
      <c r="AA3" s="7" t="inlineStr">
        <is>
          <t>ES 3 DPS (full MP)</t>
        </is>
      </c>
      <c r="AB3" s="7" t="inlineStr">
        <is>
          <t>ES 4 DPS (full MP)</t>
        </is>
      </c>
      <c r="AC3" s="7" t="inlineStr">
        <is>
          <t>ES 5 DPS (full MP)</t>
        </is>
      </c>
      <c r="AD3" s="7" t="inlineStr">
        <is>
          <t>ES 6 DPS (full MP)</t>
        </is>
      </c>
      <c r="AE3" s="7" t="inlineStr">
        <is>
          <t>ES 7 DPS (full MP)</t>
        </is>
      </c>
      <c r="AF3" s="7" t="inlineStr">
        <is>
          <t>ES 8 DPS (full MP)</t>
        </is>
      </c>
      <c r="AG3" s="7" t="inlineStr">
        <is>
          <t>ES 9 DPS (full MP)</t>
        </is>
      </c>
      <c r="AH3" s="7" t="inlineStr">
        <is>
          <t>ES 10 DPS (full MP)</t>
        </is>
      </c>
      <c r="AI3" s="7" t="inlineStr">
        <is>
          <t>ES 1 DPS (MP-limited)</t>
        </is>
      </c>
      <c r="AJ3" s="7" t="inlineStr">
        <is>
          <t>ES 2 DPS (MP-limited)</t>
        </is>
      </c>
      <c r="AK3" s="7" t="inlineStr">
        <is>
          <t>ES 3 DPS (MP-limited)</t>
        </is>
      </c>
      <c r="AL3" s="7" t="inlineStr">
        <is>
          <t>ES 4 DPS (MP-limited)</t>
        </is>
      </c>
      <c r="AM3" s="7" t="inlineStr">
        <is>
          <t>ES 5 DPS (MP-limited)</t>
        </is>
      </c>
      <c r="AN3" s="7" t="inlineStr">
        <is>
          <t>ES 6 DPS (MP-limited)</t>
        </is>
      </c>
      <c r="AO3" s="7" t="inlineStr">
        <is>
          <t>ES 7 DPS (MP-limited)</t>
        </is>
      </c>
      <c r="AP3" s="7" t="inlineStr">
        <is>
          <t>ES 8 DPS (MP-limited)</t>
        </is>
      </c>
      <c r="AQ3" s="7" t="inlineStr">
        <is>
          <t>ES 9 DPS (MP-limited)</t>
        </is>
      </c>
      <c r="AR3" s="7" t="inlineStr">
        <is>
          <t>ES 10 DPS (MP-limited)</t>
        </is>
      </c>
      <c r="AS3" s="7" t="inlineStr">
        <is>
          <t>ES 1 DPS in 2-spell rotation</t>
        </is>
      </c>
      <c r="AT3" s="7" t="inlineStr">
        <is>
          <t>ES 2 DPS in 2-spell rotation</t>
        </is>
      </c>
      <c r="AU3" s="7" t="inlineStr">
        <is>
          <t>ES 3 DPS in 2-spell rotation</t>
        </is>
      </c>
      <c r="AV3" s="7" t="inlineStr">
        <is>
          <t>ES 4 DPS in 2-spell rotation</t>
        </is>
      </c>
      <c r="AW3" s="7" t="inlineStr">
        <is>
          <t>ES 5 DPS in 2-spell rotation</t>
        </is>
      </c>
      <c r="AX3" s="7" t="inlineStr">
        <is>
          <t>ES 6 DPS in 2-spell rotation</t>
        </is>
      </c>
      <c r="AY3" s="7" t="inlineStr">
        <is>
          <t>ES 7 DPS in 2-spell rotation</t>
        </is>
      </c>
      <c r="AZ3" s="7" t="inlineStr">
        <is>
          <t>ES 8 DPS in 2-spell rotation</t>
        </is>
      </c>
      <c r="BA3" s="7" t="inlineStr">
        <is>
          <t>ES 9 DPS in 2-spell rotation</t>
        </is>
      </c>
      <c r="BB3" s="7" t="inlineStr">
        <is>
          <t>ES 10 DPS in 2-spell rotation</t>
        </is>
      </c>
      <c r="BC3" s="7" t="inlineStr">
        <is>
          <t>Spell DPS (full MP)</t>
        </is>
      </c>
      <c r="BD3" s="7" t="inlineStr">
        <is>
          <t>Best tier # (full MP)</t>
        </is>
      </c>
      <c r="BE3" s="7" t="inlineStr">
        <is>
          <t>Best tier (full MP)</t>
        </is>
      </c>
      <c r="BF3" s="7" t="inlineStr">
        <is>
          <t>Targets per cast (full MP tier)</t>
        </is>
      </c>
      <c r="BG3" s="7" t="inlineStr">
        <is>
          <t>MP drain /s (full MP tier)</t>
        </is>
      </c>
      <c r="BH3" s="7" t="inlineStr">
        <is>
          <t>Spell DPS (MP-limited)</t>
        </is>
      </c>
      <c r="BI3" s="7" t="inlineStr">
        <is>
          <t>Best tier # (MP-limited)</t>
        </is>
      </c>
      <c r="BJ3" s="7" t="inlineStr">
        <is>
          <t>Best tier (MP-limited)</t>
        </is>
      </c>
      <c r="BK3" s="7" t="inlineStr">
        <is>
          <t>Casts to kill main target</t>
        </is>
      </c>
      <c r="BL3" s="7" t="inlineStr">
        <is>
          <t>MP per kill (MP-limited tier)</t>
        </is>
      </c>
      <c r="BM3" s="7" t="inlineStr">
        <is>
          <t>Kills per full MP bar</t>
        </is>
      </c>
      <c r="BN3" s="7" t="inlineStr">
        <is>
          <t>SUSTAINED DPS</t>
        </is>
      </c>
      <c r="BO3" s="7" t="inlineStr">
        <is>
          <t>Burst DPS (full MP)</t>
        </is>
      </c>
      <c r="BP3" s="7" t="inlineStr">
        <is>
          <t>Two-tier rotation DPS (full MP)</t>
        </is>
      </c>
      <c r="BQ3" s="7" t="inlineStr">
        <is>
          <t>Time per kill from full MP s</t>
        </is>
      </c>
      <c r="BR3" s="7" t="inlineStr">
        <is>
          <t>Time to kill s</t>
        </is>
      </c>
      <c r="BS3" s="7" t="inlineStr">
        <is>
          <t>Mob hit on player</t>
        </is>
      </c>
      <c r="BT3" s="7" t="inlineStr">
        <is>
          <t>Dmg taken per kill</t>
        </is>
      </c>
      <c r="BU3" s="7" t="inlineStr">
        <is>
          <t>% HP lost per kill</t>
        </is>
      </c>
      <c r="BV3" s="7" t="inlineStr">
        <is>
          <t>HP regen per kill</t>
        </is>
      </c>
      <c r="BW3" s="7" t="inlineStr">
        <is>
          <t>Net % HP per kill (after regen)</t>
        </is>
      </c>
    </row>
    <row r="4">
      <c r="A4" s="8" t="n">
        <v>1</v>
      </c>
      <c r="B4" s="14">
        <f>'Mob by Level'!B4</f>
        <v/>
      </c>
      <c r="C4" s="9">
        <f>'Mob by Level'!C4</f>
        <v/>
      </c>
      <c r="D4" s="9">
        <f>'Mob by Level'!D4</f>
        <v/>
      </c>
      <c r="E4" s="9">
        <f>'Mob by Level'!E4</f>
        <v/>
      </c>
      <c r="F4" s="16">
        <f>'Mob by Level'!F4</f>
        <v/>
      </c>
      <c r="G4" s="14">
        <f>SUMIFS(Gear!$D$4:$D$603,Gear!$A$4:$A$603,A4,Gear!$B$4:$B$603,"Magus",Gear!$C$4:$C$603,Inputs!$C$5)</f>
        <v/>
      </c>
      <c r="H4" s="14">
        <f>SUMIFS(Gear!$E$4:$E$603,Gear!$A$4:$A$603,A4,Gear!$B$4:$B$603,"Magus",Gear!$C$4:$C$603,Inputs!$C$5)</f>
        <v/>
      </c>
      <c r="I4" s="14">
        <f>SUMIFS(Gear!$F$4:$F$603,Gear!$A$4:$A$603,A4,Gear!$B$4:$B$603,"Magus",Gear!$C$4:$C$603,Inputs!$C$5)+Inputs!$C$17*IFERROR(LOOKUP(A4,Abilities!$A$49:$A$53,Abilities!$C$49:$C$53),0)</f>
        <v/>
      </c>
      <c r="J4" s="13">
        <f>SUMIFS(Gear!$J$4:$J$603,Gear!$A$4:$A$603,A4,Gear!$B$4:$B$603,"Magus",Gear!$C$4:$C$603,Inputs!$C$5)</f>
        <v/>
      </c>
      <c r="K4" s="13">
        <f>SUMIFS(Gear!$K$4:$K$603,Gear!$A$4:$A$603,A4,Gear!$B$4:$B$603,"Magus",Gear!$C$4:$C$603,Inputs!$C$5)</f>
        <v/>
      </c>
      <c r="L4" s="13">
        <f>SUMIFS(Gear!$L$4:$L$603,Gear!$A$4:$A$603,A4,Gear!$B$4:$B$603,"Magus",Gear!$C$4:$C$603,Inputs!$C$5)</f>
        <v/>
      </c>
      <c r="M4" s="13">
        <f>SUMIFS(Gear!$M$4:$M$603,Gear!$A$4:$A$603,A4,Gear!$B$4:$B$603,"Magus",Gear!$C$4:$C$603,Inputs!$C$5)</f>
        <v/>
      </c>
      <c r="N4" s="13">
        <f>SUMIFS(Gear!$N$4:$N$603,Gear!$A$4:$A$603,A4,Gear!$B$4:$B$603,"Magus",Gear!$C$4:$C$603,Inputs!$C$5)</f>
        <v/>
      </c>
      <c r="O4" s="9">
        <f>INDEX('Class Table'!$H$4:$H$53,A4)+SUMIFS(Gear!$G$4:$G$603,Gear!$A$4:$A$603,A4,Gear!$B$4:$B$603,"Magus",Gear!$C$4:$C$603,Inputs!$C$5)</f>
        <v/>
      </c>
      <c r="P4" s="9">
        <f>INDEX('Class Table'!$I$4:$I$53,A4)+SUMIFS(Gear!$H$4:$H$603,Gear!$A$4:$A$603,A4,Gear!$B$4:$B$603,"Magus",Gear!$C$4:$C$603,Inputs!$C$5)</f>
        <v/>
      </c>
      <c r="Q4" s="9">
        <f>INDEX('Class Table'!$J$4:$J$53,A4)+SUMIFS(Gear!$I$4:$I$603,Gear!$A$4:$A$603,A4,Gear!$B$4:$B$603,"Magus",Gear!$C$4:$C$603,Inputs!$C$5)</f>
        <v/>
      </c>
      <c r="R4" s="13">
        <f>SUMIFS(Gear!$O$4:$O$603,Gear!$A$4:$A$603,A4,Gear!$B$4:$B$603,"Magus",Gear!$C$4:$C$603,Inputs!$C$5)</f>
        <v/>
      </c>
      <c r="S4" s="26">
        <f>I4+0+G4+A4+MAX(1,A4/2)+(A4-B4)</f>
        <v/>
      </c>
      <c r="T4" s="9">
        <f>MAX(0,S4*(1+M4)*(1+L4)*Inputs!$C$20*(1-D4/Inputs!$C$19)-D4/25)</f>
        <v/>
      </c>
      <c r="U4" s="16">
        <f>H4/10*(1-MIN(0.95,N4+0))*Inputs!$C$21</f>
        <v/>
      </c>
      <c r="V4" s="27">
        <f>T4/U4</f>
        <v/>
      </c>
      <c r="W4" s="16">
        <f>(1+J4)*(1+K4)*Inputs!$C$20</f>
        <v/>
      </c>
      <c r="X4" s="17">
        <f>P4*Inputs!$C$23/Inputs!$C$22</f>
        <v/>
      </c>
      <c r="Y4" s="17">
        <f>IF(INDEX(Abilities!$A$14:$A$23,1)&lt;=A4,INDEX(Abilities!$C$14:$C$23,1)*CHOOSE(Inputs!$C$13,1,INDEX(Abilities!$J$14:$J$23,1),INDEX(Abilities!$I$14:$I$23,1))*W4/MAX(INDEX(Abilities!$D$14:$D$23,1),Inputs!$C$12),0)</f>
        <v/>
      </c>
      <c r="Z4" s="17">
        <f>IF(INDEX(Abilities!$A$14:$A$23,2)&lt;=A4,INDEX(Abilities!$C$14:$C$23,2)*CHOOSE(Inputs!$C$13,1,INDEX(Abilities!$J$14:$J$23,2),INDEX(Abilities!$I$14:$I$23,2))*W4/MAX(INDEX(Abilities!$D$14:$D$23,2),Inputs!$C$12),0)</f>
        <v/>
      </c>
      <c r="AA4" s="17">
        <f>IF(INDEX(Abilities!$A$14:$A$23,3)&lt;=A4,INDEX(Abilities!$C$14:$C$23,3)*CHOOSE(Inputs!$C$13,1,INDEX(Abilities!$J$14:$J$23,3),INDEX(Abilities!$I$14:$I$23,3))*W4/MAX(INDEX(Abilities!$D$14:$D$23,3),Inputs!$C$12),0)</f>
        <v/>
      </c>
      <c r="AB4" s="17">
        <f>IF(INDEX(Abilities!$A$14:$A$23,4)&lt;=A4,INDEX(Abilities!$C$14:$C$23,4)*CHOOSE(Inputs!$C$13,1,INDEX(Abilities!$J$14:$J$23,4),INDEX(Abilities!$I$14:$I$23,4))*W4/MAX(INDEX(Abilities!$D$14:$D$23,4),Inputs!$C$12),0)</f>
        <v/>
      </c>
      <c r="AC4" s="17">
        <f>IF(INDEX(Abilities!$A$14:$A$23,5)&lt;=A4,INDEX(Abilities!$C$14:$C$23,5)*CHOOSE(Inputs!$C$13,1,INDEX(Abilities!$J$14:$J$23,5),INDEX(Abilities!$I$14:$I$23,5))*W4/MAX(INDEX(Abilities!$D$14:$D$23,5),Inputs!$C$12),0)</f>
        <v/>
      </c>
      <c r="AD4" s="17">
        <f>IF(INDEX(Abilities!$A$14:$A$23,6)&lt;=A4,INDEX(Abilities!$C$14:$C$23,6)*CHOOSE(Inputs!$C$13,1,INDEX(Abilities!$J$14:$J$23,6),INDEX(Abilities!$I$14:$I$23,6))*W4/MAX(INDEX(Abilities!$D$14:$D$23,6),Inputs!$C$12),0)</f>
        <v/>
      </c>
      <c r="AE4" s="17">
        <f>IF(INDEX(Abilities!$A$14:$A$23,7)&lt;=A4,INDEX(Abilities!$C$14:$C$23,7)*CHOOSE(Inputs!$C$13,1,INDEX(Abilities!$J$14:$J$23,7),INDEX(Abilities!$I$14:$I$23,7))*W4/MAX(INDEX(Abilities!$D$14:$D$23,7),Inputs!$C$12),0)</f>
        <v/>
      </c>
      <c r="AF4" s="17">
        <f>IF(INDEX(Abilities!$A$14:$A$23,8)&lt;=A4,INDEX(Abilities!$C$14:$C$23,8)*CHOOSE(Inputs!$C$13,1,INDEX(Abilities!$J$14:$J$23,8),INDEX(Abilities!$I$14:$I$23,8))*W4/MAX(INDEX(Abilities!$D$14:$D$23,8),Inputs!$C$12),0)</f>
        <v/>
      </c>
      <c r="AG4" s="17">
        <f>IF(INDEX(Abilities!$A$14:$A$23,9)&lt;=A4,INDEX(Abilities!$C$14:$C$23,9)*CHOOSE(Inputs!$C$13,1,INDEX(Abilities!$J$14:$J$23,9),INDEX(Abilities!$I$14:$I$23,9))*W4/MAX(INDEX(Abilities!$D$14:$D$23,9),Inputs!$C$12),0)</f>
        <v/>
      </c>
      <c r="AH4" s="17">
        <f>IF(INDEX(Abilities!$A$14:$A$23,10)&lt;=A4,INDEX(Abilities!$C$14:$C$23,10)*CHOOSE(Inputs!$C$13,1,INDEX(Abilities!$J$14:$J$23,10),INDEX(Abilities!$I$14:$I$23,10))*W4/MAX(INDEX(Abilities!$D$14:$D$23,10),Inputs!$C$12),0)</f>
        <v/>
      </c>
      <c r="AI4" s="17">
        <f>IF(INDEX(Abilities!$A$14:$A$23,1)&lt;=A4,MIN(Y4,X4*INDEX(Abilities!$C$14:$C$23,1)*CHOOSE(Inputs!$C$13,1,INDEX(Abilities!$J$14:$J$23,1),INDEX(Abilities!$I$14:$I$23,1))*W4/INDEX(Abilities!$E$14:$E$23,1)),0)</f>
        <v/>
      </c>
      <c r="AJ4" s="17">
        <f>IF(INDEX(Abilities!$A$14:$A$23,2)&lt;=A4,MIN(Z4,X4*INDEX(Abilities!$C$14:$C$23,2)*CHOOSE(Inputs!$C$13,1,INDEX(Abilities!$J$14:$J$23,2),INDEX(Abilities!$I$14:$I$23,2))*W4/INDEX(Abilities!$E$14:$E$23,2)),0)</f>
        <v/>
      </c>
      <c r="AK4" s="17">
        <f>IF(INDEX(Abilities!$A$14:$A$23,3)&lt;=A4,MIN(AA4,X4*INDEX(Abilities!$C$14:$C$23,3)*CHOOSE(Inputs!$C$13,1,INDEX(Abilities!$J$14:$J$23,3),INDEX(Abilities!$I$14:$I$23,3))*W4/INDEX(Abilities!$E$14:$E$23,3)),0)</f>
        <v/>
      </c>
      <c r="AL4" s="17">
        <f>IF(INDEX(Abilities!$A$14:$A$23,4)&lt;=A4,MIN(AB4,X4*INDEX(Abilities!$C$14:$C$23,4)*CHOOSE(Inputs!$C$13,1,INDEX(Abilities!$J$14:$J$23,4),INDEX(Abilities!$I$14:$I$23,4))*W4/INDEX(Abilities!$E$14:$E$23,4)),0)</f>
        <v/>
      </c>
      <c r="AM4" s="17">
        <f>IF(INDEX(Abilities!$A$14:$A$23,5)&lt;=A4,MIN(AC4,X4*INDEX(Abilities!$C$14:$C$23,5)*CHOOSE(Inputs!$C$13,1,INDEX(Abilities!$J$14:$J$23,5),INDEX(Abilities!$I$14:$I$23,5))*W4/INDEX(Abilities!$E$14:$E$23,5)),0)</f>
        <v/>
      </c>
      <c r="AN4" s="17">
        <f>IF(INDEX(Abilities!$A$14:$A$23,6)&lt;=A4,MIN(AD4,X4*INDEX(Abilities!$C$14:$C$23,6)*CHOOSE(Inputs!$C$13,1,INDEX(Abilities!$J$14:$J$23,6),INDEX(Abilities!$I$14:$I$23,6))*W4/INDEX(Abilities!$E$14:$E$23,6)),0)</f>
        <v/>
      </c>
      <c r="AO4" s="17">
        <f>IF(INDEX(Abilities!$A$14:$A$23,7)&lt;=A4,MIN(AE4,X4*INDEX(Abilities!$C$14:$C$23,7)*CHOOSE(Inputs!$C$13,1,INDEX(Abilities!$J$14:$J$23,7),INDEX(Abilities!$I$14:$I$23,7))*W4/INDEX(Abilities!$E$14:$E$23,7)),0)</f>
        <v/>
      </c>
      <c r="AP4" s="17">
        <f>IF(INDEX(Abilities!$A$14:$A$23,8)&lt;=A4,MIN(AF4,X4*INDEX(Abilities!$C$14:$C$23,8)*CHOOSE(Inputs!$C$13,1,INDEX(Abilities!$J$14:$J$23,8),INDEX(Abilities!$I$14:$I$23,8))*W4/INDEX(Abilities!$E$14:$E$23,8)),0)</f>
        <v/>
      </c>
      <c r="AQ4" s="17">
        <f>IF(INDEX(Abilities!$A$14:$A$23,9)&lt;=A4,MIN(AG4,X4*INDEX(Abilities!$C$14:$C$23,9)*CHOOSE(Inputs!$C$13,1,INDEX(Abilities!$J$14:$J$23,9),INDEX(Abilities!$I$14:$I$23,9))*W4/INDEX(Abilities!$E$14:$E$23,9)),0)</f>
        <v/>
      </c>
      <c r="AR4" s="17">
        <f>IF(INDEX(Abilities!$A$14:$A$23,10)&lt;=A4,MIN(AH4,X4*INDEX(Abilities!$C$14:$C$23,10)*CHOOSE(Inputs!$C$13,1,INDEX(Abilities!$J$14:$J$23,10),INDEX(Abilities!$I$14:$I$23,10))*W4/INDEX(Abilities!$E$14:$E$23,10)),0)</f>
        <v/>
      </c>
      <c r="AS4" s="17">
        <f>IF(INDEX(Abilities!$A$14:$A$23,1)&lt;=A4,INDEX(Abilities!$C$14:$C$23,1)*CHOOSE(Inputs!$C$13,1,INDEX(Abilities!$J$14:$J$23,1),INDEX(Abilities!$I$14:$I$23,1))*W4/MAX(INDEX(Abilities!$D$14:$D$23,1),2*Inputs!$C$12),0)</f>
        <v/>
      </c>
      <c r="AT4" s="17">
        <f>IF(INDEX(Abilities!$A$14:$A$23,2)&lt;=A4,INDEX(Abilities!$C$14:$C$23,2)*CHOOSE(Inputs!$C$13,1,INDEX(Abilities!$J$14:$J$23,2),INDEX(Abilities!$I$14:$I$23,2))*W4/MAX(INDEX(Abilities!$D$14:$D$23,2),2*Inputs!$C$12),0)</f>
        <v/>
      </c>
      <c r="AU4" s="17">
        <f>IF(INDEX(Abilities!$A$14:$A$23,3)&lt;=A4,INDEX(Abilities!$C$14:$C$23,3)*CHOOSE(Inputs!$C$13,1,INDEX(Abilities!$J$14:$J$23,3),INDEX(Abilities!$I$14:$I$23,3))*W4/MAX(INDEX(Abilities!$D$14:$D$23,3),2*Inputs!$C$12),0)</f>
        <v/>
      </c>
      <c r="AV4" s="17">
        <f>IF(INDEX(Abilities!$A$14:$A$23,4)&lt;=A4,INDEX(Abilities!$C$14:$C$23,4)*CHOOSE(Inputs!$C$13,1,INDEX(Abilities!$J$14:$J$23,4),INDEX(Abilities!$I$14:$I$23,4))*W4/MAX(INDEX(Abilities!$D$14:$D$23,4),2*Inputs!$C$12),0)</f>
        <v/>
      </c>
      <c r="AW4" s="17">
        <f>IF(INDEX(Abilities!$A$14:$A$23,5)&lt;=A4,INDEX(Abilities!$C$14:$C$23,5)*CHOOSE(Inputs!$C$13,1,INDEX(Abilities!$J$14:$J$23,5),INDEX(Abilities!$I$14:$I$23,5))*W4/MAX(INDEX(Abilities!$D$14:$D$23,5),2*Inputs!$C$12),0)</f>
        <v/>
      </c>
      <c r="AX4" s="17">
        <f>IF(INDEX(Abilities!$A$14:$A$23,6)&lt;=A4,INDEX(Abilities!$C$14:$C$23,6)*CHOOSE(Inputs!$C$13,1,INDEX(Abilities!$J$14:$J$23,6),INDEX(Abilities!$I$14:$I$23,6))*W4/MAX(INDEX(Abilities!$D$14:$D$23,6),2*Inputs!$C$12),0)</f>
        <v/>
      </c>
      <c r="AY4" s="17">
        <f>IF(INDEX(Abilities!$A$14:$A$23,7)&lt;=A4,INDEX(Abilities!$C$14:$C$23,7)*CHOOSE(Inputs!$C$13,1,INDEX(Abilities!$J$14:$J$23,7),INDEX(Abilities!$I$14:$I$23,7))*W4/MAX(INDEX(Abilities!$D$14:$D$23,7),2*Inputs!$C$12),0)</f>
        <v/>
      </c>
      <c r="AZ4" s="17">
        <f>IF(INDEX(Abilities!$A$14:$A$23,8)&lt;=A4,INDEX(Abilities!$C$14:$C$23,8)*CHOOSE(Inputs!$C$13,1,INDEX(Abilities!$J$14:$J$23,8),INDEX(Abilities!$I$14:$I$23,8))*W4/MAX(INDEX(Abilities!$D$14:$D$23,8),2*Inputs!$C$12),0)</f>
        <v/>
      </c>
      <c r="BA4" s="17">
        <f>IF(INDEX(Abilities!$A$14:$A$23,9)&lt;=A4,INDEX(Abilities!$C$14:$C$23,9)*CHOOSE(Inputs!$C$13,1,INDEX(Abilities!$J$14:$J$23,9),INDEX(Abilities!$I$14:$I$23,9))*W4/MAX(INDEX(Abilities!$D$14:$D$23,9),2*Inputs!$C$12),0)</f>
        <v/>
      </c>
      <c r="BB4" s="17">
        <f>IF(INDEX(Abilities!$A$14:$A$23,10)&lt;=A4,INDEX(Abilities!$C$14:$C$23,10)*CHOOSE(Inputs!$C$13,1,INDEX(Abilities!$J$14:$J$23,10),INDEX(Abilities!$I$14:$I$23,10))*W4/MAX(INDEX(Abilities!$D$14:$D$23,10),2*Inputs!$C$12),0)</f>
        <v/>
      </c>
      <c r="BC4" s="27">
        <f>MAX(Y4:AH4)</f>
        <v/>
      </c>
      <c r="BD4" s="8">
        <f>MATCH(BC4,Y4:AH4,0)</f>
        <v/>
      </c>
      <c r="BE4" s="15">
        <f>INDEX(Abilities!$B$14:$B$23,BD4)</f>
        <v/>
      </c>
      <c r="BF4" s="16">
        <f>CHOOSE(Inputs!$C$13,1,INDEX(Abilities!$J$14:$J$23,BD4),INDEX(Abilities!$I$14:$I$23,BD4))</f>
        <v/>
      </c>
      <c r="BG4" s="17">
        <f>INDEX(Abilities!$E$14:$E$23,BD4)/MAX(INDEX(Abilities!$D$14:$D$23,BD4),Inputs!$C$12)</f>
        <v/>
      </c>
      <c r="BH4" s="27">
        <f>MAX(AI4:AR4)</f>
        <v/>
      </c>
      <c r="BI4" s="8">
        <f>MATCH(BH4,AI4:AR4,0)</f>
        <v/>
      </c>
      <c r="BJ4" s="15">
        <f>INDEX(Abilities!$B$14:$B$23,BI4)</f>
        <v/>
      </c>
      <c r="BK4" s="14">
        <f>IFERROR(ROUNDUP(C4/(INDEX(Abilities!$C$14:$C$23,BD4)*W4),0),"-")</f>
        <v/>
      </c>
      <c r="BL4" s="9">
        <f>IFERROR(C4*INDEX(Abilities!$E$14:$E$23,BI4)/(INDEX(Abilities!$C$14:$C$23,BI4)*CHOOSE(Inputs!$C$13,1,INDEX(Abilities!$J$14:$J$23,BI4),INDEX(Abilities!$I$14:$I$23,BI4))*W4),"-")</f>
        <v/>
      </c>
      <c r="BM4" s="60">
        <f>IFERROR(P4/BL4,"-")</f>
        <v/>
      </c>
      <c r="BN4" s="17">
        <f>BH4+Inputs!$C$18*V4</f>
        <v/>
      </c>
      <c r="BO4" s="17">
        <f>BC4+Inputs!$C$18*V4</f>
        <v/>
      </c>
      <c r="BP4" s="27">
        <f>LARGE(AS4:BB4,1)+LARGE(AS4:BB4,2)</f>
        <v/>
      </c>
      <c r="BQ4" s="60">
        <f>IFERROR(IF(BG4&lt;=X4,C4/BO4,IF(C4/BO4*(BG4-X4)&lt;=P4,C4/BO4,P4/(BG4-X4)+(C4-BO4*P4/(BG4-X4))/BN4)),"-")</f>
        <v/>
      </c>
      <c r="BR4" s="60">
        <f>BQ4</f>
        <v/>
      </c>
      <c r="BS4" s="9">
        <f>MAX(0,(E4+(B4-A4))*(1-R4)*(1-Q4*'Class Table'!$O$7/Inputs!$C$19)-Q4*'Class Table'!$O$7/25)</f>
        <v/>
      </c>
      <c r="BT4" s="26">
        <f>IFERROR(BS4/F4*BR4,"-")</f>
        <v/>
      </c>
      <c r="BU4" s="28">
        <f>IFERROR(BT4/O4,"-")</f>
        <v/>
      </c>
      <c r="BV4" s="9">
        <f>IFERROR(O4*Inputs!$C$24/Inputs!$C$22*BR4,"-")</f>
        <v/>
      </c>
      <c r="BW4" s="28">
        <f>IFERROR(MAX(0,BT4-BV4)/O4,"-")</f>
        <v/>
      </c>
    </row>
    <row r="5">
      <c r="A5" s="8" t="n">
        <v>2</v>
      </c>
      <c r="B5" s="14">
        <f>'Mob by Level'!B5</f>
        <v/>
      </c>
      <c r="C5" s="9">
        <f>'Mob by Level'!C5</f>
        <v/>
      </c>
      <c r="D5" s="9">
        <f>'Mob by Level'!D5</f>
        <v/>
      </c>
      <c r="E5" s="9">
        <f>'Mob by Level'!E5</f>
        <v/>
      </c>
      <c r="F5" s="16">
        <f>'Mob by Level'!F5</f>
        <v/>
      </c>
      <c r="G5" s="14">
        <f>SUMIFS(Gear!$D$4:$D$603,Gear!$A$4:$A$603,A5,Gear!$B$4:$B$603,"Magus",Gear!$C$4:$C$603,Inputs!$C$5)</f>
        <v/>
      </c>
      <c r="H5" s="14">
        <f>SUMIFS(Gear!$E$4:$E$603,Gear!$A$4:$A$603,A5,Gear!$B$4:$B$603,"Magus",Gear!$C$4:$C$603,Inputs!$C$5)</f>
        <v/>
      </c>
      <c r="I5" s="14">
        <f>SUMIFS(Gear!$F$4:$F$603,Gear!$A$4:$A$603,A5,Gear!$B$4:$B$603,"Magus",Gear!$C$4:$C$603,Inputs!$C$5)+Inputs!$C$17*IFERROR(LOOKUP(A5,Abilities!$A$49:$A$53,Abilities!$C$49:$C$53),0)</f>
        <v/>
      </c>
      <c r="J5" s="13">
        <f>SUMIFS(Gear!$J$4:$J$603,Gear!$A$4:$A$603,A5,Gear!$B$4:$B$603,"Magus",Gear!$C$4:$C$603,Inputs!$C$5)</f>
        <v/>
      </c>
      <c r="K5" s="13">
        <f>SUMIFS(Gear!$K$4:$K$603,Gear!$A$4:$A$603,A5,Gear!$B$4:$B$603,"Magus",Gear!$C$4:$C$603,Inputs!$C$5)</f>
        <v/>
      </c>
      <c r="L5" s="13">
        <f>SUMIFS(Gear!$L$4:$L$603,Gear!$A$4:$A$603,A5,Gear!$B$4:$B$603,"Magus",Gear!$C$4:$C$603,Inputs!$C$5)</f>
        <v/>
      </c>
      <c r="M5" s="13">
        <f>SUMIFS(Gear!$M$4:$M$603,Gear!$A$4:$A$603,A5,Gear!$B$4:$B$603,"Magus",Gear!$C$4:$C$603,Inputs!$C$5)</f>
        <v/>
      </c>
      <c r="N5" s="13">
        <f>SUMIFS(Gear!$N$4:$N$603,Gear!$A$4:$A$603,A5,Gear!$B$4:$B$603,"Magus",Gear!$C$4:$C$603,Inputs!$C$5)</f>
        <v/>
      </c>
      <c r="O5" s="9">
        <f>INDEX('Class Table'!$H$4:$H$53,A5)+SUMIFS(Gear!$G$4:$G$603,Gear!$A$4:$A$603,A5,Gear!$B$4:$B$603,"Magus",Gear!$C$4:$C$603,Inputs!$C$5)</f>
        <v/>
      </c>
      <c r="P5" s="9">
        <f>INDEX('Class Table'!$I$4:$I$53,A5)+SUMIFS(Gear!$H$4:$H$603,Gear!$A$4:$A$603,A5,Gear!$B$4:$B$603,"Magus",Gear!$C$4:$C$603,Inputs!$C$5)</f>
        <v/>
      </c>
      <c r="Q5" s="9">
        <f>INDEX('Class Table'!$J$4:$J$53,A5)+SUMIFS(Gear!$I$4:$I$603,Gear!$A$4:$A$603,A5,Gear!$B$4:$B$603,"Magus",Gear!$C$4:$C$603,Inputs!$C$5)</f>
        <v/>
      </c>
      <c r="R5" s="13">
        <f>SUMIFS(Gear!$O$4:$O$603,Gear!$A$4:$A$603,A5,Gear!$B$4:$B$603,"Magus",Gear!$C$4:$C$603,Inputs!$C$5)</f>
        <v/>
      </c>
      <c r="S5" s="26">
        <f>I5+0+G5+A5+MAX(1,A5/2)+(A5-B5)</f>
        <v/>
      </c>
      <c r="T5" s="9">
        <f>MAX(0,S5*(1+M5)*(1+L5)*Inputs!$C$20*(1-D5/Inputs!$C$19)-D5/25)</f>
        <v/>
      </c>
      <c r="U5" s="16">
        <f>H5/10*(1-MIN(0.95,N5+0))*Inputs!$C$21</f>
        <v/>
      </c>
      <c r="V5" s="27">
        <f>T5/U5</f>
        <v/>
      </c>
      <c r="W5" s="16">
        <f>(1+J5)*(1+K5)*Inputs!$C$20</f>
        <v/>
      </c>
      <c r="X5" s="17">
        <f>P5*Inputs!$C$23/Inputs!$C$22</f>
        <v/>
      </c>
      <c r="Y5" s="17">
        <f>IF(INDEX(Abilities!$A$14:$A$23,1)&lt;=A5,INDEX(Abilities!$C$14:$C$23,1)*CHOOSE(Inputs!$C$13,1,INDEX(Abilities!$J$14:$J$23,1),INDEX(Abilities!$I$14:$I$23,1))*W5/MAX(INDEX(Abilities!$D$14:$D$23,1),Inputs!$C$12),0)</f>
        <v/>
      </c>
      <c r="Z5" s="17">
        <f>IF(INDEX(Abilities!$A$14:$A$23,2)&lt;=A5,INDEX(Abilities!$C$14:$C$23,2)*CHOOSE(Inputs!$C$13,1,INDEX(Abilities!$J$14:$J$23,2),INDEX(Abilities!$I$14:$I$23,2))*W5/MAX(INDEX(Abilities!$D$14:$D$23,2),Inputs!$C$12),0)</f>
        <v/>
      </c>
      <c r="AA5" s="17">
        <f>IF(INDEX(Abilities!$A$14:$A$23,3)&lt;=A5,INDEX(Abilities!$C$14:$C$23,3)*CHOOSE(Inputs!$C$13,1,INDEX(Abilities!$J$14:$J$23,3),INDEX(Abilities!$I$14:$I$23,3))*W5/MAX(INDEX(Abilities!$D$14:$D$23,3),Inputs!$C$12),0)</f>
        <v/>
      </c>
      <c r="AB5" s="17">
        <f>IF(INDEX(Abilities!$A$14:$A$23,4)&lt;=A5,INDEX(Abilities!$C$14:$C$23,4)*CHOOSE(Inputs!$C$13,1,INDEX(Abilities!$J$14:$J$23,4),INDEX(Abilities!$I$14:$I$23,4))*W5/MAX(INDEX(Abilities!$D$14:$D$23,4),Inputs!$C$12),0)</f>
        <v/>
      </c>
      <c r="AC5" s="17">
        <f>IF(INDEX(Abilities!$A$14:$A$23,5)&lt;=A5,INDEX(Abilities!$C$14:$C$23,5)*CHOOSE(Inputs!$C$13,1,INDEX(Abilities!$J$14:$J$23,5),INDEX(Abilities!$I$14:$I$23,5))*W5/MAX(INDEX(Abilities!$D$14:$D$23,5),Inputs!$C$12),0)</f>
        <v/>
      </c>
      <c r="AD5" s="17">
        <f>IF(INDEX(Abilities!$A$14:$A$23,6)&lt;=A5,INDEX(Abilities!$C$14:$C$23,6)*CHOOSE(Inputs!$C$13,1,INDEX(Abilities!$J$14:$J$23,6),INDEX(Abilities!$I$14:$I$23,6))*W5/MAX(INDEX(Abilities!$D$14:$D$23,6),Inputs!$C$12),0)</f>
        <v/>
      </c>
      <c r="AE5" s="17">
        <f>IF(INDEX(Abilities!$A$14:$A$23,7)&lt;=A5,INDEX(Abilities!$C$14:$C$23,7)*CHOOSE(Inputs!$C$13,1,INDEX(Abilities!$J$14:$J$23,7),INDEX(Abilities!$I$14:$I$23,7))*W5/MAX(INDEX(Abilities!$D$14:$D$23,7),Inputs!$C$12),0)</f>
        <v/>
      </c>
      <c r="AF5" s="17">
        <f>IF(INDEX(Abilities!$A$14:$A$23,8)&lt;=A5,INDEX(Abilities!$C$14:$C$23,8)*CHOOSE(Inputs!$C$13,1,INDEX(Abilities!$J$14:$J$23,8),INDEX(Abilities!$I$14:$I$23,8))*W5/MAX(INDEX(Abilities!$D$14:$D$23,8),Inputs!$C$12),0)</f>
        <v/>
      </c>
      <c r="AG5" s="17">
        <f>IF(INDEX(Abilities!$A$14:$A$23,9)&lt;=A5,INDEX(Abilities!$C$14:$C$23,9)*CHOOSE(Inputs!$C$13,1,INDEX(Abilities!$J$14:$J$23,9),INDEX(Abilities!$I$14:$I$23,9))*W5/MAX(INDEX(Abilities!$D$14:$D$23,9),Inputs!$C$12),0)</f>
        <v/>
      </c>
      <c r="AH5" s="17">
        <f>IF(INDEX(Abilities!$A$14:$A$23,10)&lt;=A5,INDEX(Abilities!$C$14:$C$23,10)*CHOOSE(Inputs!$C$13,1,INDEX(Abilities!$J$14:$J$23,10),INDEX(Abilities!$I$14:$I$23,10))*W5/MAX(INDEX(Abilities!$D$14:$D$23,10),Inputs!$C$12),0)</f>
        <v/>
      </c>
      <c r="AI5" s="17">
        <f>IF(INDEX(Abilities!$A$14:$A$23,1)&lt;=A5,MIN(Y5,X5*INDEX(Abilities!$C$14:$C$23,1)*CHOOSE(Inputs!$C$13,1,INDEX(Abilities!$J$14:$J$23,1),INDEX(Abilities!$I$14:$I$23,1))*W5/INDEX(Abilities!$E$14:$E$23,1)),0)</f>
        <v/>
      </c>
      <c r="AJ5" s="17">
        <f>IF(INDEX(Abilities!$A$14:$A$23,2)&lt;=A5,MIN(Z5,X5*INDEX(Abilities!$C$14:$C$23,2)*CHOOSE(Inputs!$C$13,1,INDEX(Abilities!$J$14:$J$23,2),INDEX(Abilities!$I$14:$I$23,2))*W5/INDEX(Abilities!$E$14:$E$23,2)),0)</f>
        <v/>
      </c>
      <c r="AK5" s="17">
        <f>IF(INDEX(Abilities!$A$14:$A$23,3)&lt;=A5,MIN(AA5,X5*INDEX(Abilities!$C$14:$C$23,3)*CHOOSE(Inputs!$C$13,1,INDEX(Abilities!$J$14:$J$23,3),INDEX(Abilities!$I$14:$I$23,3))*W5/INDEX(Abilities!$E$14:$E$23,3)),0)</f>
        <v/>
      </c>
      <c r="AL5" s="17">
        <f>IF(INDEX(Abilities!$A$14:$A$23,4)&lt;=A5,MIN(AB5,X5*INDEX(Abilities!$C$14:$C$23,4)*CHOOSE(Inputs!$C$13,1,INDEX(Abilities!$J$14:$J$23,4),INDEX(Abilities!$I$14:$I$23,4))*W5/INDEX(Abilities!$E$14:$E$23,4)),0)</f>
        <v/>
      </c>
      <c r="AM5" s="17">
        <f>IF(INDEX(Abilities!$A$14:$A$23,5)&lt;=A5,MIN(AC5,X5*INDEX(Abilities!$C$14:$C$23,5)*CHOOSE(Inputs!$C$13,1,INDEX(Abilities!$J$14:$J$23,5),INDEX(Abilities!$I$14:$I$23,5))*W5/INDEX(Abilities!$E$14:$E$23,5)),0)</f>
        <v/>
      </c>
      <c r="AN5" s="17">
        <f>IF(INDEX(Abilities!$A$14:$A$23,6)&lt;=A5,MIN(AD5,X5*INDEX(Abilities!$C$14:$C$23,6)*CHOOSE(Inputs!$C$13,1,INDEX(Abilities!$J$14:$J$23,6),INDEX(Abilities!$I$14:$I$23,6))*W5/INDEX(Abilities!$E$14:$E$23,6)),0)</f>
        <v/>
      </c>
      <c r="AO5" s="17">
        <f>IF(INDEX(Abilities!$A$14:$A$23,7)&lt;=A5,MIN(AE5,X5*INDEX(Abilities!$C$14:$C$23,7)*CHOOSE(Inputs!$C$13,1,INDEX(Abilities!$J$14:$J$23,7),INDEX(Abilities!$I$14:$I$23,7))*W5/INDEX(Abilities!$E$14:$E$23,7)),0)</f>
        <v/>
      </c>
      <c r="AP5" s="17">
        <f>IF(INDEX(Abilities!$A$14:$A$23,8)&lt;=A5,MIN(AF5,X5*INDEX(Abilities!$C$14:$C$23,8)*CHOOSE(Inputs!$C$13,1,INDEX(Abilities!$J$14:$J$23,8),INDEX(Abilities!$I$14:$I$23,8))*W5/INDEX(Abilities!$E$14:$E$23,8)),0)</f>
        <v/>
      </c>
      <c r="AQ5" s="17">
        <f>IF(INDEX(Abilities!$A$14:$A$23,9)&lt;=A5,MIN(AG5,X5*INDEX(Abilities!$C$14:$C$23,9)*CHOOSE(Inputs!$C$13,1,INDEX(Abilities!$J$14:$J$23,9),INDEX(Abilities!$I$14:$I$23,9))*W5/INDEX(Abilities!$E$14:$E$23,9)),0)</f>
        <v/>
      </c>
      <c r="AR5" s="17">
        <f>IF(INDEX(Abilities!$A$14:$A$23,10)&lt;=A5,MIN(AH5,X5*INDEX(Abilities!$C$14:$C$23,10)*CHOOSE(Inputs!$C$13,1,INDEX(Abilities!$J$14:$J$23,10),INDEX(Abilities!$I$14:$I$23,10))*W5/INDEX(Abilities!$E$14:$E$23,10)),0)</f>
        <v/>
      </c>
      <c r="AS5" s="17">
        <f>IF(INDEX(Abilities!$A$14:$A$23,1)&lt;=A5,INDEX(Abilities!$C$14:$C$23,1)*CHOOSE(Inputs!$C$13,1,INDEX(Abilities!$J$14:$J$23,1),INDEX(Abilities!$I$14:$I$23,1))*W5/MAX(INDEX(Abilities!$D$14:$D$23,1),2*Inputs!$C$12),0)</f>
        <v/>
      </c>
      <c r="AT5" s="17">
        <f>IF(INDEX(Abilities!$A$14:$A$23,2)&lt;=A5,INDEX(Abilities!$C$14:$C$23,2)*CHOOSE(Inputs!$C$13,1,INDEX(Abilities!$J$14:$J$23,2),INDEX(Abilities!$I$14:$I$23,2))*W5/MAX(INDEX(Abilities!$D$14:$D$23,2),2*Inputs!$C$12),0)</f>
        <v/>
      </c>
      <c r="AU5" s="17">
        <f>IF(INDEX(Abilities!$A$14:$A$23,3)&lt;=A5,INDEX(Abilities!$C$14:$C$23,3)*CHOOSE(Inputs!$C$13,1,INDEX(Abilities!$J$14:$J$23,3),INDEX(Abilities!$I$14:$I$23,3))*W5/MAX(INDEX(Abilities!$D$14:$D$23,3),2*Inputs!$C$12),0)</f>
        <v/>
      </c>
      <c r="AV5" s="17">
        <f>IF(INDEX(Abilities!$A$14:$A$23,4)&lt;=A5,INDEX(Abilities!$C$14:$C$23,4)*CHOOSE(Inputs!$C$13,1,INDEX(Abilities!$J$14:$J$23,4),INDEX(Abilities!$I$14:$I$23,4))*W5/MAX(INDEX(Abilities!$D$14:$D$23,4),2*Inputs!$C$12),0)</f>
        <v/>
      </c>
      <c r="AW5" s="17">
        <f>IF(INDEX(Abilities!$A$14:$A$23,5)&lt;=A5,INDEX(Abilities!$C$14:$C$23,5)*CHOOSE(Inputs!$C$13,1,INDEX(Abilities!$J$14:$J$23,5),INDEX(Abilities!$I$14:$I$23,5))*W5/MAX(INDEX(Abilities!$D$14:$D$23,5),2*Inputs!$C$12),0)</f>
        <v/>
      </c>
      <c r="AX5" s="17">
        <f>IF(INDEX(Abilities!$A$14:$A$23,6)&lt;=A5,INDEX(Abilities!$C$14:$C$23,6)*CHOOSE(Inputs!$C$13,1,INDEX(Abilities!$J$14:$J$23,6),INDEX(Abilities!$I$14:$I$23,6))*W5/MAX(INDEX(Abilities!$D$14:$D$23,6),2*Inputs!$C$12),0)</f>
        <v/>
      </c>
      <c r="AY5" s="17">
        <f>IF(INDEX(Abilities!$A$14:$A$23,7)&lt;=A5,INDEX(Abilities!$C$14:$C$23,7)*CHOOSE(Inputs!$C$13,1,INDEX(Abilities!$J$14:$J$23,7),INDEX(Abilities!$I$14:$I$23,7))*W5/MAX(INDEX(Abilities!$D$14:$D$23,7),2*Inputs!$C$12),0)</f>
        <v/>
      </c>
      <c r="AZ5" s="17">
        <f>IF(INDEX(Abilities!$A$14:$A$23,8)&lt;=A5,INDEX(Abilities!$C$14:$C$23,8)*CHOOSE(Inputs!$C$13,1,INDEX(Abilities!$J$14:$J$23,8),INDEX(Abilities!$I$14:$I$23,8))*W5/MAX(INDEX(Abilities!$D$14:$D$23,8),2*Inputs!$C$12),0)</f>
        <v/>
      </c>
      <c r="BA5" s="17">
        <f>IF(INDEX(Abilities!$A$14:$A$23,9)&lt;=A5,INDEX(Abilities!$C$14:$C$23,9)*CHOOSE(Inputs!$C$13,1,INDEX(Abilities!$J$14:$J$23,9),INDEX(Abilities!$I$14:$I$23,9))*W5/MAX(INDEX(Abilities!$D$14:$D$23,9),2*Inputs!$C$12),0)</f>
        <v/>
      </c>
      <c r="BB5" s="17">
        <f>IF(INDEX(Abilities!$A$14:$A$23,10)&lt;=A5,INDEX(Abilities!$C$14:$C$23,10)*CHOOSE(Inputs!$C$13,1,INDEX(Abilities!$J$14:$J$23,10),INDEX(Abilities!$I$14:$I$23,10))*W5/MAX(INDEX(Abilities!$D$14:$D$23,10),2*Inputs!$C$12),0)</f>
        <v/>
      </c>
      <c r="BC5" s="27">
        <f>MAX(Y5:AH5)</f>
        <v/>
      </c>
      <c r="BD5" s="8">
        <f>MATCH(BC5,Y5:AH5,0)</f>
        <v/>
      </c>
      <c r="BE5" s="15">
        <f>INDEX(Abilities!$B$14:$B$23,BD5)</f>
        <v/>
      </c>
      <c r="BF5" s="16">
        <f>CHOOSE(Inputs!$C$13,1,INDEX(Abilities!$J$14:$J$23,BD5),INDEX(Abilities!$I$14:$I$23,BD5))</f>
        <v/>
      </c>
      <c r="BG5" s="17">
        <f>INDEX(Abilities!$E$14:$E$23,BD5)/MAX(INDEX(Abilities!$D$14:$D$23,BD5),Inputs!$C$12)</f>
        <v/>
      </c>
      <c r="BH5" s="27">
        <f>MAX(AI5:AR5)</f>
        <v/>
      </c>
      <c r="BI5" s="8">
        <f>MATCH(BH5,AI5:AR5,0)</f>
        <v/>
      </c>
      <c r="BJ5" s="15">
        <f>INDEX(Abilities!$B$14:$B$23,BI5)</f>
        <v/>
      </c>
      <c r="BK5" s="14">
        <f>IFERROR(ROUNDUP(C5/(INDEX(Abilities!$C$14:$C$23,BD5)*W5),0),"-")</f>
        <v/>
      </c>
      <c r="BL5" s="9">
        <f>IFERROR(C5*INDEX(Abilities!$E$14:$E$23,BI5)/(INDEX(Abilities!$C$14:$C$23,BI5)*CHOOSE(Inputs!$C$13,1,INDEX(Abilities!$J$14:$J$23,BI5),INDEX(Abilities!$I$14:$I$23,BI5))*W5),"-")</f>
        <v/>
      </c>
      <c r="BM5" s="60">
        <f>IFERROR(P5/BL5,"-")</f>
        <v/>
      </c>
      <c r="BN5" s="17">
        <f>BH5+Inputs!$C$18*V5</f>
        <v/>
      </c>
      <c r="BO5" s="17">
        <f>BC5+Inputs!$C$18*V5</f>
        <v/>
      </c>
      <c r="BP5" s="27">
        <f>LARGE(AS5:BB5,1)+LARGE(AS5:BB5,2)</f>
        <v/>
      </c>
      <c r="BQ5" s="60">
        <f>IFERROR(IF(BG5&lt;=X5,C5/BO5,IF(C5/BO5*(BG5-X5)&lt;=P5,C5/BO5,P5/(BG5-X5)+(C5-BO5*P5/(BG5-X5))/BN5)),"-")</f>
        <v/>
      </c>
      <c r="BR5" s="60">
        <f>BQ5</f>
        <v/>
      </c>
      <c r="BS5" s="9">
        <f>MAX(0,(E5+(B5-A5))*(1-R5)*(1-Q5*'Class Table'!$O$7/Inputs!$C$19)-Q5*'Class Table'!$O$7/25)</f>
        <v/>
      </c>
      <c r="BT5" s="26">
        <f>IFERROR(BS5/F5*BR5,"-")</f>
        <v/>
      </c>
      <c r="BU5" s="28">
        <f>IFERROR(BT5/O5,"-")</f>
        <v/>
      </c>
      <c r="BV5" s="9">
        <f>IFERROR(O5*Inputs!$C$24/Inputs!$C$22*BR5,"-")</f>
        <v/>
      </c>
      <c r="BW5" s="28">
        <f>IFERROR(MAX(0,BT5-BV5)/O5,"-")</f>
        <v/>
      </c>
    </row>
    <row r="6">
      <c r="A6" s="8" t="n">
        <v>3</v>
      </c>
      <c r="B6" s="14">
        <f>'Mob by Level'!B6</f>
        <v/>
      </c>
      <c r="C6" s="9">
        <f>'Mob by Level'!C6</f>
        <v/>
      </c>
      <c r="D6" s="9">
        <f>'Mob by Level'!D6</f>
        <v/>
      </c>
      <c r="E6" s="9">
        <f>'Mob by Level'!E6</f>
        <v/>
      </c>
      <c r="F6" s="16">
        <f>'Mob by Level'!F6</f>
        <v/>
      </c>
      <c r="G6" s="14">
        <f>SUMIFS(Gear!$D$4:$D$603,Gear!$A$4:$A$603,A6,Gear!$B$4:$B$603,"Magus",Gear!$C$4:$C$603,Inputs!$C$5)</f>
        <v/>
      </c>
      <c r="H6" s="14">
        <f>SUMIFS(Gear!$E$4:$E$603,Gear!$A$4:$A$603,A6,Gear!$B$4:$B$603,"Magus",Gear!$C$4:$C$603,Inputs!$C$5)</f>
        <v/>
      </c>
      <c r="I6" s="14">
        <f>SUMIFS(Gear!$F$4:$F$603,Gear!$A$4:$A$603,A6,Gear!$B$4:$B$603,"Magus",Gear!$C$4:$C$603,Inputs!$C$5)+Inputs!$C$17*IFERROR(LOOKUP(A6,Abilities!$A$49:$A$53,Abilities!$C$49:$C$53),0)</f>
        <v/>
      </c>
      <c r="J6" s="13">
        <f>SUMIFS(Gear!$J$4:$J$603,Gear!$A$4:$A$603,A6,Gear!$B$4:$B$603,"Magus",Gear!$C$4:$C$603,Inputs!$C$5)</f>
        <v/>
      </c>
      <c r="K6" s="13">
        <f>SUMIFS(Gear!$K$4:$K$603,Gear!$A$4:$A$603,A6,Gear!$B$4:$B$603,"Magus",Gear!$C$4:$C$603,Inputs!$C$5)</f>
        <v/>
      </c>
      <c r="L6" s="13">
        <f>SUMIFS(Gear!$L$4:$L$603,Gear!$A$4:$A$603,A6,Gear!$B$4:$B$603,"Magus",Gear!$C$4:$C$603,Inputs!$C$5)</f>
        <v/>
      </c>
      <c r="M6" s="13">
        <f>SUMIFS(Gear!$M$4:$M$603,Gear!$A$4:$A$603,A6,Gear!$B$4:$B$603,"Magus",Gear!$C$4:$C$603,Inputs!$C$5)</f>
        <v/>
      </c>
      <c r="N6" s="13">
        <f>SUMIFS(Gear!$N$4:$N$603,Gear!$A$4:$A$603,A6,Gear!$B$4:$B$603,"Magus",Gear!$C$4:$C$603,Inputs!$C$5)</f>
        <v/>
      </c>
      <c r="O6" s="9">
        <f>INDEX('Class Table'!$H$4:$H$53,A6)+SUMIFS(Gear!$G$4:$G$603,Gear!$A$4:$A$603,A6,Gear!$B$4:$B$603,"Magus",Gear!$C$4:$C$603,Inputs!$C$5)</f>
        <v/>
      </c>
      <c r="P6" s="9">
        <f>INDEX('Class Table'!$I$4:$I$53,A6)+SUMIFS(Gear!$H$4:$H$603,Gear!$A$4:$A$603,A6,Gear!$B$4:$B$603,"Magus",Gear!$C$4:$C$603,Inputs!$C$5)</f>
        <v/>
      </c>
      <c r="Q6" s="9">
        <f>INDEX('Class Table'!$J$4:$J$53,A6)+SUMIFS(Gear!$I$4:$I$603,Gear!$A$4:$A$603,A6,Gear!$B$4:$B$603,"Magus",Gear!$C$4:$C$603,Inputs!$C$5)</f>
        <v/>
      </c>
      <c r="R6" s="13">
        <f>SUMIFS(Gear!$O$4:$O$603,Gear!$A$4:$A$603,A6,Gear!$B$4:$B$603,"Magus",Gear!$C$4:$C$603,Inputs!$C$5)</f>
        <v/>
      </c>
      <c r="S6" s="26">
        <f>I6+0+G6+A6+MAX(1,A6/2)+(A6-B6)</f>
        <v/>
      </c>
      <c r="T6" s="9">
        <f>MAX(0,S6*(1+M6)*(1+L6)*Inputs!$C$20*(1-D6/Inputs!$C$19)-D6/25)</f>
        <v/>
      </c>
      <c r="U6" s="16">
        <f>H6/10*(1-MIN(0.95,N6+0))*Inputs!$C$21</f>
        <v/>
      </c>
      <c r="V6" s="27">
        <f>T6/U6</f>
        <v/>
      </c>
      <c r="W6" s="16">
        <f>(1+J6)*(1+K6)*Inputs!$C$20</f>
        <v/>
      </c>
      <c r="X6" s="17">
        <f>P6*Inputs!$C$23/Inputs!$C$22</f>
        <v/>
      </c>
      <c r="Y6" s="17">
        <f>IF(INDEX(Abilities!$A$14:$A$23,1)&lt;=A6,INDEX(Abilities!$C$14:$C$23,1)*CHOOSE(Inputs!$C$13,1,INDEX(Abilities!$J$14:$J$23,1),INDEX(Abilities!$I$14:$I$23,1))*W6/MAX(INDEX(Abilities!$D$14:$D$23,1),Inputs!$C$12),0)</f>
        <v/>
      </c>
      <c r="Z6" s="17">
        <f>IF(INDEX(Abilities!$A$14:$A$23,2)&lt;=A6,INDEX(Abilities!$C$14:$C$23,2)*CHOOSE(Inputs!$C$13,1,INDEX(Abilities!$J$14:$J$23,2),INDEX(Abilities!$I$14:$I$23,2))*W6/MAX(INDEX(Abilities!$D$14:$D$23,2),Inputs!$C$12),0)</f>
        <v/>
      </c>
      <c r="AA6" s="17">
        <f>IF(INDEX(Abilities!$A$14:$A$23,3)&lt;=A6,INDEX(Abilities!$C$14:$C$23,3)*CHOOSE(Inputs!$C$13,1,INDEX(Abilities!$J$14:$J$23,3),INDEX(Abilities!$I$14:$I$23,3))*W6/MAX(INDEX(Abilities!$D$14:$D$23,3),Inputs!$C$12),0)</f>
        <v/>
      </c>
      <c r="AB6" s="17">
        <f>IF(INDEX(Abilities!$A$14:$A$23,4)&lt;=A6,INDEX(Abilities!$C$14:$C$23,4)*CHOOSE(Inputs!$C$13,1,INDEX(Abilities!$J$14:$J$23,4),INDEX(Abilities!$I$14:$I$23,4))*W6/MAX(INDEX(Abilities!$D$14:$D$23,4),Inputs!$C$12),0)</f>
        <v/>
      </c>
      <c r="AC6" s="17">
        <f>IF(INDEX(Abilities!$A$14:$A$23,5)&lt;=A6,INDEX(Abilities!$C$14:$C$23,5)*CHOOSE(Inputs!$C$13,1,INDEX(Abilities!$J$14:$J$23,5),INDEX(Abilities!$I$14:$I$23,5))*W6/MAX(INDEX(Abilities!$D$14:$D$23,5),Inputs!$C$12),0)</f>
        <v/>
      </c>
      <c r="AD6" s="17">
        <f>IF(INDEX(Abilities!$A$14:$A$23,6)&lt;=A6,INDEX(Abilities!$C$14:$C$23,6)*CHOOSE(Inputs!$C$13,1,INDEX(Abilities!$J$14:$J$23,6),INDEX(Abilities!$I$14:$I$23,6))*W6/MAX(INDEX(Abilities!$D$14:$D$23,6),Inputs!$C$12),0)</f>
        <v/>
      </c>
      <c r="AE6" s="17">
        <f>IF(INDEX(Abilities!$A$14:$A$23,7)&lt;=A6,INDEX(Abilities!$C$14:$C$23,7)*CHOOSE(Inputs!$C$13,1,INDEX(Abilities!$J$14:$J$23,7),INDEX(Abilities!$I$14:$I$23,7))*W6/MAX(INDEX(Abilities!$D$14:$D$23,7),Inputs!$C$12),0)</f>
        <v/>
      </c>
      <c r="AF6" s="17">
        <f>IF(INDEX(Abilities!$A$14:$A$23,8)&lt;=A6,INDEX(Abilities!$C$14:$C$23,8)*CHOOSE(Inputs!$C$13,1,INDEX(Abilities!$J$14:$J$23,8),INDEX(Abilities!$I$14:$I$23,8))*W6/MAX(INDEX(Abilities!$D$14:$D$23,8),Inputs!$C$12),0)</f>
        <v/>
      </c>
      <c r="AG6" s="17">
        <f>IF(INDEX(Abilities!$A$14:$A$23,9)&lt;=A6,INDEX(Abilities!$C$14:$C$23,9)*CHOOSE(Inputs!$C$13,1,INDEX(Abilities!$J$14:$J$23,9),INDEX(Abilities!$I$14:$I$23,9))*W6/MAX(INDEX(Abilities!$D$14:$D$23,9),Inputs!$C$12),0)</f>
        <v/>
      </c>
      <c r="AH6" s="17">
        <f>IF(INDEX(Abilities!$A$14:$A$23,10)&lt;=A6,INDEX(Abilities!$C$14:$C$23,10)*CHOOSE(Inputs!$C$13,1,INDEX(Abilities!$J$14:$J$23,10),INDEX(Abilities!$I$14:$I$23,10))*W6/MAX(INDEX(Abilities!$D$14:$D$23,10),Inputs!$C$12),0)</f>
        <v/>
      </c>
      <c r="AI6" s="17">
        <f>IF(INDEX(Abilities!$A$14:$A$23,1)&lt;=A6,MIN(Y6,X6*INDEX(Abilities!$C$14:$C$23,1)*CHOOSE(Inputs!$C$13,1,INDEX(Abilities!$J$14:$J$23,1),INDEX(Abilities!$I$14:$I$23,1))*W6/INDEX(Abilities!$E$14:$E$23,1)),0)</f>
        <v/>
      </c>
      <c r="AJ6" s="17">
        <f>IF(INDEX(Abilities!$A$14:$A$23,2)&lt;=A6,MIN(Z6,X6*INDEX(Abilities!$C$14:$C$23,2)*CHOOSE(Inputs!$C$13,1,INDEX(Abilities!$J$14:$J$23,2),INDEX(Abilities!$I$14:$I$23,2))*W6/INDEX(Abilities!$E$14:$E$23,2)),0)</f>
        <v/>
      </c>
      <c r="AK6" s="17">
        <f>IF(INDEX(Abilities!$A$14:$A$23,3)&lt;=A6,MIN(AA6,X6*INDEX(Abilities!$C$14:$C$23,3)*CHOOSE(Inputs!$C$13,1,INDEX(Abilities!$J$14:$J$23,3),INDEX(Abilities!$I$14:$I$23,3))*W6/INDEX(Abilities!$E$14:$E$23,3)),0)</f>
        <v/>
      </c>
      <c r="AL6" s="17">
        <f>IF(INDEX(Abilities!$A$14:$A$23,4)&lt;=A6,MIN(AB6,X6*INDEX(Abilities!$C$14:$C$23,4)*CHOOSE(Inputs!$C$13,1,INDEX(Abilities!$J$14:$J$23,4),INDEX(Abilities!$I$14:$I$23,4))*W6/INDEX(Abilities!$E$14:$E$23,4)),0)</f>
        <v/>
      </c>
      <c r="AM6" s="17">
        <f>IF(INDEX(Abilities!$A$14:$A$23,5)&lt;=A6,MIN(AC6,X6*INDEX(Abilities!$C$14:$C$23,5)*CHOOSE(Inputs!$C$13,1,INDEX(Abilities!$J$14:$J$23,5),INDEX(Abilities!$I$14:$I$23,5))*W6/INDEX(Abilities!$E$14:$E$23,5)),0)</f>
        <v/>
      </c>
      <c r="AN6" s="17">
        <f>IF(INDEX(Abilities!$A$14:$A$23,6)&lt;=A6,MIN(AD6,X6*INDEX(Abilities!$C$14:$C$23,6)*CHOOSE(Inputs!$C$13,1,INDEX(Abilities!$J$14:$J$23,6),INDEX(Abilities!$I$14:$I$23,6))*W6/INDEX(Abilities!$E$14:$E$23,6)),0)</f>
        <v/>
      </c>
      <c r="AO6" s="17">
        <f>IF(INDEX(Abilities!$A$14:$A$23,7)&lt;=A6,MIN(AE6,X6*INDEX(Abilities!$C$14:$C$23,7)*CHOOSE(Inputs!$C$13,1,INDEX(Abilities!$J$14:$J$23,7),INDEX(Abilities!$I$14:$I$23,7))*W6/INDEX(Abilities!$E$14:$E$23,7)),0)</f>
        <v/>
      </c>
      <c r="AP6" s="17">
        <f>IF(INDEX(Abilities!$A$14:$A$23,8)&lt;=A6,MIN(AF6,X6*INDEX(Abilities!$C$14:$C$23,8)*CHOOSE(Inputs!$C$13,1,INDEX(Abilities!$J$14:$J$23,8),INDEX(Abilities!$I$14:$I$23,8))*W6/INDEX(Abilities!$E$14:$E$23,8)),0)</f>
        <v/>
      </c>
      <c r="AQ6" s="17">
        <f>IF(INDEX(Abilities!$A$14:$A$23,9)&lt;=A6,MIN(AG6,X6*INDEX(Abilities!$C$14:$C$23,9)*CHOOSE(Inputs!$C$13,1,INDEX(Abilities!$J$14:$J$23,9),INDEX(Abilities!$I$14:$I$23,9))*W6/INDEX(Abilities!$E$14:$E$23,9)),0)</f>
        <v/>
      </c>
      <c r="AR6" s="17">
        <f>IF(INDEX(Abilities!$A$14:$A$23,10)&lt;=A6,MIN(AH6,X6*INDEX(Abilities!$C$14:$C$23,10)*CHOOSE(Inputs!$C$13,1,INDEX(Abilities!$J$14:$J$23,10),INDEX(Abilities!$I$14:$I$23,10))*W6/INDEX(Abilities!$E$14:$E$23,10)),0)</f>
        <v/>
      </c>
      <c r="AS6" s="17">
        <f>IF(INDEX(Abilities!$A$14:$A$23,1)&lt;=A6,INDEX(Abilities!$C$14:$C$23,1)*CHOOSE(Inputs!$C$13,1,INDEX(Abilities!$J$14:$J$23,1),INDEX(Abilities!$I$14:$I$23,1))*W6/MAX(INDEX(Abilities!$D$14:$D$23,1),2*Inputs!$C$12),0)</f>
        <v/>
      </c>
      <c r="AT6" s="17">
        <f>IF(INDEX(Abilities!$A$14:$A$23,2)&lt;=A6,INDEX(Abilities!$C$14:$C$23,2)*CHOOSE(Inputs!$C$13,1,INDEX(Abilities!$J$14:$J$23,2),INDEX(Abilities!$I$14:$I$23,2))*W6/MAX(INDEX(Abilities!$D$14:$D$23,2),2*Inputs!$C$12),0)</f>
        <v/>
      </c>
      <c r="AU6" s="17">
        <f>IF(INDEX(Abilities!$A$14:$A$23,3)&lt;=A6,INDEX(Abilities!$C$14:$C$23,3)*CHOOSE(Inputs!$C$13,1,INDEX(Abilities!$J$14:$J$23,3),INDEX(Abilities!$I$14:$I$23,3))*W6/MAX(INDEX(Abilities!$D$14:$D$23,3),2*Inputs!$C$12),0)</f>
        <v/>
      </c>
      <c r="AV6" s="17">
        <f>IF(INDEX(Abilities!$A$14:$A$23,4)&lt;=A6,INDEX(Abilities!$C$14:$C$23,4)*CHOOSE(Inputs!$C$13,1,INDEX(Abilities!$J$14:$J$23,4),INDEX(Abilities!$I$14:$I$23,4))*W6/MAX(INDEX(Abilities!$D$14:$D$23,4),2*Inputs!$C$12),0)</f>
        <v/>
      </c>
      <c r="AW6" s="17">
        <f>IF(INDEX(Abilities!$A$14:$A$23,5)&lt;=A6,INDEX(Abilities!$C$14:$C$23,5)*CHOOSE(Inputs!$C$13,1,INDEX(Abilities!$J$14:$J$23,5),INDEX(Abilities!$I$14:$I$23,5))*W6/MAX(INDEX(Abilities!$D$14:$D$23,5),2*Inputs!$C$12),0)</f>
        <v/>
      </c>
      <c r="AX6" s="17">
        <f>IF(INDEX(Abilities!$A$14:$A$23,6)&lt;=A6,INDEX(Abilities!$C$14:$C$23,6)*CHOOSE(Inputs!$C$13,1,INDEX(Abilities!$J$14:$J$23,6),INDEX(Abilities!$I$14:$I$23,6))*W6/MAX(INDEX(Abilities!$D$14:$D$23,6),2*Inputs!$C$12),0)</f>
        <v/>
      </c>
      <c r="AY6" s="17">
        <f>IF(INDEX(Abilities!$A$14:$A$23,7)&lt;=A6,INDEX(Abilities!$C$14:$C$23,7)*CHOOSE(Inputs!$C$13,1,INDEX(Abilities!$J$14:$J$23,7),INDEX(Abilities!$I$14:$I$23,7))*W6/MAX(INDEX(Abilities!$D$14:$D$23,7),2*Inputs!$C$12),0)</f>
        <v/>
      </c>
      <c r="AZ6" s="17">
        <f>IF(INDEX(Abilities!$A$14:$A$23,8)&lt;=A6,INDEX(Abilities!$C$14:$C$23,8)*CHOOSE(Inputs!$C$13,1,INDEX(Abilities!$J$14:$J$23,8),INDEX(Abilities!$I$14:$I$23,8))*W6/MAX(INDEX(Abilities!$D$14:$D$23,8),2*Inputs!$C$12),0)</f>
        <v/>
      </c>
      <c r="BA6" s="17">
        <f>IF(INDEX(Abilities!$A$14:$A$23,9)&lt;=A6,INDEX(Abilities!$C$14:$C$23,9)*CHOOSE(Inputs!$C$13,1,INDEX(Abilities!$J$14:$J$23,9),INDEX(Abilities!$I$14:$I$23,9))*W6/MAX(INDEX(Abilities!$D$14:$D$23,9),2*Inputs!$C$12),0)</f>
        <v/>
      </c>
      <c r="BB6" s="17">
        <f>IF(INDEX(Abilities!$A$14:$A$23,10)&lt;=A6,INDEX(Abilities!$C$14:$C$23,10)*CHOOSE(Inputs!$C$13,1,INDEX(Abilities!$J$14:$J$23,10),INDEX(Abilities!$I$14:$I$23,10))*W6/MAX(INDEX(Abilities!$D$14:$D$23,10),2*Inputs!$C$12),0)</f>
        <v/>
      </c>
      <c r="BC6" s="27">
        <f>MAX(Y6:AH6)</f>
        <v/>
      </c>
      <c r="BD6" s="8">
        <f>MATCH(BC6,Y6:AH6,0)</f>
        <v/>
      </c>
      <c r="BE6" s="15">
        <f>INDEX(Abilities!$B$14:$B$23,BD6)</f>
        <v/>
      </c>
      <c r="BF6" s="16">
        <f>CHOOSE(Inputs!$C$13,1,INDEX(Abilities!$J$14:$J$23,BD6),INDEX(Abilities!$I$14:$I$23,BD6))</f>
        <v/>
      </c>
      <c r="BG6" s="17">
        <f>INDEX(Abilities!$E$14:$E$23,BD6)/MAX(INDEX(Abilities!$D$14:$D$23,BD6),Inputs!$C$12)</f>
        <v/>
      </c>
      <c r="BH6" s="27">
        <f>MAX(AI6:AR6)</f>
        <v/>
      </c>
      <c r="BI6" s="8">
        <f>MATCH(BH6,AI6:AR6,0)</f>
        <v/>
      </c>
      <c r="BJ6" s="15">
        <f>INDEX(Abilities!$B$14:$B$23,BI6)</f>
        <v/>
      </c>
      <c r="BK6" s="14">
        <f>IFERROR(ROUNDUP(C6/(INDEX(Abilities!$C$14:$C$23,BD6)*W6),0),"-")</f>
        <v/>
      </c>
      <c r="BL6" s="9">
        <f>IFERROR(C6*INDEX(Abilities!$E$14:$E$23,BI6)/(INDEX(Abilities!$C$14:$C$23,BI6)*CHOOSE(Inputs!$C$13,1,INDEX(Abilities!$J$14:$J$23,BI6),INDEX(Abilities!$I$14:$I$23,BI6))*W6),"-")</f>
        <v/>
      </c>
      <c r="BM6" s="60">
        <f>IFERROR(P6/BL6,"-")</f>
        <v/>
      </c>
      <c r="BN6" s="17">
        <f>BH6+Inputs!$C$18*V6</f>
        <v/>
      </c>
      <c r="BO6" s="17">
        <f>BC6+Inputs!$C$18*V6</f>
        <v/>
      </c>
      <c r="BP6" s="27">
        <f>LARGE(AS6:BB6,1)+LARGE(AS6:BB6,2)</f>
        <v/>
      </c>
      <c r="BQ6" s="60">
        <f>IFERROR(IF(BG6&lt;=X6,C6/BO6,IF(C6/BO6*(BG6-X6)&lt;=P6,C6/BO6,P6/(BG6-X6)+(C6-BO6*P6/(BG6-X6))/BN6)),"-")</f>
        <v/>
      </c>
      <c r="BR6" s="60">
        <f>BQ6</f>
        <v/>
      </c>
      <c r="BS6" s="9">
        <f>MAX(0,(E6+(B6-A6))*(1-R6)*(1-Q6*'Class Table'!$O$7/Inputs!$C$19)-Q6*'Class Table'!$O$7/25)</f>
        <v/>
      </c>
      <c r="BT6" s="26">
        <f>IFERROR(BS6/F6*BR6,"-")</f>
        <v/>
      </c>
      <c r="BU6" s="28">
        <f>IFERROR(BT6/O6,"-")</f>
        <v/>
      </c>
      <c r="BV6" s="9">
        <f>IFERROR(O6*Inputs!$C$24/Inputs!$C$22*BR6,"-")</f>
        <v/>
      </c>
      <c r="BW6" s="28">
        <f>IFERROR(MAX(0,BT6-BV6)/O6,"-")</f>
        <v/>
      </c>
    </row>
    <row r="7">
      <c r="A7" s="8" t="n">
        <v>4</v>
      </c>
      <c r="B7" s="14">
        <f>'Mob by Level'!B7</f>
        <v/>
      </c>
      <c r="C7" s="9">
        <f>'Mob by Level'!C7</f>
        <v/>
      </c>
      <c r="D7" s="9">
        <f>'Mob by Level'!D7</f>
        <v/>
      </c>
      <c r="E7" s="9">
        <f>'Mob by Level'!E7</f>
        <v/>
      </c>
      <c r="F7" s="16">
        <f>'Mob by Level'!F7</f>
        <v/>
      </c>
      <c r="G7" s="14">
        <f>SUMIFS(Gear!$D$4:$D$603,Gear!$A$4:$A$603,A7,Gear!$B$4:$B$603,"Magus",Gear!$C$4:$C$603,Inputs!$C$5)</f>
        <v/>
      </c>
      <c r="H7" s="14">
        <f>SUMIFS(Gear!$E$4:$E$603,Gear!$A$4:$A$603,A7,Gear!$B$4:$B$603,"Magus",Gear!$C$4:$C$603,Inputs!$C$5)</f>
        <v/>
      </c>
      <c r="I7" s="14">
        <f>SUMIFS(Gear!$F$4:$F$603,Gear!$A$4:$A$603,A7,Gear!$B$4:$B$603,"Magus",Gear!$C$4:$C$603,Inputs!$C$5)+Inputs!$C$17*IFERROR(LOOKUP(A7,Abilities!$A$49:$A$53,Abilities!$C$49:$C$53),0)</f>
        <v/>
      </c>
      <c r="J7" s="13">
        <f>SUMIFS(Gear!$J$4:$J$603,Gear!$A$4:$A$603,A7,Gear!$B$4:$B$603,"Magus",Gear!$C$4:$C$603,Inputs!$C$5)</f>
        <v/>
      </c>
      <c r="K7" s="13">
        <f>SUMIFS(Gear!$K$4:$K$603,Gear!$A$4:$A$603,A7,Gear!$B$4:$B$603,"Magus",Gear!$C$4:$C$603,Inputs!$C$5)</f>
        <v/>
      </c>
      <c r="L7" s="13">
        <f>SUMIFS(Gear!$L$4:$L$603,Gear!$A$4:$A$603,A7,Gear!$B$4:$B$603,"Magus",Gear!$C$4:$C$603,Inputs!$C$5)</f>
        <v/>
      </c>
      <c r="M7" s="13">
        <f>SUMIFS(Gear!$M$4:$M$603,Gear!$A$4:$A$603,A7,Gear!$B$4:$B$603,"Magus",Gear!$C$4:$C$603,Inputs!$C$5)</f>
        <v/>
      </c>
      <c r="N7" s="13">
        <f>SUMIFS(Gear!$N$4:$N$603,Gear!$A$4:$A$603,A7,Gear!$B$4:$B$603,"Magus",Gear!$C$4:$C$603,Inputs!$C$5)</f>
        <v/>
      </c>
      <c r="O7" s="9">
        <f>INDEX('Class Table'!$H$4:$H$53,A7)+SUMIFS(Gear!$G$4:$G$603,Gear!$A$4:$A$603,A7,Gear!$B$4:$B$603,"Magus",Gear!$C$4:$C$603,Inputs!$C$5)</f>
        <v/>
      </c>
      <c r="P7" s="9">
        <f>INDEX('Class Table'!$I$4:$I$53,A7)+SUMIFS(Gear!$H$4:$H$603,Gear!$A$4:$A$603,A7,Gear!$B$4:$B$603,"Magus",Gear!$C$4:$C$603,Inputs!$C$5)</f>
        <v/>
      </c>
      <c r="Q7" s="9">
        <f>INDEX('Class Table'!$J$4:$J$53,A7)+SUMIFS(Gear!$I$4:$I$603,Gear!$A$4:$A$603,A7,Gear!$B$4:$B$603,"Magus",Gear!$C$4:$C$603,Inputs!$C$5)</f>
        <v/>
      </c>
      <c r="R7" s="13">
        <f>SUMIFS(Gear!$O$4:$O$603,Gear!$A$4:$A$603,A7,Gear!$B$4:$B$603,"Magus",Gear!$C$4:$C$603,Inputs!$C$5)</f>
        <v/>
      </c>
      <c r="S7" s="26">
        <f>I7+0+G7+A7+MAX(1,A7/2)+(A7-B7)</f>
        <v/>
      </c>
      <c r="T7" s="9">
        <f>MAX(0,S7*(1+M7)*(1+L7)*Inputs!$C$20*(1-D7/Inputs!$C$19)-D7/25)</f>
        <v/>
      </c>
      <c r="U7" s="16">
        <f>H7/10*(1-MIN(0.95,N7+0))*Inputs!$C$21</f>
        <v/>
      </c>
      <c r="V7" s="27">
        <f>T7/U7</f>
        <v/>
      </c>
      <c r="W7" s="16">
        <f>(1+J7)*(1+K7)*Inputs!$C$20</f>
        <v/>
      </c>
      <c r="X7" s="17">
        <f>P7*Inputs!$C$23/Inputs!$C$22</f>
        <v/>
      </c>
      <c r="Y7" s="17">
        <f>IF(INDEX(Abilities!$A$14:$A$23,1)&lt;=A7,INDEX(Abilities!$C$14:$C$23,1)*CHOOSE(Inputs!$C$13,1,INDEX(Abilities!$J$14:$J$23,1),INDEX(Abilities!$I$14:$I$23,1))*W7/MAX(INDEX(Abilities!$D$14:$D$23,1),Inputs!$C$12),0)</f>
        <v/>
      </c>
      <c r="Z7" s="17">
        <f>IF(INDEX(Abilities!$A$14:$A$23,2)&lt;=A7,INDEX(Abilities!$C$14:$C$23,2)*CHOOSE(Inputs!$C$13,1,INDEX(Abilities!$J$14:$J$23,2),INDEX(Abilities!$I$14:$I$23,2))*W7/MAX(INDEX(Abilities!$D$14:$D$23,2),Inputs!$C$12),0)</f>
        <v/>
      </c>
      <c r="AA7" s="17">
        <f>IF(INDEX(Abilities!$A$14:$A$23,3)&lt;=A7,INDEX(Abilities!$C$14:$C$23,3)*CHOOSE(Inputs!$C$13,1,INDEX(Abilities!$J$14:$J$23,3),INDEX(Abilities!$I$14:$I$23,3))*W7/MAX(INDEX(Abilities!$D$14:$D$23,3),Inputs!$C$12),0)</f>
        <v/>
      </c>
      <c r="AB7" s="17">
        <f>IF(INDEX(Abilities!$A$14:$A$23,4)&lt;=A7,INDEX(Abilities!$C$14:$C$23,4)*CHOOSE(Inputs!$C$13,1,INDEX(Abilities!$J$14:$J$23,4),INDEX(Abilities!$I$14:$I$23,4))*W7/MAX(INDEX(Abilities!$D$14:$D$23,4),Inputs!$C$12),0)</f>
        <v/>
      </c>
      <c r="AC7" s="17">
        <f>IF(INDEX(Abilities!$A$14:$A$23,5)&lt;=A7,INDEX(Abilities!$C$14:$C$23,5)*CHOOSE(Inputs!$C$13,1,INDEX(Abilities!$J$14:$J$23,5),INDEX(Abilities!$I$14:$I$23,5))*W7/MAX(INDEX(Abilities!$D$14:$D$23,5),Inputs!$C$12),0)</f>
        <v/>
      </c>
      <c r="AD7" s="17">
        <f>IF(INDEX(Abilities!$A$14:$A$23,6)&lt;=A7,INDEX(Abilities!$C$14:$C$23,6)*CHOOSE(Inputs!$C$13,1,INDEX(Abilities!$J$14:$J$23,6),INDEX(Abilities!$I$14:$I$23,6))*W7/MAX(INDEX(Abilities!$D$14:$D$23,6),Inputs!$C$12),0)</f>
        <v/>
      </c>
      <c r="AE7" s="17">
        <f>IF(INDEX(Abilities!$A$14:$A$23,7)&lt;=A7,INDEX(Abilities!$C$14:$C$23,7)*CHOOSE(Inputs!$C$13,1,INDEX(Abilities!$J$14:$J$23,7),INDEX(Abilities!$I$14:$I$23,7))*W7/MAX(INDEX(Abilities!$D$14:$D$23,7),Inputs!$C$12),0)</f>
        <v/>
      </c>
      <c r="AF7" s="17">
        <f>IF(INDEX(Abilities!$A$14:$A$23,8)&lt;=A7,INDEX(Abilities!$C$14:$C$23,8)*CHOOSE(Inputs!$C$13,1,INDEX(Abilities!$J$14:$J$23,8),INDEX(Abilities!$I$14:$I$23,8))*W7/MAX(INDEX(Abilities!$D$14:$D$23,8),Inputs!$C$12),0)</f>
        <v/>
      </c>
      <c r="AG7" s="17">
        <f>IF(INDEX(Abilities!$A$14:$A$23,9)&lt;=A7,INDEX(Abilities!$C$14:$C$23,9)*CHOOSE(Inputs!$C$13,1,INDEX(Abilities!$J$14:$J$23,9),INDEX(Abilities!$I$14:$I$23,9))*W7/MAX(INDEX(Abilities!$D$14:$D$23,9),Inputs!$C$12),0)</f>
        <v/>
      </c>
      <c r="AH7" s="17">
        <f>IF(INDEX(Abilities!$A$14:$A$23,10)&lt;=A7,INDEX(Abilities!$C$14:$C$23,10)*CHOOSE(Inputs!$C$13,1,INDEX(Abilities!$J$14:$J$23,10),INDEX(Abilities!$I$14:$I$23,10))*W7/MAX(INDEX(Abilities!$D$14:$D$23,10),Inputs!$C$12),0)</f>
        <v/>
      </c>
      <c r="AI7" s="17">
        <f>IF(INDEX(Abilities!$A$14:$A$23,1)&lt;=A7,MIN(Y7,X7*INDEX(Abilities!$C$14:$C$23,1)*CHOOSE(Inputs!$C$13,1,INDEX(Abilities!$J$14:$J$23,1),INDEX(Abilities!$I$14:$I$23,1))*W7/INDEX(Abilities!$E$14:$E$23,1)),0)</f>
        <v/>
      </c>
      <c r="AJ7" s="17">
        <f>IF(INDEX(Abilities!$A$14:$A$23,2)&lt;=A7,MIN(Z7,X7*INDEX(Abilities!$C$14:$C$23,2)*CHOOSE(Inputs!$C$13,1,INDEX(Abilities!$J$14:$J$23,2),INDEX(Abilities!$I$14:$I$23,2))*W7/INDEX(Abilities!$E$14:$E$23,2)),0)</f>
        <v/>
      </c>
      <c r="AK7" s="17">
        <f>IF(INDEX(Abilities!$A$14:$A$23,3)&lt;=A7,MIN(AA7,X7*INDEX(Abilities!$C$14:$C$23,3)*CHOOSE(Inputs!$C$13,1,INDEX(Abilities!$J$14:$J$23,3),INDEX(Abilities!$I$14:$I$23,3))*W7/INDEX(Abilities!$E$14:$E$23,3)),0)</f>
        <v/>
      </c>
      <c r="AL7" s="17">
        <f>IF(INDEX(Abilities!$A$14:$A$23,4)&lt;=A7,MIN(AB7,X7*INDEX(Abilities!$C$14:$C$23,4)*CHOOSE(Inputs!$C$13,1,INDEX(Abilities!$J$14:$J$23,4),INDEX(Abilities!$I$14:$I$23,4))*W7/INDEX(Abilities!$E$14:$E$23,4)),0)</f>
        <v/>
      </c>
      <c r="AM7" s="17">
        <f>IF(INDEX(Abilities!$A$14:$A$23,5)&lt;=A7,MIN(AC7,X7*INDEX(Abilities!$C$14:$C$23,5)*CHOOSE(Inputs!$C$13,1,INDEX(Abilities!$J$14:$J$23,5),INDEX(Abilities!$I$14:$I$23,5))*W7/INDEX(Abilities!$E$14:$E$23,5)),0)</f>
        <v/>
      </c>
      <c r="AN7" s="17">
        <f>IF(INDEX(Abilities!$A$14:$A$23,6)&lt;=A7,MIN(AD7,X7*INDEX(Abilities!$C$14:$C$23,6)*CHOOSE(Inputs!$C$13,1,INDEX(Abilities!$J$14:$J$23,6),INDEX(Abilities!$I$14:$I$23,6))*W7/INDEX(Abilities!$E$14:$E$23,6)),0)</f>
        <v/>
      </c>
      <c r="AO7" s="17">
        <f>IF(INDEX(Abilities!$A$14:$A$23,7)&lt;=A7,MIN(AE7,X7*INDEX(Abilities!$C$14:$C$23,7)*CHOOSE(Inputs!$C$13,1,INDEX(Abilities!$J$14:$J$23,7),INDEX(Abilities!$I$14:$I$23,7))*W7/INDEX(Abilities!$E$14:$E$23,7)),0)</f>
        <v/>
      </c>
      <c r="AP7" s="17">
        <f>IF(INDEX(Abilities!$A$14:$A$23,8)&lt;=A7,MIN(AF7,X7*INDEX(Abilities!$C$14:$C$23,8)*CHOOSE(Inputs!$C$13,1,INDEX(Abilities!$J$14:$J$23,8),INDEX(Abilities!$I$14:$I$23,8))*W7/INDEX(Abilities!$E$14:$E$23,8)),0)</f>
        <v/>
      </c>
      <c r="AQ7" s="17">
        <f>IF(INDEX(Abilities!$A$14:$A$23,9)&lt;=A7,MIN(AG7,X7*INDEX(Abilities!$C$14:$C$23,9)*CHOOSE(Inputs!$C$13,1,INDEX(Abilities!$J$14:$J$23,9),INDEX(Abilities!$I$14:$I$23,9))*W7/INDEX(Abilities!$E$14:$E$23,9)),0)</f>
        <v/>
      </c>
      <c r="AR7" s="17">
        <f>IF(INDEX(Abilities!$A$14:$A$23,10)&lt;=A7,MIN(AH7,X7*INDEX(Abilities!$C$14:$C$23,10)*CHOOSE(Inputs!$C$13,1,INDEX(Abilities!$J$14:$J$23,10),INDEX(Abilities!$I$14:$I$23,10))*W7/INDEX(Abilities!$E$14:$E$23,10)),0)</f>
        <v/>
      </c>
      <c r="AS7" s="17">
        <f>IF(INDEX(Abilities!$A$14:$A$23,1)&lt;=A7,INDEX(Abilities!$C$14:$C$23,1)*CHOOSE(Inputs!$C$13,1,INDEX(Abilities!$J$14:$J$23,1),INDEX(Abilities!$I$14:$I$23,1))*W7/MAX(INDEX(Abilities!$D$14:$D$23,1),2*Inputs!$C$12),0)</f>
        <v/>
      </c>
      <c r="AT7" s="17">
        <f>IF(INDEX(Abilities!$A$14:$A$23,2)&lt;=A7,INDEX(Abilities!$C$14:$C$23,2)*CHOOSE(Inputs!$C$13,1,INDEX(Abilities!$J$14:$J$23,2),INDEX(Abilities!$I$14:$I$23,2))*W7/MAX(INDEX(Abilities!$D$14:$D$23,2),2*Inputs!$C$12),0)</f>
        <v/>
      </c>
      <c r="AU7" s="17">
        <f>IF(INDEX(Abilities!$A$14:$A$23,3)&lt;=A7,INDEX(Abilities!$C$14:$C$23,3)*CHOOSE(Inputs!$C$13,1,INDEX(Abilities!$J$14:$J$23,3),INDEX(Abilities!$I$14:$I$23,3))*W7/MAX(INDEX(Abilities!$D$14:$D$23,3),2*Inputs!$C$12),0)</f>
        <v/>
      </c>
      <c r="AV7" s="17">
        <f>IF(INDEX(Abilities!$A$14:$A$23,4)&lt;=A7,INDEX(Abilities!$C$14:$C$23,4)*CHOOSE(Inputs!$C$13,1,INDEX(Abilities!$J$14:$J$23,4),INDEX(Abilities!$I$14:$I$23,4))*W7/MAX(INDEX(Abilities!$D$14:$D$23,4),2*Inputs!$C$12),0)</f>
        <v/>
      </c>
      <c r="AW7" s="17">
        <f>IF(INDEX(Abilities!$A$14:$A$23,5)&lt;=A7,INDEX(Abilities!$C$14:$C$23,5)*CHOOSE(Inputs!$C$13,1,INDEX(Abilities!$J$14:$J$23,5),INDEX(Abilities!$I$14:$I$23,5))*W7/MAX(INDEX(Abilities!$D$14:$D$23,5),2*Inputs!$C$12),0)</f>
        <v/>
      </c>
      <c r="AX7" s="17">
        <f>IF(INDEX(Abilities!$A$14:$A$23,6)&lt;=A7,INDEX(Abilities!$C$14:$C$23,6)*CHOOSE(Inputs!$C$13,1,INDEX(Abilities!$J$14:$J$23,6),INDEX(Abilities!$I$14:$I$23,6))*W7/MAX(INDEX(Abilities!$D$14:$D$23,6),2*Inputs!$C$12),0)</f>
        <v/>
      </c>
      <c r="AY7" s="17">
        <f>IF(INDEX(Abilities!$A$14:$A$23,7)&lt;=A7,INDEX(Abilities!$C$14:$C$23,7)*CHOOSE(Inputs!$C$13,1,INDEX(Abilities!$J$14:$J$23,7),INDEX(Abilities!$I$14:$I$23,7))*W7/MAX(INDEX(Abilities!$D$14:$D$23,7),2*Inputs!$C$12),0)</f>
        <v/>
      </c>
      <c r="AZ7" s="17">
        <f>IF(INDEX(Abilities!$A$14:$A$23,8)&lt;=A7,INDEX(Abilities!$C$14:$C$23,8)*CHOOSE(Inputs!$C$13,1,INDEX(Abilities!$J$14:$J$23,8),INDEX(Abilities!$I$14:$I$23,8))*W7/MAX(INDEX(Abilities!$D$14:$D$23,8),2*Inputs!$C$12),0)</f>
        <v/>
      </c>
      <c r="BA7" s="17">
        <f>IF(INDEX(Abilities!$A$14:$A$23,9)&lt;=A7,INDEX(Abilities!$C$14:$C$23,9)*CHOOSE(Inputs!$C$13,1,INDEX(Abilities!$J$14:$J$23,9),INDEX(Abilities!$I$14:$I$23,9))*W7/MAX(INDEX(Abilities!$D$14:$D$23,9),2*Inputs!$C$12),0)</f>
        <v/>
      </c>
      <c r="BB7" s="17">
        <f>IF(INDEX(Abilities!$A$14:$A$23,10)&lt;=A7,INDEX(Abilities!$C$14:$C$23,10)*CHOOSE(Inputs!$C$13,1,INDEX(Abilities!$J$14:$J$23,10),INDEX(Abilities!$I$14:$I$23,10))*W7/MAX(INDEX(Abilities!$D$14:$D$23,10),2*Inputs!$C$12),0)</f>
        <v/>
      </c>
      <c r="BC7" s="27">
        <f>MAX(Y7:AH7)</f>
        <v/>
      </c>
      <c r="BD7" s="8">
        <f>MATCH(BC7,Y7:AH7,0)</f>
        <v/>
      </c>
      <c r="BE7" s="15">
        <f>INDEX(Abilities!$B$14:$B$23,BD7)</f>
        <v/>
      </c>
      <c r="BF7" s="16">
        <f>CHOOSE(Inputs!$C$13,1,INDEX(Abilities!$J$14:$J$23,BD7),INDEX(Abilities!$I$14:$I$23,BD7))</f>
        <v/>
      </c>
      <c r="BG7" s="17">
        <f>INDEX(Abilities!$E$14:$E$23,BD7)/MAX(INDEX(Abilities!$D$14:$D$23,BD7),Inputs!$C$12)</f>
        <v/>
      </c>
      <c r="BH7" s="27">
        <f>MAX(AI7:AR7)</f>
        <v/>
      </c>
      <c r="BI7" s="8">
        <f>MATCH(BH7,AI7:AR7,0)</f>
        <v/>
      </c>
      <c r="BJ7" s="15">
        <f>INDEX(Abilities!$B$14:$B$23,BI7)</f>
        <v/>
      </c>
      <c r="BK7" s="14">
        <f>IFERROR(ROUNDUP(C7/(INDEX(Abilities!$C$14:$C$23,BD7)*W7),0),"-")</f>
        <v/>
      </c>
      <c r="BL7" s="9">
        <f>IFERROR(C7*INDEX(Abilities!$E$14:$E$23,BI7)/(INDEX(Abilities!$C$14:$C$23,BI7)*CHOOSE(Inputs!$C$13,1,INDEX(Abilities!$J$14:$J$23,BI7),INDEX(Abilities!$I$14:$I$23,BI7))*W7),"-")</f>
        <v/>
      </c>
      <c r="BM7" s="60">
        <f>IFERROR(P7/BL7,"-")</f>
        <v/>
      </c>
      <c r="BN7" s="17">
        <f>BH7+Inputs!$C$18*V7</f>
        <v/>
      </c>
      <c r="BO7" s="17">
        <f>BC7+Inputs!$C$18*V7</f>
        <v/>
      </c>
      <c r="BP7" s="27">
        <f>LARGE(AS7:BB7,1)+LARGE(AS7:BB7,2)</f>
        <v/>
      </c>
      <c r="BQ7" s="60">
        <f>IFERROR(IF(BG7&lt;=X7,C7/BO7,IF(C7/BO7*(BG7-X7)&lt;=P7,C7/BO7,P7/(BG7-X7)+(C7-BO7*P7/(BG7-X7))/BN7)),"-")</f>
        <v/>
      </c>
      <c r="BR7" s="60">
        <f>BQ7</f>
        <v/>
      </c>
      <c r="BS7" s="9">
        <f>MAX(0,(E7+(B7-A7))*(1-R7)*(1-Q7*'Class Table'!$O$7/Inputs!$C$19)-Q7*'Class Table'!$O$7/25)</f>
        <v/>
      </c>
      <c r="BT7" s="26">
        <f>IFERROR(BS7/F7*BR7,"-")</f>
        <v/>
      </c>
      <c r="BU7" s="28">
        <f>IFERROR(BT7/O7,"-")</f>
        <v/>
      </c>
      <c r="BV7" s="9">
        <f>IFERROR(O7*Inputs!$C$24/Inputs!$C$22*BR7,"-")</f>
        <v/>
      </c>
      <c r="BW7" s="28">
        <f>IFERROR(MAX(0,BT7-BV7)/O7,"-")</f>
        <v/>
      </c>
    </row>
    <row r="8">
      <c r="A8" s="8" t="n">
        <v>5</v>
      </c>
      <c r="B8" s="14">
        <f>'Mob by Level'!B8</f>
        <v/>
      </c>
      <c r="C8" s="9">
        <f>'Mob by Level'!C8</f>
        <v/>
      </c>
      <c r="D8" s="9">
        <f>'Mob by Level'!D8</f>
        <v/>
      </c>
      <c r="E8" s="9">
        <f>'Mob by Level'!E8</f>
        <v/>
      </c>
      <c r="F8" s="16">
        <f>'Mob by Level'!F8</f>
        <v/>
      </c>
      <c r="G8" s="14">
        <f>SUMIFS(Gear!$D$4:$D$603,Gear!$A$4:$A$603,A8,Gear!$B$4:$B$603,"Magus",Gear!$C$4:$C$603,Inputs!$C$5)</f>
        <v/>
      </c>
      <c r="H8" s="14">
        <f>SUMIFS(Gear!$E$4:$E$603,Gear!$A$4:$A$603,A8,Gear!$B$4:$B$603,"Magus",Gear!$C$4:$C$603,Inputs!$C$5)</f>
        <v/>
      </c>
      <c r="I8" s="14">
        <f>SUMIFS(Gear!$F$4:$F$603,Gear!$A$4:$A$603,A8,Gear!$B$4:$B$603,"Magus",Gear!$C$4:$C$603,Inputs!$C$5)+Inputs!$C$17*IFERROR(LOOKUP(A8,Abilities!$A$49:$A$53,Abilities!$C$49:$C$53),0)</f>
        <v/>
      </c>
      <c r="J8" s="13">
        <f>SUMIFS(Gear!$J$4:$J$603,Gear!$A$4:$A$603,A8,Gear!$B$4:$B$603,"Magus",Gear!$C$4:$C$603,Inputs!$C$5)</f>
        <v/>
      </c>
      <c r="K8" s="13">
        <f>SUMIFS(Gear!$K$4:$K$603,Gear!$A$4:$A$603,A8,Gear!$B$4:$B$603,"Magus",Gear!$C$4:$C$603,Inputs!$C$5)</f>
        <v/>
      </c>
      <c r="L8" s="13">
        <f>SUMIFS(Gear!$L$4:$L$603,Gear!$A$4:$A$603,A8,Gear!$B$4:$B$603,"Magus",Gear!$C$4:$C$603,Inputs!$C$5)</f>
        <v/>
      </c>
      <c r="M8" s="13">
        <f>SUMIFS(Gear!$M$4:$M$603,Gear!$A$4:$A$603,A8,Gear!$B$4:$B$603,"Magus",Gear!$C$4:$C$603,Inputs!$C$5)</f>
        <v/>
      </c>
      <c r="N8" s="13">
        <f>SUMIFS(Gear!$N$4:$N$603,Gear!$A$4:$A$603,A8,Gear!$B$4:$B$603,"Magus",Gear!$C$4:$C$603,Inputs!$C$5)</f>
        <v/>
      </c>
      <c r="O8" s="9">
        <f>INDEX('Class Table'!$H$4:$H$53,A8)+SUMIFS(Gear!$G$4:$G$603,Gear!$A$4:$A$603,A8,Gear!$B$4:$B$603,"Magus",Gear!$C$4:$C$603,Inputs!$C$5)</f>
        <v/>
      </c>
      <c r="P8" s="9">
        <f>INDEX('Class Table'!$I$4:$I$53,A8)+SUMIFS(Gear!$H$4:$H$603,Gear!$A$4:$A$603,A8,Gear!$B$4:$B$603,"Magus",Gear!$C$4:$C$603,Inputs!$C$5)</f>
        <v/>
      </c>
      <c r="Q8" s="9">
        <f>INDEX('Class Table'!$J$4:$J$53,A8)+SUMIFS(Gear!$I$4:$I$603,Gear!$A$4:$A$603,A8,Gear!$B$4:$B$603,"Magus",Gear!$C$4:$C$603,Inputs!$C$5)</f>
        <v/>
      </c>
      <c r="R8" s="13">
        <f>SUMIFS(Gear!$O$4:$O$603,Gear!$A$4:$A$603,A8,Gear!$B$4:$B$603,"Magus",Gear!$C$4:$C$603,Inputs!$C$5)</f>
        <v/>
      </c>
      <c r="S8" s="26">
        <f>I8+0+G8+A8+MAX(1,A8/2)+(A8-B8)</f>
        <v/>
      </c>
      <c r="T8" s="9">
        <f>MAX(0,S8*(1+M8)*(1+L8)*Inputs!$C$20*(1-D8/Inputs!$C$19)-D8/25)</f>
        <v/>
      </c>
      <c r="U8" s="16">
        <f>H8/10*(1-MIN(0.95,N8+0))*Inputs!$C$21</f>
        <v/>
      </c>
      <c r="V8" s="27">
        <f>T8/U8</f>
        <v/>
      </c>
      <c r="W8" s="16">
        <f>(1+J8)*(1+K8)*Inputs!$C$20</f>
        <v/>
      </c>
      <c r="X8" s="17">
        <f>P8*Inputs!$C$23/Inputs!$C$22</f>
        <v/>
      </c>
      <c r="Y8" s="17">
        <f>IF(INDEX(Abilities!$A$14:$A$23,1)&lt;=A8,INDEX(Abilities!$C$14:$C$23,1)*CHOOSE(Inputs!$C$13,1,INDEX(Abilities!$J$14:$J$23,1),INDEX(Abilities!$I$14:$I$23,1))*W8/MAX(INDEX(Abilities!$D$14:$D$23,1),Inputs!$C$12),0)</f>
        <v/>
      </c>
      <c r="Z8" s="17">
        <f>IF(INDEX(Abilities!$A$14:$A$23,2)&lt;=A8,INDEX(Abilities!$C$14:$C$23,2)*CHOOSE(Inputs!$C$13,1,INDEX(Abilities!$J$14:$J$23,2),INDEX(Abilities!$I$14:$I$23,2))*W8/MAX(INDEX(Abilities!$D$14:$D$23,2),Inputs!$C$12),0)</f>
        <v/>
      </c>
      <c r="AA8" s="17">
        <f>IF(INDEX(Abilities!$A$14:$A$23,3)&lt;=A8,INDEX(Abilities!$C$14:$C$23,3)*CHOOSE(Inputs!$C$13,1,INDEX(Abilities!$J$14:$J$23,3),INDEX(Abilities!$I$14:$I$23,3))*W8/MAX(INDEX(Abilities!$D$14:$D$23,3),Inputs!$C$12),0)</f>
        <v/>
      </c>
      <c r="AB8" s="17">
        <f>IF(INDEX(Abilities!$A$14:$A$23,4)&lt;=A8,INDEX(Abilities!$C$14:$C$23,4)*CHOOSE(Inputs!$C$13,1,INDEX(Abilities!$J$14:$J$23,4),INDEX(Abilities!$I$14:$I$23,4))*W8/MAX(INDEX(Abilities!$D$14:$D$23,4),Inputs!$C$12),0)</f>
        <v/>
      </c>
      <c r="AC8" s="17">
        <f>IF(INDEX(Abilities!$A$14:$A$23,5)&lt;=A8,INDEX(Abilities!$C$14:$C$23,5)*CHOOSE(Inputs!$C$13,1,INDEX(Abilities!$J$14:$J$23,5),INDEX(Abilities!$I$14:$I$23,5))*W8/MAX(INDEX(Abilities!$D$14:$D$23,5),Inputs!$C$12),0)</f>
        <v/>
      </c>
      <c r="AD8" s="17">
        <f>IF(INDEX(Abilities!$A$14:$A$23,6)&lt;=A8,INDEX(Abilities!$C$14:$C$23,6)*CHOOSE(Inputs!$C$13,1,INDEX(Abilities!$J$14:$J$23,6),INDEX(Abilities!$I$14:$I$23,6))*W8/MAX(INDEX(Abilities!$D$14:$D$23,6),Inputs!$C$12),0)</f>
        <v/>
      </c>
      <c r="AE8" s="17">
        <f>IF(INDEX(Abilities!$A$14:$A$23,7)&lt;=A8,INDEX(Abilities!$C$14:$C$23,7)*CHOOSE(Inputs!$C$13,1,INDEX(Abilities!$J$14:$J$23,7),INDEX(Abilities!$I$14:$I$23,7))*W8/MAX(INDEX(Abilities!$D$14:$D$23,7),Inputs!$C$12),0)</f>
        <v/>
      </c>
      <c r="AF8" s="17">
        <f>IF(INDEX(Abilities!$A$14:$A$23,8)&lt;=A8,INDEX(Abilities!$C$14:$C$23,8)*CHOOSE(Inputs!$C$13,1,INDEX(Abilities!$J$14:$J$23,8),INDEX(Abilities!$I$14:$I$23,8))*W8/MAX(INDEX(Abilities!$D$14:$D$23,8),Inputs!$C$12),0)</f>
        <v/>
      </c>
      <c r="AG8" s="17">
        <f>IF(INDEX(Abilities!$A$14:$A$23,9)&lt;=A8,INDEX(Abilities!$C$14:$C$23,9)*CHOOSE(Inputs!$C$13,1,INDEX(Abilities!$J$14:$J$23,9),INDEX(Abilities!$I$14:$I$23,9))*W8/MAX(INDEX(Abilities!$D$14:$D$23,9),Inputs!$C$12),0)</f>
        <v/>
      </c>
      <c r="AH8" s="17">
        <f>IF(INDEX(Abilities!$A$14:$A$23,10)&lt;=A8,INDEX(Abilities!$C$14:$C$23,10)*CHOOSE(Inputs!$C$13,1,INDEX(Abilities!$J$14:$J$23,10),INDEX(Abilities!$I$14:$I$23,10))*W8/MAX(INDEX(Abilities!$D$14:$D$23,10),Inputs!$C$12),0)</f>
        <v/>
      </c>
      <c r="AI8" s="17">
        <f>IF(INDEX(Abilities!$A$14:$A$23,1)&lt;=A8,MIN(Y8,X8*INDEX(Abilities!$C$14:$C$23,1)*CHOOSE(Inputs!$C$13,1,INDEX(Abilities!$J$14:$J$23,1),INDEX(Abilities!$I$14:$I$23,1))*W8/INDEX(Abilities!$E$14:$E$23,1)),0)</f>
        <v/>
      </c>
      <c r="AJ8" s="17">
        <f>IF(INDEX(Abilities!$A$14:$A$23,2)&lt;=A8,MIN(Z8,X8*INDEX(Abilities!$C$14:$C$23,2)*CHOOSE(Inputs!$C$13,1,INDEX(Abilities!$J$14:$J$23,2),INDEX(Abilities!$I$14:$I$23,2))*W8/INDEX(Abilities!$E$14:$E$23,2)),0)</f>
        <v/>
      </c>
      <c r="AK8" s="17">
        <f>IF(INDEX(Abilities!$A$14:$A$23,3)&lt;=A8,MIN(AA8,X8*INDEX(Abilities!$C$14:$C$23,3)*CHOOSE(Inputs!$C$13,1,INDEX(Abilities!$J$14:$J$23,3),INDEX(Abilities!$I$14:$I$23,3))*W8/INDEX(Abilities!$E$14:$E$23,3)),0)</f>
        <v/>
      </c>
      <c r="AL8" s="17">
        <f>IF(INDEX(Abilities!$A$14:$A$23,4)&lt;=A8,MIN(AB8,X8*INDEX(Abilities!$C$14:$C$23,4)*CHOOSE(Inputs!$C$13,1,INDEX(Abilities!$J$14:$J$23,4),INDEX(Abilities!$I$14:$I$23,4))*W8/INDEX(Abilities!$E$14:$E$23,4)),0)</f>
        <v/>
      </c>
      <c r="AM8" s="17">
        <f>IF(INDEX(Abilities!$A$14:$A$23,5)&lt;=A8,MIN(AC8,X8*INDEX(Abilities!$C$14:$C$23,5)*CHOOSE(Inputs!$C$13,1,INDEX(Abilities!$J$14:$J$23,5),INDEX(Abilities!$I$14:$I$23,5))*W8/INDEX(Abilities!$E$14:$E$23,5)),0)</f>
        <v/>
      </c>
      <c r="AN8" s="17">
        <f>IF(INDEX(Abilities!$A$14:$A$23,6)&lt;=A8,MIN(AD8,X8*INDEX(Abilities!$C$14:$C$23,6)*CHOOSE(Inputs!$C$13,1,INDEX(Abilities!$J$14:$J$23,6),INDEX(Abilities!$I$14:$I$23,6))*W8/INDEX(Abilities!$E$14:$E$23,6)),0)</f>
        <v/>
      </c>
      <c r="AO8" s="17">
        <f>IF(INDEX(Abilities!$A$14:$A$23,7)&lt;=A8,MIN(AE8,X8*INDEX(Abilities!$C$14:$C$23,7)*CHOOSE(Inputs!$C$13,1,INDEX(Abilities!$J$14:$J$23,7),INDEX(Abilities!$I$14:$I$23,7))*W8/INDEX(Abilities!$E$14:$E$23,7)),0)</f>
        <v/>
      </c>
      <c r="AP8" s="17">
        <f>IF(INDEX(Abilities!$A$14:$A$23,8)&lt;=A8,MIN(AF8,X8*INDEX(Abilities!$C$14:$C$23,8)*CHOOSE(Inputs!$C$13,1,INDEX(Abilities!$J$14:$J$23,8),INDEX(Abilities!$I$14:$I$23,8))*W8/INDEX(Abilities!$E$14:$E$23,8)),0)</f>
        <v/>
      </c>
      <c r="AQ8" s="17">
        <f>IF(INDEX(Abilities!$A$14:$A$23,9)&lt;=A8,MIN(AG8,X8*INDEX(Abilities!$C$14:$C$23,9)*CHOOSE(Inputs!$C$13,1,INDEX(Abilities!$J$14:$J$23,9),INDEX(Abilities!$I$14:$I$23,9))*W8/INDEX(Abilities!$E$14:$E$23,9)),0)</f>
        <v/>
      </c>
      <c r="AR8" s="17">
        <f>IF(INDEX(Abilities!$A$14:$A$23,10)&lt;=A8,MIN(AH8,X8*INDEX(Abilities!$C$14:$C$23,10)*CHOOSE(Inputs!$C$13,1,INDEX(Abilities!$J$14:$J$23,10),INDEX(Abilities!$I$14:$I$23,10))*W8/INDEX(Abilities!$E$14:$E$23,10)),0)</f>
        <v/>
      </c>
      <c r="AS8" s="17">
        <f>IF(INDEX(Abilities!$A$14:$A$23,1)&lt;=A8,INDEX(Abilities!$C$14:$C$23,1)*CHOOSE(Inputs!$C$13,1,INDEX(Abilities!$J$14:$J$23,1),INDEX(Abilities!$I$14:$I$23,1))*W8/MAX(INDEX(Abilities!$D$14:$D$23,1),2*Inputs!$C$12),0)</f>
        <v/>
      </c>
      <c r="AT8" s="17">
        <f>IF(INDEX(Abilities!$A$14:$A$23,2)&lt;=A8,INDEX(Abilities!$C$14:$C$23,2)*CHOOSE(Inputs!$C$13,1,INDEX(Abilities!$J$14:$J$23,2),INDEX(Abilities!$I$14:$I$23,2))*W8/MAX(INDEX(Abilities!$D$14:$D$23,2),2*Inputs!$C$12),0)</f>
        <v/>
      </c>
      <c r="AU8" s="17">
        <f>IF(INDEX(Abilities!$A$14:$A$23,3)&lt;=A8,INDEX(Abilities!$C$14:$C$23,3)*CHOOSE(Inputs!$C$13,1,INDEX(Abilities!$J$14:$J$23,3),INDEX(Abilities!$I$14:$I$23,3))*W8/MAX(INDEX(Abilities!$D$14:$D$23,3),2*Inputs!$C$12),0)</f>
        <v/>
      </c>
      <c r="AV8" s="17">
        <f>IF(INDEX(Abilities!$A$14:$A$23,4)&lt;=A8,INDEX(Abilities!$C$14:$C$23,4)*CHOOSE(Inputs!$C$13,1,INDEX(Abilities!$J$14:$J$23,4),INDEX(Abilities!$I$14:$I$23,4))*W8/MAX(INDEX(Abilities!$D$14:$D$23,4),2*Inputs!$C$12),0)</f>
        <v/>
      </c>
      <c r="AW8" s="17">
        <f>IF(INDEX(Abilities!$A$14:$A$23,5)&lt;=A8,INDEX(Abilities!$C$14:$C$23,5)*CHOOSE(Inputs!$C$13,1,INDEX(Abilities!$J$14:$J$23,5),INDEX(Abilities!$I$14:$I$23,5))*W8/MAX(INDEX(Abilities!$D$14:$D$23,5),2*Inputs!$C$12),0)</f>
        <v/>
      </c>
      <c r="AX8" s="17">
        <f>IF(INDEX(Abilities!$A$14:$A$23,6)&lt;=A8,INDEX(Abilities!$C$14:$C$23,6)*CHOOSE(Inputs!$C$13,1,INDEX(Abilities!$J$14:$J$23,6),INDEX(Abilities!$I$14:$I$23,6))*W8/MAX(INDEX(Abilities!$D$14:$D$23,6),2*Inputs!$C$12),0)</f>
        <v/>
      </c>
      <c r="AY8" s="17">
        <f>IF(INDEX(Abilities!$A$14:$A$23,7)&lt;=A8,INDEX(Abilities!$C$14:$C$23,7)*CHOOSE(Inputs!$C$13,1,INDEX(Abilities!$J$14:$J$23,7),INDEX(Abilities!$I$14:$I$23,7))*W8/MAX(INDEX(Abilities!$D$14:$D$23,7),2*Inputs!$C$12),0)</f>
        <v/>
      </c>
      <c r="AZ8" s="17">
        <f>IF(INDEX(Abilities!$A$14:$A$23,8)&lt;=A8,INDEX(Abilities!$C$14:$C$23,8)*CHOOSE(Inputs!$C$13,1,INDEX(Abilities!$J$14:$J$23,8),INDEX(Abilities!$I$14:$I$23,8))*W8/MAX(INDEX(Abilities!$D$14:$D$23,8),2*Inputs!$C$12),0)</f>
        <v/>
      </c>
      <c r="BA8" s="17">
        <f>IF(INDEX(Abilities!$A$14:$A$23,9)&lt;=A8,INDEX(Abilities!$C$14:$C$23,9)*CHOOSE(Inputs!$C$13,1,INDEX(Abilities!$J$14:$J$23,9),INDEX(Abilities!$I$14:$I$23,9))*W8/MAX(INDEX(Abilities!$D$14:$D$23,9),2*Inputs!$C$12),0)</f>
        <v/>
      </c>
      <c r="BB8" s="17">
        <f>IF(INDEX(Abilities!$A$14:$A$23,10)&lt;=A8,INDEX(Abilities!$C$14:$C$23,10)*CHOOSE(Inputs!$C$13,1,INDEX(Abilities!$J$14:$J$23,10),INDEX(Abilities!$I$14:$I$23,10))*W8/MAX(INDEX(Abilities!$D$14:$D$23,10),2*Inputs!$C$12),0)</f>
        <v/>
      </c>
      <c r="BC8" s="27">
        <f>MAX(Y8:AH8)</f>
        <v/>
      </c>
      <c r="BD8" s="8">
        <f>MATCH(BC8,Y8:AH8,0)</f>
        <v/>
      </c>
      <c r="BE8" s="15">
        <f>INDEX(Abilities!$B$14:$B$23,BD8)</f>
        <v/>
      </c>
      <c r="BF8" s="16">
        <f>CHOOSE(Inputs!$C$13,1,INDEX(Abilities!$J$14:$J$23,BD8),INDEX(Abilities!$I$14:$I$23,BD8))</f>
        <v/>
      </c>
      <c r="BG8" s="17">
        <f>INDEX(Abilities!$E$14:$E$23,BD8)/MAX(INDEX(Abilities!$D$14:$D$23,BD8),Inputs!$C$12)</f>
        <v/>
      </c>
      <c r="BH8" s="27">
        <f>MAX(AI8:AR8)</f>
        <v/>
      </c>
      <c r="BI8" s="8">
        <f>MATCH(BH8,AI8:AR8,0)</f>
        <v/>
      </c>
      <c r="BJ8" s="15">
        <f>INDEX(Abilities!$B$14:$B$23,BI8)</f>
        <v/>
      </c>
      <c r="BK8" s="14">
        <f>IFERROR(ROUNDUP(C8/(INDEX(Abilities!$C$14:$C$23,BD8)*W8),0),"-")</f>
        <v/>
      </c>
      <c r="BL8" s="9">
        <f>IFERROR(C8*INDEX(Abilities!$E$14:$E$23,BI8)/(INDEX(Abilities!$C$14:$C$23,BI8)*CHOOSE(Inputs!$C$13,1,INDEX(Abilities!$J$14:$J$23,BI8),INDEX(Abilities!$I$14:$I$23,BI8))*W8),"-")</f>
        <v/>
      </c>
      <c r="BM8" s="60">
        <f>IFERROR(P8/BL8,"-")</f>
        <v/>
      </c>
      <c r="BN8" s="17">
        <f>BH8+Inputs!$C$18*V8</f>
        <v/>
      </c>
      <c r="BO8" s="17">
        <f>BC8+Inputs!$C$18*V8</f>
        <v/>
      </c>
      <c r="BP8" s="27">
        <f>LARGE(AS8:BB8,1)+LARGE(AS8:BB8,2)</f>
        <v/>
      </c>
      <c r="BQ8" s="60">
        <f>IFERROR(IF(BG8&lt;=X8,C8/BO8,IF(C8/BO8*(BG8-X8)&lt;=P8,C8/BO8,P8/(BG8-X8)+(C8-BO8*P8/(BG8-X8))/BN8)),"-")</f>
        <v/>
      </c>
      <c r="BR8" s="60">
        <f>BQ8</f>
        <v/>
      </c>
      <c r="BS8" s="9">
        <f>MAX(0,(E8+(B8-A8))*(1-R8)*(1-Q8*'Class Table'!$O$7/Inputs!$C$19)-Q8*'Class Table'!$O$7/25)</f>
        <v/>
      </c>
      <c r="BT8" s="26">
        <f>IFERROR(BS8/F8*BR8,"-")</f>
        <v/>
      </c>
      <c r="BU8" s="28">
        <f>IFERROR(BT8/O8,"-")</f>
        <v/>
      </c>
      <c r="BV8" s="9">
        <f>IFERROR(O8*Inputs!$C$24/Inputs!$C$22*BR8,"-")</f>
        <v/>
      </c>
      <c r="BW8" s="28">
        <f>IFERROR(MAX(0,BT8-BV8)/O8,"-")</f>
        <v/>
      </c>
    </row>
    <row r="9">
      <c r="A9" s="8" t="n">
        <v>6</v>
      </c>
      <c r="B9" s="14">
        <f>'Mob by Level'!B9</f>
        <v/>
      </c>
      <c r="C9" s="9">
        <f>'Mob by Level'!C9</f>
        <v/>
      </c>
      <c r="D9" s="9">
        <f>'Mob by Level'!D9</f>
        <v/>
      </c>
      <c r="E9" s="9">
        <f>'Mob by Level'!E9</f>
        <v/>
      </c>
      <c r="F9" s="16">
        <f>'Mob by Level'!F9</f>
        <v/>
      </c>
      <c r="G9" s="14">
        <f>SUMIFS(Gear!$D$4:$D$603,Gear!$A$4:$A$603,A9,Gear!$B$4:$B$603,"Magus",Gear!$C$4:$C$603,Inputs!$C$5)</f>
        <v/>
      </c>
      <c r="H9" s="14">
        <f>SUMIFS(Gear!$E$4:$E$603,Gear!$A$4:$A$603,A9,Gear!$B$4:$B$603,"Magus",Gear!$C$4:$C$603,Inputs!$C$5)</f>
        <v/>
      </c>
      <c r="I9" s="14">
        <f>SUMIFS(Gear!$F$4:$F$603,Gear!$A$4:$A$603,A9,Gear!$B$4:$B$603,"Magus",Gear!$C$4:$C$603,Inputs!$C$5)+Inputs!$C$17*IFERROR(LOOKUP(A9,Abilities!$A$49:$A$53,Abilities!$C$49:$C$53),0)</f>
        <v/>
      </c>
      <c r="J9" s="13">
        <f>SUMIFS(Gear!$J$4:$J$603,Gear!$A$4:$A$603,A9,Gear!$B$4:$B$603,"Magus",Gear!$C$4:$C$603,Inputs!$C$5)</f>
        <v/>
      </c>
      <c r="K9" s="13">
        <f>SUMIFS(Gear!$K$4:$K$603,Gear!$A$4:$A$603,A9,Gear!$B$4:$B$603,"Magus",Gear!$C$4:$C$603,Inputs!$C$5)</f>
        <v/>
      </c>
      <c r="L9" s="13">
        <f>SUMIFS(Gear!$L$4:$L$603,Gear!$A$4:$A$603,A9,Gear!$B$4:$B$603,"Magus",Gear!$C$4:$C$603,Inputs!$C$5)</f>
        <v/>
      </c>
      <c r="M9" s="13">
        <f>SUMIFS(Gear!$M$4:$M$603,Gear!$A$4:$A$603,A9,Gear!$B$4:$B$603,"Magus",Gear!$C$4:$C$603,Inputs!$C$5)</f>
        <v/>
      </c>
      <c r="N9" s="13">
        <f>SUMIFS(Gear!$N$4:$N$603,Gear!$A$4:$A$603,A9,Gear!$B$4:$B$603,"Magus",Gear!$C$4:$C$603,Inputs!$C$5)</f>
        <v/>
      </c>
      <c r="O9" s="9">
        <f>INDEX('Class Table'!$H$4:$H$53,A9)+SUMIFS(Gear!$G$4:$G$603,Gear!$A$4:$A$603,A9,Gear!$B$4:$B$603,"Magus",Gear!$C$4:$C$603,Inputs!$C$5)</f>
        <v/>
      </c>
      <c r="P9" s="9">
        <f>INDEX('Class Table'!$I$4:$I$53,A9)+SUMIFS(Gear!$H$4:$H$603,Gear!$A$4:$A$603,A9,Gear!$B$4:$B$603,"Magus",Gear!$C$4:$C$603,Inputs!$C$5)</f>
        <v/>
      </c>
      <c r="Q9" s="9">
        <f>INDEX('Class Table'!$J$4:$J$53,A9)+SUMIFS(Gear!$I$4:$I$603,Gear!$A$4:$A$603,A9,Gear!$B$4:$B$603,"Magus",Gear!$C$4:$C$603,Inputs!$C$5)</f>
        <v/>
      </c>
      <c r="R9" s="13">
        <f>SUMIFS(Gear!$O$4:$O$603,Gear!$A$4:$A$603,A9,Gear!$B$4:$B$603,"Magus",Gear!$C$4:$C$603,Inputs!$C$5)</f>
        <v/>
      </c>
      <c r="S9" s="26">
        <f>I9+0+G9+A9+MAX(1,A9/2)+(A9-B9)</f>
        <v/>
      </c>
      <c r="T9" s="9">
        <f>MAX(0,S9*(1+M9)*(1+L9)*Inputs!$C$20*(1-D9/Inputs!$C$19)-D9/25)</f>
        <v/>
      </c>
      <c r="U9" s="16">
        <f>H9/10*(1-MIN(0.95,N9+0))*Inputs!$C$21</f>
        <v/>
      </c>
      <c r="V9" s="27">
        <f>T9/U9</f>
        <v/>
      </c>
      <c r="W9" s="16">
        <f>(1+J9)*(1+K9)*Inputs!$C$20</f>
        <v/>
      </c>
      <c r="X9" s="17">
        <f>P9*Inputs!$C$23/Inputs!$C$22</f>
        <v/>
      </c>
      <c r="Y9" s="17">
        <f>IF(INDEX(Abilities!$A$14:$A$23,1)&lt;=A9,INDEX(Abilities!$C$14:$C$23,1)*CHOOSE(Inputs!$C$13,1,INDEX(Abilities!$J$14:$J$23,1),INDEX(Abilities!$I$14:$I$23,1))*W9/MAX(INDEX(Abilities!$D$14:$D$23,1),Inputs!$C$12),0)</f>
        <v/>
      </c>
      <c r="Z9" s="17">
        <f>IF(INDEX(Abilities!$A$14:$A$23,2)&lt;=A9,INDEX(Abilities!$C$14:$C$23,2)*CHOOSE(Inputs!$C$13,1,INDEX(Abilities!$J$14:$J$23,2),INDEX(Abilities!$I$14:$I$23,2))*W9/MAX(INDEX(Abilities!$D$14:$D$23,2),Inputs!$C$12),0)</f>
        <v/>
      </c>
      <c r="AA9" s="17">
        <f>IF(INDEX(Abilities!$A$14:$A$23,3)&lt;=A9,INDEX(Abilities!$C$14:$C$23,3)*CHOOSE(Inputs!$C$13,1,INDEX(Abilities!$J$14:$J$23,3),INDEX(Abilities!$I$14:$I$23,3))*W9/MAX(INDEX(Abilities!$D$14:$D$23,3),Inputs!$C$12),0)</f>
        <v/>
      </c>
      <c r="AB9" s="17">
        <f>IF(INDEX(Abilities!$A$14:$A$23,4)&lt;=A9,INDEX(Abilities!$C$14:$C$23,4)*CHOOSE(Inputs!$C$13,1,INDEX(Abilities!$J$14:$J$23,4),INDEX(Abilities!$I$14:$I$23,4))*W9/MAX(INDEX(Abilities!$D$14:$D$23,4),Inputs!$C$12),0)</f>
        <v/>
      </c>
      <c r="AC9" s="17">
        <f>IF(INDEX(Abilities!$A$14:$A$23,5)&lt;=A9,INDEX(Abilities!$C$14:$C$23,5)*CHOOSE(Inputs!$C$13,1,INDEX(Abilities!$J$14:$J$23,5),INDEX(Abilities!$I$14:$I$23,5))*W9/MAX(INDEX(Abilities!$D$14:$D$23,5),Inputs!$C$12),0)</f>
        <v/>
      </c>
      <c r="AD9" s="17">
        <f>IF(INDEX(Abilities!$A$14:$A$23,6)&lt;=A9,INDEX(Abilities!$C$14:$C$23,6)*CHOOSE(Inputs!$C$13,1,INDEX(Abilities!$J$14:$J$23,6),INDEX(Abilities!$I$14:$I$23,6))*W9/MAX(INDEX(Abilities!$D$14:$D$23,6),Inputs!$C$12),0)</f>
        <v/>
      </c>
      <c r="AE9" s="17">
        <f>IF(INDEX(Abilities!$A$14:$A$23,7)&lt;=A9,INDEX(Abilities!$C$14:$C$23,7)*CHOOSE(Inputs!$C$13,1,INDEX(Abilities!$J$14:$J$23,7),INDEX(Abilities!$I$14:$I$23,7))*W9/MAX(INDEX(Abilities!$D$14:$D$23,7),Inputs!$C$12),0)</f>
        <v/>
      </c>
      <c r="AF9" s="17">
        <f>IF(INDEX(Abilities!$A$14:$A$23,8)&lt;=A9,INDEX(Abilities!$C$14:$C$23,8)*CHOOSE(Inputs!$C$13,1,INDEX(Abilities!$J$14:$J$23,8),INDEX(Abilities!$I$14:$I$23,8))*W9/MAX(INDEX(Abilities!$D$14:$D$23,8),Inputs!$C$12),0)</f>
        <v/>
      </c>
      <c r="AG9" s="17">
        <f>IF(INDEX(Abilities!$A$14:$A$23,9)&lt;=A9,INDEX(Abilities!$C$14:$C$23,9)*CHOOSE(Inputs!$C$13,1,INDEX(Abilities!$J$14:$J$23,9),INDEX(Abilities!$I$14:$I$23,9))*W9/MAX(INDEX(Abilities!$D$14:$D$23,9),Inputs!$C$12),0)</f>
        <v/>
      </c>
      <c r="AH9" s="17">
        <f>IF(INDEX(Abilities!$A$14:$A$23,10)&lt;=A9,INDEX(Abilities!$C$14:$C$23,10)*CHOOSE(Inputs!$C$13,1,INDEX(Abilities!$J$14:$J$23,10),INDEX(Abilities!$I$14:$I$23,10))*W9/MAX(INDEX(Abilities!$D$14:$D$23,10),Inputs!$C$12),0)</f>
        <v/>
      </c>
      <c r="AI9" s="17">
        <f>IF(INDEX(Abilities!$A$14:$A$23,1)&lt;=A9,MIN(Y9,X9*INDEX(Abilities!$C$14:$C$23,1)*CHOOSE(Inputs!$C$13,1,INDEX(Abilities!$J$14:$J$23,1),INDEX(Abilities!$I$14:$I$23,1))*W9/INDEX(Abilities!$E$14:$E$23,1)),0)</f>
        <v/>
      </c>
      <c r="AJ9" s="17">
        <f>IF(INDEX(Abilities!$A$14:$A$23,2)&lt;=A9,MIN(Z9,X9*INDEX(Abilities!$C$14:$C$23,2)*CHOOSE(Inputs!$C$13,1,INDEX(Abilities!$J$14:$J$23,2),INDEX(Abilities!$I$14:$I$23,2))*W9/INDEX(Abilities!$E$14:$E$23,2)),0)</f>
        <v/>
      </c>
      <c r="AK9" s="17">
        <f>IF(INDEX(Abilities!$A$14:$A$23,3)&lt;=A9,MIN(AA9,X9*INDEX(Abilities!$C$14:$C$23,3)*CHOOSE(Inputs!$C$13,1,INDEX(Abilities!$J$14:$J$23,3),INDEX(Abilities!$I$14:$I$23,3))*W9/INDEX(Abilities!$E$14:$E$23,3)),0)</f>
        <v/>
      </c>
      <c r="AL9" s="17">
        <f>IF(INDEX(Abilities!$A$14:$A$23,4)&lt;=A9,MIN(AB9,X9*INDEX(Abilities!$C$14:$C$23,4)*CHOOSE(Inputs!$C$13,1,INDEX(Abilities!$J$14:$J$23,4),INDEX(Abilities!$I$14:$I$23,4))*W9/INDEX(Abilities!$E$14:$E$23,4)),0)</f>
        <v/>
      </c>
      <c r="AM9" s="17">
        <f>IF(INDEX(Abilities!$A$14:$A$23,5)&lt;=A9,MIN(AC9,X9*INDEX(Abilities!$C$14:$C$23,5)*CHOOSE(Inputs!$C$13,1,INDEX(Abilities!$J$14:$J$23,5),INDEX(Abilities!$I$14:$I$23,5))*W9/INDEX(Abilities!$E$14:$E$23,5)),0)</f>
        <v/>
      </c>
      <c r="AN9" s="17">
        <f>IF(INDEX(Abilities!$A$14:$A$23,6)&lt;=A9,MIN(AD9,X9*INDEX(Abilities!$C$14:$C$23,6)*CHOOSE(Inputs!$C$13,1,INDEX(Abilities!$J$14:$J$23,6),INDEX(Abilities!$I$14:$I$23,6))*W9/INDEX(Abilities!$E$14:$E$23,6)),0)</f>
        <v/>
      </c>
      <c r="AO9" s="17">
        <f>IF(INDEX(Abilities!$A$14:$A$23,7)&lt;=A9,MIN(AE9,X9*INDEX(Abilities!$C$14:$C$23,7)*CHOOSE(Inputs!$C$13,1,INDEX(Abilities!$J$14:$J$23,7),INDEX(Abilities!$I$14:$I$23,7))*W9/INDEX(Abilities!$E$14:$E$23,7)),0)</f>
        <v/>
      </c>
      <c r="AP9" s="17">
        <f>IF(INDEX(Abilities!$A$14:$A$23,8)&lt;=A9,MIN(AF9,X9*INDEX(Abilities!$C$14:$C$23,8)*CHOOSE(Inputs!$C$13,1,INDEX(Abilities!$J$14:$J$23,8),INDEX(Abilities!$I$14:$I$23,8))*W9/INDEX(Abilities!$E$14:$E$23,8)),0)</f>
        <v/>
      </c>
      <c r="AQ9" s="17">
        <f>IF(INDEX(Abilities!$A$14:$A$23,9)&lt;=A9,MIN(AG9,X9*INDEX(Abilities!$C$14:$C$23,9)*CHOOSE(Inputs!$C$13,1,INDEX(Abilities!$J$14:$J$23,9),INDEX(Abilities!$I$14:$I$23,9))*W9/INDEX(Abilities!$E$14:$E$23,9)),0)</f>
        <v/>
      </c>
      <c r="AR9" s="17">
        <f>IF(INDEX(Abilities!$A$14:$A$23,10)&lt;=A9,MIN(AH9,X9*INDEX(Abilities!$C$14:$C$23,10)*CHOOSE(Inputs!$C$13,1,INDEX(Abilities!$J$14:$J$23,10),INDEX(Abilities!$I$14:$I$23,10))*W9/INDEX(Abilities!$E$14:$E$23,10)),0)</f>
        <v/>
      </c>
      <c r="AS9" s="17">
        <f>IF(INDEX(Abilities!$A$14:$A$23,1)&lt;=A9,INDEX(Abilities!$C$14:$C$23,1)*CHOOSE(Inputs!$C$13,1,INDEX(Abilities!$J$14:$J$23,1),INDEX(Abilities!$I$14:$I$23,1))*W9/MAX(INDEX(Abilities!$D$14:$D$23,1),2*Inputs!$C$12),0)</f>
        <v/>
      </c>
      <c r="AT9" s="17">
        <f>IF(INDEX(Abilities!$A$14:$A$23,2)&lt;=A9,INDEX(Abilities!$C$14:$C$23,2)*CHOOSE(Inputs!$C$13,1,INDEX(Abilities!$J$14:$J$23,2),INDEX(Abilities!$I$14:$I$23,2))*W9/MAX(INDEX(Abilities!$D$14:$D$23,2),2*Inputs!$C$12),0)</f>
        <v/>
      </c>
      <c r="AU9" s="17">
        <f>IF(INDEX(Abilities!$A$14:$A$23,3)&lt;=A9,INDEX(Abilities!$C$14:$C$23,3)*CHOOSE(Inputs!$C$13,1,INDEX(Abilities!$J$14:$J$23,3),INDEX(Abilities!$I$14:$I$23,3))*W9/MAX(INDEX(Abilities!$D$14:$D$23,3),2*Inputs!$C$12),0)</f>
        <v/>
      </c>
      <c r="AV9" s="17">
        <f>IF(INDEX(Abilities!$A$14:$A$23,4)&lt;=A9,INDEX(Abilities!$C$14:$C$23,4)*CHOOSE(Inputs!$C$13,1,INDEX(Abilities!$J$14:$J$23,4),INDEX(Abilities!$I$14:$I$23,4))*W9/MAX(INDEX(Abilities!$D$14:$D$23,4),2*Inputs!$C$12),0)</f>
        <v/>
      </c>
      <c r="AW9" s="17">
        <f>IF(INDEX(Abilities!$A$14:$A$23,5)&lt;=A9,INDEX(Abilities!$C$14:$C$23,5)*CHOOSE(Inputs!$C$13,1,INDEX(Abilities!$J$14:$J$23,5),INDEX(Abilities!$I$14:$I$23,5))*W9/MAX(INDEX(Abilities!$D$14:$D$23,5),2*Inputs!$C$12),0)</f>
        <v/>
      </c>
      <c r="AX9" s="17">
        <f>IF(INDEX(Abilities!$A$14:$A$23,6)&lt;=A9,INDEX(Abilities!$C$14:$C$23,6)*CHOOSE(Inputs!$C$13,1,INDEX(Abilities!$J$14:$J$23,6),INDEX(Abilities!$I$14:$I$23,6))*W9/MAX(INDEX(Abilities!$D$14:$D$23,6),2*Inputs!$C$12),0)</f>
        <v/>
      </c>
      <c r="AY9" s="17">
        <f>IF(INDEX(Abilities!$A$14:$A$23,7)&lt;=A9,INDEX(Abilities!$C$14:$C$23,7)*CHOOSE(Inputs!$C$13,1,INDEX(Abilities!$J$14:$J$23,7),INDEX(Abilities!$I$14:$I$23,7))*W9/MAX(INDEX(Abilities!$D$14:$D$23,7),2*Inputs!$C$12),0)</f>
        <v/>
      </c>
      <c r="AZ9" s="17">
        <f>IF(INDEX(Abilities!$A$14:$A$23,8)&lt;=A9,INDEX(Abilities!$C$14:$C$23,8)*CHOOSE(Inputs!$C$13,1,INDEX(Abilities!$J$14:$J$23,8),INDEX(Abilities!$I$14:$I$23,8))*W9/MAX(INDEX(Abilities!$D$14:$D$23,8),2*Inputs!$C$12),0)</f>
        <v/>
      </c>
      <c r="BA9" s="17">
        <f>IF(INDEX(Abilities!$A$14:$A$23,9)&lt;=A9,INDEX(Abilities!$C$14:$C$23,9)*CHOOSE(Inputs!$C$13,1,INDEX(Abilities!$J$14:$J$23,9),INDEX(Abilities!$I$14:$I$23,9))*W9/MAX(INDEX(Abilities!$D$14:$D$23,9),2*Inputs!$C$12),0)</f>
        <v/>
      </c>
      <c r="BB9" s="17">
        <f>IF(INDEX(Abilities!$A$14:$A$23,10)&lt;=A9,INDEX(Abilities!$C$14:$C$23,10)*CHOOSE(Inputs!$C$13,1,INDEX(Abilities!$J$14:$J$23,10),INDEX(Abilities!$I$14:$I$23,10))*W9/MAX(INDEX(Abilities!$D$14:$D$23,10),2*Inputs!$C$12),0)</f>
        <v/>
      </c>
      <c r="BC9" s="27">
        <f>MAX(Y9:AH9)</f>
        <v/>
      </c>
      <c r="BD9" s="8">
        <f>MATCH(BC9,Y9:AH9,0)</f>
        <v/>
      </c>
      <c r="BE9" s="15">
        <f>INDEX(Abilities!$B$14:$B$23,BD9)</f>
        <v/>
      </c>
      <c r="BF9" s="16">
        <f>CHOOSE(Inputs!$C$13,1,INDEX(Abilities!$J$14:$J$23,BD9),INDEX(Abilities!$I$14:$I$23,BD9))</f>
        <v/>
      </c>
      <c r="BG9" s="17">
        <f>INDEX(Abilities!$E$14:$E$23,BD9)/MAX(INDEX(Abilities!$D$14:$D$23,BD9),Inputs!$C$12)</f>
        <v/>
      </c>
      <c r="BH9" s="27">
        <f>MAX(AI9:AR9)</f>
        <v/>
      </c>
      <c r="BI9" s="8">
        <f>MATCH(BH9,AI9:AR9,0)</f>
        <v/>
      </c>
      <c r="BJ9" s="15">
        <f>INDEX(Abilities!$B$14:$B$23,BI9)</f>
        <v/>
      </c>
      <c r="BK9" s="14">
        <f>IFERROR(ROUNDUP(C9/(INDEX(Abilities!$C$14:$C$23,BD9)*W9),0),"-")</f>
        <v/>
      </c>
      <c r="BL9" s="9">
        <f>IFERROR(C9*INDEX(Abilities!$E$14:$E$23,BI9)/(INDEX(Abilities!$C$14:$C$23,BI9)*CHOOSE(Inputs!$C$13,1,INDEX(Abilities!$J$14:$J$23,BI9),INDEX(Abilities!$I$14:$I$23,BI9))*W9),"-")</f>
        <v/>
      </c>
      <c r="BM9" s="60">
        <f>IFERROR(P9/BL9,"-")</f>
        <v/>
      </c>
      <c r="BN9" s="17">
        <f>BH9+Inputs!$C$18*V9</f>
        <v/>
      </c>
      <c r="BO9" s="17">
        <f>BC9+Inputs!$C$18*V9</f>
        <v/>
      </c>
      <c r="BP9" s="27">
        <f>LARGE(AS9:BB9,1)+LARGE(AS9:BB9,2)</f>
        <v/>
      </c>
      <c r="BQ9" s="60">
        <f>IFERROR(IF(BG9&lt;=X9,C9/BO9,IF(C9/BO9*(BG9-X9)&lt;=P9,C9/BO9,P9/(BG9-X9)+(C9-BO9*P9/(BG9-X9))/BN9)),"-")</f>
        <v/>
      </c>
      <c r="BR9" s="60">
        <f>BQ9</f>
        <v/>
      </c>
      <c r="BS9" s="9">
        <f>MAX(0,(E9+(B9-A9))*(1-R9)*(1-Q9*'Class Table'!$O$7/Inputs!$C$19)-Q9*'Class Table'!$O$7/25)</f>
        <v/>
      </c>
      <c r="BT9" s="26">
        <f>IFERROR(BS9/F9*BR9,"-")</f>
        <v/>
      </c>
      <c r="BU9" s="28">
        <f>IFERROR(BT9/O9,"-")</f>
        <v/>
      </c>
      <c r="BV9" s="9">
        <f>IFERROR(O9*Inputs!$C$24/Inputs!$C$22*BR9,"-")</f>
        <v/>
      </c>
      <c r="BW9" s="28">
        <f>IFERROR(MAX(0,BT9-BV9)/O9,"-")</f>
        <v/>
      </c>
    </row>
    <row r="10">
      <c r="A10" s="8" t="n">
        <v>7</v>
      </c>
      <c r="B10" s="14">
        <f>'Mob by Level'!B10</f>
        <v/>
      </c>
      <c r="C10" s="9">
        <f>'Mob by Level'!C10</f>
        <v/>
      </c>
      <c r="D10" s="9">
        <f>'Mob by Level'!D10</f>
        <v/>
      </c>
      <c r="E10" s="9">
        <f>'Mob by Level'!E10</f>
        <v/>
      </c>
      <c r="F10" s="16">
        <f>'Mob by Level'!F10</f>
        <v/>
      </c>
      <c r="G10" s="14">
        <f>SUMIFS(Gear!$D$4:$D$603,Gear!$A$4:$A$603,A10,Gear!$B$4:$B$603,"Magus",Gear!$C$4:$C$603,Inputs!$C$5)</f>
        <v/>
      </c>
      <c r="H10" s="14">
        <f>SUMIFS(Gear!$E$4:$E$603,Gear!$A$4:$A$603,A10,Gear!$B$4:$B$603,"Magus",Gear!$C$4:$C$603,Inputs!$C$5)</f>
        <v/>
      </c>
      <c r="I10" s="14">
        <f>SUMIFS(Gear!$F$4:$F$603,Gear!$A$4:$A$603,A10,Gear!$B$4:$B$603,"Magus",Gear!$C$4:$C$603,Inputs!$C$5)+Inputs!$C$17*IFERROR(LOOKUP(A10,Abilities!$A$49:$A$53,Abilities!$C$49:$C$53),0)</f>
        <v/>
      </c>
      <c r="J10" s="13">
        <f>SUMIFS(Gear!$J$4:$J$603,Gear!$A$4:$A$603,A10,Gear!$B$4:$B$603,"Magus",Gear!$C$4:$C$603,Inputs!$C$5)</f>
        <v/>
      </c>
      <c r="K10" s="13">
        <f>SUMIFS(Gear!$K$4:$K$603,Gear!$A$4:$A$603,A10,Gear!$B$4:$B$603,"Magus",Gear!$C$4:$C$603,Inputs!$C$5)</f>
        <v/>
      </c>
      <c r="L10" s="13">
        <f>SUMIFS(Gear!$L$4:$L$603,Gear!$A$4:$A$603,A10,Gear!$B$4:$B$603,"Magus",Gear!$C$4:$C$603,Inputs!$C$5)</f>
        <v/>
      </c>
      <c r="M10" s="13">
        <f>SUMIFS(Gear!$M$4:$M$603,Gear!$A$4:$A$603,A10,Gear!$B$4:$B$603,"Magus",Gear!$C$4:$C$603,Inputs!$C$5)</f>
        <v/>
      </c>
      <c r="N10" s="13">
        <f>SUMIFS(Gear!$N$4:$N$603,Gear!$A$4:$A$603,A10,Gear!$B$4:$B$603,"Magus",Gear!$C$4:$C$603,Inputs!$C$5)</f>
        <v/>
      </c>
      <c r="O10" s="9">
        <f>INDEX('Class Table'!$H$4:$H$53,A10)+SUMIFS(Gear!$G$4:$G$603,Gear!$A$4:$A$603,A10,Gear!$B$4:$B$603,"Magus",Gear!$C$4:$C$603,Inputs!$C$5)</f>
        <v/>
      </c>
      <c r="P10" s="9">
        <f>INDEX('Class Table'!$I$4:$I$53,A10)+SUMIFS(Gear!$H$4:$H$603,Gear!$A$4:$A$603,A10,Gear!$B$4:$B$603,"Magus",Gear!$C$4:$C$603,Inputs!$C$5)</f>
        <v/>
      </c>
      <c r="Q10" s="9">
        <f>INDEX('Class Table'!$J$4:$J$53,A10)+SUMIFS(Gear!$I$4:$I$603,Gear!$A$4:$A$603,A10,Gear!$B$4:$B$603,"Magus",Gear!$C$4:$C$603,Inputs!$C$5)</f>
        <v/>
      </c>
      <c r="R10" s="13">
        <f>SUMIFS(Gear!$O$4:$O$603,Gear!$A$4:$A$603,A10,Gear!$B$4:$B$603,"Magus",Gear!$C$4:$C$603,Inputs!$C$5)</f>
        <v/>
      </c>
      <c r="S10" s="26">
        <f>I10+0+G10+A10+MAX(1,A10/2)+(A10-B10)</f>
        <v/>
      </c>
      <c r="T10" s="9">
        <f>MAX(0,S10*(1+M10)*(1+L10)*Inputs!$C$20*(1-D10/Inputs!$C$19)-D10/25)</f>
        <v/>
      </c>
      <c r="U10" s="16">
        <f>H10/10*(1-MIN(0.95,N10+0))*Inputs!$C$21</f>
        <v/>
      </c>
      <c r="V10" s="27">
        <f>T10/U10</f>
        <v/>
      </c>
      <c r="W10" s="16">
        <f>(1+J10)*(1+K10)*Inputs!$C$20</f>
        <v/>
      </c>
      <c r="X10" s="17">
        <f>P10*Inputs!$C$23/Inputs!$C$22</f>
        <v/>
      </c>
      <c r="Y10" s="17">
        <f>IF(INDEX(Abilities!$A$14:$A$23,1)&lt;=A10,INDEX(Abilities!$C$14:$C$23,1)*CHOOSE(Inputs!$C$13,1,INDEX(Abilities!$J$14:$J$23,1),INDEX(Abilities!$I$14:$I$23,1))*W10/MAX(INDEX(Abilities!$D$14:$D$23,1),Inputs!$C$12),0)</f>
        <v/>
      </c>
      <c r="Z10" s="17">
        <f>IF(INDEX(Abilities!$A$14:$A$23,2)&lt;=A10,INDEX(Abilities!$C$14:$C$23,2)*CHOOSE(Inputs!$C$13,1,INDEX(Abilities!$J$14:$J$23,2),INDEX(Abilities!$I$14:$I$23,2))*W10/MAX(INDEX(Abilities!$D$14:$D$23,2),Inputs!$C$12),0)</f>
        <v/>
      </c>
      <c r="AA10" s="17">
        <f>IF(INDEX(Abilities!$A$14:$A$23,3)&lt;=A10,INDEX(Abilities!$C$14:$C$23,3)*CHOOSE(Inputs!$C$13,1,INDEX(Abilities!$J$14:$J$23,3),INDEX(Abilities!$I$14:$I$23,3))*W10/MAX(INDEX(Abilities!$D$14:$D$23,3),Inputs!$C$12),0)</f>
        <v/>
      </c>
      <c r="AB10" s="17">
        <f>IF(INDEX(Abilities!$A$14:$A$23,4)&lt;=A10,INDEX(Abilities!$C$14:$C$23,4)*CHOOSE(Inputs!$C$13,1,INDEX(Abilities!$J$14:$J$23,4),INDEX(Abilities!$I$14:$I$23,4))*W10/MAX(INDEX(Abilities!$D$14:$D$23,4),Inputs!$C$12),0)</f>
        <v/>
      </c>
      <c r="AC10" s="17">
        <f>IF(INDEX(Abilities!$A$14:$A$23,5)&lt;=A10,INDEX(Abilities!$C$14:$C$23,5)*CHOOSE(Inputs!$C$13,1,INDEX(Abilities!$J$14:$J$23,5),INDEX(Abilities!$I$14:$I$23,5))*W10/MAX(INDEX(Abilities!$D$14:$D$23,5),Inputs!$C$12),0)</f>
        <v/>
      </c>
      <c r="AD10" s="17">
        <f>IF(INDEX(Abilities!$A$14:$A$23,6)&lt;=A10,INDEX(Abilities!$C$14:$C$23,6)*CHOOSE(Inputs!$C$13,1,INDEX(Abilities!$J$14:$J$23,6),INDEX(Abilities!$I$14:$I$23,6))*W10/MAX(INDEX(Abilities!$D$14:$D$23,6),Inputs!$C$12),0)</f>
        <v/>
      </c>
      <c r="AE10" s="17">
        <f>IF(INDEX(Abilities!$A$14:$A$23,7)&lt;=A10,INDEX(Abilities!$C$14:$C$23,7)*CHOOSE(Inputs!$C$13,1,INDEX(Abilities!$J$14:$J$23,7),INDEX(Abilities!$I$14:$I$23,7))*W10/MAX(INDEX(Abilities!$D$14:$D$23,7),Inputs!$C$12),0)</f>
        <v/>
      </c>
      <c r="AF10" s="17">
        <f>IF(INDEX(Abilities!$A$14:$A$23,8)&lt;=A10,INDEX(Abilities!$C$14:$C$23,8)*CHOOSE(Inputs!$C$13,1,INDEX(Abilities!$J$14:$J$23,8),INDEX(Abilities!$I$14:$I$23,8))*W10/MAX(INDEX(Abilities!$D$14:$D$23,8),Inputs!$C$12),0)</f>
        <v/>
      </c>
      <c r="AG10" s="17">
        <f>IF(INDEX(Abilities!$A$14:$A$23,9)&lt;=A10,INDEX(Abilities!$C$14:$C$23,9)*CHOOSE(Inputs!$C$13,1,INDEX(Abilities!$J$14:$J$23,9),INDEX(Abilities!$I$14:$I$23,9))*W10/MAX(INDEX(Abilities!$D$14:$D$23,9),Inputs!$C$12),0)</f>
        <v/>
      </c>
      <c r="AH10" s="17">
        <f>IF(INDEX(Abilities!$A$14:$A$23,10)&lt;=A10,INDEX(Abilities!$C$14:$C$23,10)*CHOOSE(Inputs!$C$13,1,INDEX(Abilities!$J$14:$J$23,10),INDEX(Abilities!$I$14:$I$23,10))*W10/MAX(INDEX(Abilities!$D$14:$D$23,10),Inputs!$C$12),0)</f>
        <v/>
      </c>
      <c r="AI10" s="17">
        <f>IF(INDEX(Abilities!$A$14:$A$23,1)&lt;=A10,MIN(Y10,X10*INDEX(Abilities!$C$14:$C$23,1)*CHOOSE(Inputs!$C$13,1,INDEX(Abilities!$J$14:$J$23,1),INDEX(Abilities!$I$14:$I$23,1))*W10/INDEX(Abilities!$E$14:$E$23,1)),0)</f>
        <v/>
      </c>
      <c r="AJ10" s="17">
        <f>IF(INDEX(Abilities!$A$14:$A$23,2)&lt;=A10,MIN(Z10,X10*INDEX(Abilities!$C$14:$C$23,2)*CHOOSE(Inputs!$C$13,1,INDEX(Abilities!$J$14:$J$23,2),INDEX(Abilities!$I$14:$I$23,2))*W10/INDEX(Abilities!$E$14:$E$23,2)),0)</f>
        <v/>
      </c>
      <c r="AK10" s="17">
        <f>IF(INDEX(Abilities!$A$14:$A$23,3)&lt;=A10,MIN(AA10,X10*INDEX(Abilities!$C$14:$C$23,3)*CHOOSE(Inputs!$C$13,1,INDEX(Abilities!$J$14:$J$23,3),INDEX(Abilities!$I$14:$I$23,3))*W10/INDEX(Abilities!$E$14:$E$23,3)),0)</f>
        <v/>
      </c>
      <c r="AL10" s="17">
        <f>IF(INDEX(Abilities!$A$14:$A$23,4)&lt;=A10,MIN(AB10,X10*INDEX(Abilities!$C$14:$C$23,4)*CHOOSE(Inputs!$C$13,1,INDEX(Abilities!$J$14:$J$23,4),INDEX(Abilities!$I$14:$I$23,4))*W10/INDEX(Abilities!$E$14:$E$23,4)),0)</f>
        <v/>
      </c>
      <c r="AM10" s="17">
        <f>IF(INDEX(Abilities!$A$14:$A$23,5)&lt;=A10,MIN(AC10,X10*INDEX(Abilities!$C$14:$C$23,5)*CHOOSE(Inputs!$C$13,1,INDEX(Abilities!$J$14:$J$23,5),INDEX(Abilities!$I$14:$I$23,5))*W10/INDEX(Abilities!$E$14:$E$23,5)),0)</f>
        <v/>
      </c>
      <c r="AN10" s="17">
        <f>IF(INDEX(Abilities!$A$14:$A$23,6)&lt;=A10,MIN(AD10,X10*INDEX(Abilities!$C$14:$C$23,6)*CHOOSE(Inputs!$C$13,1,INDEX(Abilities!$J$14:$J$23,6),INDEX(Abilities!$I$14:$I$23,6))*W10/INDEX(Abilities!$E$14:$E$23,6)),0)</f>
        <v/>
      </c>
      <c r="AO10" s="17">
        <f>IF(INDEX(Abilities!$A$14:$A$23,7)&lt;=A10,MIN(AE10,X10*INDEX(Abilities!$C$14:$C$23,7)*CHOOSE(Inputs!$C$13,1,INDEX(Abilities!$J$14:$J$23,7),INDEX(Abilities!$I$14:$I$23,7))*W10/INDEX(Abilities!$E$14:$E$23,7)),0)</f>
        <v/>
      </c>
      <c r="AP10" s="17">
        <f>IF(INDEX(Abilities!$A$14:$A$23,8)&lt;=A10,MIN(AF10,X10*INDEX(Abilities!$C$14:$C$23,8)*CHOOSE(Inputs!$C$13,1,INDEX(Abilities!$J$14:$J$23,8),INDEX(Abilities!$I$14:$I$23,8))*W10/INDEX(Abilities!$E$14:$E$23,8)),0)</f>
        <v/>
      </c>
      <c r="AQ10" s="17">
        <f>IF(INDEX(Abilities!$A$14:$A$23,9)&lt;=A10,MIN(AG10,X10*INDEX(Abilities!$C$14:$C$23,9)*CHOOSE(Inputs!$C$13,1,INDEX(Abilities!$J$14:$J$23,9),INDEX(Abilities!$I$14:$I$23,9))*W10/INDEX(Abilities!$E$14:$E$23,9)),0)</f>
        <v/>
      </c>
      <c r="AR10" s="17">
        <f>IF(INDEX(Abilities!$A$14:$A$23,10)&lt;=A10,MIN(AH10,X10*INDEX(Abilities!$C$14:$C$23,10)*CHOOSE(Inputs!$C$13,1,INDEX(Abilities!$J$14:$J$23,10),INDEX(Abilities!$I$14:$I$23,10))*W10/INDEX(Abilities!$E$14:$E$23,10)),0)</f>
        <v/>
      </c>
      <c r="AS10" s="17">
        <f>IF(INDEX(Abilities!$A$14:$A$23,1)&lt;=A10,INDEX(Abilities!$C$14:$C$23,1)*CHOOSE(Inputs!$C$13,1,INDEX(Abilities!$J$14:$J$23,1),INDEX(Abilities!$I$14:$I$23,1))*W10/MAX(INDEX(Abilities!$D$14:$D$23,1),2*Inputs!$C$12),0)</f>
        <v/>
      </c>
      <c r="AT10" s="17">
        <f>IF(INDEX(Abilities!$A$14:$A$23,2)&lt;=A10,INDEX(Abilities!$C$14:$C$23,2)*CHOOSE(Inputs!$C$13,1,INDEX(Abilities!$J$14:$J$23,2),INDEX(Abilities!$I$14:$I$23,2))*W10/MAX(INDEX(Abilities!$D$14:$D$23,2),2*Inputs!$C$12),0)</f>
        <v/>
      </c>
      <c r="AU10" s="17">
        <f>IF(INDEX(Abilities!$A$14:$A$23,3)&lt;=A10,INDEX(Abilities!$C$14:$C$23,3)*CHOOSE(Inputs!$C$13,1,INDEX(Abilities!$J$14:$J$23,3),INDEX(Abilities!$I$14:$I$23,3))*W10/MAX(INDEX(Abilities!$D$14:$D$23,3),2*Inputs!$C$12),0)</f>
        <v/>
      </c>
      <c r="AV10" s="17">
        <f>IF(INDEX(Abilities!$A$14:$A$23,4)&lt;=A10,INDEX(Abilities!$C$14:$C$23,4)*CHOOSE(Inputs!$C$13,1,INDEX(Abilities!$J$14:$J$23,4),INDEX(Abilities!$I$14:$I$23,4))*W10/MAX(INDEX(Abilities!$D$14:$D$23,4),2*Inputs!$C$12),0)</f>
        <v/>
      </c>
      <c r="AW10" s="17">
        <f>IF(INDEX(Abilities!$A$14:$A$23,5)&lt;=A10,INDEX(Abilities!$C$14:$C$23,5)*CHOOSE(Inputs!$C$13,1,INDEX(Abilities!$J$14:$J$23,5),INDEX(Abilities!$I$14:$I$23,5))*W10/MAX(INDEX(Abilities!$D$14:$D$23,5),2*Inputs!$C$12),0)</f>
        <v/>
      </c>
      <c r="AX10" s="17">
        <f>IF(INDEX(Abilities!$A$14:$A$23,6)&lt;=A10,INDEX(Abilities!$C$14:$C$23,6)*CHOOSE(Inputs!$C$13,1,INDEX(Abilities!$J$14:$J$23,6),INDEX(Abilities!$I$14:$I$23,6))*W10/MAX(INDEX(Abilities!$D$14:$D$23,6),2*Inputs!$C$12),0)</f>
        <v/>
      </c>
      <c r="AY10" s="17">
        <f>IF(INDEX(Abilities!$A$14:$A$23,7)&lt;=A10,INDEX(Abilities!$C$14:$C$23,7)*CHOOSE(Inputs!$C$13,1,INDEX(Abilities!$J$14:$J$23,7),INDEX(Abilities!$I$14:$I$23,7))*W10/MAX(INDEX(Abilities!$D$14:$D$23,7),2*Inputs!$C$12),0)</f>
        <v/>
      </c>
      <c r="AZ10" s="17">
        <f>IF(INDEX(Abilities!$A$14:$A$23,8)&lt;=A10,INDEX(Abilities!$C$14:$C$23,8)*CHOOSE(Inputs!$C$13,1,INDEX(Abilities!$J$14:$J$23,8),INDEX(Abilities!$I$14:$I$23,8))*W10/MAX(INDEX(Abilities!$D$14:$D$23,8),2*Inputs!$C$12),0)</f>
        <v/>
      </c>
      <c r="BA10" s="17">
        <f>IF(INDEX(Abilities!$A$14:$A$23,9)&lt;=A10,INDEX(Abilities!$C$14:$C$23,9)*CHOOSE(Inputs!$C$13,1,INDEX(Abilities!$J$14:$J$23,9),INDEX(Abilities!$I$14:$I$23,9))*W10/MAX(INDEX(Abilities!$D$14:$D$23,9),2*Inputs!$C$12),0)</f>
        <v/>
      </c>
      <c r="BB10" s="17">
        <f>IF(INDEX(Abilities!$A$14:$A$23,10)&lt;=A10,INDEX(Abilities!$C$14:$C$23,10)*CHOOSE(Inputs!$C$13,1,INDEX(Abilities!$J$14:$J$23,10),INDEX(Abilities!$I$14:$I$23,10))*W10/MAX(INDEX(Abilities!$D$14:$D$23,10),2*Inputs!$C$12),0)</f>
        <v/>
      </c>
      <c r="BC10" s="27">
        <f>MAX(Y10:AH10)</f>
        <v/>
      </c>
      <c r="BD10" s="8">
        <f>MATCH(BC10,Y10:AH10,0)</f>
        <v/>
      </c>
      <c r="BE10" s="15">
        <f>INDEX(Abilities!$B$14:$B$23,BD10)</f>
        <v/>
      </c>
      <c r="BF10" s="16">
        <f>CHOOSE(Inputs!$C$13,1,INDEX(Abilities!$J$14:$J$23,BD10),INDEX(Abilities!$I$14:$I$23,BD10))</f>
        <v/>
      </c>
      <c r="BG10" s="17">
        <f>INDEX(Abilities!$E$14:$E$23,BD10)/MAX(INDEX(Abilities!$D$14:$D$23,BD10),Inputs!$C$12)</f>
        <v/>
      </c>
      <c r="BH10" s="27">
        <f>MAX(AI10:AR10)</f>
        <v/>
      </c>
      <c r="BI10" s="8">
        <f>MATCH(BH10,AI10:AR10,0)</f>
        <v/>
      </c>
      <c r="BJ10" s="15">
        <f>INDEX(Abilities!$B$14:$B$23,BI10)</f>
        <v/>
      </c>
      <c r="BK10" s="14">
        <f>IFERROR(ROUNDUP(C10/(INDEX(Abilities!$C$14:$C$23,BD10)*W10),0),"-")</f>
        <v/>
      </c>
      <c r="BL10" s="9">
        <f>IFERROR(C10*INDEX(Abilities!$E$14:$E$23,BI10)/(INDEX(Abilities!$C$14:$C$23,BI10)*CHOOSE(Inputs!$C$13,1,INDEX(Abilities!$J$14:$J$23,BI10),INDEX(Abilities!$I$14:$I$23,BI10))*W10),"-")</f>
        <v/>
      </c>
      <c r="BM10" s="60">
        <f>IFERROR(P10/BL10,"-")</f>
        <v/>
      </c>
      <c r="BN10" s="17">
        <f>BH10+Inputs!$C$18*V10</f>
        <v/>
      </c>
      <c r="BO10" s="17">
        <f>BC10+Inputs!$C$18*V10</f>
        <v/>
      </c>
      <c r="BP10" s="27">
        <f>LARGE(AS10:BB10,1)+LARGE(AS10:BB10,2)</f>
        <v/>
      </c>
      <c r="BQ10" s="60">
        <f>IFERROR(IF(BG10&lt;=X10,C10/BO10,IF(C10/BO10*(BG10-X10)&lt;=P10,C10/BO10,P10/(BG10-X10)+(C10-BO10*P10/(BG10-X10))/BN10)),"-")</f>
        <v/>
      </c>
      <c r="BR10" s="60">
        <f>BQ10</f>
        <v/>
      </c>
      <c r="BS10" s="9">
        <f>MAX(0,(E10+(B10-A10))*(1-R10)*(1-Q10*'Class Table'!$O$7/Inputs!$C$19)-Q10*'Class Table'!$O$7/25)</f>
        <v/>
      </c>
      <c r="BT10" s="26">
        <f>IFERROR(BS10/F10*BR10,"-")</f>
        <v/>
      </c>
      <c r="BU10" s="28">
        <f>IFERROR(BT10/O10,"-")</f>
        <v/>
      </c>
      <c r="BV10" s="9">
        <f>IFERROR(O10*Inputs!$C$24/Inputs!$C$22*BR10,"-")</f>
        <v/>
      </c>
      <c r="BW10" s="28">
        <f>IFERROR(MAX(0,BT10-BV10)/O10,"-")</f>
        <v/>
      </c>
    </row>
    <row r="11">
      <c r="A11" s="8" t="n">
        <v>8</v>
      </c>
      <c r="B11" s="14">
        <f>'Mob by Level'!B11</f>
        <v/>
      </c>
      <c r="C11" s="9">
        <f>'Mob by Level'!C11</f>
        <v/>
      </c>
      <c r="D11" s="9">
        <f>'Mob by Level'!D11</f>
        <v/>
      </c>
      <c r="E11" s="9">
        <f>'Mob by Level'!E11</f>
        <v/>
      </c>
      <c r="F11" s="16">
        <f>'Mob by Level'!F11</f>
        <v/>
      </c>
      <c r="G11" s="14">
        <f>SUMIFS(Gear!$D$4:$D$603,Gear!$A$4:$A$603,A11,Gear!$B$4:$B$603,"Magus",Gear!$C$4:$C$603,Inputs!$C$5)</f>
        <v/>
      </c>
      <c r="H11" s="14">
        <f>SUMIFS(Gear!$E$4:$E$603,Gear!$A$4:$A$603,A11,Gear!$B$4:$B$603,"Magus",Gear!$C$4:$C$603,Inputs!$C$5)</f>
        <v/>
      </c>
      <c r="I11" s="14">
        <f>SUMIFS(Gear!$F$4:$F$603,Gear!$A$4:$A$603,A11,Gear!$B$4:$B$603,"Magus",Gear!$C$4:$C$603,Inputs!$C$5)+Inputs!$C$17*IFERROR(LOOKUP(A11,Abilities!$A$49:$A$53,Abilities!$C$49:$C$53),0)</f>
        <v/>
      </c>
      <c r="J11" s="13">
        <f>SUMIFS(Gear!$J$4:$J$603,Gear!$A$4:$A$603,A11,Gear!$B$4:$B$603,"Magus",Gear!$C$4:$C$603,Inputs!$C$5)</f>
        <v/>
      </c>
      <c r="K11" s="13">
        <f>SUMIFS(Gear!$K$4:$K$603,Gear!$A$4:$A$603,A11,Gear!$B$4:$B$603,"Magus",Gear!$C$4:$C$603,Inputs!$C$5)</f>
        <v/>
      </c>
      <c r="L11" s="13">
        <f>SUMIFS(Gear!$L$4:$L$603,Gear!$A$4:$A$603,A11,Gear!$B$4:$B$603,"Magus",Gear!$C$4:$C$603,Inputs!$C$5)</f>
        <v/>
      </c>
      <c r="M11" s="13">
        <f>SUMIFS(Gear!$M$4:$M$603,Gear!$A$4:$A$603,A11,Gear!$B$4:$B$603,"Magus",Gear!$C$4:$C$603,Inputs!$C$5)</f>
        <v/>
      </c>
      <c r="N11" s="13">
        <f>SUMIFS(Gear!$N$4:$N$603,Gear!$A$4:$A$603,A11,Gear!$B$4:$B$603,"Magus",Gear!$C$4:$C$603,Inputs!$C$5)</f>
        <v/>
      </c>
      <c r="O11" s="9">
        <f>INDEX('Class Table'!$H$4:$H$53,A11)+SUMIFS(Gear!$G$4:$G$603,Gear!$A$4:$A$603,A11,Gear!$B$4:$B$603,"Magus",Gear!$C$4:$C$603,Inputs!$C$5)</f>
        <v/>
      </c>
      <c r="P11" s="9">
        <f>INDEX('Class Table'!$I$4:$I$53,A11)+SUMIFS(Gear!$H$4:$H$603,Gear!$A$4:$A$603,A11,Gear!$B$4:$B$603,"Magus",Gear!$C$4:$C$603,Inputs!$C$5)</f>
        <v/>
      </c>
      <c r="Q11" s="9">
        <f>INDEX('Class Table'!$J$4:$J$53,A11)+SUMIFS(Gear!$I$4:$I$603,Gear!$A$4:$A$603,A11,Gear!$B$4:$B$603,"Magus",Gear!$C$4:$C$603,Inputs!$C$5)</f>
        <v/>
      </c>
      <c r="R11" s="13">
        <f>SUMIFS(Gear!$O$4:$O$603,Gear!$A$4:$A$603,A11,Gear!$B$4:$B$603,"Magus",Gear!$C$4:$C$603,Inputs!$C$5)</f>
        <v/>
      </c>
      <c r="S11" s="26">
        <f>I11+0+G11+A11+MAX(1,A11/2)+(A11-B11)</f>
        <v/>
      </c>
      <c r="T11" s="9">
        <f>MAX(0,S11*(1+M11)*(1+L11)*Inputs!$C$20*(1-D11/Inputs!$C$19)-D11/25)</f>
        <v/>
      </c>
      <c r="U11" s="16">
        <f>H11/10*(1-MIN(0.95,N11+0))*Inputs!$C$21</f>
        <v/>
      </c>
      <c r="V11" s="27">
        <f>T11/U11</f>
        <v/>
      </c>
      <c r="W11" s="16">
        <f>(1+J11)*(1+K11)*Inputs!$C$20</f>
        <v/>
      </c>
      <c r="X11" s="17">
        <f>P11*Inputs!$C$23/Inputs!$C$22</f>
        <v/>
      </c>
      <c r="Y11" s="17">
        <f>IF(INDEX(Abilities!$A$14:$A$23,1)&lt;=A11,INDEX(Abilities!$C$14:$C$23,1)*CHOOSE(Inputs!$C$13,1,INDEX(Abilities!$J$14:$J$23,1),INDEX(Abilities!$I$14:$I$23,1))*W11/MAX(INDEX(Abilities!$D$14:$D$23,1),Inputs!$C$12),0)</f>
        <v/>
      </c>
      <c r="Z11" s="17">
        <f>IF(INDEX(Abilities!$A$14:$A$23,2)&lt;=A11,INDEX(Abilities!$C$14:$C$23,2)*CHOOSE(Inputs!$C$13,1,INDEX(Abilities!$J$14:$J$23,2),INDEX(Abilities!$I$14:$I$23,2))*W11/MAX(INDEX(Abilities!$D$14:$D$23,2),Inputs!$C$12),0)</f>
        <v/>
      </c>
      <c r="AA11" s="17">
        <f>IF(INDEX(Abilities!$A$14:$A$23,3)&lt;=A11,INDEX(Abilities!$C$14:$C$23,3)*CHOOSE(Inputs!$C$13,1,INDEX(Abilities!$J$14:$J$23,3),INDEX(Abilities!$I$14:$I$23,3))*W11/MAX(INDEX(Abilities!$D$14:$D$23,3),Inputs!$C$12),0)</f>
        <v/>
      </c>
      <c r="AB11" s="17">
        <f>IF(INDEX(Abilities!$A$14:$A$23,4)&lt;=A11,INDEX(Abilities!$C$14:$C$23,4)*CHOOSE(Inputs!$C$13,1,INDEX(Abilities!$J$14:$J$23,4),INDEX(Abilities!$I$14:$I$23,4))*W11/MAX(INDEX(Abilities!$D$14:$D$23,4),Inputs!$C$12),0)</f>
        <v/>
      </c>
      <c r="AC11" s="17">
        <f>IF(INDEX(Abilities!$A$14:$A$23,5)&lt;=A11,INDEX(Abilities!$C$14:$C$23,5)*CHOOSE(Inputs!$C$13,1,INDEX(Abilities!$J$14:$J$23,5),INDEX(Abilities!$I$14:$I$23,5))*W11/MAX(INDEX(Abilities!$D$14:$D$23,5),Inputs!$C$12),0)</f>
        <v/>
      </c>
      <c r="AD11" s="17">
        <f>IF(INDEX(Abilities!$A$14:$A$23,6)&lt;=A11,INDEX(Abilities!$C$14:$C$23,6)*CHOOSE(Inputs!$C$13,1,INDEX(Abilities!$J$14:$J$23,6),INDEX(Abilities!$I$14:$I$23,6))*W11/MAX(INDEX(Abilities!$D$14:$D$23,6),Inputs!$C$12),0)</f>
        <v/>
      </c>
      <c r="AE11" s="17">
        <f>IF(INDEX(Abilities!$A$14:$A$23,7)&lt;=A11,INDEX(Abilities!$C$14:$C$23,7)*CHOOSE(Inputs!$C$13,1,INDEX(Abilities!$J$14:$J$23,7),INDEX(Abilities!$I$14:$I$23,7))*W11/MAX(INDEX(Abilities!$D$14:$D$23,7),Inputs!$C$12),0)</f>
        <v/>
      </c>
      <c r="AF11" s="17">
        <f>IF(INDEX(Abilities!$A$14:$A$23,8)&lt;=A11,INDEX(Abilities!$C$14:$C$23,8)*CHOOSE(Inputs!$C$13,1,INDEX(Abilities!$J$14:$J$23,8),INDEX(Abilities!$I$14:$I$23,8))*W11/MAX(INDEX(Abilities!$D$14:$D$23,8),Inputs!$C$12),0)</f>
        <v/>
      </c>
      <c r="AG11" s="17">
        <f>IF(INDEX(Abilities!$A$14:$A$23,9)&lt;=A11,INDEX(Abilities!$C$14:$C$23,9)*CHOOSE(Inputs!$C$13,1,INDEX(Abilities!$J$14:$J$23,9),INDEX(Abilities!$I$14:$I$23,9))*W11/MAX(INDEX(Abilities!$D$14:$D$23,9),Inputs!$C$12),0)</f>
        <v/>
      </c>
      <c r="AH11" s="17">
        <f>IF(INDEX(Abilities!$A$14:$A$23,10)&lt;=A11,INDEX(Abilities!$C$14:$C$23,10)*CHOOSE(Inputs!$C$13,1,INDEX(Abilities!$J$14:$J$23,10),INDEX(Abilities!$I$14:$I$23,10))*W11/MAX(INDEX(Abilities!$D$14:$D$23,10),Inputs!$C$12),0)</f>
        <v/>
      </c>
      <c r="AI11" s="17">
        <f>IF(INDEX(Abilities!$A$14:$A$23,1)&lt;=A11,MIN(Y11,X11*INDEX(Abilities!$C$14:$C$23,1)*CHOOSE(Inputs!$C$13,1,INDEX(Abilities!$J$14:$J$23,1),INDEX(Abilities!$I$14:$I$23,1))*W11/INDEX(Abilities!$E$14:$E$23,1)),0)</f>
        <v/>
      </c>
      <c r="AJ11" s="17">
        <f>IF(INDEX(Abilities!$A$14:$A$23,2)&lt;=A11,MIN(Z11,X11*INDEX(Abilities!$C$14:$C$23,2)*CHOOSE(Inputs!$C$13,1,INDEX(Abilities!$J$14:$J$23,2),INDEX(Abilities!$I$14:$I$23,2))*W11/INDEX(Abilities!$E$14:$E$23,2)),0)</f>
        <v/>
      </c>
      <c r="AK11" s="17">
        <f>IF(INDEX(Abilities!$A$14:$A$23,3)&lt;=A11,MIN(AA11,X11*INDEX(Abilities!$C$14:$C$23,3)*CHOOSE(Inputs!$C$13,1,INDEX(Abilities!$J$14:$J$23,3),INDEX(Abilities!$I$14:$I$23,3))*W11/INDEX(Abilities!$E$14:$E$23,3)),0)</f>
        <v/>
      </c>
      <c r="AL11" s="17">
        <f>IF(INDEX(Abilities!$A$14:$A$23,4)&lt;=A11,MIN(AB11,X11*INDEX(Abilities!$C$14:$C$23,4)*CHOOSE(Inputs!$C$13,1,INDEX(Abilities!$J$14:$J$23,4),INDEX(Abilities!$I$14:$I$23,4))*W11/INDEX(Abilities!$E$14:$E$23,4)),0)</f>
        <v/>
      </c>
      <c r="AM11" s="17">
        <f>IF(INDEX(Abilities!$A$14:$A$23,5)&lt;=A11,MIN(AC11,X11*INDEX(Abilities!$C$14:$C$23,5)*CHOOSE(Inputs!$C$13,1,INDEX(Abilities!$J$14:$J$23,5),INDEX(Abilities!$I$14:$I$23,5))*W11/INDEX(Abilities!$E$14:$E$23,5)),0)</f>
        <v/>
      </c>
      <c r="AN11" s="17">
        <f>IF(INDEX(Abilities!$A$14:$A$23,6)&lt;=A11,MIN(AD11,X11*INDEX(Abilities!$C$14:$C$23,6)*CHOOSE(Inputs!$C$13,1,INDEX(Abilities!$J$14:$J$23,6),INDEX(Abilities!$I$14:$I$23,6))*W11/INDEX(Abilities!$E$14:$E$23,6)),0)</f>
        <v/>
      </c>
      <c r="AO11" s="17">
        <f>IF(INDEX(Abilities!$A$14:$A$23,7)&lt;=A11,MIN(AE11,X11*INDEX(Abilities!$C$14:$C$23,7)*CHOOSE(Inputs!$C$13,1,INDEX(Abilities!$J$14:$J$23,7),INDEX(Abilities!$I$14:$I$23,7))*W11/INDEX(Abilities!$E$14:$E$23,7)),0)</f>
        <v/>
      </c>
      <c r="AP11" s="17">
        <f>IF(INDEX(Abilities!$A$14:$A$23,8)&lt;=A11,MIN(AF11,X11*INDEX(Abilities!$C$14:$C$23,8)*CHOOSE(Inputs!$C$13,1,INDEX(Abilities!$J$14:$J$23,8),INDEX(Abilities!$I$14:$I$23,8))*W11/INDEX(Abilities!$E$14:$E$23,8)),0)</f>
        <v/>
      </c>
      <c r="AQ11" s="17">
        <f>IF(INDEX(Abilities!$A$14:$A$23,9)&lt;=A11,MIN(AG11,X11*INDEX(Abilities!$C$14:$C$23,9)*CHOOSE(Inputs!$C$13,1,INDEX(Abilities!$J$14:$J$23,9),INDEX(Abilities!$I$14:$I$23,9))*W11/INDEX(Abilities!$E$14:$E$23,9)),0)</f>
        <v/>
      </c>
      <c r="AR11" s="17">
        <f>IF(INDEX(Abilities!$A$14:$A$23,10)&lt;=A11,MIN(AH11,X11*INDEX(Abilities!$C$14:$C$23,10)*CHOOSE(Inputs!$C$13,1,INDEX(Abilities!$J$14:$J$23,10),INDEX(Abilities!$I$14:$I$23,10))*W11/INDEX(Abilities!$E$14:$E$23,10)),0)</f>
        <v/>
      </c>
      <c r="AS11" s="17">
        <f>IF(INDEX(Abilities!$A$14:$A$23,1)&lt;=A11,INDEX(Abilities!$C$14:$C$23,1)*CHOOSE(Inputs!$C$13,1,INDEX(Abilities!$J$14:$J$23,1),INDEX(Abilities!$I$14:$I$23,1))*W11/MAX(INDEX(Abilities!$D$14:$D$23,1),2*Inputs!$C$12),0)</f>
        <v/>
      </c>
      <c r="AT11" s="17">
        <f>IF(INDEX(Abilities!$A$14:$A$23,2)&lt;=A11,INDEX(Abilities!$C$14:$C$23,2)*CHOOSE(Inputs!$C$13,1,INDEX(Abilities!$J$14:$J$23,2),INDEX(Abilities!$I$14:$I$23,2))*W11/MAX(INDEX(Abilities!$D$14:$D$23,2),2*Inputs!$C$12),0)</f>
        <v/>
      </c>
      <c r="AU11" s="17">
        <f>IF(INDEX(Abilities!$A$14:$A$23,3)&lt;=A11,INDEX(Abilities!$C$14:$C$23,3)*CHOOSE(Inputs!$C$13,1,INDEX(Abilities!$J$14:$J$23,3),INDEX(Abilities!$I$14:$I$23,3))*W11/MAX(INDEX(Abilities!$D$14:$D$23,3),2*Inputs!$C$12),0)</f>
        <v/>
      </c>
      <c r="AV11" s="17">
        <f>IF(INDEX(Abilities!$A$14:$A$23,4)&lt;=A11,INDEX(Abilities!$C$14:$C$23,4)*CHOOSE(Inputs!$C$13,1,INDEX(Abilities!$J$14:$J$23,4),INDEX(Abilities!$I$14:$I$23,4))*W11/MAX(INDEX(Abilities!$D$14:$D$23,4),2*Inputs!$C$12),0)</f>
        <v/>
      </c>
      <c r="AW11" s="17">
        <f>IF(INDEX(Abilities!$A$14:$A$23,5)&lt;=A11,INDEX(Abilities!$C$14:$C$23,5)*CHOOSE(Inputs!$C$13,1,INDEX(Abilities!$J$14:$J$23,5),INDEX(Abilities!$I$14:$I$23,5))*W11/MAX(INDEX(Abilities!$D$14:$D$23,5),2*Inputs!$C$12),0)</f>
        <v/>
      </c>
      <c r="AX11" s="17">
        <f>IF(INDEX(Abilities!$A$14:$A$23,6)&lt;=A11,INDEX(Abilities!$C$14:$C$23,6)*CHOOSE(Inputs!$C$13,1,INDEX(Abilities!$J$14:$J$23,6),INDEX(Abilities!$I$14:$I$23,6))*W11/MAX(INDEX(Abilities!$D$14:$D$23,6),2*Inputs!$C$12),0)</f>
        <v/>
      </c>
      <c r="AY11" s="17">
        <f>IF(INDEX(Abilities!$A$14:$A$23,7)&lt;=A11,INDEX(Abilities!$C$14:$C$23,7)*CHOOSE(Inputs!$C$13,1,INDEX(Abilities!$J$14:$J$23,7),INDEX(Abilities!$I$14:$I$23,7))*W11/MAX(INDEX(Abilities!$D$14:$D$23,7),2*Inputs!$C$12),0)</f>
        <v/>
      </c>
      <c r="AZ11" s="17">
        <f>IF(INDEX(Abilities!$A$14:$A$23,8)&lt;=A11,INDEX(Abilities!$C$14:$C$23,8)*CHOOSE(Inputs!$C$13,1,INDEX(Abilities!$J$14:$J$23,8),INDEX(Abilities!$I$14:$I$23,8))*W11/MAX(INDEX(Abilities!$D$14:$D$23,8),2*Inputs!$C$12),0)</f>
        <v/>
      </c>
      <c r="BA11" s="17">
        <f>IF(INDEX(Abilities!$A$14:$A$23,9)&lt;=A11,INDEX(Abilities!$C$14:$C$23,9)*CHOOSE(Inputs!$C$13,1,INDEX(Abilities!$J$14:$J$23,9),INDEX(Abilities!$I$14:$I$23,9))*W11/MAX(INDEX(Abilities!$D$14:$D$23,9),2*Inputs!$C$12),0)</f>
        <v/>
      </c>
      <c r="BB11" s="17">
        <f>IF(INDEX(Abilities!$A$14:$A$23,10)&lt;=A11,INDEX(Abilities!$C$14:$C$23,10)*CHOOSE(Inputs!$C$13,1,INDEX(Abilities!$J$14:$J$23,10),INDEX(Abilities!$I$14:$I$23,10))*W11/MAX(INDEX(Abilities!$D$14:$D$23,10),2*Inputs!$C$12),0)</f>
        <v/>
      </c>
      <c r="BC11" s="27">
        <f>MAX(Y11:AH11)</f>
        <v/>
      </c>
      <c r="BD11" s="8">
        <f>MATCH(BC11,Y11:AH11,0)</f>
        <v/>
      </c>
      <c r="BE11" s="15">
        <f>INDEX(Abilities!$B$14:$B$23,BD11)</f>
        <v/>
      </c>
      <c r="BF11" s="16">
        <f>CHOOSE(Inputs!$C$13,1,INDEX(Abilities!$J$14:$J$23,BD11),INDEX(Abilities!$I$14:$I$23,BD11))</f>
        <v/>
      </c>
      <c r="BG11" s="17">
        <f>INDEX(Abilities!$E$14:$E$23,BD11)/MAX(INDEX(Abilities!$D$14:$D$23,BD11),Inputs!$C$12)</f>
        <v/>
      </c>
      <c r="BH11" s="27">
        <f>MAX(AI11:AR11)</f>
        <v/>
      </c>
      <c r="BI11" s="8">
        <f>MATCH(BH11,AI11:AR11,0)</f>
        <v/>
      </c>
      <c r="BJ11" s="15">
        <f>INDEX(Abilities!$B$14:$B$23,BI11)</f>
        <v/>
      </c>
      <c r="BK11" s="14">
        <f>IFERROR(ROUNDUP(C11/(INDEX(Abilities!$C$14:$C$23,BD11)*W11),0),"-")</f>
        <v/>
      </c>
      <c r="BL11" s="9">
        <f>IFERROR(C11*INDEX(Abilities!$E$14:$E$23,BI11)/(INDEX(Abilities!$C$14:$C$23,BI11)*CHOOSE(Inputs!$C$13,1,INDEX(Abilities!$J$14:$J$23,BI11),INDEX(Abilities!$I$14:$I$23,BI11))*W11),"-")</f>
        <v/>
      </c>
      <c r="BM11" s="60">
        <f>IFERROR(P11/BL11,"-")</f>
        <v/>
      </c>
      <c r="BN11" s="17">
        <f>BH11+Inputs!$C$18*V11</f>
        <v/>
      </c>
      <c r="BO11" s="17">
        <f>BC11+Inputs!$C$18*V11</f>
        <v/>
      </c>
      <c r="BP11" s="27">
        <f>LARGE(AS11:BB11,1)+LARGE(AS11:BB11,2)</f>
        <v/>
      </c>
      <c r="BQ11" s="60">
        <f>IFERROR(IF(BG11&lt;=X11,C11/BO11,IF(C11/BO11*(BG11-X11)&lt;=P11,C11/BO11,P11/(BG11-X11)+(C11-BO11*P11/(BG11-X11))/BN11)),"-")</f>
        <v/>
      </c>
      <c r="BR11" s="60">
        <f>BQ11</f>
        <v/>
      </c>
      <c r="BS11" s="9">
        <f>MAX(0,(E11+(B11-A11))*(1-R11)*(1-Q11*'Class Table'!$O$7/Inputs!$C$19)-Q11*'Class Table'!$O$7/25)</f>
        <v/>
      </c>
      <c r="BT11" s="26">
        <f>IFERROR(BS11/F11*BR11,"-")</f>
        <v/>
      </c>
      <c r="BU11" s="28">
        <f>IFERROR(BT11/O11,"-")</f>
        <v/>
      </c>
      <c r="BV11" s="9">
        <f>IFERROR(O11*Inputs!$C$24/Inputs!$C$22*BR11,"-")</f>
        <v/>
      </c>
      <c r="BW11" s="28">
        <f>IFERROR(MAX(0,BT11-BV11)/O11,"-")</f>
        <v/>
      </c>
    </row>
    <row r="12">
      <c r="A12" s="8" t="n">
        <v>9</v>
      </c>
      <c r="B12" s="14">
        <f>'Mob by Level'!B12</f>
        <v/>
      </c>
      <c r="C12" s="9">
        <f>'Mob by Level'!C12</f>
        <v/>
      </c>
      <c r="D12" s="9">
        <f>'Mob by Level'!D12</f>
        <v/>
      </c>
      <c r="E12" s="9">
        <f>'Mob by Level'!E12</f>
        <v/>
      </c>
      <c r="F12" s="16">
        <f>'Mob by Level'!F12</f>
        <v/>
      </c>
      <c r="G12" s="14">
        <f>SUMIFS(Gear!$D$4:$D$603,Gear!$A$4:$A$603,A12,Gear!$B$4:$B$603,"Magus",Gear!$C$4:$C$603,Inputs!$C$5)</f>
        <v/>
      </c>
      <c r="H12" s="14">
        <f>SUMIFS(Gear!$E$4:$E$603,Gear!$A$4:$A$603,A12,Gear!$B$4:$B$603,"Magus",Gear!$C$4:$C$603,Inputs!$C$5)</f>
        <v/>
      </c>
      <c r="I12" s="14">
        <f>SUMIFS(Gear!$F$4:$F$603,Gear!$A$4:$A$603,A12,Gear!$B$4:$B$603,"Magus",Gear!$C$4:$C$603,Inputs!$C$5)+Inputs!$C$17*IFERROR(LOOKUP(A12,Abilities!$A$49:$A$53,Abilities!$C$49:$C$53),0)</f>
        <v/>
      </c>
      <c r="J12" s="13">
        <f>SUMIFS(Gear!$J$4:$J$603,Gear!$A$4:$A$603,A12,Gear!$B$4:$B$603,"Magus",Gear!$C$4:$C$603,Inputs!$C$5)</f>
        <v/>
      </c>
      <c r="K12" s="13">
        <f>SUMIFS(Gear!$K$4:$K$603,Gear!$A$4:$A$603,A12,Gear!$B$4:$B$603,"Magus",Gear!$C$4:$C$603,Inputs!$C$5)</f>
        <v/>
      </c>
      <c r="L12" s="13">
        <f>SUMIFS(Gear!$L$4:$L$603,Gear!$A$4:$A$603,A12,Gear!$B$4:$B$603,"Magus",Gear!$C$4:$C$603,Inputs!$C$5)</f>
        <v/>
      </c>
      <c r="M12" s="13">
        <f>SUMIFS(Gear!$M$4:$M$603,Gear!$A$4:$A$603,A12,Gear!$B$4:$B$603,"Magus",Gear!$C$4:$C$603,Inputs!$C$5)</f>
        <v/>
      </c>
      <c r="N12" s="13">
        <f>SUMIFS(Gear!$N$4:$N$603,Gear!$A$4:$A$603,A12,Gear!$B$4:$B$603,"Magus",Gear!$C$4:$C$603,Inputs!$C$5)</f>
        <v/>
      </c>
      <c r="O12" s="9">
        <f>INDEX('Class Table'!$H$4:$H$53,A12)+SUMIFS(Gear!$G$4:$G$603,Gear!$A$4:$A$603,A12,Gear!$B$4:$B$603,"Magus",Gear!$C$4:$C$603,Inputs!$C$5)</f>
        <v/>
      </c>
      <c r="P12" s="9">
        <f>INDEX('Class Table'!$I$4:$I$53,A12)+SUMIFS(Gear!$H$4:$H$603,Gear!$A$4:$A$603,A12,Gear!$B$4:$B$603,"Magus",Gear!$C$4:$C$603,Inputs!$C$5)</f>
        <v/>
      </c>
      <c r="Q12" s="9">
        <f>INDEX('Class Table'!$J$4:$J$53,A12)+SUMIFS(Gear!$I$4:$I$603,Gear!$A$4:$A$603,A12,Gear!$B$4:$B$603,"Magus",Gear!$C$4:$C$603,Inputs!$C$5)</f>
        <v/>
      </c>
      <c r="R12" s="13">
        <f>SUMIFS(Gear!$O$4:$O$603,Gear!$A$4:$A$603,A12,Gear!$B$4:$B$603,"Magus",Gear!$C$4:$C$603,Inputs!$C$5)</f>
        <v/>
      </c>
      <c r="S12" s="26">
        <f>I12+0+G12+A12+MAX(1,A12/2)+(A12-B12)</f>
        <v/>
      </c>
      <c r="T12" s="9">
        <f>MAX(0,S12*(1+M12)*(1+L12)*Inputs!$C$20*(1-D12/Inputs!$C$19)-D12/25)</f>
        <v/>
      </c>
      <c r="U12" s="16">
        <f>H12/10*(1-MIN(0.95,N12+0))*Inputs!$C$21</f>
        <v/>
      </c>
      <c r="V12" s="27">
        <f>T12/U12</f>
        <v/>
      </c>
      <c r="W12" s="16">
        <f>(1+J12)*(1+K12)*Inputs!$C$20</f>
        <v/>
      </c>
      <c r="X12" s="17">
        <f>P12*Inputs!$C$23/Inputs!$C$22</f>
        <v/>
      </c>
      <c r="Y12" s="17">
        <f>IF(INDEX(Abilities!$A$14:$A$23,1)&lt;=A12,INDEX(Abilities!$C$14:$C$23,1)*CHOOSE(Inputs!$C$13,1,INDEX(Abilities!$J$14:$J$23,1),INDEX(Abilities!$I$14:$I$23,1))*W12/MAX(INDEX(Abilities!$D$14:$D$23,1),Inputs!$C$12),0)</f>
        <v/>
      </c>
      <c r="Z12" s="17">
        <f>IF(INDEX(Abilities!$A$14:$A$23,2)&lt;=A12,INDEX(Abilities!$C$14:$C$23,2)*CHOOSE(Inputs!$C$13,1,INDEX(Abilities!$J$14:$J$23,2),INDEX(Abilities!$I$14:$I$23,2))*W12/MAX(INDEX(Abilities!$D$14:$D$23,2),Inputs!$C$12),0)</f>
        <v/>
      </c>
      <c r="AA12" s="17">
        <f>IF(INDEX(Abilities!$A$14:$A$23,3)&lt;=A12,INDEX(Abilities!$C$14:$C$23,3)*CHOOSE(Inputs!$C$13,1,INDEX(Abilities!$J$14:$J$23,3),INDEX(Abilities!$I$14:$I$23,3))*W12/MAX(INDEX(Abilities!$D$14:$D$23,3),Inputs!$C$12),0)</f>
        <v/>
      </c>
      <c r="AB12" s="17">
        <f>IF(INDEX(Abilities!$A$14:$A$23,4)&lt;=A12,INDEX(Abilities!$C$14:$C$23,4)*CHOOSE(Inputs!$C$13,1,INDEX(Abilities!$J$14:$J$23,4),INDEX(Abilities!$I$14:$I$23,4))*W12/MAX(INDEX(Abilities!$D$14:$D$23,4),Inputs!$C$12),0)</f>
        <v/>
      </c>
      <c r="AC12" s="17">
        <f>IF(INDEX(Abilities!$A$14:$A$23,5)&lt;=A12,INDEX(Abilities!$C$14:$C$23,5)*CHOOSE(Inputs!$C$13,1,INDEX(Abilities!$J$14:$J$23,5),INDEX(Abilities!$I$14:$I$23,5))*W12/MAX(INDEX(Abilities!$D$14:$D$23,5),Inputs!$C$12),0)</f>
        <v/>
      </c>
      <c r="AD12" s="17">
        <f>IF(INDEX(Abilities!$A$14:$A$23,6)&lt;=A12,INDEX(Abilities!$C$14:$C$23,6)*CHOOSE(Inputs!$C$13,1,INDEX(Abilities!$J$14:$J$23,6),INDEX(Abilities!$I$14:$I$23,6))*W12/MAX(INDEX(Abilities!$D$14:$D$23,6),Inputs!$C$12),0)</f>
        <v/>
      </c>
      <c r="AE12" s="17">
        <f>IF(INDEX(Abilities!$A$14:$A$23,7)&lt;=A12,INDEX(Abilities!$C$14:$C$23,7)*CHOOSE(Inputs!$C$13,1,INDEX(Abilities!$J$14:$J$23,7),INDEX(Abilities!$I$14:$I$23,7))*W12/MAX(INDEX(Abilities!$D$14:$D$23,7),Inputs!$C$12),0)</f>
        <v/>
      </c>
      <c r="AF12" s="17">
        <f>IF(INDEX(Abilities!$A$14:$A$23,8)&lt;=A12,INDEX(Abilities!$C$14:$C$23,8)*CHOOSE(Inputs!$C$13,1,INDEX(Abilities!$J$14:$J$23,8),INDEX(Abilities!$I$14:$I$23,8))*W12/MAX(INDEX(Abilities!$D$14:$D$23,8),Inputs!$C$12),0)</f>
        <v/>
      </c>
      <c r="AG12" s="17">
        <f>IF(INDEX(Abilities!$A$14:$A$23,9)&lt;=A12,INDEX(Abilities!$C$14:$C$23,9)*CHOOSE(Inputs!$C$13,1,INDEX(Abilities!$J$14:$J$23,9),INDEX(Abilities!$I$14:$I$23,9))*W12/MAX(INDEX(Abilities!$D$14:$D$23,9),Inputs!$C$12),0)</f>
        <v/>
      </c>
      <c r="AH12" s="17">
        <f>IF(INDEX(Abilities!$A$14:$A$23,10)&lt;=A12,INDEX(Abilities!$C$14:$C$23,10)*CHOOSE(Inputs!$C$13,1,INDEX(Abilities!$J$14:$J$23,10),INDEX(Abilities!$I$14:$I$23,10))*W12/MAX(INDEX(Abilities!$D$14:$D$23,10),Inputs!$C$12),0)</f>
        <v/>
      </c>
      <c r="AI12" s="17">
        <f>IF(INDEX(Abilities!$A$14:$A$23,1)&lt;=A12,MIN(Y12,X12*INDEX(Abilities!$C$14:$C$23,1)*CHOOSE(Inputs!$C$13,1,INDEX(Abilities!$J$14:$J$23,1),INDEX(Abilities!$I$14:$I$23,1))*W12/INDEX(Abilities!$E$14:$E$23,1)),0)</f>
        <v/>
      </c>
      <c r="AJ12" s="17">
        <f>IF(INDEX(Abilities!$A$14:$A$23,2)&lt;=A12,MIN(Z12,X12*INDEX(Abilities!$C$14:$C$23,2)*CHOOSE(Inputs!$C$13,1,INDEX(Abilities!$J$14:$J$23,2),INDEX(Abilities!$I$14:$I$23,2))*W12/INDEX(Abilities!$E$14:$E$23,2)),0)</f>
        <v/>
      </c>
      <c r="AK12" s="17">
        <f>IF(INDEX(Abilities!$A$14:$A$23,3)&lt;=A12,MIN(AA12,X12*INDEX(Abilities!$C$14:$C$23,3)*CHOOSE(Inputs!$C$13,1,INDEX(Abilities!$J$14:$J$23,3),INDEX(Abilities!$I$14:$I$23,3))*W12/INDEX(Abilities!$E$14:$E$23,3)),0)</f>
        <v/>
      </c>
      <c r="AL12" s="17">
        <f>IF(INDEX(Abilities!$A$14:$A$23,4)&lt;=A12,MIN(AB12,X12*INDEX(Abilities!$C$14:$C$23,4)*CHOOSE(Inputs!$C$13,1,INDEX(Abilities!$J$14:$J$23,4),INDEX(Abilities!$I$14:$I$23,4))*W12/INDEX(Abilities!$E$14:$E$23,4)),0)</f>
        <v/>
      </c>
      <c r="AM12" s="17">
        <f>IF(INDEX(Abilities!$A$14:$A$23,5)&lt;=A12,MIN(AC12,X12*INDEX(Abilities!$C$14:$C$23,5)*CHOOSE(Inputs!$C$13,1,INDEX(Abilities!$J$14:$J$23,5),INDEX(Abilities!$I$14:$I$23,5))*W12/INDEX(Abilities!$E$14:$E$23,5)),0)</f>
        <v/>
      </c>
      <c r="AN12" s="17">
        <f>IF(INDEX(Abilities!$A$14:$A$23,6)&lt;=A12,MIN(AD12,X12*INDEX(Abilities!$C$14:$C$23,6)*CHOOSE(Inputs!$C$13,1,INDEX(Abilities!$J$14:$J$23,6),INDEX(Abilities!$I$14:$I$23,6))*W12/INDEX(Abilities!$E$14:$E$23,6)),0)</f>
        <v/>
      </c>
      <c r="AO12" s="17">
        <f>IF(INDEX(Abilities!$A$14:$A$23,7)&lt;=A12,MIN(AE12,X12*INDEX(Abilities!$C$14:$C$23,7)*CHOOSE(Inputs!$C$13,1,INDEX(Abilities!$J$14:$J$23,7),INDEX(Abilities!$I$14:$I$23,7))*W12/INDEX(Abilities!$E$14:$E$23,7)),0)</f>
        <v/>
      </c>
      <c r="AP12" s="17">
        <f>IF(INDEX(Abilities!$A$14:$A$23,8)&lt;=A12,MIN(AF12,X12*INDEX(Abilities!$C$14:$C$23,8)*CHOOSE(Inputs!$C$13,1,INDEX(Abilities!$J$14:$J$23,8),INDEX(Abilities!$I$14:$I$23,8))*W12/INDEX(Abilities!$E$14:$E$23,8)),0)</f>
        <v/>
      </c>
      <c r="AQ12" s="17">
        <f>IF(INDEX(Abilities!$A$14:$A$23,9)&lt;=A12,MIN(AG12,X12*INDEX(Abilities!$C$14:$C$23,9)*CHOOSE(Inputs!$C$13,1,INDEX(Abilities!$J$14:$J$23,9),INDEX(Abilities!$I$14:$I$23,9))*W12/INDEX(Abilities!$E$14:$E$23,9)),0)</f>
        <v/>
      </c>
      <c r="AR12" s="17">
        <f>IF(INDEX(Abilities!$A$14:$A$23,10)&lt;=A12,MIN(AH12,X12*INDEX(Abilities!$C$14:$C$23,10)*CHOOSE(Inputs!$C$13,1,INDEX(Abilities!$J$14:$J$23,10),INDEX(Abilities!$I$14:$I$23,10))*W12/INDEX(Abilities!$E$14:$E$23,10)),0)</f>
        <v/>
      </c>
      <c r="AS12" s="17">
        <f>IF(INDEX(Abilities!$A$14:$A$23,1)&lt;=A12,INDEX(Abilities!$C$14:$C$23,1)*CHOOSE(Inputs!$C$13,1,INDEX(Abilities!$J$14:$J$23,1),INDEX(Abilities!$I$14:$I$23,1))*W12/MAX(INDEX(Abilities!$D$14:$D$23,1),2*Inputs!$C$12),0)</f>
        <v/>
      </c>
      <c r="AT12" s="17">
        <f>IF(INDEX(Abilities!$A$14:$A$23,2)&lt;=A12,INDEX(Abilities!$C$14:$C$23,2)*CHOOSE(Inputs!$C$13,1,INDEX(Abilities!$J$14:$J$23,2),INDEX(Abilities!$I$14:$I$23,2))*W12/MAX(INDEX(Abilities!$D$14:$D$23,2),2*Inputs!$C$12),0)</f>
        <v/>
      </c>
      <c r="AU12" s="17">
        <f>IF(INDEX(Abilities!$A$14:$A$23,3)&lt;=A12,INDEX(Abilities!$C$14:$C$23,3)*CHOOSE(Inputs!$C$13,1,INDEX(Abilities!$J$14:$J$23,3),INDEX(Abilities!$I$14:$I$23,3))*W12/MAX(INDEX(Abilities!$D$14:$D$23,3),2*Inputs!$C$12),0)</f>
        <v/>
      </c>
      <c r="AV12" s="17">
        <f>IF(INDEX(Abilities!$A$14:$A$23,4)&lt;=A12,INDEX(Abilities!$C$14:$C$23,4)*CHOOSE(Inputs!$C$13,1,INDEX(Abilities!$J$14:$J$23,4),INDEX(Abilities!$I$14:$I$23,4))*W12/MAX(INDEX(Abilities!$D$14:$D$23,4),2*Inputs!$C$12),0)</f>
        <v/>
      </c>
      <c r="AW12" s="17">
        <f>IF(INDEX(Abilities!$A$14:$A$23,5)&lt;=A12,INDEX(Abilities!$C$14:$C$23,5)*CHOOSE(Inputs!$C$13,1,INDEX(Abilities!$J$14:$J$23,5),INDEX(Abilities!$I$14:$I$23,5))*W12/MAX(INDEX(Abilities!$D$14:$D$23,5),2*Inputs!$C$12),0)</f>
        <v/>
      </c>
      <c r="AX12" s="17">
        <f>IF(INDEX(Abilities!$A$14:$A$23,6)&lt;=A12,INDEX(Abilities!$C$14:$C$23,6)*CHOOSE(Inputs!$C$13,1,INDEX(Abilities!$J$14:$J$23,6),INDEX(Abilities!$I$14:$I$23,6))*W12/MAX(INDEX(Abilities!$D$14:$D$23,6),2*Inputs!$C$12),0)</f>
        <v/>
      </c>
      <c r="AY12" s="17">
        <f>IF(INDEX(Abilities!$A$14:$A$23,7)&lt;=A12,INDEX(Abilities!$C$14:$C$23,7)*CHOOSE(Inputs!$C$13,1,INDEX(Abilities!$J$14:$J$23,7),INDEX(Abilities!$I$14:$I$23,7))*W12/MAX(INDEX(Abilities!$D$14:$D$23,7),2*Inputs!$C$12),0)</f>
        <v/>
      </c>
      <c r="AZ12" s="17">
        <f>IF(INDEX(Abilities!$A$14:$A$23,8)&lt;=A12,INDEX(Abilities!$C$14:$C$23,8)*CHOOSE(Inputs!$C$13,1,INDEX(Abilities!$J$14:$J$23,8),INDEX(Abilities!$I$14:$I$23,8))*W12/MAX(INDEX(Abilities!$D$14:$D$23,8),2*Inputs!$C$12),0)</f>
        <v/>
      </c>
      <c r="BA12" s="17">
        <f>IF(INDEX(Abilities!$A$14:$A$23,9)&lt;=A12,INDEX(Abilities!$C$14:$C$23,9)*CHOOSE(Inputs!$C$13,1,INDEX(Abilities!$J$14:$J$23,9),INDEX(Abilities!$I$14:$I$23,9))*W12/MAX(INDEX(Abilities!$D$14:$D$23,9),2*Inputs!$C$12),0)</f>
        <v/>
      </c>
      <c r="BB12" s="17">
        <f>IF(INDEX(Abilities!$A$14:$A$23,10)&lt;=A12,INDEX(Abilities!$C$14:$C$23,10)*CHOOSE(Inputs!$C$13,1,INDEX(Abilities!$J$14:$J$23,10),INDEX(Abilities!$I$14:$I$23,10))*W12/MAX(INDEX(Abilities!$D$14:$D$23,10),2*Inputs!$C$12),0)</f>
        <v/>
      </c>
      <c r="BC12" s="27">
        <f>MAX(Y12:AH12)</f>
        <v/>
      </c>
      <c r="BD12" s="8">
        <f>MATCH(BC12,Y12:AH12,0)</f>
        <v/>
      </c>
      <c r="BE12" s="15">
        <f>INDEX(Abilities!$B$14:$B$23,BD12)</f>
        <v/>
      </c>
      <c r="BF12" s="16">
        <f>CHOOSE(Inputs!$C$13,1,INDEX(Abilities!$J$14:$J$23,BD12),INDEX(Abilities!$I$14:$I$23,BD12))</f>
        <v/>
      </c>
      <c r="BG12" s="17">
        <f>INDEX(Abilities!$E$14:$E$23,BD12)/MAX(INDEX(Abilities!$D$14:$D$23,BD12),Inputs!$C$12)</f>
        <v/>
      </c>
      <c r="BH12" s="27">
        <f>MAX(AI12:AR12)</f>
        <v/>
      </c>
      <c r="BI12" s="8">
        <f>MATCH(BH12,AI12:AR12,0)</f>
        <v/>
      </c>
      <c r="BJ12" s="15">
        <f>INDEX(Abilities!$B$14:$B$23,BI12)</f>
        <v/>
      </c>
      <c r="BK12" s="14">
        <f>IFERROR(ROUNDUP(C12/(INDEX(Abilities!$C$14:$C$23,BD12)*W12),0),"-")</f>
        <v/>
      </c>
      <c r="BL12" s="9">
        <f>IFERROR(C12*INDEX(Abilities!$E$14:$E$23,BI12)/(INDEX(Abilities!$C$14:$C$23,BI12)*CHOOSE(Inputs!$C$13,1,INDEX(Abilities!$J$14:$J$23,BI12),INDEX(Abilities!$I$14:$I$23,BI12))*W12),"-")</f>
        <v/>
      </c>
      <c r="BM12" s="60">
        <f>IFERROR(P12/BL12,"-")</f>
        <v/>
      </c>
      <c r="BN12" s="17">
        <f>BH12+Inputs!$C$18*V12</f>
        <v/>
      </c>
      <c r="BO12" s="17">
        <f>BC12+Inputs!$C$18*V12</f>
        <v/>
      </c>
      <c r="BP12" s="27">
        <f>LARGE(AS12:BB12,1)+LARGE(AS12:BB12,2)</f>
        <v/>
      </c>
      <c r="BQ12" s="60">
        <f>IFERROR(IF(BG12&lt;=X12,C12/BO12,IF(C12/BO12*(BG12-X12)&lt;=P12,C12/BO12,P12/(BG12-X12)+(C12-BO12*P12/(BG12-X12))/BN12)),"-")</f>
        <v/>
      </c>
      <c r="BR12" s="60">
        <f>BQ12</f>
        <v/>
      </c>
      <c r="BS12" s="9">
        <f>MAX(0,(E12+(B12-A12))*(1-R12)*(1-Q12*'Class Table'!$O$7/Inputs!$C$19)-Q12*'Class Table'!$O$7/25)</f>
        <v/>
      </c>
      <c r="BT12" s="26">
        <f>IFERROR(BS12/F12*BR12,"-")</f>
        <v/>
      </c>
      <c r="BU12" s="28">
        <f>IFERROR(BT12/O12,"-")</f>
        <v/>
      </c>
      <c r="BV12" s="9">
        <f>IFERROR(O12*Inputs!$C$24/Inputs!$C$22*BR12,"-")</f>
        <v/>
      </c>
      <c r="BW12" s="28">
        <f>IFERROR(MAX(0,BT12-BV12)/O12,"-")</f>
        <v/>
      </c>
    </row>
    <row r="13">
      <c r="A13" s="8" t="n">
        <v>10</v>
      </c>
      <c r="B13" s="14">
        <f>'Mob by Level'!B13</f>
        <v/>
      </c>
      <c r="C13" s="9">
        <f>'Mob by Level'!C13</f>
        <v/>
      </c>
      <c r="D13" s="9">
        <f>'Mob by Level'!D13</f>
        <v/>
      </c>
      <c r="E13" s="9">
        <f>'Mob by Level'!E13</f>
        <v/>
      </c>
      <c r="F13" s="16">
        <f>'Mob by Level'!F13</f>
        <v/>
      </c>
      <c r="G13" s="14">
        <f>SUMIFS(Gear!$D$4:$D$603,Gear!$A$4:$A$603,A13,Gear!$B$4:$B$603,"Magus",Gear!$C$4:$C$603,Inputs!$C$5)</f>
        <v/>
      </c>
      <c r="H13" s="14">
        <f>SUMIFS(Gear!$E$4:$E$603,Gear!$A$4:$A$603,A13,Gear!$B$4:$B$603,"Magus",Gear!$C$4:$C$603,Inputs!$C$5)</f>
        <v/>
      </c>
      <c r="I13" s="14">
        <f>SUMIFS(Gear!$F$4:$F$603,Gear!$A$4:$A$603,A13,Gear!$B$4:$B$603,"Magus",Gear!$C$4:$C$603,Inputs!$C$5)+Inputs!$C$17*IFERROR(LOOKUP(A13,Abilities!$A$49:$A$53,Abilities!$C$49:$C$53),0)</f>
        <v/>
      </c>
      <c r="J13" s="13">
        <f>SUMIFS(Gear!$J$4:$J$603,Gear!$A$4:$A$603,A13,Gear!$B$4:$B$603,"Magus",Gear!$C$4:$C$603,Inputs!$C$5)</f>
        <v/>
      </c>
      <c r="K13" s="13">
        <f>SUMIFS(Gear!$K$4:$K$603,Gear!$A$4:$A$603,A13,Gear!$B$4:$B$603,"Magus",Gear!$C$4:$C$603,Inputs!$C$5)</f>
        <v/>
      </c>
      <c r="L13" s="13">
        <f>SUMIFS(Gear!$L$4:$L$603,Gear!$A$4:$A$603,A13,Gear!$B$4:$B$603,"Magus",Gear!$C$4:$C$603,Inputs!$C$5)</f>
        <v/>
      </c>
      <c r="M13" s="13">
        <f>SUMIFS(Gear!$M$4:$M$603,Gear!$A$4:$A$603,A13,Gear!$B$4:$B$603,"Magus",Gear!$C$4:$C$603,Inputs!$C$5)</f>
        <v/>
      </c>
      <c r="N13" s="13">
        <f>SUMIFS(Gear!$N$4:$N$603,Gear!$A$4:$A$603,A13,Gear!$B$4:$B$603,"Magus",Gear!$C$4:$C$603,Inputs!$C$5)</f>
        <v/>
      </c>
      <c r="O13" s="9">
        <f>INDEX('Class Table'!$H$4:$H$53,A13)+SUMIFS(Gear!$G$4:$G$603,Gear!$A$4:$A$603,A13,Gear!$B$4:$B$603,"Magus",Gear!$C$4:$C$603,Inputs!$C$5)</f>
        <v/>
      </c>
      <c r="P13" s="9">
        <f>INDEX('Class Table'!$I$4:$I$53,A13)+SUMIFS(Gear!$H$4:$H$603,Gear!$A$4:$A$603,A13,Gear!$B$4:$B$603,"Magus",Gear!$C$4:$C$603,Inputs!$C$5)</f>
        <v/>
      </c>
      <c r="Q13" s="9">
        <f>INDEX('Class Table'!$J$4:$J$53,A13)+SUMIFS(Gear!$I$4:$I$603,Gear!$A$4:$A$603,A13,Gear!$B$4:$B$603,"Magus",Gear!$C$4:$C$603,Inputs!$C$5)</f>
        <v/>
      </c>
      <c r="R13" s="13">
        <f>SUMIFS(Gear!$O$4:$O$603,Gear!$A$4:$A$603,A13,Gear!$B$4:$B$603,"Magus",Gear!$C$4:$C$603,Inputs!$C$5)</f>
        <v/>
      </c>
      <c r="S13" s="26">
        <f>I13+0+G13+A13+MAX(1,A13/2)+(A13-B13)</f>
        <v/>
      </c>
      <c r="T13" s="9">
        <f>MAX(0,S13*(1+M13)*(1+L13)*Inputs!$C$20*(1-D13/Inputs!$C$19)-D13/25)</f>
        <v/>
      </c>
      <c r="U13" s="16">
        <f>H13/10*(1-MIN(0.95,N13+0))*Inputs!$C$21</f>
        <v/>
      </c>
      <c r="V13" s="27">
        <f>T13/U13</f>
        <v/>
      </c>
      <c r="W13" s="16">
        <f>(1+J13)*(1+K13)*Inputs!$C$20</f>
        <v/>
      </c>
      <c r="X13" s="17">
        <f>P13*Inputs!$C$23/Inputs!$C$22</f>
        <v/>
      </c>
      <c r="Y13" s="17">
        <f>IF(INDEX(Abilities!$A$14:$A$23,1)&lt;=A13,INDEX(Abilities!$C$14:$C$23,1)*CHOOSE(Inputs!$C$13,1,INDEX(Abilities!$J$14:$J$23,1),INDEX(Abilities!$I$14:$I$23,1))*W13/MAX(INDEX(Abilities!$D$14:$D$23,1),Inputs!$C$12),0)</f>
        <v/>
      </c>
      <c r="Z13" s="17">
        <f>IF(INDEX(Abilities!$A$14:$A$23,2)&lt;=A13,INDEX(Abilities!$C$14:$C$23,2)*CHOOSE(Inputs!$C$13,1,INDEX(Abilities!$J$14:$J$23,2),INDEX(Abilities!$I$14:$I$23,2))*W13/MAX(INDEX(Abilities!$D$14:$D$23,2),Inputs!$C$12),0)</f>
        <v/>
      </c>
      <c r="AA13" s="17">
        <f>IF(INDEX(Abilities!$A$14:$A$23,3)&lt;=A13,INDEX(Abilities!$C$14:$C$23,3)*CHOOSE(Inputs!$C$13,1,INDEX(Abilities!$J$14:$J$23,3),INDEX(Abilities!$I$14:$I$23,3))*W13/MAX(INDEX(Abilities!$D$14:$D$23,3),Inputs!$C$12),0)</f>
        <v/>
      </c>
      <c r="AB13" s="17">
        <f>IF(INDEX(Abilities!$A$14:$A$23,4)&lt;=A13,INDEX(Abilities!$C$14:$C$23,4)*CHOOSE(Inputs!$C$13,1,INDEX(Abilities!$J$14:$J$23,4),INDEX(Abilities!$I$14:$I$23,4))*W13/MAX(INDEX(Abilities!$D$14:$D$23,4),Inputs!$C$12),0)</f>
        <v/>
      </c>
      <c r="AC13" s="17">
        <f>IF(INDEX(Abilities!$A$14:$A$23,5)&lt;=A13,INDEX(Abilities!$C$14:$C$23,5)*CHOOSE(Inputs!$C$13,1,INDEX(Abilities!$J$14:$J$23,5),INDEX(Abilities!$I$14:$I$23,5))*W13/MAX(INDEX(Abilities!$D$14:$D$23,5),Inputs!$C$12),0)</f>
        <v/>
      </c>
      <c r="AD13" s="17">
        <f>IF(INDEX(Abilities!$A$14:$A$23,6)&lt;=A13,INDEX(Abilities!$C$14:$C$23,6)*CHOOSE(Inputs!$C$13,1,INDEX(Abilities!$J$14:$J$23,6),INDEX(Abilities!$I$14:$I$23,6))*W13/MAX(INDEX(Abilities!$D$14:$D$23,6),Inputs!$C$12),0)</f>
        <v/>
      </c>
      <c r="AE13" s="17">
        <f>IF(INDEX(Abilities!$A$14:$A$23,7)&lt;=A13,INDEX(Abilities!$C$14:$C$23,7)*CHOOSE(Inputs!$C$13,1,INDEX(Abilities!$J$14:$J$23,7),INDEX(Abilities!$I$14:$I$23,7))*W13/MAX(INDEX(Abilities!$D$14:$D$23,7),Inputs!$C$12),0)</f>
        <v/>
      </c>
      <c r="AF13" s="17">
        <f>IF(INDEX(Abilities!$A$14:$A$23,8)&lt;=A13,INDEX(Abilities!$C$14:$C$23,8)*CHOOSE(Inputs!$C$13,1,INDEX(Abilities!$J$14:$J$23,8),INDEX(Abilities!$I$14:$I$23,8))*W13/MAX(INDEX(Abilities!$D$14:$D$23,8),Inputs!$C$12),0)</f>
        <v/>
      </c>
      <c r="AG13" s="17">
        <f>IF(INDEX(Abilities!$A$14:$A$23,9)&lt;=A13,INDEX(Abilities!$C$14:$C$23,9)*CHOOSE(Inputs!$C$13,1,INDEX(Abilities!$J$14:$J$23,9),INDEX(Abilities!$I$14:$I$23,9))*W13/MAX(INDEX(Abilities!$D$14:$D$23,9),Inputs!$C$12),0)</f>
        <v/>
      </c>
      <c r="AH13" s="17">
        <f>IF(INDEX(Abilities!$A$14:$A$23,10)&lt;=A13,INDEX(Abilities!$C$14:$C$23,10)*CHOOSE(Inputs!$C$13,1,INDEX(Abilities!$J$14:$J$23,10),INDEX(Abilities!$I$14:$I$23,10))*W13/MAX(INDEX(Abilities!$D$14:$D$23,10),Inputs!$C$12),0)</f>
        <v/>
      </c>
      <c r="AI13" s="17">
        <f>IF(INDEX(Abilities!$A$14:$A$23,1)&lt;=A13,MIN(Y13,X13*INDEX(Abilities!$C$14:$C$23,1)*CHOOSE(Inputs!$C$13,1,INDEX(Abilities!$J$14:$J$23,1),INDEX(Abilities!$I$14:$I$23,1))*W13/INDEX(Abilities!$E$14:$E$23,1)),0)</f>
        <v/>
      </c>
      <c r="AJ13" s="17">
        <f>IF(INDEX(Abilities!$A$14:$A$23,2)&lt;=A13,MIN(Z13,X13*INDEX(Abilities!$C$14:$C$23,2)*CHOOSE(Inputs!$C$13,1,INDEX(Abilities!$J$14:$J$23,2),INDEX(Abilities!$I$14:$I$23,2))*W13/INDEX(Abilities!$E$14:$E$23,2)),0)</f>
        <v/>
      </c>
      <c r="AK13" s="17">
        <f>IF(INDEX(Abilities!$A$14:$A$23,3)&lt;=A13,MIN(AA13,X13*INDEX(Abilities!$C$14:$C$23,3)*CHOOSE(Inputs!$C$13,1,INDEX(Abilities!$J$14:$J$23,3),INDEX(Abilities!$I$14:$I$23,3))*W13/INDEX(Abilities!$E$14:$E$23,3)),0)</f>
        <v/>
      </c>
      <c r="AL13" s="17">
        <f>IF(INDEX(Abilities!$A$14:$A$23,4)&lt;=A13,MIN(AB13,X13*INDEX(Abilities!$C$14:$C$23,4)*CHOOSE(Inputs!$C$13,1,INDEX(Abilities!$J$14:$J$23,4),INDEX(Abilities!$I$14:$I$23,4))*W13/INDEX(Abilities!$E$14:$E$23,4)),0)</f>
        <v/>
      </c>
      <c r="AM13" s="17">
        <f>IF(INDEX(Abilities!$A$14:$A$23,5)&lt;=A13,MIN(AC13,X13*INDEX(Abilities!$C$14:$C$23,5)*CHOOSE(Inputs!$C$13,1,INDEX(Abilities!$J$14:$J$23,5),INDEX(Abilities!$I$14:$I$23,5))*W13/INDEX(Abilities!$E$14:$E$23,5)),0)</f>
        <v/>
      </c>
      <c r="AN13" s="17">
        <f>IF(INDEX(Abilities!$A$14:$A$23,6)&lt;=A13,MIN(AD13,X13*INDEX(Abilities!$C$14:$C$23,6)*CHOOSE(Inputs!$C$13,1,INDEX(Abilities!$J$14:$J$23,6),INDEX(Abilities!$I$14:$I$23,6))*W13/INDEX(Abilities!$E$14:$E$23,6)),0)</f>
        <v/>
      </c>
      <c r="AO13" s="17">
        <f>IF(INDEX(Abilities!$A$14:$A$23,7)&lt;=A13,MIN(AE13,X13*INDEX(Abilities!$C$14:$C$23,7)*CHOOSE(Inputs!$C$13,1,INDEX(Abilities!$J$14:$J$23,7),INDEX(Abilities!$I$14:$I$23,7))*W13/INDEX(Abilities!$E$14:$E$23,7)),0)</f>
        <v/>
      </c>
      <c r="AP13" s="17">
        <f>IF(INDEX(Abilities!$A$14:$A$23,8)&lt;=A13,MIN(AF13,X13*INDEX(Abilities!$C$14:$C$23,8)*CHOOSE(Inputs!$C$13,1,INDEX(Abilities!$J$14:$J$23,8),INDEX(Abilities!$I$14:$I$23,8))*W13/INDEX(Abilities!$E$14:$E$23,8)),0)</f>
        <v/>
      </c>
      <c r="AQ13" s="17">
        <f>IF(INDEX(Abilities!$A$14:$A$23,9)&lt;=A13,MIN(AG13,X13*INDEX(Abilities!$C$14:$C$23,9)*CHOOSE(Inputs!$C$13,1,INDEX(Abilities!$J$14:$J$23,9),INDEX(Abilities!$I$14:$I$23,9))*W13/INDEX(Abilities!$E$14:$E$23,9)),0)</f>
        <v/>
      </c>
      <c r="AR13" s="17">
        <f>IF(INDEX(Abilities!$A$14:$A$23,10)&lt;=A13,MIN(AH13,X13*INDEX(Abilities!$C$14:$C$23,10)*CHOOSE(Inputs!$C$13,1,INDEX(Abilities!$J$14:$J$23,10),INDEX(Abilities!$I$14:$I$23,10))*W13/INDEX(Abilities!$E$14:$E$23,10)),0)</f>
        <v/>
      </c>
      <c r="AS13" s="17">
        <f>IF(INDEX(Abilities!$A$14:$A$23,1)&lt;=A13,INDEX(Abilities!$C$14:$C$23,1)*CHOOSE(Inputs!$C$13,1,INDEX(Abilities!$J$14:$J$23,1),INDEX(Abilities!$I$14:$I$23,1))*W13/MAX(INDEX(Abilities!$D$14:$D$23,1),2*Inputs!$C$12),0)</f>
        <v/>
      </c>
      <c r="AT13" s="17">
        <f>IF(INDEX(Abilities!$A$14:$A$23,2)&lt;=A13,INDEX(Abilities!$C$14:$C$23,2)*CHOOSE(Inputs!$C$13,1,INDEX(Abilities!$J$14:$J$23,2),INDEX(Abilities!$I$14:$I$23,2))*W13/MAX(INDEX(Abilities!$D$14:$D$23,2),2*Inputs!$C$12),0)</f>
        <v/>
      </c>
      <c r="AU13" s="17">
        <f>IF(INDEX(Abilities!$A$14:$A$23,3)&lt;=A13,INDEX(Abilities!$C$14:$C$23,3)*CHOOSE(Inputs!$C$13,1,INDEX(Abilities!$J$14:$J$23,3),INDEX(Abilities!$I$14:$I$23,3))*W13/MAX(INDEX(Abilities!$D$14:$D$23,3),2*Inputs!$C$12),0)</f>
        <v/>
      </c>
      <c r="AV13" s="17">
        <f>IF(INDEX(Abilities!$A$14:$A$23,4)&lt;=A13,INDEX(Abilities!$C$14:$C$23,4)*CHOOSE(Inputs!$C$13,1,INDEX(Abilities!$J$14:$J$23,4),INDEX(Abilities!$I$14:$I$23,4))*W13/MAX(INDEX(Abilities!$D$14:$D$23,4),2*Inputs!$C$12),0)</f>
        <v/>
      </c>
      <c r="AW13" s="17">
        <f>IF(INDEX(Abilities!$A$14:$A$23,5)&lt;=A13,INDEX(Abilities!$C$14:$C$23,5)*CHOOSE(Inputs!$C$13,1,INDEX(Abilities!$J$14:$J$23,5),INDEX(Abilities!$I$14:$I$23,5))*W13/MAX(INDEX(Abilities!$D$14:$D$23,5),2*Inputs!$C$12),0)</f>
        <v/>
      </c>
      <c r="AX13" s="17">
        <f>IF(INDEX(Abilities!$A$14:$A$23,6)&lt;=A13,INDEX(Abilities!$C$14:$C$23,6)*CHOOSE(Inputs!$C$13,1,INDEX(Abilities!$J$14:$J$23,6),INDEX(Abilities!$I$14:$I$23,6))*W13/MAX(INDEX(Abilities!$D$14:$D$23,6),2*Inputs!$C$12),0)</f>
        <v/>
      </c>
      <c r="AY13" s="17">
        <f>IF(INDEX(Abilities!$A$14:$A$23,7)&lt;=A13,INDEX(Abilities!$C$14:$C$23,7)*CHOOSE(Inputs!$C$13,1,INDEX(Abilities!$J$14:$J$23,7),INDEX(Abilities!$I$14:$I$23,7))*W13/MAX(INDEX(Abilities!$D$14:$D$23,7),2*Inputs!$C$12),0)</f>
        <v/>
      </c>
      <c r="AZ13" s="17">
        <f>IF(INDEX(Abilities!$A$14:$A$23,8)&lt;=A13,INDEX(Abilities!$C$14:$C$23,8)*CHOOSE(Inputs!$C$13,1,INDEX(Abilities!$J$14:$J$23,8),INDEX(Abilities!$I$14:$I$23,8))*W13/MAX(INDEX(Abilities!$D$14:$D$23,8),2*Inputs!$C$12),0)</f>
        <v/>
      </c>
      <c r="BA13" s="17">
        <f>IF(INDEX(Abilities!$A$14:$A$23,9)&lt;=A13,INDEX(Abilities!$C$14:$C$23,9)*CHOOSE(Inputs!$C$13,1,INDEX(Abilities!$J$14:$J$23,9),INDEX(Abilities!$I$14:$I$23,9))*W13/MAX(INDEX(Abilities!$D$14:$D$23,9),2*Inputs!$C$12),0)</f>
        <v/>
      </c>
      <c r="BB13" s="17">
        <f>IF(INDEX(Abilities!$A$14:$A$23,10)&lt;=A13,INDEX(Abilities!$C$14:$C$23,10)*CHOOSE(Inputs!$C$13,1,INDEX(Abilities!$J$14:$J$23,10),INDEX(Abilities!$I$14:$I$23,10))*W13/MAX(INDEX(Abilities!$D$14:$D$23,10),2*Inputs!$C$12),0)</f>
        <v/>
      </c>
      <c r="BC13" s="27">
        <f>MAX(Y13:AH13)</f>
        <v/>
      </c>
      <c r="BD13" s="8">
        <f>MATCH(BC13,Y13:AH13,0)</f>
        <v/>
      </c>
      <c r="BE13" s="15">
        <f>INDEX(Abilities!$B$14:$B$23,BD13)</f>
        <v/>
      </c>
      <c r="BF13" s="16">
        <f>CHOOSE(Inputs!$C$13,1,INDEX(Abilities!$J$14:$J$23,BD13),INDEX(Abilities!$I$14:$I$23,BD13))</f>
        <v/>
      </c>
      <c r="BG13" s="17">
        <f>INDEX(Abilities!$E$14:$E$23,BD13)/MAX(INDEX(Abilities!$D$14:$D$23,BD13),Inputs!$C$12)</f>
        <v/>
      </c>
      <c r="BH13" s="27">
        <f>MAX(AI13:AR13)</f>
        <v/>
      </c>
      <c r="BI13" s="8">
        <f>MATCH(BH13,AI13:AR13,0)</f>
        <v/>
      </c>
      <c r="BJ13" s="15">
        <f>INDEX(Abilities!$B$14:$B$23,BI13)</f>
        <v/>
      </c>
      <c r="BK13" s="14">
        <f>IFERROR(ROUNDUP(C13/(INDEX(Abilities!$C$14:$C$23,BD13)*W13),0),"-")</f>
        <v/>
      </c>
      <c r="BL13" s="9">
        <f>IFERROR(C13*INDEX(Abilities!$E$14:$E$23,BI13)/(INDEX(Abilities!$C$14:$C$23,BI13)*CHOOSE(Inputs!$C$13,1,INDEX(Abilities!$J$14:$J$23,BI13),INDEX(Abilities!$I$14:$I$23,BI13))*W13),"-")</f>
        <v/>
      </c>
      <c r="BM13" s="60">
        <f>IFERROR(P13/BL13,"-")</f>
        <v/>
      </c>
      <c r="BN13" s="17">
        <f>BH13+Inputs!$C$18*V13</f>
        <v/>
      </c>
      <c r="BO13" s="17">
        <f>BC13+Inputs!$C$18*V13</f>
        <v/>
      </c>
      <c r="BP13" s="27">
        <f>LARGE(AS13:BB13,1)+LARGE(AS13:BB13,2)</f>
        <v/>
      </c>
      <c r="BQ13" s="60">
        <f>IFERROR(IF(BG13&lt;=X13,C13/BO13,IF(C13/BO13*(BG13-X13)&lt;=P13,C13/BO13,P13/(BG13-X13)+(C13-BO13*P13/(BG13-X13))/BN13)),"-")</f>
        <v/>
      </c>
      <c r="BR13" s="60">
        <f>BQ13</f>
        <v/>
      </c>
      <c r="BS13" s="9">
        <f>MAX(0,(E13+(B13-A13))*(1-R13)*(1-Q13*'Class Table'!$O$7/Inputs!$C$19)-Q13*'Class Table'!$O$7/25)</f>
        <v/>
      </c>
      <c r="BT13" s="26">
        <f>IFERROR(BS13/F13*BR13,"-")</f>
        <v/>
      </c>
      <c r="BU13" s="28">
        <f>IFERROR(BT13/O13,"-")</f>
        <v/>
      </c>
      <c r="BV13" s="9">
        <f>IFERROR(O13*Inputs!$C$24/Inputs!$C$22*BR13,"-")</f>
        <v/>
      </c>
      <c r="BW13" s="28">
        <f>IFERROR(MAX(0,BT13-BV13)/O13,"-")</f>
        <v/>
      </c>
    </row>
    <row r="14">
      <c r="A14" s="8" t="n">
        <v>11</v>
      </c>
      <c r="B14" s="14">
        <f>'Mob by Level'!B14</f>
        <v/>
      </c>
      <c r="C14" s="9">
        <f>'Mob by Level'!C14</f>
        <v/>
      </c>
      <c r="D14" s="9">
        <f>'Mob by Level'!D14</f>
        <v/>
      </c>
      <c r="E14" s="9">
        <f>'Mob by Level'!E14</f>
        <v/>
      </c>
      <c r="F14" s="16">
        <f>'Mob by Level'!F14</f>
        <v/>
      </c>
      <c r="G14" s="14">
        <f>SUMIFS(Gear!$D$4:$D$603,Gear!$A$4:$A$603,A14,Gear!$B$4:$B$603,"Magus",Gear!$C$4:$C$603,Inputs!$C$5)</f>
        <v/>
      </c>
      <c r="H14" s="14">
        <f>SUMIFS(Gear!$E$4:$E$603,Gear!$A$4:$A$603,A14,Gear!$B$4:$B$603,"Magus",Gear!$C$4:$C$603,Inputs!$C$5)</f>
        <v/>
      </c>
      <c r="I14" s="14">
        <f>SUMIFS(Gear!$F$4:$F$603,Gear!$A$4:$A$603,A14,Gear!$B$4:$B$603,"Magus",Gear!$C$4:$C$603,Inputs!$C$5)+Inputs!$C$17*IFERROR(LOOKUP(A14,Abilities!$A$49:$A$53,Abilities!$C$49:$C$53),0)</f>
        <v/>
      </c>
      <c r="J14" s="13">
        <f>SUMIFS(Gear!$J$4:$J$603,Gear!$A$4:$A$603,A14,Gear!$B$4:$B$603,"Magus",Gear!$C$4:$C$603,Inputs!$C$5)</f>
        <v/>
      </c>
      <c r="K14" s="13">
        <f>SUMIFS(Gear!$K$4:$K$603,Gear!$A$4:$A$603,A14,Gear!$B$4:$B$603,"Magus",Gear!$C$4:$C$603,Inputs!$C$5)</f>
        <v/>
      </c>
      <c r="L14" s="13">
        <f>SUMIFS(Gear!$L$4:$L$603,Gear!$A$4:$A$603,A14,Gear!$B$4:$B$603,"Magus",Gear!$C$4:$C$603,Inputs!$C$5)</f>
        <v/>
      </c>
      <c r="M14" s="13">
        <f>SUMIFS(Gear!$M$4:$M$603,Gear!$A$4:$A$603,A14,Gear!$B$4:$B$603,"Magus",Gear!$C$4:$C$603,Inputs!$C$5)</f>
        <v/>
      </c>
      <c r="N14" s="13">
        <f>SUMIFS(Gear!$N$4:$N$603,Gear!$A$4:$A$603,A14,Gear!$B$4:$B$603,"Magus",Gear!$C$4:$C$603,Inputs!$C$5)</f>
        <v/>
      </c>
      <c r="O14" s="9">
        <f>INDEX('Class Table'!$H$4:$H$53,A14)+SUMIFS(Gear!$G$4:$G$603,Gear!$A$4:$A$603,A14,Gear!$B$4:$B$603,"Magus",Gear!$C$4:$C$603,Inputs!$C$5)</f>
        <v/>
      </c>
      <c r="P14" s="9">
        <f>INDEX('Class Table'!$I$4:$I$53,A14)+SUMIFS(Gear!$H$4:$H$603,Gear!$A$4:$A$603,A14,Gear!$B$4:$B$603,"Magus",Gear!$C$4:$C$603,Inputs!$C$5)</f>
        <v/>
      </c>
      <c r="Q14" s="9">
        <f>INDEX('Class Table'!$J$4:$J$53,A14)+SUMIFS(Gear!$I$4:$I$603,Gear!$A$4:$A$603,A14,Gear!$B$4:$B$603,"Magus",Gear!$C$4:$C$603,Inputs!$C$5)</f>
        <v/>
      </c>
      <c r="R14" s="13">
        <f>SUMIFS(Gear!$O$4:$O$603,Gear!$A$4:$A$603,A14,Gear!$B$4:$B$603,"Magus",Gear!$C$4:$C$603,Inputs!$C$5)</f>
        <v/>
      </c>
      <c r="S14" s="26">
        <f>I14+0+G14+A14+MAX(1,A14/2)+(A14-B14)</f>
        <v/>
      </c>
      <c r="T14" s="9">
        <f>MAX(0,S14*(1+M14)*(1+L14)*Inputs!$C$20*(1-D14/Inputs!$C$19)-D14/25)</f>
        <v/>
      </c>
      <c r="U14" s="16">
        <f>H14/10*(1-MIN(0.95,N14+0))*Inputs!$C$21</f>
        <v/>
      </c>
      <c r="V14" s="27">
        <f>T14/U14</f>
        <v/>
      </c>
      <c r="W14" s="16">
        <f>(1+J14)*(1+K14)*Inputs!$C$20</f>
        <v/>
      </c>
      <c r="X14" s="17">
        <f>P14*Inputs!$C$23/Inputs!$C$22</f>
        <v/>
      </c>
      <c r="Y14" s="17">
        <f>IF(INDEX(Abilities!$A$14:$A$23,1)&lt;=A14,INDEX(Abilities!$C$14:$C$23,1)*CHOOSE(Inputs!$C$13,1,INDEX(Abilities!$J$14:$J$23,1),INDEX(Abilities!$I$14:$I$23,1))*W14/MAX(INDEX(Abilities!$D$14:$D$23,1),Inputs!$C$12),0)</f>
        <v/>
      </c>
      <c r="Z14" s="17">
        <f>IF(INDEX(Abilities!$A$14:$A$23,2)&lt;=A14,INDEX(Abilities!$C$14:$C$23,2)*CHOOSE(Inputs!$C$13,1,INDEX(Abilities!$J$14:$J$23,2),INDEX(Abilities!$I$14:$I$23,2))*W14/MAX(INDEX(Abilities!$D$14:$D$23,2),Inputs!$C$12),0)</f>
        <v/>
      </c>
      <c r="AA14" s="17">
        <f>IF(INDEX(Abilities!$A$14:$A$23,3)&lt;=A14,INDEX(Abilities!$C$14:$C$23,3)*CHOOSE(Inputs!$C$13,1,INDEX(Abilities!$J$14:$J$23,3),INDEX(Abilities!$I$14:$I$23,3))*W14/MAX(INDEX(Abilities!$D$14:$D$23,3),Inputs!$C$12),0)</f>
        <v/>
      </c>
      <c r="AB14" s="17">
        <f>IF(INDEX(Abilities!$A$14:$A$23,4)&lt;=A14,INDEX(Abilities!$C$14:$C$23,4)*CHOOSE(Inputs!$C$13,1,INDEX(Abilities!$J$14:$J$23,4),INDEX(Abilities!$I$14:$I$23,4))*W14/MAX(INDEX(Abilities!$D$14:$D$23,4),Inputs!$C$12),0)</f>
        <v/>
      </c>
      <c r="AC14" s="17">
        <f>IF(INDEX(Abilities!$A$14:$A$23,5)&lt;=A14,INDEX(Abilities!$C$14:$C$23,5)*CHOOSE(Inputs!$C$13,1,INDEX(Abilities!$J$14:$J$23,5),INDEX(Abilities!$I$14:$I$23,5))*W14/MAX(INDEX(Abilities!$D$14:$D$23,5),Inputs!$C$12),0)</f>
        <v/>
      </c>
      <c r="AD14" s="17">
        <f>IF(INDEX(Abilities!$A$14:$A$23,6)&lt;=A14,INDEX(Abilities!$C$14:$C$23,6)*CHOOSE(Inputs!$C$13,1,INDEX(Abilities!$J$14:$J$23,6),INDEX(Abilities!$I$14:$I$23,6))*W14/MAX(INDEX(Abilities!$D$14:$D$23,6),Inputs!$C$12),0)</f>
        <v/>
      </c>
      <c r="AE14" s="17">
        <f>IF(INDEX(Abilities!$A$14:$A$23,7)&lt;=A14,INDEX(Abilities!$C$14:$C$23,7)*CHOOSE(Inputs!$C$13,1,INDEX(Abilities!$J$14:$J$23,7),INDEX(Abilities!$I$14:$I$23,7))*W14/MAX(INDEX(Abilities!$D$14:$D$23,7),Inputs!$C$12),0)</f>
        <v/>
      </c>
      <c r="AF14" s="17">
        <f>IF(INDEX(Abilities!$A$14:$A$23,8)&lt;=A14,INDEX(Abilities!$C$14:$C$23,8)*CHOOSE(Inputs!$C$13,1,INDEX(Abilities!$J$14:$J$23,8),INDEX(Abilities!$I$14:$I$23,8))*W14/MAX(INDEX(Abilities!$D$14:$D$23,8),Inputs!$C$12),0)</f>
        <v/>
      </c>
      <c r="AG14" s="17">
        <f>IF(INDEX(Abilities!$A$14:$A$23,9)&lt;=A14,INDEX(Abilities!$C$14:$C$23,9)*CHOOSE(Inputs!$C$13,1,INDEX(Abilities!$J$14:$J$23,9),INDEX(Abilities!$I$14:$I$23,9))*W14/MAX(INDEX(Abilities!$D$14:$D$23,9),Inputs!$C$12),0)</f>
        <v/>
      </c>
      <c r="AH14" s="17">
        <f>IF(INDEX(Abilities!$A$14:$A$23,10)&lt;=A14,INDEX(Abilities!$C$14:$C$23,10)*CHOOSE(Inputs!$C$13,1,INDEX(Abilities!$J$14:$J$23,10),INDEX(Abilities!$I$14:$I$23,10))*W14/MAX(INDEX(Abilities!$D$14:$D$23,10),Inputs!$C$12),0)</f>
        <v/>
      </c>
      <c r="AI14" s="17">
        <f>IF(INDEX(Abilities!$A$14:$A$23,1)&lt;=A14,MIN(Y14,X14*INDEX(Abilities!$C$14:$C$23,1)*CHOOSE(Inputs!$C$13,1,INDEX(Abilities!$J$14:$J$23,1),INDEX(Abilities!$I$14:$I$23,1))*W14/INDEX(Abilities!$E$14:$E$23,1)),0)</f>
        <v/>
      </c>
      <c r="AJ14" s="17">
        <f>IF(INDEX(Abilities!$A$14:$A$23,2)&lt;=A14,MIN(Z14,X14*INDEX(Abilities!$C$14:$C$23,2)*CHOOSE(Inputs!$C$13,1,INDEX(Abilities!$J$14:$J$23,2),INDEX(Abilities!$I$14:$I$23,2))*W14/INDEX(Abilities!$E$14:$E$23,2)),0)</f>
        <v/>
      </c>
      <c r="AK14" s="17">
        <f>IF(INDEX(Abilities!$A$14:$A$23,3)&lt;=A14,MIN(AA14,X14*INDEX(Abilities!$C$14:$C$23,3)*CHOOSE(Inputs!$C$13,1,INDEX(Abilities!$J$14:$J$23,3),INDEX(Abilities!$I$14:$I$23,3))*W14/INDEX(Abilities!$E$14:$E$23,3)),0)</f>
        <v/>
      </c>
      <c r="AL14" s="17">
        <f>IF(INDEX(Abilities!$A$14:$A$23,4)&lt;=A14,MIN(AB14,X14*INDEX(Abilities!$C$14:$C$23,4)*CHOOSE(Inputs!$C$13,1,INDEX(Abilities!$J$14:$J$23,4),INDEX(Abilities!$I$14:$I$23,4))*W14/INDEX(Abilities!$E$14:$E$23,4)),0)</f>
        <v/>
      </c>
      <c r="AM14" s="17">
        <f>IF(INDEX(Abilities!$A$14:$A$23,5)&lt;=A14,MIN(AC14,X14*INDEX(Abilities!$C$14:$C$23,5)*CHOOSE(Inputs!$C$13,1,INDEX(Abilities!$J$14:$J$23,5),INDEX(Abilities!$I$14:$I$23,5))*W14/INDEX(Abilities!$E$14:$E$23,5)),0)</f>
        <v/>
      </c>
      <c r="AN14" s="17">
        <f>IF(INDEX(Abilities!$A$14:$A$23,6)&lt;=A14,MIN(AD14,X14*INDEX(Abilities!$C$14:$C$23,6)*CHOOSE(Inputs!$C$13,1,INDEX(Abilities!$J$14:$J$23,6),INDEX(Abilities!$I$14:$I$23,6))*W14/INDEX(Abilities!$E$14:$E$23,6)),0)</f>
        <v/>
      </c>
      <c r="AO14" s="17">
        <f>IF(INDEX(Abilities!$A$14:$A$23,7)&lt;=A14,MIN(AE14,X14*INDEX(Abilities!$C$14:$C$23,7)*CHOOSE(Inputs!$C$13,1,INDEX(Abilities!$J$14:$J$23,7),INDEX(Abilities!$I$14:$I$23,7))*W14/INDEX(Abilities!$E$14:$E$23,7)),0)</f>
        <v/>
      </c>
      <c r="AP14" s="17">
        <f>IF(INDEX(Abilities!$A$14:$A$23,8)&lt;=A14,MIN(AF14,X14*INDEX(Abilities!$C$14:$C$23,8)*CHOOSE(Inputs!$C$13,1,INDEX(Abilities!$J$14:$J$23,8),INDEX(Abilities!$I$14:$I$23,8))*W14/INDEX(Abilities!$E$14:$E$23,8)),0)</f>
        <v/>
      </c>
      <c r="AQ14" s="17">
        <f>IF(INDEX(Abilities!$A$14:$A$23,9)&lt;=A14,MIN(AG14,X14*INDEX(Abilities!$C$14:$C$23,9)*CHOOSE(Inputs!$C$13,1,INDEX(Abilities!$J$14:$J$23,9),INDEX(Abilities!$I$14:$I$23,9))*W14/INDEX(Abilities!$E$14:$E$23,9)),0)</f>
        <v/>
      </c>
      <c r="AR14" s="17">
        <f>IF(INDEX(Abilities!$A$14:$A$23,10)&lt;=A14,MIN(AH14,X14*INDEX(Abilities!$C$14:$C$23,10)*CHOOSE(Inputs!$C$13,1,INDEX(Abilities!$J$14:$J$23,10),INDEX(Abilities!$I$14:$I$23,10))*W14/INDEX(Abilities!$E$14:$E$23,10)),0)</f>
        <v/>
      </c>
      <c r="AS14" s="17">
        <f>IF(INDEX(Abilities!$A$14:$A$23,1)&lt;=A14,INDEX(Abilities!$C$14:$C$23,1)*CHOOSE(Inputs!$C$13,1,INDEX(Abilities!$J$14:$J$23,1),INDEX(Abilities!$I$14:$I$23,1))*W14/MAX(INDEX(Abilities!$D$14:$D$23,1),2*Inputs!$C$12),0)</f>
        <v/>
      </c>
      <c r="AT14" s="17">
        <f>IF(INDEX(Abilities!$A$14:$A$23,2)&lt;=A14,INDEX(Abilities!$C$14:$C$23,2)*CHOOSE(Inputs!$C$13,1,INDEX(Abilities!$J$14:$J$23,2),INDEX(Abilities!$I$14:$I$23,2))*W14/MAX(INDEX(Abilities!$D$14:$D$23,2),2*Inputs!$C$12),0)</f>
        <v/>
      </c>
      <c r="AU14" s="17">
        <f>IF(INDEX(Abilities!$A$14:$A$23,3)&lt;=A14,INDEX(Abilities!$C$14:$C$23,3)*CHOOSE(Inputs!$C$13,1,INDEX(Abilities!$J$14:$J$23,3),INDEX(Abilities!$I$14:$I$23,3))*W14/MAX(INDEX(Abilities!$D$14:$D$23,3),2*Inputs!$C$12),0)</f>
        <v/>
      </c>
      <c r="AV14" s="17">
        <f>IF(INDEX(Abilities!$A$14:$A$23,4)&lt;=A14,INDEX(Abilities!$C$14:$C$23,4)*CHOOSE(Inputs!$C$13,1,INDEX(Abilities!$J$14:$J$23,4),INDEX(Abilities!$I$14:$I$23,4))*W14/MAX(INDEX(Abilities!$D$14:$D$23,4),2*Inputs!$C$12),0)</f>
        <v/>
      </c>
      <c r="AW14" s="17">
        <f>IF(INDEX(Abilities!$A$14:$A$23,5)&lt;=A14,INDEX(Abilities!$C$14:$C$23,5)*CHOOSE(Inputs!$C$13,1,INDEX(Abilities!$J$14:$J$23,5),INDEX(Abilities!$I$14:$I$23,5))*W14/MAX(INDEX(Abilities!$D$14:$D$23,5),2*Inputs!$C$12),0)</f>
        <v/>
      </c>
      <c r="AX14" s="17">
        <f>IF(INDEX(Abilities!$A$14:$A$23,6)&lt;=A14,INDEX(Abilities!$C$14:$C$23,6)*CHOOSE(Inputs!$C$13,1,INDEX(Abilities!$J$14:$J$23,6),INDEX(Abilities!$I$14:$I$23,6))*W14/MAX(INDEX(Abilities!$D$14:$D$23,6),2*Inputs!$C$12),0)</f>
        <v/>
      </c>
      <c r="AY14" s="17">
        <f>IF(INDEX(Abilities!$A$14:$A$23,7)&lt;=A14,INDEX(Abilities!$C$14:$C$23,7)*CHOOSE(Inputs!$C$13,1,INDEX(Abilities!$J$14:$J$23,7),INDEX(Abilities!$I$14:$I$23,7))*W14/MAX(INDEX(Abilities!$D$14:$D$23,7),2*Inputs!$C$12),0)</f>
        <v/>
      </c>
      <c r="AZ14" s="17">
        <f>IF(INDEX(Abilities!$A$14:$A$23,8)&lt;=A14,INDEX(Abilities!$C$14:$C$23,8)*CHOOSE(Inputs!$C$13,1,INDEX(Abilities!$J$14:$J$23,8),INDEX(Abilities!$I$14:$I$23,8))*W14/MAX(INDEX(Abilities!$D$14:$D$23,8),2*Inputs!$C$12),0)</f>
        <v/>
      </c>
      <c r="BA14" s="17">
        <f>IF(INDEX(Abilities!$A$14:$A$23,9)&lt;=A14,INDEX(Abilities!$C$14:$C$23,9)*CHOOSE(Inputs!$C$13,1,INDEX(Abilities!$J$14:$J$23,9),INDEX(Abilities!$I$14:$I$23,9))*W14/MAX(INDEX(Abilities!$D$14:$D$23,9),2*Inputs!$C$12),0)</f>
        <v/>
      </c>
      <c r="BB14" s="17">
        <f>IF(INDEX(Abilities!$A$14:$A$23,10)&lt;=A14,INDEX(Abilities!$C$14:$C$23,10)*CHOOSE(Inputs!$C$13,1,INDEX(Abilities!$J$14:$J$23,10),INDEX(Abilities!$I$14:$I$23,10))*W14/MAX(INDEX(Abilities!$D$14:$D$23,10),2*Inputs!$C$12),0)</f>
        <v/>
      </c>
      <c r="BC14" s="27">
        <f>MAX(Y14:AH14)</f>
        <v/>
      </c>
      <c r="BD14" s="8">
        <f>MATCH(BC14,Y14:AH14,0)</f>
        <v/>
      </c>
      <c r="BE14" s="15">
        <f>INDEX(Abilities!$B$14:$B$23,BD14)</f>
        <v/>
      </c>
      <c r="BF14" s="16">
        <f>CHOOSE(Inputs!$C$13,1,INDEX(Abilities!$J$14:$J$23,BD14),INDEX(Abilities!$I$14:$I$23,BD14))</f>
        <v/>
      </c>
      <c r="BG14" s="17">
        <f>INDEX(Abilities!$E$14:$E$23,BD14)/MAX(INDEX(Abilities!$D$14:$D$23,BD14),Inputs!$C$12)</f>
        <v/>
      </c>
      <c r="BH14" s="27">
        <f>MAX(AI14:AR14)</f>
        <v/>
      </c>
      <c r="BI14" s="8">
        <f>MATCH(BH14,AI14:AR14,0)</f>
        <v/>
      </c>
      <c r="BJ14" s="15">
        <f>INDEX(Abilities!$B$14:$B$23,BI14)</f>
        <v/>
      </c>
      <c r="BK14" s="14">
        <f>IFERROR(ROUNDUP(C14/(INDEX(Abilities!$C$14:$C$23,BD14)*W14),0),"-")</f>
        <v/>
      </c>
      <c r="BL14" s="9">
        <f>IFERROR(C14*INDEX(Abilities!$E$14:$E$23,BI14)/(INDEX(Abilities!$C$14:$C$23,BI14)*CHOOSE(Inputs!$C$13,1,INDEX(Abilities!$J$14:$J$23,BI14),INDEX(Abilities!$I$14:$I$23,BI14))*W14),"-")</f>
        <v/>
      </c>
      <c r="BM14" s="60">
        <f>IFERROR(P14/BL14,"-")</f>
        <v/>
      </c>
      <c r="BN14" s="17">
        <f>BH14+Inputs!$C$18*V14</f>
        <v/>
      </c>
      <c r="BO14" s="17">
        <f>BC14+Inputs!$C$18*V14</f>
        <v/>
      </c>
      <c r="BP14" s="27">
        <f>LARGE(AS14:BB14,1)+LARGE(AS14:BB14,2)</f>
        <v/>
      </c>
      <c r="BQ14" s="60">
        <f>IFERROR(IF(BG14&lt;=X14,C14/BO14,IF(C14/BO14*(BG14-X14)&lt;=P14,C14/BO14,P14/(BG14-X14)+(C14-BO14*P14/(BG14-X14))/BN14)),"-")</f>
        <v/>
      </c>
      <c r="BR14" s="60">
        <f>BQ14</f>
        <v/>
      </c>
      <c r="BS14" s="9">
        <f>MAX(0,(E14+(B14-A14))*(1-R14)*(1-Q14*'Class Table'!$O$7/Inputs!$C$19)-Q14*'Class Table'!$O$7/25)</f>
        <v/>
      </c>
      <c r="BT14" s="26">
        <f>IFERROR(BS14/F14*BR14,"-")</f>
        <v/>
      </c>
      <c r="BU14" s="28">
        <f>IFERROR(BT14/O14,"-")</f>
        <v/>
      </c>
      <c r="BV14" s="9">
        <f>IFERROR(O14*Inputs!$C$24/Inputs!$C$22*BR14,"-")</f>
        <v/>
      </c>
      <c r="BW14" s="28">
        <f>IFERROR(MAX(0,BT14-BV14)/O14,"-")</f>
        <v/>
      </c>
    </row>
    <row r="15">
      <c r="A15" s="8" t="n">
        <v>12</v>
      </c>
      <c r="B15" s="14">
        <f>'Mob by Level'!B15</f>
        <v/>
      </c>
      <c r="C15" s="9">
        <f>'Mob by Level'!C15</f>
        <v/>
      </c>
      <c r="D15" s="9">
        <f>'Mob by Level'!D15</f>
        <v/>
      </c>
      <c r="E15" s="9">
        <f>'Mob by Level'!E15</f>
        <v/>
      </c>
      <c r="F15" s="16">
        <f>'Mob by Level'!F15</f>
        <v/>
      </c>
      <c r="G15" s="14">
        <f>SUMIFS(Gear!$D$4:$D$603,Gear!$A$4:$A$603,A15,Gear!$B$4:$B$603,"Magus",Gear!$C$4:$C$603,Inputs!$C$5)</f>
        <v/>
      </c>
      <c r="H15" s="14">
        <f>SUMIFS(Gear!$E$4:$E$603,Gear!$A$4:$A$603,A15,Gear!$B$4:$B$603,"Magus",Gear!$C$4:$C$603,Inputs!$C$5)</f>
        <v/>
      </c>
      <c r="I15" s="14">
        <f>SUMIFS(Gear!$F$4:$F$603,Gear!$A$4:$A$603,A15,Gear!$B$4:$B$603,"Magus",Gear!$C$4:$C$603,Inputs!$C$5)+Inputs!$C$17*IFERROR(LOOKUP(A15,Abilities!$A$49:$A$53,Abilities!$C$49:$C$53),0)</f>
        <v/>
      </c>
      <c r="J15" s="13">
        <f>SUMIFS(Gear!$J$4:$J$603,Gear!$A$4:$A$603,A15,Gear!$B$4:$B$603,"Magus",Gear!$C$4:$C$603,Inputs!$C$5)</f>
        <v/>
      </c>
      <c r="K15" s="13">
        <f>SUMIFS(Gear!$K$4:$K$603,Gear!$A$4:$A$603,A15,Gear!$B$4:$B$603,"Magus",Gear!$C$4:$C$603,Inputs!$C$5)</f>
        <v/>
      </c>
      <c r="L15" s="13">
        <f>SUMIFS(Gear!$L$4:$L$603,Gear!$A$4:$A$603,A15,Gear!$B$4:$B$603,"Magus",Gear!$C$4:$C$603,Inputs!$C$5)</f>
        <v/>
      </c>
      <c r="M15" s="13">
        <f>SUMIFS(Gear!$M$4:$M$603,Gear!$A$4:$A$603,A15,Gear!$B$4:$B$603,"Magus",Gear!$C$4:$C$603,Inputs!$C$5)</f>
        <v/>
      </c>
      <c r="N15" s="13">
        <f>SUMIFS(Gear!$N$4:$N$603,Gear!$A$4:$A$603,A15,Gear!$B$4:$B$603,"Magus",Gear!$C$4:$C$603,Inputs!$C$5)</f>
        <v/>
      </c>
      <c r="O15" s="9">
        <f>INDEX('Class Table'!$H$4:$H$53,A15)+SUMIFS(Gear!$G$4:$G$603,Gear!$A$4:$A$603,A15,Gear!$B$4:$B$603,"Magus",Gear!$C$4:$C$603,Inputs!$C$5)</f>
        <v/>
      </c>
      <c r="P15" s="9">
        <f>INDEX('Class Table'!$I$4:$I$53,A15)+SUMIFS(Gear!$H$4:$H$603,Gear!$A$4:$A$603,A15,Gear!$B$4:$B$603,"Magus",Gear!$C$4:$C$603,Inputs!$C$5)</f>
        <v/>
      </c>
      <c r="Q15" s="9">
        <f>INDEX('Class Table'!$J$4:$J$53,A15)+SUMIFS(Gear!$I$4:$I$603,Gear!$A$4:$A$603,A15,Gear!$B$4:$B$603,"Magus",Gear!$C$4:$C$603,Inputs!$C$5)</f>
        <v/>
      </c>
      <c r="R15" s="13">
        <f>SUMIFS(Gear!$O$4:$O$603,Gear!$A$4:$A$603,A15,Gear!$B$4:$B$603,"Magus",Gear!$C$4:$C$603,Inputs!$C$5)</f>
        <v/>
      </c>
      <c r="S15" s="26">
        <f>I15+0+G15+A15+MAX(1,A15/2)+(A15-B15)</f>
        <v/>
      </c>
      <c r="T15" s="9">
        <f>MAX(0,S15*(1+M15)*(1+L15)*Inputs!$C$20*(1-D15/Inputs!$C$19)-D15/25)</f>
        <v/>
      </c>
      <c r="U15" s="16">
        <f>H15/10*(1-MIN(0.95,N15+0))*Inputs!$C$21</f>
        <v/>
      </c>
      <c r="V15" s="27">
        <f>T15/U15</f>
        <v/>
      </c>
      <c r="W15" s="16">
        <f>(1+J15)*(1+K15)*Inputs!$C$20</f>
        <v/>
      </c>
      <c r="X15" s="17">
        <f>P15*Inputs!$C$23/Inputs!$C$22</f>
        <v/>
      </c>
      <c r="Y15" s="17">
        <f>IF(INDEX(Abilities!$A$14:$A$23,1)&lt;=A15,INDEX(Abilities!$C$14:$C$23,1)*CHOOSE(Inputs!$C$13,1,INDEX(Abilities!$J$14:$J$23,1),INDEX(Abilities!$I$14:$I$23,1))*W15/MAX(INDEX(Abilities!$D$14:$D$23,1),Inputs!$C$12),0)</f>
        <v/>
      </c>
      <c r="Z15" s="17">
        <f>IF(INDEX(Abilities!$A$14:$A$23,2)&lt;=A15,INDEX(Abilities!$C$14:$C$23,2)*CHOOSE(Inputs!$C$13,1,INDEX(Abilities!$J$14:$J$23,2),INDEX(Abilities!$I$14:$I$23,2))*W15/MAX(INDEX(Abilities!$D$14:$D$23,2),Inputs!$C$12),0)</f>
        <v/>
      </c>
      <c r="AA15" s="17">
        <f>IF(INDEX(Abilities!$A$14:$A$23,3)&lt;=A15,INDEX(Abilities!$C$14:$C$23,3)*CHOOSE(Inputs!$C$13,1,INDEX(Abilities!$J$14:$J$23,3),INDEX(Abilities!$I$14:$I$23,3))*W15/MAX(INDEX(Abilities!$D$14:$D$23,3),Inputs!$C$12),0)</f>
        <v/>
      </c>
      <c r="AB15" s="17">
        <f>IF(INDEX(Abilities!$A$14:$A$23,4)&lt;=A15,INDEX(Abilities!$C$14:$C$23,4)*CHOOSE(Inputs!$C$13,1,INDEX(Abilities!$J$14:$J$23,4),INDEX(Abilities!$I$14:$I$23,4))*W15/MAX(INDEX(Abilities!$D$14:$D$23,4),Inputs!$C$12),0)</f>
        <v/>
      </c>
      <c r="AC15" s="17">
        <f>IF(INDEX(Abilities!$A$14:$A$23,5)&lt;=A15,INDEX(Abilities!$C$14:$C$23,5)*CHOOSE(Inputs!$C$13,1,INDEX(Abilities!$J$14:$J$23,5),INDEX(Abilities!$I$14:$I$23,5))*W15/MAX(INDEX(Abilities!$D$14:$D$23,5),Inputs!$C$12),0)</f>
        <v/>
      </c>
      <c r="AD15" s="17">
        <f>IF(INDEX(Abilities!$A$14:$A$23,6)&lt;=A15,INDEX(Abilities!$C$14:$C$23,6)*CHOOSE(Inputs!$C$13,1,INDEX(Abilities!$J$14:$J$23,6),INDEX(Abilities!$I$14:$I$23,6))*W15/MAX(INDEX(Abilities!$D$14:$D$23,6),Inputs!$C$12),0)</f>
        <v/>
      </c>
      <c r="AE15" s="17">
        <f>IF(INDEX(Abilities!$A$14:$A$23,7)&lt;=A15,INDEX(Abilities!$C$14:$C$23,7)*CHOOSE(Inputs!$C$13,1,INDEX(Abilities!$J$14:$J$23,7),INDEX(Abilities!$I$14:$I$23,7))*W15/MAX(INDEX(Abilities!$D$14:$D$23,7),Inputs!$C$12),0)</f>
        <v/>
      </c>
      <c r="AF15" s="17">
        <f>IF(INDEX(Abilities!$A$14:$A$23,8)&lt;=A15,INDEX(Abilities!$C$14:$C$23,8)*CHOOSE(Inputs!$C$13,1,INDEX(Abilities!$J$14:$J$23,8),INDEX(Abilities!$I$14:$I$23,8))*W15/MAX(INDEX(Abilities!$D$14:$D$23,8),Inputs!$C$12),0)</f>
        <v/>
      </c>
      <c r="AG15" s="17">
        <f>IF(INDEX(Abilities!$A$14:$A$23,9)&lt;=A15,INDEX(Abilities!$C$14:$C$23,9)*CHOOSE(Inputs!$C$13,1,INDEX(Abilities!$J$14:$J$23,9),INDEX(Abilities!$I$14:$I$23,9))*W15/MAX(INDEX(Abilities!$D$14:$D$23,9),Inputs!$C$12),0)</f>
        <v/>
      </c>
      <c r="AH15" s="17">
        <f>IF(INDEX(Abilities!$A$14:$A$23,10)&lt;=A15,INDEX(Abilities!$C$14:$C$23,10)*CHOOSE(Inputs!$C$13,1,INDEX(Abilities!$J$14:$J$23,10),INDEX(Abilities!$I$14:$I$23,10))*W15/MAX(INDEX(Abilities!$D$14:$D$23,10),Inputs!$C$12),0)</f>
        <v/>
      </c>
      <c r="AI15" s="17">
        <f>IF(INDEX(Abilities!$A$14:$A$23,1)&lt;=A15,MIN(Y15,X15*INDEX(Abilities!$C$14:$C$23,1)*CHOOSE(Inputs!$C$13,1,INDEX(Abilities!$J$14:$J$23,1),INDEX(Abilities!$I$14:$I$23,1))*W15/INDEX(Abilities!$E$14:$E$23,1)),0)</f>
        <v/>
      </c>
      <c r="AJ15" s="17">
        <f>IF(INDEX(Abilities!$A$14:$A$23,2)&lt;=A15,MIN(Z15,X15*INDEX(Abilities!$C$14:$C$23,2)*CHOOSE(Inputs!$C$13,1,INDEX(Abilities!$J$14:$J$23,2),INDEX(Abilities!$I$14:$I$23,2))*W15/INDEX(Abilities!$E$14:$E$23,2)),0)</f>
        <v/>
      </c>
      <c r="AK15" s="17">
        <f>IF(INDEX(Abilities!$A$14:$A$23,3)&lt;=A15,MIN(AA15,X15*INDEX(Abilities!$C$14:$C$23,3)*CHOOSE(Inputs!$C$13,1,INDEX(Abilities!$J$14:$J$23,3),INDEX(Abilities!$I$14:$I$23,3))*W15/INDEX(Abilities!$E$14:$E$23,3)),0)</f>
        <v/>
      </c>
      <c r="AL15" s="17">
        <f>IF(INDEX(Abilities!$A$14:$A$23,4)&lt;=A15,MIN(AB15,X15*INDEX(Abilities!$C$14:$C$23,4)*CHOOSE(Inputs!$C$13,1,INDEX(Abilities!$J$14:$J$23,4),INDEX(Abilities!$I$14:$I$23,4))*W15/INDEX(Abilities!$E$14:$E$23,4)),0)</f>
        <v/>
      </c>
      <c r="AM15" s="17">
        <f>IF(INDEX(Abilities!$A$14:$A$23,5)&lt;=A15,MIN(AC15,X15*INDEX(Abilities!$C$14:$C$23,5)*CHOOSE(Inputs!$C$13,1,INDEX(Abilities!$J$14:$J$23,5),INDEX(Abilities!$I$14:$I$23,5))*W15/INDEX(Abilities!$E$14:$E$23,5)),0)</f>
        <v/>
      </c>
      <c r="AN15" s="17">
        <f>IF(INDEX(Abilities!$A$14:$A$23,6)&lt;=A15,MIN(AD15,X15*INDEX(Abilities!$C$14:$C$23,6)*CHOOSE(Inputs!$C$13,1,INDEX(Abilities!$J$14:$J$23,6),INDEX(Abilities!$I$14:$I$23,6))*W15/INDEX(Abilities!$E$14:$E$23,6)),0)</f>
        <v/>
      </c>
      <c r="AO15" s="17">
        <f>IF(INDEX(Abilities!$A$14:$A$23,7)&lt;=A15,MIN(AE15,X15*INDEX(Abilities!$C$14:$C$23,7)*CHOOSE(Inputs!$C$13,1,INDEX(Abilities!$J$14:$J$23,7),INDEX(Abilities!$I$14:$I$23,7))*W15/INDEX(Abilities!$E$14:$E$23,7)),0)</f>
        <v/>
      </c>
      <c r="AP15" s="17">
        <f>IF(INDEX(Abilities!$A$14:$A$23,8)&lt;=A15,MIN(AF15,X15*INDEX(Abilities!$C$14:$C$23,8)*CHOOSE(Inputs!$C$13,1,INDEX(Abilities!$J$14:$J$23,8),INDEX(Abilities!$I$14:$I$23,8))*W15/INDEX(Abilities!$E$14:$E$23,8)),0)</f>
        <v/>
      </c>
      <c r="AQ15" s="17">
        <f>IF(INDEX(Abilities!$A$14:$A$23,9)&lt;=A15,MIN(AG15,X15*INDEX(Abilities!$C$14:$C$23,9)*CHOOSE(Inputs!$C$13,1,INDEX(Abilities!$J$14:$J$23,9),INDEX(Abilities!$I$14:$I$23,9))*W15/INDEX(Abilities!$E$14:$E$23,9)),0)</f>
        <v/>
      </c>
      <c r="AR15" s="17">
        <f>IF(INDEX(Abilities!$A$14:$A$23,10)&lt;=A15,MIN(AH15,X15*INDEX(Abilities!$C$14:$C$23,10)*CHOOSE(Inputs!$C$13,1,INDEX(Abilities!$J$14:$J$23,10),INDEX(Abilities!$I$14:$I$23,10))*W15/INDEX(Abilities!$E$14:$E$23,10)),0)</f>
        <v/>
      </c>
      <c r="AS15" s="17">
        <f>IF(INDEX(Abilities!$A$14:$A$23,1)&lt;=A15,INDEX(Abilities!$C$14:$C$23,1)*CHOOSE(Inputs!$C$13,1,INDEX(Abilities!$J$14:$J$23,1),INDEX(Abilities!$I$14:$I$23,1))*W15/MAX(INDEX(Abilities!$D$14:$D$23,1),2*Inputs!$C$12),0)</f>
        <v/>
      </c>
      <c r="AT15" s="17">
        <f>IF(INDEX(Abilities!$A$14:$A$23,2)&lt;=A15,INDEX(Abilities!$C$14:$C$23,2)*CHOOSE(Inputs!$C$13,1,INDEX(Abilities!$J$14:$J$23,2),INDEX(Abilities!$I$14:$I$23,2))*W15/MAX(INDEX(Abilities!$D$14:$D$23,2),2*Inputs!$C$12),0)</f>
        <v/>
      </c>
      <c r="AU15" s="17">
        <f>IF(INDEX(Abilities!$A$14:$A$23,3)&lt;=A15,INDEX(Abilities!$C$14:$C$23,3)*CHOOSE(Inputs!$C$13,1,INDEX(Abilities!$J$14:$J$23,3),INDEX(Abilities!$I$14:$I$23,3))*W15/MAX(INDEX(Abilities!$D$14:$D$23,3),2*Inputs!$C$12),0)</f>
        <v/>
      </c>
      <c r="AV15" s="17">
        <f>IF(INDEX(Abilities!$A$14:$A$23,4)&lt;=A15,INDEX(Abilities!$C$14:$C$23,4)*CHOOSE(Inputs!$C$13,1,INDEX(Abilities!$J$14:$J$23,4),INDEX(Abilities!$I$14:$I$23,4))*W15/MAX(INDEX(Abilities!$D$14:$D$23,4),2*Inputs!$C$12),0)</f>
        <v/>
      </c>
      <c r="AW15" s="17">
        <f>IF(INDEX(Abilities!$A$14:$A$23,5)&lt;=A15,INDEX(Abilities!$C$14:$C$23,5)*CHOOSE(Inputs!$C$13,1,INDEX(Abilities!$J$14:$J$23,5),INDEX(Abilities!$I$14:$I$23,5))*W15/MAX(INDEX(Abilities!$D$14:$D$23,5),2*Inputs!$C$12),0)</f>
        <v/>
      </c>
      <c r="AX15" s="17">
        <f>IF(INDEX(Abilities!$A$14:$A$23,6)&lt;=A15,INDEX(Abilities!$C$14:$C$23,6)*CHOOSE(Inputs!$C$13,1,INDEX(Abilities!$J$14:$J$23,6),INDEX(Abilities!$I$14:$I$23,6))*W15/MAX(INDEX(Abilities!$D$14:$D$23,6),2*Inputs!$C$12),0)</f>
        <v/>
      </c>
      <c r="AY15" s="17">
        <f>IF(INDEX(Abilities!$A$14:$A$23,7)&lt;=A15,INDEX(Abilities!$C$14:$C$23,7)*CHOOSE(Inputs!$C$13,1,INDEX(Abilities!$J$14:$J$23,7),INDEX(Abilities!$I$14:$I$23,7))*W15/MAX(INDEX(Abilities!$D$14:$D$23,7),2*Inputs!$C$12),0)</f>
        <v/>
      </c>
      <c r="AZ15" s="17">
        <f>IF(INDEX(Abilities!$A$14:$A$23,8)&lt;=A15,INDEX(Abilities!$C$14:$C$23,8)*CHOOSE(Inputs!$C$13,1,INDEX(Abilities!$J$14:$J$23,8),INDEX(Abilities!$I$14:$I$23,8))*W15/MAX(INDEX(Abilities!$D$14:$D$23,8),2*Inputs!$C$12),0)</f>
        <v/>
      </c>
      <c r="BA15" s="17">
        <f>IF(INDEX(Abilities!$A$14:$A$23,9)&lt;=A15,INDEX(Abilities!$C$14:$C$23,9)*CHOOSE(Inputs!$C$13,1,INDEX(Abilities!$J$14:$J$23,9),INDEX(Abilities!$I$14:$I$23,9))*W15/MAX(INDEX(Abilities!$D$14:$D$23,9),2*Inputs!$C$12),0)</f>
        <v/>
      </c>
      <c r="BB15" s="17">
        <f>IF(INDEX(Abilities!$A$14:$A$23,10)&lt;=A15,INDEX(Abilities!$C$14:$C$23,10)*CHOOSE(Inputs!$C$13,1,INDEX(Abilities!$J$14:$J$23,10),INDEX(Abilities!$I$14:$I$23,10))*W15/MAX(INDEX(Abilities!$D$14:$D$23,10),2*Inputs!$C$12),0)</f>
        <v/>
      </c>
      <c r="BC15" s="27">
        <f>MAX(Y15:AH15)</f>
        <v/>
      </c>
      <c r="BD15" s="8">
        <f>MATCH(BC15,Y15:AH15,0)</f>
        <v/>
      </c>
      <c r="BE15" s="15">
        <f>INDEX(Abilities!$B$14:$B$23,BD15)</f>
        <v/>
      </c>
      <c r="BF15" s="16">
        <f>CHOOSE(Inputs!$C$13,1,INDEX(Abilities!$J$14:$J$23,BD15),INDEX(Abilities!$I$14:$I$23,BD15))</f>
        <v/>
      </c>
      <c r="BG15" s="17">
        <f>INDEX(Abilities!$E$14:$E$23,BD15)/MAX(INDEX(Abilities!$D$14:$D$23,BD15),Inputs!$C$12)</f>
        <v/>
      </c>
      <c r="BH15" s="27">
        <f>MAX(AI15:AR15)</f>
        <v/>
      </c>
      <c r="BI15" s="8">
        <f>MATCH(BH15,AI15:AR15,0)</f>
        <v/>
      </c>
      <c r="BJ15" s="15">
        <f>INDEX(Abilities!$B$14:$B$23,BI15)</f>
        <v/>
      </c>
      <c r="BK15" s="14">
        <f>IFERROR(ROUNDUP(C15/(INDEX(Abilities!$C$14:$C$23,BD15)*W15),0),"-")</f>
        <v/>
      </c>
      <c r="BL15" s="9">
        <f>IFERROR(C15*INDEX(Abilities!$E$14:$E$23,BI15)/(INDEX(Abilities!$C$14:$C$23,BI15)*CHOOSE(Inputs!$C$13,1,INDEX(Abilities!$J$14:$J$23,BI15),INDEX(Abilities!$I$14:$I$23,BI15))*W15),"-")</f>
        <v/>
      </c>
      <c r="BM15" s="60">
        <f>IFERROR(P15/BL15,"-")</f>
        <v/>
      </c>
      <c r="BN15" s="17">
        <f>BH15+Inputs!$C$18*V15</f>
        <v/>
      </c>
      <c r="BO15" s="17">
        <f>BC15+Inputs!$C$18*V15</f>
        <v/>
      </c>
      <c r="BP15" s="27">
        <f>LARGE(AS15:BB15,1)+LARGE(AS15:BB15,2)</f>
        <v/>
      </c>
      <c r="BQ15" s="60">
        <f>IFERROR(IF(BG15&lt;=X15,C15/BO15,IF(C15/BO15*(BG15-X15)&lt;=P15,C15/BO15,P15/(BG15-X15)+(C15-BO15*P15/(BG15-X15))/BN15)),"-")</f>
        <v/>
      </c>
      <c r="BR15" s="60">
        <f>BQ15</f>
        <v/>
      </c>
      <c r="BS15" s="9">
        <f>MAX(0,(E15+(B15-A15))*(1-R15)*(1-Q15*'Class Table'!$O$7/Inputs!$C$19)-Q15*'Class Table'!$O$7/25)</f>
        <v/>
      </c>
      <c r="BT15" s="26">
        <f>IFERROR(BS15/F15*BR15,"-")</f>
        <v/>
      </c>
      <c r="BU15" s="28">
        <f>IFERROR(BT15/O15,"-")</f>
        <v/>
      </c>
      <c r="BV15" s="9">
        <f>IFERROR(O15*Inputs!$C$24/Inputs!$C$22*BR15,"-")</f>
        <v/>
      </c>
      <c r="BW15" s="28">
        <f>IFERROR(MAX(0,BT15-BV15)/O15,"-")</f>
        <v/>
      </c>
    </row>
    <row r="16">
      <c r="A16" s="8" t="n">
        <v>13</v>
      </c>
      <c r="B16" s="14">
        <f>'Mob by Level'!B16</f>
        <v/>
      </c>
      <c r="C16" s="9">
        <f>'Mob by Level'!C16</f>
        <v/>
      </c>
      <c r="D16" s="9">
        <f>'Mob by Level'!D16</f>
        <v/>
      </c>
      <c r="E16" s="9">
        <f>'Mob by Level'!E16</f>
        <v/>
      </c>
      <c r="F16" s="16">
        <f>'Mob by Level'!F16</f>
        <v/>
      </c>
      <c r="G16" s="14">
        <f>SUMIFS(Gear!$D$4:$D$603,Gear!$A$4:$A$603,A16,Gear!$B$4:$B$603,"Magus",Gear!$C$4:$C$603,Inputs!$C$5)</f>
        <v/>
      </c>
      <c r="H16" s="14">
        <f>SUMIFS(Gear!$E$4:$E$603,Gear!$A$4:$A$603,A16,Gear!$B$4:$B$603,"Magus",Gear!$C$4:$C$603,Inputs!$C$5)</f>
        <v/>
      </c>
      <c r="I16" s="14">
        <f>SUMIFS(Gear!$F$4:$F$603,Gear!$A$4:$A$603,A16,Gear!$B$4:$B$603,"Magus",Gear!$C$4:$C$603,Inputs!$C$5)+Inputs!$C$17*IFERROR(LOOKUP(A16,Abilities!$A$49:$A$53,Abilities!$C$49:$C$53),0)</f>
        <v/>
      </c>
      <c r="J16" s="13">
        <f>SUMIFS(Gear!$J$4:$J$603,Gear!$A$4:$A$603,A16,Gear!$B$4:$B$603,"Magus",Gear!$C$4:$C$603,Inputs!$C$5)</f>
        <v/>
      </c>
      <c r="K16" s="13">
        <f>SUMIFS(Gear!$K$4:$K$603,Gear!$A$4:$A$603,A16,Gear!$B$4:$B$603,"Magus",Gear!$C$4:$C$603,Inputs!$C$5)</f>
        <v/>
      </c>
      <c r="L16" s="13">
        <f>SUMIFS(Gear!$L$4:$L$603,Gear!$A$4:$A$603,A16,Gear!$B$4:$B$603,"Magus",Gear!$C$4:$C$603,Inputs!$C$5)</f>
        <v/>
      </c>
      <c r="M16" s="13">
        <f>SUMIFS(Gear!$M$4:$M$603,Gear!$A$4:$A$603,A16,Gear!$B$4:$B$603,"Magus",Gear!$C$4:$C$603,Inputs!$C$5)</f>
        <v/>
      </c>
      <c r="N16" s="13">
        <f>SUMIFS(Gear!$N$4:$N$603,Gear!$A$4:$A$603,A16,Gear!$B$4:$B$603,"Magus",Gear!$C$4:$C$603,Inputs!$C$5)</f>
        <v/>
      </c>
      <c r="O16" s="9">
        <f>INDEX('Class Table'!$H$4:$H$53,A16)+SUMIFS(Gear!$G$4:$G$603,Gear!$A$4:$A$603,A16,Gear!$B$4:$B$603,"Magus",Gear!$C$4:$C$603,Inputs!$C$5)</f>
        <v/>
      </c>
      <c r="P16" s="9">
        <f>INDEX('Class Table'!$I$4:$I$53,A16)+SUMIFS(Gear!$H$4:$H$603,Gear!$A$4:$A$603,A16,Gear!$B$4:$B$603,"Magus",Gear!$C$4:$C$603,Inputs!$C$5)</f>
        <v/>
      </c>
      <c r="Q16" s="9">
        <f>INDEX('Class Table'!$J$4:$J$53,A16)+SUMIFS(Gear!$I$4:$I$603,Gear!$A$4:$A$603,A16,Gear!$B$4:$B$603,"Magus",Gear!$C$4:$C$603,Inputs!$C$5)</f>
        <v/>
      </c>
      <c r="R16" s="13">
        <f>SUMIFS(Gear!$O$4:$O$603,Gear!$A$4:$A$603,A16,Gear!$B$4:$B$603,"Magus",Gear!$C$4:$C$603,Inputs!$C$5)</f>
        <v/>
      </c>
      <c r="S16" s="26">
        <f>I16+0+G16+A16+MAX(1,A16/2)+(A16-B16)</f>
        <v/>
      </c>
      <c r="T16" s="9">
        <f>MAX(0,S16*(1+M16)*(1+L16)*Inputs!$C$20*(1-D16/Inputs!$C$19)-D16/25)</f>
        <v/>
      </c>
      <c r="U16" s="16">
        <f>H16/10*(1-MIN(0.95,N16+0))*Inputs!$C$21</f>
        <v/>
      </c>
      <c r="V16" s="27">
        <f>T16/U16</f>
        <v/>
      </c>
      <c r="W16" s="16">
        <f>(1+J16)*(1+K16)*Inputs!$C$20</f>
        <v/>
      </c>
      <c r="X16" s="17">
        <f>P16*Inputs!$C$23/Inputs!$C$22</f>
        <v/>
      </c>
      <c r="Y16" s="17">
        <f>IF(INDEX(Abilities!$A$14:$A$23,1)&lt;=A16,INDEX(Abilities!$C$14:$C$23,1)*CHOOSE(Inputs!$C$13,1,INDEX(Abilities!$J$14:$J$23,1),INDEX(Abilities!$I$14:$I$23,1))*W16/MAX(INDEX(Abilities!$D$14:$D$23,1),Inputs!$C$12),0)</f>
        <v/>
      </c>
      <c r="Z16" s="17">
        <f>IF(INDEX(Abilities!$A$14:$A$23,2)&lt;=A16,INDEX(Abilities!$C$14:$C$23,2)*CHOOSE(Inputs!$C$13,1,INDEX(Abilities!$J$14:$J$23,2),INDEX(Abilities!$I$14:$I$23,2))*W16/MAX(INDEX(Abilities!$D$14:$D$23,2),Inputs!$C$12),0)</f>
        <v/>
      </c>
      <c r="AA16" s="17">
        <f>IF(INDEX(Abilities!$A$14:$A$23,3)&lt;=A16,INDEX(Abilities!$C$14:$C$23,3)*CHOOSE(Inputs!$C$13,1,INDEX(Abilities!$J$14:$J$23,3),INDEX(Abilities!$I$14:$I$23,3))*W16/MAX(INDEX(Abilities!$D$14:$D$23,3),Inputs!$C$12),0)</f>
        <v/>
      </c>
      <c r="AB16" s="17">
        <f>IF(INDEX(Abilities!$A$14:$A$23,4)&lt;=A16,INDEX(Abilities!$C$14:$C$23,4)*CHOOSE(Inputs!$C$13,1,INDEX(Abilities!$J$14:$J$23,4),INDEX(Abilities!$I$14:$I$23,4))*W16/MAX(INDEX(Abilities!$D$14:$D$23,4),Inputs!$C$12),0)</f>
        <v/>
      </c>
      <c r="AC16" s="17">
        <f>IF(INDEX(Abilities!$A$14:$A$23,5)&lt;=A16,INDEX(Abilities!$C$14:$C$23,5)*CHOOSE(Inputs!$C$13,1,INDEX(Abilities!$J$14:$J$23,5),INDEX(Abilities!$I$14:$I$23,5))*W16/MAX(INDEX(Abilities!$D$14:$D$23,5),Inputs!$C$12),0)</f>
        <v/>
      </c>
      <c r="AD16" s="17">
        <f>IF(INDEX(Abilities!$A$14:$A$23,6)&lt;=A16,INDEX(Abilities!$C$14:$C$23,6)*CHOOSE(Inputs!$C$13,1,INDEX(Abilities!$J$14:$J$23,6),INDEX(Abilities!$I$14:$I$23,6))*W16/MAX(INDEX(Abilities!$D$14:$D$23,6),Inputs!$C$12),0)</f>
        <v/>
      </c>
      <c r="AE16" s="17">
        <f>IF(INDEX(Abilities!$A$14:$A$23,7)&lt;=A16,INDEX(Abilities!$C$14:$C$23,7)*CHOOSE(Inputs!$C$13,1,INDEX(Abilities!$J$14:$J$23,7),INDEX(Abilities!$I$14:$I$23,7))*W16/MAX(INDEX(Abilities!$D$14:$D$23,7),Inputs!$C$12),0)</f>
        <v/>
      </c>
      <c r="AF16" s="17">
        <f>IF(INDEX(Abilities!$A$14:$A$23,8)&lt;=A16,INDEX(Abilities!$C$14:$C$23,8)*CHOOSE(Inputs!$C$13,1,INDEX(Abilities!$J$14:$J$23,8),INDEX(Abilities!$I$14:$I$23,8))*W16/MAX(INDEX(Abilities!$D$14:$D$23,8),Inputs!$C$12),0)</f>
        <v/>
      </c>
      <c r="AG16" s="17">
        <f>IF(INDEX(Abilities!$A$14:$A$23,9)&lt;=A16,INDEX(Abilities!$C$14:$C$23,9)*CHOOSE(Inputs!$C$13,1,INDEX(Abilities!$J$14:$J$23,9),INDEX(Abilities!$I$14:$I$23,9))*W16/MAX(INDEX(Abilities!$D$14:$D$23,9),Inputs!$C$12),0)</f>
        <v/>
      </c>
      <c r="AH16" s="17">
        <f>IF(INDEX(Abilities!$A$14:$A$23,10)&lt;=A16,INDEX(Abilities!$C$14:$C$23,10)*CHOOSE(Inputs!$C$13,1,INDEX(Abilities!$J$14:$J$23,10),INDEX(Abilities!$I$14:$I$23,10))*W16/MAX(INDEX(Abilities!$D$14:$D$23,10),Inputs!$C$12),0)</f>
        <v/>
      </c>
      <c r="AI16" s="17">
        <f>IF(INDEX(Abilities!$A$14:$A$23,1)&lt;=A16,MIN(Y16,X16*INDEX(Abilities!$C$14:$C$23,1)*CHOOSE(Inputs!$C$13,1,INDEX(Abilities!$J$14:$J$23,1),INDEX(Abilities!$I$14:$I$23,1))*W16/INDEX(Abilities!$E$14:$E$23,1)),0)</f>
        <v/>
      </c>
      <c r="AJ16" s="17">
        <f>IF(INDEX(Abilities!$A$14:$A$23,2)&lt;=A16,MIN(Z16,X16*INDEX(Abilities!$C$14:$C$23,2)*CHOOSE(Inputs!$C$13,1,INDEX(Abilities!$J$14:$J$23,2),INDEX(Abilities!$I$14:$I$23,2))*W16/INDEX(Abilities!$E$14:$E$23,2)),0)</f>
        <v/>
      </c>
      <c r="AK16" s="17">
        <f>IF(INDEX(Abilities!$A$14:$A$23,3)&lt;=A16,MIN(AA16,X16*INDEX(Abilities!$C$14:$C$23,3)*CHOOSE(Inputs!$C$13,1,INDEX(Abilities!$J$14:$J$23,3),INDEX(Abilities!$I$14:$I$23,3))*W16/INDEX(Abilities!$E$14:$E$23,3)),0)</f>
        <v/>
      </c>
      <c r="AL16" s="17">
        <f>IF(INDEX(Abilities!$A$14:$A$23,4)&lt;=A16,MIN(AB16,X16*INDEX(Abilities!$C$14:$C$23,4)*CHOOSE(Inputs!$C$13,1,INDEX(Abilities!$J$14:$J$23,4),INDEX(Abilities!$I$14:$I$23,4))*W16/INDEX(Abilities!$E$14:$E$23,4)),0)</f>
        <v/>
      </c>
      <c r="AM16" s="17">
        <f>IF(INDEX(Abilities!$A$14:$A$23,5)&lt;=A16,MIN(AC16,X16*INDEX(Abilities!$C$14:$C$23,5)*CHOOSE(Inputs!$C$13,1,INDEX(Abilities!$J$14:$J$23,5),INDEX(Abilities!$I$14:$I$23,5))*W16/INDEX(Abilities!$E$14:$E$23,5)),0)</f>
        <v/>
      </c>
      <c r="AN16" s="17">
        <f>IF(INDEX(Abilities!$A$14:$A$23,6)&lt;=A16,MIN(AD16,X16*INDEX(Abilities!$C$14:$C$23,6)*CHOOSE(Inputs!$C$13,1,INDEX(Abilities!$J$14:$J$23,6),INDEX(Abilities!$I$14:$I$23,6))*W16/INDEX(Abilities!$E$14:$E$23,6)),0)</f>
        <v/>
      </c>
      <c r="AO16" s="17">
        <f>IF(INDEX(Abilities!$A$14:$A$23,7)&lt;=A16,MIN(AE16,X16*INDEX(Abilities!$C$14:$C$23,7)*CHOOSE(Inputs!$C$13,1,INDEX(Abilities!$J$14:$J$23,7),INDEX(Abilities!$I$14:$I$23,7))*W16/INDEX(Abilities!$E$14:$E$23,7)),0)</f>
        <v/>
      </c>
      <c r="AP16" s="17">
        <f>IF(INDEX(Abilities!$A$14:$A$23,8)&lt;=A16,MIN(AF16,X16*INDEX(Abilities!$C$14:$C$23,8)*CHOOSE(Inputs!$C$13,1,INDEX(Abilities!$J$14:$J$23,8),INDEX(Abilities!$I$14:$I$23,8))*W16/INDEX(Abilities!$E$14:$E$23,8)),0)</f>
        <v/>
      </c>
      <c r="AQ16" s="17">
        <f>IF(INDEX(Abilities!$A$14:$A$23,9)&lt;=A16,MIN(AG16,X16*INDEX(Abilities!$C$14:$C$23,9)*CHOOSE(Inputs!$C$13,1,INDEX(Abilities!$J$14:$J$23,9),INDEX(Abilities!$I$14:$I$23,9))*W16/INDEX(Abilities!$E$14:$E$23,9)),0)</f>
        <v/>
      </c>
      <c r="AR16" s="17">
        <f>IF(INDEX(Abilities!$A$14:$A$23,10)&lt;=A16,MIN(AH16,X16*INDEX(Abilities!$C$14:$C$23,10)*CHOOSE(Inputs!$C$13,1,INDEX(Abilities!$J$14:$J$23,10),INDEX(Abilities!$I$14:$I$23,10))*W16/INDEX(Abilities!$E$14:$E$23,10)),0)</f>
        <v/>
      </c>
      <c r="AS16" s="17">
        <f>IF(INDEX(Abilities!$A$14:$A$23,1)&lt;=A16,INDEX(Abilities!$C$14:$C$23,1)*CHOOSE(Inputs!$C$13,1,INDEX(Abilities!$J$14:$J$23,1),INDEX(Abilities!$I$14:$I$23,1))*W16/MAX(INDEX(Abilities!$D$14:$D$23,1),2*Inputs!$C$12),0)</f>
        <v/>
      </c>
      <c r="AT16" s="17">
        <f>IF(INDEX(Abilities!$A$14:$A$23,2)&lt;=A16,INDEX(Abilities!$C$14:$C$23,2)*CHOOSE(Inputs!$C$13,1,INDEX(Abilities!$J$14:$J$23,2),INDEX(Abilities!$I$14:$I$23,2))*W16/MAX(INDEX(Abilities!$D$14:$D$23,2),2*Inputs!$C$12),0)</f>
        <v/>
      </c>
      <c r="AU16" s="17">
        <f>IF(INDEX(Abilities!$A$14:$A$23,3)&lt;=A16,INDEX(Abilities!$C$14:$C$23,3)*CHOOSE(Inputs!$C$13,1,INDEX(Abilities!$J$14:$J$23,3),INDEX(Abilities!$I$14:$I$23,3))*W16/MAX(INDEX(Abilities!$D$14:$D$23,3),2*Inputs!$C$12),0)</f>
        <v/>
      </c>
      <c r="AV16" s="17">
        <f>IF(INDEX(Abilities!$A$14:$A$23,4)&lt;=A16,INDEX(Abilities!$C$14:$C$23,4)*CHOOSE(Inputs!$C$13,1,INDEX(Abilities!$J$14:$J$23,4),INDEX(Abilities!$I$14:$I$23,4))*W16/MAX(INDEX(Abilities!$D$14:$D$23,4),2*Inputs!$C$12),0)</f>
        <v/>
      </c>
      <c r="AW16" s="17">
        <f>IF(INDEX(Abilities!$A$14:$A$23,5)&lt;=A16,INDEX(Abilities!$C$14:$C$23,5)*CHOOSE(Inputs!$C$13,1,INDEX(Abilities!$J$14:$J$23,5),INDEX(Abilities!$I$14:$I$23,5))*W16/MAX(INDEX(Abilities!$D$14:$D$23,5),2*Inputs!$C$12),0)</f>
        <v/>
      </c>
      <c r="AX16" s="17">
        <f>IF(INDEX(Abilities!$A$14:$A$23,6)&lt;=A16,INDEX(Abilities!$C$14:$C$23,6)*CHOOSE(Inputs!$C$13,1,INDEX(Abilities!$J$14:$J$23,6),INDEX(Abilities!$I$14:$I$23,6))*W16/MAX(INDEX(Abilities!$D$14:$D$23,6),2*Inputs!$C$12),0)</f>
        <v/>
      </c>
      <c r="AY16" s="17">
        <f>IF(INDEX(Abilities!$A$14:$A$23,7)&lt;=A16,INDEX(Abilities!$C$14:$C$23,7)*CHOOSE(Inputs!$C$13,1,INDEX(Abilities!$J$14:$J$23,7),INDEX(Abilities!$I$14:$I$23,7))*W16/MAX(INDEX(Abilities!$D$14:$D$23,7),2*Inputs!$C$12),0)</f>
        <v/>
      </c>
      <c r="AZ16" s="17">
        <f>IF(INDEX(Abilities!$A$14:$A$23,8)&lt;=A16,INDEX(Abilities!$C$14:$C$23,8)*CHOOSE(Inputs!$C$13,1,INDEX(Abilities!$J$14:$J$23,8),INDEX(Abilities!$I$14:$I$23,8))*W16/MAX(INDEX(Abilities!$D$14:$D$23,8),2*Inputs!$C$12),0)</f>
        <v/>
      </c>
      <c r="BA16" s="17">
        <f>IF(INDEX(Abilities!$A$14:$A$23,9)&lt;=A16,INDEX(Abilities!$C$14:$C$23,9)*CHOOSE(Inputs!$C$13,1,INDEX(Abilities!$J$14:$J$23,9),INDEX(Abilities!$I$14:$I$23,9))*W16/MAX(INDEX(Abilities!$D$14:$D$23,9),2*Inputs!$C$12),0)</f>
        <v/>
      </c>
      <c r="BB16" s="17">
        <f>IF(INDEX(Abilities!$A$14:$A$23,10)&lt;=A16,INDEX(Abilities!$C$14:$C$23,10)*CHOOSE(Inputs!$C$13,1,INDEX(Abilities!$J$14:$J$23,10),INDEX(Abilities!$I$14:$I$23,10))*W16/MAX(INDEX(Abilities!$D$14:$D$23,10),2*Inputs!$C$12),0)</f>
        <v/>
      </c>
      <c r="BC16" s="27">
        <f>MAX(Y16:AH16)</f>
        <v/>
      </c>
      <c r="BD16" s="8">
        <f>MATCH(BC16,Y16:AH16,0)</f>
        <v/>
      </c>
      <c r="BE16" s="15">
        <f>INDEX(Abilities!$B$14:$B$23,BD16)</f>
        <v/>
      </c>
      <c r="BF16" s="16">
        <f>CHOOSE(Inputs!$C$13,1,INDEX(Abilities!$J$14:$J$23,BD16),INDEX(Abilities!$I$14:$I$23,BD16))</f>
        <v/>
      </c>
      <c r="BG16" s="17">
        <f>INDEX(Abilities!$E$14:$E$23,BD16)/MAX(INDEX(Abilities!$D$14:$D$23,BD16),Inputs!$C$12)</f>
        <v/>
      </c>
      <c r="BH16" s="27">
        <f>MAX(AI16:AR16)</f>
        <v/>
      </c>
      <c r="BI16" s="8">
        <f>MATCH(BH16,AI16:AR16,0)</f>
        <v/>
      </c>
      <c r="BJ16" s="15">
        <f>INDEX(Abilities!$B$14:$B$23,BI16)</f>
        <v/>
      </c>
      <c r="BK16" s="14">
        <f>IFERROR(ROUNDUP(C16/(INDEX(Abilities!$C$14:$C$23,BD16)*W16),0),"-")</f>
        <v/>
      </c>
      <c r="BL16" s="9">
        <f>IFERROR(C16*INDEX(Abilities!$E$14:$E$23,BI16)/(INDEX(Abilities!$C$14:$C$23,BI16)*CHOOSE(Inputs!$C$13,1,INDEX(Abilities!$J$14:$J$23,BI16),INDEX(Abilities!$I$14:$I$23,BI16))*W16),"-")</f>
        <v/>
      </c>
      <c r="BM16" s="60">
        <f>IFERROR(P16/BL16,"-")</f>
        <v/>
      </c>
      <c r="BN16" s="17">
        <f>BH16+Inputs!$C$18*V16</f>
        <v/>
      </c>
      <c r="BO16" s="17">
        <f>BC16+Inputs!$C$18*V16</f>
        <v/>
      </c>
      <c r="BP16" s="27">
        <f>LARGE(AS16:BB16,1)+LARGE(AS16:BB16,2)</f>
        <v/>
      </c>
      <c r="BQ16" s="60">
        <f>IFERROR(IF(BG16&lt;=X16,C16/BO16,IF(C16/BO16*(BG16-X16)&lt;=P16,C16/BO16,P16/(BG16-X16)+(C16-BO16*P16/(BG16-X16))/BN16)),"-")</f>
        <v/>
      </c>
      <c r="BR16" s="60">
        <f>BQ16</f>
        <v/>
      </c>
      <c r="BS16" s="9">
        <f>MAX(0,(E16+(B16-A16))*(1-R16)*(1-Q16*'Class Table'!$O$7/Inputs!$C$19)-Q16*'Class Table'!$O$7/25)</f>
        <v/>
      </c>
      <c r="BT16" s="26">
        <f>IFERROR(BS16/F16*BR16,"-")</f>
        <v/>
      </c>
      <c r="BU16" s="28">
        <f>IFERROR(BT16/O16,"-")</f>
        <v/>
      </c>
      <c r="BV16" s="9">
        <f>IFERROR(O16*Inputs!$C$24/Inputs!$C$22*BR16,"-")</f>
        <v/>
      </c>
      <c r="BW16" s="28">
        <f>IFERROR(MAX(0,BT16-BV16)/O16,"-")</f>
        <v/>
      </c>
    </row>
    <row r="17">
      <c r="A17" s="8" t="n">
        <v>14</v>
      </c>
      <c r="B17" s="14">
        <f>'Mob by Level'!B17</f>
        <v/>
      </c>
      <c r="C17" s="9">
        <f>'Mob by Level'!C17</f>
        <v/>
      </c>
      <c r="D17" s="9">
        <f>'Mob by Level'!D17</f>
        <v/>
      </c>
      <c r="E17" s="9">
        <f>'Mob by Level'!E17</f>
        <v/>
      </c>
      <c r="F17" s="16">
        <f>'Mob by Level'!F17</f>
        <v/>
      </c>
      <c r="G17" s="14">
        <f>SUMIFS(Gear!$D$4:$D$603,Gear!$A$4:$A$603,A17,Gear!$B$4:$B$603,"Magus",Gear!$C$4:$C$603,Inputs!$C$5)</f>
        <v/>
      </c>
      <c r="H17" s="14">
        <f>SUMIFS(Gear!$E$4:$E$603,Gear!$A$4:$A$603,A17,Gear!$B$4:$B$603,"Magus",Gear!$C$4:$C$603,Inputs!$C$5)</f>
        <v/>
      </c>
      <c r="I17" s="14">
        <f>SUMIFS(Gear!$F$4:$F$603,Gear!$A$4:$A$603,A17,Gear!$B$4:$B$603,"Magus",Gear!$C$4:$C$603,Inputs!$C$5)+Inputs!$C$17*IFERROR(LOOKUP(A17,Abilities!$A$49:$A$53,Abilities!$C$49:$C$53),0)</f>
        <v/>
      </c>
      <c r="J17" s="13">
        <f>SUMIFS(Gear!$J$4:$J$603,Gear!$A$4:$A$603,A17,Gear!$B$4:$B$603,"Magus",Gear!$C$4:$C$603,Inputs!$C$5)</f>
        <v/>
      </c>
      <c r="K17" s="13">
        <f>SUMIFS(Gear!$K$4:$K$603,Gear!$A$4:$A$603,A17,Gear!$B$4:$B$603,"Magus",Gear!$C$4:$C$603,Inputs!$C$5)</f>
        <v/>
      </c>
      <c r="L17" s="13">
        <f>SUMIFS(Gear!$L$4:$L$603,Gear!$A$4:$A$603,A17,Gear!$B$4:$B$603,"Magus",Gear!$C$4:$C$603,Inputs!$C$5)</f>
        <v/>
      </c>
      <c r="M17" s="13">
        <f>SUMIFS(Gear!$M$4:$M$603,Gear!$A$4:$A$603,A17,Gear!$B$4:$B$603,"Magus",Gear!$C$4:$C$603,Inputs!$C$5)</f>
        <v/>
      </c>
      <c r="N17" s="13">
        <f>SUMIFS(Gear!$N$4:$N$603,Gear!$A$4:$A$603,A17,Gear!$B$4:$B$603,"Magus",Gear!$C$4:$C$603,Inputs!$C$5)</f>
        <v/>
      </c>
      <c r="O17" s="9">
        <f>INDEX('Class Table'!$H$4:$H$53,A17)+SUMIFS(Gear!$G$4:$G$603,Gear!$A$4:$A$603,A17,Gear!$B$4:$B$603,"Magus",Gear!$C$4:$C$603,Inputs!$C$5)</f>
        <v/>
      </c>
      <c r="P17" s="9">
        <f>INDEX('Class Table'!$I$4:$I$53,A17)+SUMIFS(Gear!$H$4:$H$603,Gear!$A$4:$A$603,A17,Gear!$B$4:$B$603,"Magus",Gear!$C$4:$C$603,Inputs!$C$5)</f>
        <v/>
      </c>
      <c r="Q17" s="9">
        <f>INDEX('Class Table'!$J$4:$J$53,A17)+SUMIFS(Gear!$I$4:$I$603,Gear!$A$4:$A$603,A17,Gear!$B$4:$B$603,"Magus",Gear!$C$4:$C$603,Inputs!$C$5)</f>
        <v/>
      </c>
      <c r="R17" s="13">
        <f>SUMIFS(Gear!$O$4:$O$603,Gear!$A$4:$A$603,A17,Gear!$B$4:$B$603,"Magus",Gear!$C$4:$C$603,Inputs!$C$5)</f>
        <v/>
      </c>
      <c r="S17" s="26">
        <f>I17+0+G17+A17+MAX(1,A17/2)+(A17-B17)</f>
        <v/>
      </c>
      <c r="T17" s="9">
        <f>MAX(0,S17*(1+M17)*(1+L17)*Inputs!$C$20*(1-D17/Inputs!$C$19)-D17/25)</f>
        <v/>
      </c>
      <c r="U17" s="16">
        <f>H17/10*(1-MIN(0.95,N17+0))*Inputs!$C$21</f>
        <v/>
      </c>
      <c r="V17" s="27">
        <f>T17/U17</f>
        <v/>
      </c>
      <c r="W17" s="16">
        <f>(1+J17)*(1+K17)*Inputs!$C$20</f>
        <v/>
      </c>
      <c r="X17" s="17">
        <f>P17*Inputs!$C$23/Inputs!$C$22</f>
        <v/>
      </c>
      <c r="Y17" s="17">
        <f>IF(INDEX(Abilities!$A$14:$A$23,1)&lt;=A17,INDEX(Abilities!$C$14:$C$23,1)*CHOOSE(Inputs!$C$13,1,INDEX(Abilities!$J$14:$J$23,1),INDEX(Abilities!$I$14:$I$23,1))*W17/MAX(INDEX(Abilities!$D$14:$D$23,1),Inputs!$C$12),0)</f>
        <v/>
      </c>
      <c r="Z17" s="17">
        <f>IF(INDEX(Abilities!$A$14:$A$23,2)&lt;=A17,INDEX(Abilities!$C$14:$C$23,2)*CHOOSE(Inputs!$C$13,1,INDEX(Abilities!$J$14:$J$23,2),INDEX(Abilities!$I$14:$I$23,2))*W17/MAX(INDEX(Abilities!$D$14:$D$23,2),Inputs!$C$12),0)</f>
        <v/>
      </c>
      <c r="AA17" s="17">
        <f>IF(INDEX(Abilities!$A$14:$A$23,3)&lt;=A17,INDEX(Abilities!$C$14:$C$23,3)*CHOOSE(Inputs!$C$13,1,INDEX(Abilities!$J$14:$J$23,3),INDEX(Abilities!$I$14:$I$23,3))*W17/MAX(INDEX(Abilities!$D$14:$D$23,3),Inputs!$C$12),0)</f>
        <v/>
      </c>
      <c r="AB17" s="17">
        <f>IF(INDEX(Abilities!$A$14:$A$23,4)&lt;=A17,INDEX(Abilities!$C$14:$C$23,4)*CHOOSE(Inputs!$C$13,1,INDEX(Abilities!$J$14:$J$23,4),INDEX(Abilities!$I$14:$I$23,4))*W17/MAX(INDEX(Abilities!$D$14:$D$23,4),Inputs!$C$12),0)</f>
        <v/>
      </c>
      <c r="AC17" s="17">
        <f>IF(INDEX(Abilities!$A$14:$A$23,5)&lt;=A17,INDEX(Abilities!$C$14:$C$23,5)*CHOOSE(Inputs!$C$13,1,INDEX(Abilities!$J$14:$J$23,5),INDEX(Abilities!$I$14:$I$23,5))*W17/MAX(INDEX(Abilities!$D$14:$D$23,5),Inputs!$C$12),0)</f>
        <v/>
      </c>
      <c r="AD17" s="17">
        <f>IF(INDEX(Abilities!$A$14:$A$23,6)&lt;=A17,INDEX(Abilities!$C$14:$C$23,6)*CHOOSE(Inputs!$C$13,1,INDEX(Abilities!$J$14:$J$23,6),INDEX(Abilities!$I$14:$I$23,6))*W17/MAX(INDEX(Abilities!$D$14:$D$23,6),Inputs!$C$12),0)</f>
        <v/>
      </c>
      <c r="AE17" s="17">
        <f>IF(INDEX(Abilities!$A$14:$A$23,7)&lt;=A17,INDEX(Abilities!$C$14:$C$23,7)*CHOOSE(Inputs!$C$13,1,INDEX(Abilities!$J$14:$J$23,7),INDEX(Abilities!$I$14:$I$23,7))*W17/MAX(INDEX(Abilities!$D$14:$D$23,7),Inputs!$C$12),0)</f>
        <v/>
      </c>
      <c r="AF17" s="17">
        <f>IF(INDEX(Abilities!$A$14:$A$23,8)&lt;=A17,INDEX(Abilities!$C$14:$C$23,8)*CHOOSE(Inputs!$C$13,1,INDEX(Abilities!$J$14:$J$23,8),INDEX(Abilities!$I$14:$I$23,8))*W17/MAX(INDEX(Abilities!$D$14:$D$23,8),Inputs!$C$12),0)</f>
        <v/>
      </c>
      <c r="AG17" s="17">
        <f>IF(INDEX(Abilities!$A$14:$A$23,9)&lt;=A17,INDEX(Abilities!$C$14:$C$23,9)*CHOOSE(Inputs!$C$13,1,INDEX(Abilities!$J$14:$J$23,9),INDEX(Abilities!$I$14:$I$23,9))*W17/MAX(INDEX(Abilities!$D$14:$D$23,9),Inputs!$C$12),0)</f>
        <v/>
      </c>
      <c r="AH17" s="17">
        <f>IF(INDEX(Abilities!$A$14:$A$23,10)&lt;=A17,INDEX(Abilities!$C$14:$C$23,10)*CHOOSE(Inputs!$C$13,1,INDEX(Abilities!$J$14:$J$23,10),INDEX(Abilities!$I$14:$I$23,10))*W17/MAX(INDEX(Abilities!$D$14:$D$23,10),Inputs!$C$12),0)</f>
        <v/>
      </c>
      <c r="AI17" s="17">
        <f>IF(INDEX(Abilities!$A$14:$A$23,1)&lt;=A17,MIN(Y17,X17*INDEX(Abilities!$C$14:$C$23,1)*CHOOSE(Inputs!$C$13,1,INDEX(Abilities!$J$14:$J$23,1),INDEX(Abilities!$I$14:$I$23,1))*W17/INDEX(Abilities!$E$14:$E$23,1)),0)</f>
        <v/>
      </c>
      <c r="AJ17" s="17">
        <f>IF(INDEX(Abilities!$A$14:$A$23,2)&lt;=A17,MIN(Z17,X17*INDEX(Abilities!$C$14:$C$23,2)*CHOOSE(Inputs!$C$13,1,INDEX(Abilities!$J$14:$J$23,2),INDEX(Abilities!$I$14:$I$23,2))*W17/INDEX(Abilities!$E$14:$E$23,2)),0)</f>
        <v/>
      </c>
      <c r="AK17" s="17">
        <f>IF(INDEX(Abilities!$A$14:$A$23,3)&lt;=A17,MIN(AA17,X17*INDEX(Abilities!$C$14:$C$23,3)*CHOOSE(Inputs!$C$13,1,INDEX(Abilities!$J$14:$J$23,3),INDEX(Abilities!$I$14:$I$23,3))*W17/INDEX(Abilities!$E$14:$E$23,3)),0)</f>
        <v/>
      </c>
      <c r="AL17" s="17">
        <f>IF(INDEX(Abilities!$A$14:$A$23,4)&lt;=A17,MIN(AB17,X17*INDEX(Abilities!$C$14:$C$23,4)*CHOOSE(Inputs!$C$13,1,INDEX(Abilities!$J$14:$J$23,4),INDEX(Abilities!$I$14:$I$23,4))*W17/INDEX(Abilities!$E$14:$E$23,4)),0)</f>
        <v/>
      </c>
      <c r="AM17" s="17">
        <f>IF(INDEX(Abilities!$A$14:$A$23,5)&lt;=A17,MIN(AC17,X17*INDEX(Abilities!$C$14:$C$23,5)*CHOOSE(Inputs!$C$13,1,INDEX(Abilities!$J$14:$J$23,5),INDEX(Abilities!$I$14:$I$23,5))*W17/INDEX(Abilities!$E$14:$E$23,5)),0)</f>
        <v/>
      </c>
      <c r="AN17" s="17">
        <f>IF(INDEX(Abilities!$A$14:$A$23,6)&lt;=A17,MIN(AD17,X17*INDEX(Abilities!$C$14:$C$23,6)*CHOOSE(Inputs!$C$13,1,INDEX(Abilities!$J$14:$J$23,6),INDEX(Abilities!$I$14:$I$23,6))*W17/INDEX(Abilities!$E$14:$E$23,6)),0)</f>
        <v/>
      </c>
      <c r="AO17" s="17">
        <f>IF(INDEX(Abilities!$A$14:$A$23,7)&lt;=A17,MIN(AE17,X17*INDEX(Abilities!$C$14:$C$23,7)*CHOOSE(Inputs!$C$13,1,INDEX(Abilities!$J$14:$J$23,7),INDEX(Abilities!$I$14:$I$23,7))*W17/INDEX(Abilities!$E$14:$E$23,7)),0)</f>
        <v/>
      </c>
      <c r="AP17" s="17">
        <f>IF(INDEX(Abilities!$A$14:$A$23,8)&lt;=A17,MIN(AF17,X17*INDEX(Abilities!$C$14:$C$23,8)*CHOOSE(Inputs!$C$13,1,INDEX(Abilities!$J$14:$J$23,8),INDEX(Abilities!$I$14:$I$23,8))*W17/INDEX(Abilities!$E$14:$E$23,8)),0)</f>
        <v/>
      </c>
      <c r="AQ17" s="17">
        <f>IF(INDEX(Abilities!$A$14:$A$23,9)&lt;=A17,MIN(AG17,X17*INDEX(Abilities!$C$14:$C$23,9)*CHOOSE(Inputs!$C$13,1,INDEX(Abilities!$J$14:$J$23,9),INDEX(Abilities!$I$14:$I$23,9))*W17/INDEX(Abilities!$E$14:$E$23,9)),0)</f>
        <v/>
      </c>
      <c r="AR17" s="17">
        <f>IF(INDEX(Abilities!$A$14:$A$23,10)&lt;=A17,MIN(AH17,X17*INDEX(Abilities!$C$14:$C$23,10)*CHOOSE(Inputs!$C$13,1,INDEX(Abilities!$J$14:$J$23,10),INDEX(Abilities!$I$14:$I$23,10))*W17/INDEX(Abilities!$E$14:$E$23,10)),0)</f>
        <v/>
      </c>
      <c r="AS17" s="17">
        <f>IF(INDEX(Abilities!$A$14:$A$23,1)&lt;=A17,INDEX(Abilities!$C$14:$C$23,1)*CHOOSE(Inputs!$C$13,1,INDEX(Abilities!$J$14:$J$23,1),INDEX(Abilities!$I$14:$I$23,1))*W17/MAX(INDEX(Abilities!$D$14:$D$23,1),2*Inputs!$C$12),0)</f>
        <v/>
      </c>
      <c r="AT17" s="17">
        <f>IF(INDEX(Abilities!$A$14:$A$23,2)&lt;=A17,INDEX(Abilities!$C$14:$C$23,2)*CHOOSE(Inputs!$C$13,1,INDEX(Abilities!$J$14:$J$23,2),INDEX(Abilities!$I$14:$I$23,2))*W17/MAX(INDEX(Abilities!$D$14:$D$23,2),2*Inputs!$C$12),0)</f>
        <v/>
      </c>
      <c r="AU17" s="17">
        <f>IF(INDEX(Abilities!$A$14:$A$23,3)&lt;=A17,INDEX(Abilities!$C$14:$C$23,3)*CHOOSE(Inputs!$C$13,1,INDEX(Abilities!$J$14:$J$23,3),INDEX(Abilities!$I$14:$I$23,3))*W17/MAX(INDEX(Abilities!$D$14:$D$23,3),2*Inputs!$C$12),0)</f>
        <v/>
      </c>
      <c r="AV17" s="17">
        <f>IF(INDEX(Abilities!$A$14:$A$23,4)&lt;=A17,INDEX(Abilities!$C$14:$C$23,4)*CHOOSE(Inputs!$C$13,1,INDEX(Abilities!$J$14:$J$23,4),INDEX(Abilities!$I$14:$I$23,4))*W17/MAX(INDEX(Abilities!$D$14:$D$23,4),2*Inputs!$C$12),0)</f>
        <v/>
      </c>
      <c r="AW17" s="17">
        <f>IF(INDEX(Abilities!$A$14:$A$23,5)&lt;=A17,INDEX(Abilities!$C$14:$C$23,5)*CHOOSE(Inputs!$C$13,1,INDEX(Abilities!$J$14:$J$23,5),INDEX(Abilities!$I$14:$I$23,5))*W17/MAX(INDEX(Abilities!$D$14:$D$23,5),2*Inputs!$C$12),0)</f>
        <v/>
      </c>
      <c r="AX17" s="17">
        <f>IF(INDEX(Abilities!$A$14:$A$23,6)&lt;=A17,INDEX(Abilities!$C$14:$C$23,6)*CHOOSE(Inputs!$C$13,1,INDEX(Abilities!$J$14:$J$23,6),INDEX(Abilities!$I$14:$I$23,6))*W17/MAX(INDEX(Abilities!$D$14:$D$23,6),2*Inputs!$C$12),0)</f>
        <v/>
      </c>
      <c r="AY17" s="17">
        <f>IF(INDEX(Abilities!$A$14:$A$23,7)&lt;=A17,INDEX(Abilities!$C$14:$C$23,7)*CHOOSE(Inputs!$C$13,1,INDEX(Abilities!$J$14:$J$23,7),INDEX(Abilities!$I$14:$I$23,7))*W17/MAX(INDEX(Abilities!$D$14:$D$23,7),2*Inputs!$C$12),0)</f>
        <v/>
      </c>
      <c r="AZ17" s="17">
        <f>IF(INDEX(Abilities!$A$14:$A$23,8)&lt;=A17,INDEX(Abilities!$C$14:$C$23,8)*CHOOSE(Inputs!$C$13,1,INDEX(Abilities!$J$14:$J$23,8),INDEX(Abilities!$I$14:$I$23,8))*W17/MAX(INDEX(Abilities!$D$14:$D$23,8),2*Inputs!$C$12),0)</f>
        <v/>
      </c>
      <c r="BA17" s="17">
        <f>IF(INDEX(Abilities!$A$14:$A$23,9)&lt;=A17,INDEX(Abilities!$C$14:$C$23,9)*CHOOSE(Inputs!$C$13,1,INDEX(Abilities!$J$14:$J$23,9),INDEX(Abilities!$I$14:$I$23,9))*W17/MAX(INDEX(Abilities!$D$14:$D$23,9),2*Inputs!$C$12),0)</f>
        <v/>
      </c>
      <c r="BB17" s="17">
        <f>IF(INDEX(Abilities!$A$14:$A$23,10)&lt;=A17,INDEX(Abilities!$C$14:$C$23,10)*CHOOSE(Inputs!$C$13,1,INDEX(Abilities!$J$14:$J$23,10),INDEX(Abilities!$I$14:$I$23,10))*W17/MAX(INDEX(Abilities!$D$14:$D$23,10),2*Inputs!$C$12),0)</f>
        <v/>
      </c>
      <c r="BC17" s="27">
        <f>MAX(Y17:AH17)</f>
        <v/>
      </c>
      <c r="BD17" s="8">
        <f>MATCH(BC17,Y17:AH17,0)</f>
        <v/>
      </c>
      <c r="BE17" s="15">
        <f>INDEX(Abilities!$B$14:$B$23,BD17)</f>
        <v/>
      </c>
      <c r="BF17" s="16">
        <f>CHOOSE(Inputs!$C$13,1,INDEX(Abilities!$J$14:$J$23,BD17),INDEX(Abilities!$I$14:$I$23,BD17))</f>
        <v/>
      </c>
      <c r="BG17" s="17">
        <f>INDEX(Abilities!$E$14:$E$23,BD17)/MAX(INDEX(Abilities!$D$14:$D$23,BD17),Inputs!$C$12)</f>
        <v/>
      </c>
      <c r="BH17" s="27">
        <f>MAX(AI17:AR17)</f>
        <v/>
      </c>
      <c r="BI17" s="8">
        <f>MATCH(BH17,AI17:AR17,0)</f>
        <v/>
      </c>
      <c r="BJ17" s="15">
        <f>INDEX(Abilities!$B$14:$B$23,BI17)</f>
        <v/>
      </c>
      <c r="BK17" s="14">
        <f>IFERROR(ROUNDUP(C17/(INDEX(Abilities!$C$14:$C$23,BD17)*W17),0),"-")</f>
        <v/>
      </c>
      <c r="BL17" s="9">
        <f>IFERROR(C17*INDEX(Abilities!$E$14:$E$23,BI17)/(INDEX(Abilities!$C$14:$C$23,BI17)*CHOOSE(Inputs!$C$13,1,INDEX(Abilities!$J$14:$J$23,BI17),INDEX(Abilities!$I$14:$I$23,BI17))*W17),"-")</f>
        <v/>
      </c>
      <c r="BM17" s="60">
        <f>IFERROR(P17/BL17,"-")</f>
        <v/>
      </c>
      <c r="BN17" s="17">
        <f>BH17+Inputs!$C$18*V17</f>
        <v/>
      </c>
      <c r="BO17" s="17">
        <f>BC17+Inputs!$C$18*V17</f>
        <v/>
      </c>
      <c r="BP17" s="27">
        <f>LARGE(AS17:BB17,1)+LARGE(AS17:BB17,2)</f>
        <v/>
      </c>
      <c r="BQ17" s="60">
        <f>IFERROR(IF(BG17&lt;=X17,C17/BO17,IF(C17/BO17*(BG17-X17)&lt;=P17,C17/BO17,P17/(BG17-X17)+(C17-BO17*P17/(BG17-X17))/BN17)),"-")</f>
        <v/>
      </c>
      <c r="BR17" s="60">
        <f>BQ17</f>
        <v/>
      </c>
      <c r="BS17" s="9">
        <f>MAX(0,(E17+(B17-A17))*(1-R17)*(1-Q17*'Class Table'!$O$7/Inputs!$C$19)-Q17*'Class Table'!$O$7/25)</f>
        <v/>
      </c>
      <c r="BT17" s="26">
        <f>IFERROR(BS17/F17*BR17,"-")</f>
        <v/>
      </c>
      <c r="BU17" s="28">
        <f>IFERROR(BT17/O17,"-")</f>
        <v/>
      </c>
      <c r="BV17" s="9">
        <f>IFERROR(O17*Inputs!$C$24/Inputs!$C$22*BR17,"-")</f>
        <v/>
      </c>
      <c r="BW17" s="28">
        <f>IFERROR(MAX(0,BT17-BV17)/O17,"-")</f>
        <v/>
      </c>
    </row>
    <row r="18">
      <c r="A18" s="8" t="n">
        <v>15</v>
      </c>
      <c r="B18" s="14">
        <f>'Mob by Level'!B18</f>
        <v/>
      </c>
      <c r="C18" s="9">
        <f>'Mob by Level'!C18</f>
        <v/>
      </c>
      <c r="D18" s="9">
        <f>'Mob by Level'!D18</f>
        <v/>
      </c>
      <c r="E18" s="9">
        <f>'Mob by Level'!E18</f>
        <v/>
      </c>
      <c r="F18" s="16">
        <f>'Mob by Level'!F18</f>
        <v/>
      </c>
      <c r="G18" s="14">
        <f>SUMIFS(Gear!$D$4:$D$603,Gear!$A$4:$A$603,A18,Gear!$B$4:$B$603,"Magus",Gear!$C$4:$C$603,Inputs!$C$5)</f>
        <v/>
      </c>
      <c r="H18" s="14">
        <f>SUMIFS(Gear!$E$4:$E$603,Gear!$A$4:$A$603,A18,Gear!$B$4:$B$603,"Magus",Gear!$C$4:$C$603,Inputs!$C$5)</f>
        <v/>
      </c>
      <c r="I18" s="14">
        <f>SUMIFS(Gear!$F$4:$F$603,Gear!$A$4:$A$603,A18,Gear!$B$4:$B$603,"Magus",Gear!$C$4:$C$603,Inputs!$C$5)+Inputs!$C$17*IFERROR(LOOKUP(A18,Abilities!$A$49:$A$53,Abilities!$C$49:$C$53),0)</f>
        <v/>
      </c>
      <c r="J18" s="13">
        <f>SUMIFS(Gear!$J$4:$J$603,Gear!$A$4:$A$603,A18,Gear!$B$4:$B$603,"Magus",Gear!$C$4:$C$603,Inputs!$C$5)</f>
        <v/>
      </c>
      <c r="K18" s="13">
        <f>SUMIFS(Gear!$K$4:$K$603,Gear!$A$4:$A$603,A18,Gear!$B$4:$B$603,"Magus",Gear!$C$4:$C$603,Inputs!$C$5)</f>
        <v/>
      </c>
      <c r="L18" s="13">
        <f>SUMIFS(Gear!$L$4:$L$603,Gear!$A$4:$A$603,A18,Gear!$B$4:$B$603,"Magus",Gear!$C$4:$C$603,Inputs!$C$5)</f>
        <v/>
      </c>
      <c r="M18" s="13">
        <f>SUMIFS(Gear!$M$4:$M$603,Gear!$A$4:$A$603,A18,Gear!$B$4:$B$603,"Magus",Gear!$C$4:$C$603,Inputs!$C$5)</f>
        <v/>
      </c>
      <c r="N18" s="13">
        <f>SUMIFS(Gear!$N$4:$N$603,Gear!$A$4:$A$603,A18,Gear!$B$4:$B$603,"Magus",Gear!$C$4:$C$603,Inputs!$C$5)</f>
        <v/>
      </c>
      <c r="O18" s="9">
        <f>INDEX('Class Table'!$H$4:$H$53,A18)+SUMIFS(Gear!$G$4:$G$603,Gear!$A$4:$A$603,A18,Gear!$B$4:$B$603,"Magus",Gear!$C$4:$C$603,Inputs!$C$5)</f>
        <v/>
      </c>
      <c r="P18" s="9">
        <f>INDEX('Class Table'!$I$4:$I$53,A18)+SUMIFS(Gear!$H$4:$H$603,Gear!$A$4:$A$603,A18,Gear!$B$4:$B$603,"Magus",Gear!$C$4:$C$603,Inputs!$C$5)</f>
        <v/>
      </c>
      <c r="Q18" s="9">
        <f>INDEX('Class Table'!$J$4:$J$53,A18)+SUMIFS(Gear!$I$4:$I$603,Gear!$A$4:$A$603,A18,Gear!$B$4:$B$603,"Magus",Gear!$C$4:$C$603,Inputs!$C$5)</f>
        <v/>
      </c>
      <c r="R18" s="13">
        <f>SUMIFS(Gear!$O$4:$O$603,Gear!$A$4:$A$603,A18,Gear!$B$4:$B$603,"Magus",Gear!$C$4:$C$603,Inputs!$C$5)</f>
        <v/>
      </c>
      <c r="S18" s="26">
        <f>I18+0+G18+A18+MAX(1,A18/2)+(A18-B18)</f>
        <v/>
      </c>
      <c r="T18" s="9">
        <f>MAX(0,S18*(1+M18)*(1+L18)*Inputs!$C$20*(1-D18/Inputs!$C$19)-D18/25)</f>
        <v/>
      </c>
      <c r="U18" s="16">
        <f>H18/10*(1-MIN(0.95,N18+0))*Inputs!$C$21</f>
        <v/>
      </c>
      <c r="V18" s="27">
        <f>T18/U18</f>
        <v/>
      </c>
      <c r="W18" s="16">
        <f>(1+J18)*(1+K18)*Inputs!$C$20</f>
        <v/>
      </c>
      <c r="X18" s="17">
        <f>P18*Inputs!$C$23/Inputs!$C$22</f>
        <v/>
      </c>
      <c r="Y18" s="17">
        <f>IF(INDEX(Abilities!$A$14:$A$23,1)&lt;=A18,INDEX(Abilities!$C$14:$C$23,1)*CHOOSE(Inputs!$C$13,1,INDEX(Abilities!$J$14:$J$23,1),INDEX(Abilities!$I$14:$I$23,1))*W18/MAX(INDEX(Abilities!$D$14:$D$23,1),Inputs!$C$12),0)</f>
        <v/>
      </c>
      <c r="Z18" s="17">
        <f>IF(INDEX(Abilities!$A$14:$A$23,2)&lt;=A18,INDEX(Abilities!$C$14:$C$23,2)*CHOOSE(Inputs!$C$13,1,INDEX(Abilities!$J$14:$J$23,2),INDEX(Abilities!$I$14:$I$23,2))*W18/MAX(INDEX(Abilities!$D$14:$D$23,2),Inputs!$C$12),0)</f>
        <v/>
      </c>
      <c r="AA18" s="17">
        <f>IF(INDEX(Abilities!$A$14:$A$23,3)&lt;=A18,INDEX(Abilities!$C$14:$C$23,3)*CHOOSE(Inputs!$C$13,1,INDEX(Abilities!$J$14:$J$23,3),INDEX(Abilities!$I$14:$I$23,3))*W18/MAX(INDEX(Abilities!$D$14:$D$23,3),Inputs!$C$12),0)</f>
        <v/>
      </c>
      <c r="AB18" s="17">
        <f>IF(INDEX(Abilities!$A$14:$A$23,4)&lt;=A18,INDEX(Abilities!$C$14:$C$23,4)*CHOOSE(Inputs!$C$13,1,INDEX(Abilities!$J$14:$J$23,4),INDEX(Abilities!$I$14:$I$23,4))*W18/MAX(INDEX(Abilities!$D$14:$D$23,4),Inputs!$C$12),0)</f>
        <v/>
      </c>
      <c r="AC18" s="17">
        <f>IF(INDEX(Abilities!$A$14:$A$23,5)&lt;=A18,INDEX(Abilities!$C$14:$C$23,5)*CHOOSE(Inputs!$C$13,1,INDEX(Abilities!$J$14:$J$23,5),INDEX(Abilities!$I$14:$I$23,5))*W18/MAX(INDEX(Abilities!$D$14:$D$23,5),Inputs!$C$12),0)</f>
        <v/>
      </c>
      <c r="AD18" s="17">
        <f>IF(INDEX(Abilities!$A$14:$A$23,6)&lt;=A18,INDEX(Abilities!$C$14:$C$23,6)*CHOOSE(Inputs!$C$13,1,INDEX(Abilities!$J$14:$J$23,6),INDEX(Abilities!$I$14:$I$23,6))*W18/MAX(INDEX(Abilities!$D$14:$D$23,6),Inputs!$C$12),0)</f>
        <v/>
      </c>
      <c r="AE18" s="17">
        <f>IF(INDEX(Abilities!$A$14:$A$23,7)&lt;=A18,INDEX(Abilities!$C$14:$C$23,7)*CHOOSE(Inputs!$C$13,1,INDEX(Abilities!$J$14:$J$23,7),INDEX(Abilities!$I$14:$I$23,7))*W18/MAX(INDEX(Abilities!$D$14:$D$23,7),Inputs!$C$12),0)</f>
        <v/>
      </c>
      <c r="AF18" s="17">
        <f>IF(INDEX(Abilities!$A$14:$A$23,8)&lt;=A18,INDEX(Abilities!$C$14:$C$23,8)*CHOOSE(Inputs!$C$13,1,INDEX(Abilities!$J$14:$J$23,8),INDEX(Abilities!$I$14:$I$23,8))*W18/MAX(INDEX(Abilities!$D$14:$D$23,8),Inputs!$C$12),0)</f>
        <v/>
      </c>
      <c r="AG18" s="17">
        <f>IF(INDEX(Abilities!$A$14:$A$23,9)&lt;=A18,INDEX(Abilities!$C$14:$C$23,9)*CHOOSE(Inputs!$C$13,1,INDEX(Abilities!$J$14:$J$23,9),INDEX(Abilities!$I$14:$I$23,9))*W18/MAX(INDEX(Abilities!$D$14:$D$23,9),Inputs!$C$12),0)</f>
        <v/>
      </c>
      <c r="AH18" s="17">
        <f>IF(INDEX(Abilities!$A$14:$A$23,10)&lt;=A18,INDEX(Abilities!$C$14:$C$23,10)*CHOOSE(Inputs!$C$13,1,INDEX(Abilities!$J$14:$J$23,10),INDEX(Abilities!$I$14:$I$23,10))*W18/MAX(INDEX(Abilities!$D$14:$D$23,10),Inputs!$C$12),0)</f>
        <v/>
      </c>
      <c r="AI18" s="17">
        <f>IF(INDEX(Abilities!$A$14:$A$23,1)&lt;=A18,MIN(Y18,X18*INDEX(Abilities!$C$14:$C$23,1)*CHOOSE(Inputs!$C$13,1,INDEX(Abilities!$J$14:$J$23,1),INDEX(Abilities!$I$14:$I$23,1))*W18/INDEX(Abilities!$E$14:$E$23,1)),0)</f>
        <v/>
      </c>
      <c r="AJ18" s="17">
        <f>IF(INDEX(Abilities!$A$14:$A$23,2)&lt;=A18,MIN(Z18,X18*INDEX(Abilities!$C$14:$C$23,2)*CHOOSE(Inputs!$C$13,1,INDEX(Abilities!$J$14:$J$23,2),INDEX(Abilities!$I$14:$I$23,2))*W18/INDEX(Abilities!$E$14:$E$23,2)),0)</f>
        <v/>
      </c>
      <c r="AK18" s="17">
        <f>IF(INDEX(Abilities!$A$14:$A$23,3)&lt;=A18,MIN(AA18,X18*INDEX(Abilities!$C$14:$C$23,3)*CHOOSE(Inputs!$C$13,1,INDEX(Abilities!$J$14:$J$23,3),INDEX(Abilities!$I$14:$I$23,3))*W18/INDEX(Abilities!$E$14:$E$23,3)),0)</f>
        <v/>
      </c>
      <c r="AL18" s="17">
        <f>IF(INDEX(Abilities!$A$14:$A$23,4)&lt;=A18,MIN(AB18,X18*INDEX(Abilities!$C$14:$C$23,4)*CHOOSE(Inputs!$C$13,1,INDEX(Abilities!$J$14:$J$23,4),INDEX(Abilities!$I$14:$I$23,4))*W18/INDEX(Abilities!$E$14:$E$23,4)),0)</f>
        <v/>
      </c>
      <c r="AM18" s="17">
        <f>IF(INDEX(Abilities!$A$14:$A$23,5)&lt;=A18,MIN(AC18,X18*INDEX(Abilities!$C$14:$C$23,5)*CHOOSE(Inputs!$C$13,1,INDEX(Abilities!$J$14:$J$23,5),INDEX(Abilities!$I$14:$I$23,5))*W18/INDEX(Abilities!$E$14:$E$23,5)),0)</f>
        <v/>
      </c>
      <c r="AN18" s="17">
        <f>IF(INDEX(Abilities!$A$14:$A$23,6)&lt;=A18,MIN(AD18,X18*INDEX(Abilities!$C$14:$C$23,6)*CHOOSE(Inputs!$C$13,1,INDEX(Abilities!$J$14:$J$23,6),INDEX(Abilities!$I$14:$I$23,6))*W18/INDEX(Abilities!$E$14:$E$23,6)),0)</f>
        <v/>
      </c>
      <c r="AO18" s="17">
        <f>IF(INDEX(Abilities!$A$14:$A$23,7)&lt;=A18,MIN(AE18,X18*INDEX(Abilities!$C$14:$C$23,7)*CHOOSE(Inputs!$C$13,1,INDEX(Abilities!$J$14:$J$23,7),INDEX(Abilities!$I$14:$I$23,7))*W18/INDEX(Abilities!$E$14:$E$23,7)),0)</f>
        <v/>
      </c>
      <c r="AP18" s="17">
        <f>IF(INDEX(Abilities!$A$14:$A$23,8)&lt;=A18,MIN(AF18,X18*INDEX(Abilities!$C$14:$C$23,8)*CHOOSE(Inputs!$C$13,1,INDEX(Abilities!$J$14:$J$23,8),INDEX(Abilities!$I$14:$I$23,8))*W18/INDEX(Abilities!$E$14:$E$23,8)),0)</f>
        <v/>
      </c>
      <c r="AQ18" s="17">
        <f>IF(INDEX(Abilities!$A$14:$A$23,9)&lt;=A18,MIN(AG18,X18*INDEX(Abilities!$C$14:$C$23,9)*CHOOSE(Inputs!$C$13,1,INDEX(Abilities!$J$14:$J$23,9),INDEX(Abilities!$I$14:$I$23,9))*W18/INDEX(Abilities!$E$14:$E$23,9)),0)</f>
        <v/>
      </c>
      <c r="AR18" s="17">
        <f>IF(INDEX(Abilities!$A$14:$A$23,10)&lt;=A18,MIN(AH18,X18*INDEX(Abilities!$C$14:$C$23,10)*CHOOSE(Inputs!$C$13,1,INDEX(Abilities!$J$14:$J$23,10),INDEX(Abilities!$I$14:$I$23,10))*W18/INDEX(Abilities!$E$14:$E$23,10)),0)</f>
        <v/>
      </c>
      <c r="AS18" s="17">
        <f>IF(INDEX(Abilities!$A$14:$A$23,1)&lt;=A18,INDEX(Abilities!$C$14:$C$23,1)*CHOOSE(Inputs!$C$13,1,INDEX(Abilities!$J$14:$J$23,1),INDEX(Abilities!$I$14:$I$23,1))*W18/MAX(INDEX(Abilities!$D$14:$D$23,1),2*Inputs!$C$12),0)</f>
        <v/>
      </c>
      <c r="AT18" s="17">
        <f>IF(INDEX(Abilities!$A$14:$A$23,2)&lt;=A18,INDEX(Abilities!$C$14:$C$23,2)*CHOOSE(Inputs!$C$13,1,INDEX(Abilities!$J$14:$J$23,2),INDEX(Abilities!$I$14:$I$23,2))*W18/MAX(INDEX(Abilities!$D$14:$D$23,2),2*Inputs!$C$12),0)</f>
        <v/>
      </c>
      <c r="AU18" s="17">
        <f>IF(INDEX(Abilities!$A$14:$A$23,3)&lt;=A18,INDEX(Abilities!$C$14:$C$23,3)*CHOOSE(Inputs!$C$13,1,INDEX(Abilities!$J$14:$J$23,3),INDEX(Abilities!$I$14:$I$23,3))*W18/MAX(INDEX(Abilities!$D$14:$D$23,3),2*Inputs!$C$12),0)</f>
        <v/>
      </c>
      <c r="AV18" s="17">
        <f>IF(INDEX(Abilities!$A$14:$A$23,4)&lt;=A18,INDEX(Abilities!$C$14:$C$23,4)*CHOOSE(Inputs!$C$13,1,INDEX(Abilities!$J$14:$J$23,4),INDEX(Abilities!$I$14:$I$23,4))*W18/MAX(INDEX(Abilities!$D$14:$D$23,4),2*Inputs!$C$12),0)</f>
        <v/>
      </c>
      <c r="AW18" s="17">
        <f>IF(INDEX(Abilities!$A$14:$A$23,5)&lt;=A18,INDEX(Abilities!$C$14:$C$23,5)*CHOOSE(Inputs!$C$13,1,INDEX(Abilities!$J$14:$J$23,5),INDEX(Abilities!$I$14:$I$23,5))*W18/MAX(INDEX(Abilities!$D$14:$D$23,5),2*Inputs!$C$12),0)</f>
        <v/>
      </c>
      <c r="AX18" s="17">
        <f>IF(INDEX(Abilities!$A$14:$A$23,6)&lt;=A18,INDEX(Abilities!$C$14:$C$23,6)*CHOOSE(Inputs!$C$13,1,INDEX(Abilities!$J$14:$J$23,6),INDEX(Abilities!$I$14:$I$23,6))*W18/MAX(INDEX(Abilities!$D$14:$D$23,6),2*Inputs!$C$12),0)</f>
        <v/>
      </c>
      <c r="AY18" s="17">
        <f>IF(INDEX(Abilities!$A$14:$A$23,7)&lt;=A18,INDEX(Abilities!$C$14:$C$23,7)*CHOOSE(Inputs!$C$13,1,INDEX(Abilities!$J$14:$J$23,7),INDEX(Abilities!$I$14:$I$23,7))*W18/MAX(INDEX(Abilities!$D$14:$D$23,7),2*Inputs!$C$12),0)</f>
        <v/>
      </c>
      <c r="AZ18" s="17">
        <f>IF(INDEX(Abilities!$A$14:$A$23,8)&lt;=A18,INDEX(Abilities!$C$14:$C$23,8)*CHOOSE(Inputs!$C$13,1,INDEX(Abilities!$J$14:$J$23,8),INDEX(Abilities!$I$14:$I$23,8))*W18/MAX(INDEX(Abilities!$D$14:$D$23,8),2*Inputs!$C$12),0)</f>
        <v/>
      </c>
      <c r="BA18" s="17">
        <f>IF(INDEX(Abilities!$A$14:$A$23,9)&lt;=A18,INDEX(Abilities!$C$14:$C$23,9)*CHOOSE(Inputs!$C$13,1,INDEX(Abilities!$J$14:$J$23,9),INDEX(Abilities!$I$14:$I$23,9))*W18/MAX(INDEX(Abilities!$D$14:$D$23,9),2*Inputs!$C$12),0)</f>
        <v/>
      </c>
      <c r="BB18" s="17">
        <f>IF(INDEX(Abilities!$A$14:$A$23,10)&lt;=A18,INDEX(Abilities!$C$14:$C$23,10)*CHOOSE(Inputs!$C$13,1,INDEX(Abilities!$J$14:$J$23,10),INDEX(Abilities!$I$14:$I$23,10))*W18/MAX(INDEX(Abilities!$D$14:$D$23,10),2*Inputs!$C$12),0)</f>
        <v/>
      </c>
      <c r="BC18" s="27">
        <f>MAX(Y18:AH18)</f>
        <v/>
      </c>
      <c r="BD18" s="8">
        <f>MATCH(BC18,Y18:AH18,0)</f>
        <v/>
      </c>
      <c r="BE18" s="15">
        <f>INDEX(Abilities!$B$14:$B$23,BD18)</f>
        <v/>
      </c>
      <c r="BF18" s="16">
        <f>CHOOSE(Inputs!$C$13,1,INDEX(Abilities!$J$14:$J$23,BD18),INDEX(Abilities!$I$14:$I$23,BD18))</f>
        <v/>
      </c>
      <c r="BG18" s="17">
        <f>INDEX(Abilities!$E$14:$E$23,BD18)/MAX(INDEX(Abilities!$D$14:$D$23,BD18),Inputs!$C$12)</f>
        <v/>
      </c>
      <c r="BH18" s="27">
        <f>MAX(AI18:AR18)</f>
        <v/>
      </c>
      <c r="BI18" s="8">
        <f>MATCH(BH18,AI18:AR18,0)</f>
        <v/>
      </c>
      <c r="BJ18" s="15">
        <f>INDEX(Abilities!$B$14:$B$23,BI18)</f>
        <v/>
      </c>
      <c r="BK18" s="14">
        <f>IFERROR(ROUNDUP(C18/(INDEX(Abilities!$C$14:$C$23,BD18)*W18),0),"-")</f>
        <v/>
      </c>
      <c r="BL18" s="9">
        <f>IFERROR(C18*INDEX(Abilities!$E$14:$E$23,BI18)/(INDEX(Abilities!$C$14:$C$23,BI18)*CHOOSE(Inputs!$C$13,1,INDEX(Abilities!$J$14:$J$23,BI18),INDEX(Abilities!$I$14:$I$23,BI18))*W18),"-")</f>
        <v/>
      </c>
      <c r="BM18" s="60">
        <f>IFERROR(P18/BL18,"-")</f>
        <v/>
      </c>
      <c r="BN18" s="17">
        <f>BH18+Inputs!$C$18*V18</f>
        <v/>
      </c>
      <c r="BO18" s="17">
        <f>BC18+Inputs!$C$18*V18</f>
        <v/>
      </c>
      <c r="BP18" s="27">
        <f>LARGE(AS18:BB18,1)+LARGE(AS18:BB18,2)</f>
        <v/>
      </c>
      <c r="BQ18" s="60">
        <f>IFERROR(IF(BG18&lt;=X18,C18/BO18,IF(C18/BO18*(BG18-X18)&lt;=P18,C18/BO18,P18/(BG18-X18)+(C18-BO18*P18/(BG18-X18))/BN18)),"-")</f>
        <v/>
      </c>
      <c r="BR18" s="60">
        <f>BQ18</f>
        <v/>
      </c>
      <c r="BS18" s="9">
        <f>MAX(0,(E18+(B18-A18))*(1-R18)*(1-Q18*'Class Table'!$O$7/Inputs!$C$19)-Q18*'Class Table'!$O$7/25)</f>
        <v/>
      </c>
      <c r="BT18" s="26">
        <f>IFERROR(BS18/F18*BR18,"-")</f>
        <v/>
      </c>
      <c r="BU18" s="28">
        <f>IFERROR(BT18/O18,"-")</f>
        <v/>
      </c>
      <c r="BV18" s="9">
        <f>IFERROR(O18*Inputs!$C$24/Inputs!$C$22*BR18,"-")</f>
        <v/>
      </c>
      <c r="BW18" s="28">
        <f>IFERROR(MAX(0,BT18-BV18)/O18,"-")</f>
        <v/>
      </c>
    </row>
    <row r="19">
      <c r="A19" s="8" t="n">
        <v>16</v>
      </c>
      <c r="B19" s="14">
        <f>'Mob by Level'!B19</f>
        <v/>
      </c>
      <c r="C19" s="9">
        <f>'Mob by Level'!C19</f>
        <v/>
      </c>
      <c r="D19" s="9">
        <f>'Mob by Level'!D19</f>
        <v/>
      </c>
      <c r="E19" s="9">
        <f>'Mob by Level'!E19</f>
        <v/>
      </c>
      <c r="F19" s="16">
        <f>'Mob by Level'!F19</f>
        <v/>
      </c>
      <c r="G19" s="14">
        <f>SUMIFS(Gear!$D$4:$D$603,Gear!$A$4:$A$603,A19,Gear!$B$4:$B$603,"Magus",Gear!$C$4:$C$603,Inputs!$C$5)</f>
        <v/>
      </c>
      <c r="H19" s="14">
        <f>SUMIFS(Gear!$E$4:$E$603,Gear!$A$4:$A$603,A19,Gear!$B$4:$B$603,"Magus",Gear!$C$4:$C$603,Inputs!$C$5)</f>
        <v/>
      </c>
      <c r="I19" s="14">
        <f>SUMIFS(Gear!$F$4:$F$603,Gear!$A$4:$A$603,A19,Gear!$B$4:$B$603,"Magus",Gear!$C$4:$C$603,Inputs!$C$5)+Inputs!$C$17*IFERROR(LOOKUP(A19,Abilities!$A$49:$A$53,Abilities!$C$49:$C$53),0)</f>
        <v/>
      </c>
      <c r="J19" s="13">
        <f>SUMIFS(Gear!$J$4:$J$603,Gear!$A$4:$A$603,A19,Gear!$B$4:$B$603,"Magus",Gear!$C$4:$C$603,Inputs!$C$5)</f>
        <v/>
      </c>
      <c r="K19" s="13">
        <f>SUMIFS(Gear!$K$4:$K$603,Gear!$A$4:$A$603,A19,Gear!$B$4:$B$603,"Magus",Gear!$C$4:$C$603,Inputs!$C$5)</f>
        <v/>
      </c>
      <c r="L19" s="13">
        <f>SUMIFS(Gear!$L$4:$L$603,Gear!$A$4:$A$603,A19,Gear!$B$4:$B$603,"Magus",Gear!$C$4:$C$603,Inputs!$C$5)</f>
        <v/>
      </c>
      <c r="M19" s="13">
        <f>SUMIFS(Gear!$M$4:$M$603,Gear!$A$4:$A$603,A19,Gear!$B$4:$B$603,"Magus",Gear!$C$4:$C$603,Inputs!$C$5)</f>
        <v/>
      </c>
      <c r="N19" s="13">
        <f>SUMIFS(Gear!$N$4:$N$603,Gear!$A$4:$A$603,A19,Gear!$B$4:$B$603,"Magus",Gear!$C$4:$C$603,Inputs!$C$5)</f>
        <v/>
      </c>
      <c r="O19" s="9">
        <f>INDEX('Class Table'!$H$4:$H$53,A19)+SUMIFS(Gear!$G$4:$G$603,Gear!$A$4:$A$603,A19,Gear!$B$4:$B$603,"Magus",Gear!$C$4:$C$603,Inputs!$C$5)</f>
        <v/>
      </c>
      <c r="P19" s="9">
        <f>INDEX('Class Table'!$I$4:$I$53,A19)+SUMIFS(Gear!$H$4:$H$603,Gear!$A$4:$A$603,A19,Gear!$B$4:$B$603,"Magus",Gear!$C$4:$C$603,Inputs!$C$5)</f>
        <v/>
      </c>
      <c r="Q19" s="9">
        <f>INDEX('Class Table'!$J$4:$J$53,A19)+SUMIFS(Gear!$I$4:$I$603,Gear!$A$4:$A$603,A19,Gear!$B$4:$B$603,"Magus",Gear!$C$4:$C$603,Inputs!$C$5)</f>
        <v/>
      </c>
      <c r="R19" s="13">
        <f>SUMIFS(Gear!$O$4:$O$603,Gear!$A$4:$A$603,A19,Gear!$B$4:$B$603,"Magus",Gear!$C$4:$C$603,Inputs!$C$5)</f>
        <v/>
      </c>
      <c r="S19" s="26">
        <f>I19+0+G19+A19+MAX(1,A19/2)+(A19-B19)</f>
        <v/>
      </c>
      <c r="T19" s="9">
        <f>MAX(0,S19*(1+M19)*(1+L19)*Inputs!$C$20*(1-D19/Inputs!$C$19)-D19/25)</f>
        <v/>
      </c>
      <c r="U19" s="16">
        <f>H19/10*(1-MIN(0.95,N19+0))*Inputs!$C$21</f>
        <v/>
      </c>
      <c r="V19" s="27">
        <f>T19/U19</f>
        <v/>
      </c>
      <c r="W19" s="16">
        <f>(1+J19)*(1+K19)*Inputs!$C$20</f>
        <v/>
      </c>
      <c r="X19" s="17">
        <f>P19*Inputs!$C$23/Inputs!$C$22</f>
        <v/>
      </c>
      <c r="Y19" s="17">
        <f>IF(INDEX(Abilities!$A$14:$A$23,1)&lt;=A19,INDEX(Abilities!$C$14:$C$23,1)*CHOOSE(Inputs!$C$13,1,INDEX(Abilities!$J$14:$J$23,1),INDEX(Abilities!$I$14:$I$23,1))*W19/MAX(INDEX(Abilities!$D$14:$D$23,1),Inputs!$C$12),0)</f>
        <v/>
      </c>
      <c r="Z19" s="17">
        <f>IF(INDEX(Abilities!$A$14:$A$23,2)&lt;=A19,INDEX(Abilities!$C$14:$C$23,2)*CHOOSE(Inputs!$C$13,1,INDEX(Abilities!$J$14:$J$23,2),INDEX(Abilities!$I$14:$I$23,2))*W19/MAX(INDEX(Abilities!$D$14:$D$23,2),Inputs!$C$12),0)</f>
        <v/>
      </c>
      <c r="AA19" s="17">
        <f>IF(INDEX(Abilities!$A$14:$A$23,3)&lt;=A19,INDEX(Abilities!$C$14:$C$23,3)*CHOOSE(Inputs!$C$13,1,INDEX(Abilities!$J$14:$J$23,3),INDEX(Abilities!$I$14:$I$23,3))*W19/MAX(INDEX(Abilities!$D$14:$D$23,3),Inputs!$C$12),0)</f>
        <v/>
      </c>
      <c r="AB19" s="17">
        <f>IF(INDEX(Abilities!$A$14:$A$23,4)&lt;=A19,INDEX(Abilities!$C$14:$C$23,4)*CHOOSE(Inputs!$C$13,1,INDEX(Abilities!$J$14:$J$23,4),INDEX(Abilities!$I$14:$I$23,4))*W19/MAX(INDEX(Abilities!$D$14:$D$23,4),Inputs!$C$12),0)</f>
        <v/>
      </c>
      <c r="AC19" s="17">
        <f>IF(INDEX(Abilities!$A$14:$A$23,5)&lt;=A19,INDEX(Abilities!$C$14:$C$23,5)*CHOOSE(Inputs!$C$13,1,INDEX(Abilities!$J$14:$J$23,5),INDEX(Abilities!$I$14:$I$23,5))*W19/MAX(INDEX(Abilities!$D$14:$D$23,5),Inputs!$C$12),0)</f>
        <v/>
      </c>
      <c r="AD19" s="17">
        <f>IF(INDEX(Abilities!$A$14:$A$23,6)&lt;=A19,INDEX(Abilities!$C$14:$C$23,6)*CHOOSE(Inputs!$C$13,1,INDEX(Abilities!$J$14:$J$23,6),INDEX(Abilities!$I$14:$I$23,6))*W19/MAX(INDEX(Abilities!$D$14:$D$23,6),Inputs!$C$12),0)</f>
        <v/>
      </c>
      <c r="AE19" s="17">
        <f>IF(INDEX(Abilities!$A$14:$A$23,7)&lt;=A19,INDEX(Abilities!$C$14:$C$23,7)*CHOOSE(Inputs!$C$13,1,INDEX(Abilities!$J$14:$J$23,7),INDEX(Abilities!$I$14:$I$23,7))*W19/MAX(INDEX(Abilities!$D$14:$D$23,7),Inputs!$C$12),0)</f>
        <v/>
      </c>
      <c r="AF19" s="17">
        <f>IF(INDEX(Abilities!$A$14:$A$23,8)&lt;=A19,INDEX(Abilities!$C$14:$C$23,8)*CHOOSE(Inputs!$C$13,1,INDEX(Abilities!$J$14:$J$23,8),INDEX(Abilities!$I$14:$I$23,8))*W19/MAX(INDEX(Abilities!$D$14:$D$23,8),Inputs!$C$12),0)</f>
        <v/>
      </c>
      <c r="AG19" s="17">
        <f>IF(INDEX(Abilities!$A$14:$A$23,9)&lt;=A19,INDEX(Abilities!$C$14:$C$23,9)*CHOOSE(Inputs!$C$13,1,INDEX(Abilities!$J$14:$J$23,9),INDEX(Abilities!$I$14:$I$23,9))*W19/MAX(INDEX(Abilities!$D$14:$D$23,9),Inputs!$C$12),0)</f>
        <v/>
      </c>
      <c r="AH19" s="17">
        <f>IF(INDEX(Abilities!$A$14:$A$23,10)&lt;=A19,INDEX(Abilities!$C$14:$C$23,10)*CHOOSE(Inputs!$C$13,1,INDEX(Abilities!$J$14:$J$23,10),INDEX(Abilities!$I$14:$I$23,10))*W19/MAX(INDEX(Abilities!$D$14:$D$23,10),Inputs!$C$12),0)</f>
        <v/>
      </c>
      <c r="AI19" s="17">
        <f>IF(INDEX(Abilities!$A$14:$A$23,1)&lt;=A19,MIN(Y19,X19*INDEX(Abilities!$C$14:$C$23,1)*CHOOSE(Inputs!$C$13,1,INDEX(Abilities!$J$14:$J$23,1),INDEX(Abilities!$I$14:$I$23,1))*W19/INDEX(Abilities!$E$14:$E$23,1)),0)</f>
        <v/>
      </c>
      <c r="AJ19" s="17">
        <f>IF(INDEX(Abilities!$A$14:$A$23,2)&lt;=A19,MIN(Z19,X19*INDEX(Abilities!$C$14:$C$23,2)*CHOOSE(Inputs!$C$13,1,INDEX(Abilities!$J$14:$J$23,2),INDEX(Abilities!$I$14:$I$23,2))*W19/INDEX(Abilities!$E$14:$E$23,2)),0)</f>
        <v/>
      </c>
      <c r="AK19" s="17">
        <f>IF(INDEX(Abilities!$A$14:$A$23,3)&lt;=A19,MIN(AA19,X19*INDEX(Abilities!$C$14:$C$23,3)*CHOOSE(Inputs!$C$13,1,INDEX(Abilities!$J$14:$J$23,3),INDEX(Abilities!$I$14:$I$23,3))*W19/INDEX(Abilities!$E$14:$E$23,3)),0)</f>
        <v/>
      </c>
      <c r="AL19" s="17">
        <f>IF(INDEX(Abilities!$A$14:$A$23,4)&lt;=A19,MIN(AB19,X19*INDEX(Abilities!$C$14:$C$23,4)*CHOOSE(Inputs!$C$13,1,INDEX(Abilities!$J$14:$J$23,4),INDEX(Abilities!$I$14:$I$23,4))*W19/INDEX(Abilities!$E$14:$E$23,4)),0)</f>
        <v/>
      </c>
      <c r="AM19" s="17">
        <f>IF(INDEX(Abilities!$A$14:$A$23,5)&lt;=A19,MIN(AC19,X19*INDEX(Abilities!$C$14:$C$23,5)*CHOOSE(Inputs!$C$13,1,INDEX(Abilities!$J$14:$J$23,5),INDEX(Abilities!$I$14:$I$23,5))*W19/INDEX(Abilities!$E$14:$E$23,5)),0)</f>
        <v/>
      </c>
      <c r="AN19" s="17">
        <f>IF(INDEX(Abilities!$A$14:$A$23,6)&lt;=A19,MIN(AD19,X19*INDEX(Abilities!$C$14:$C$23,6)*CHOOSE(Inputs!$C$13,1,INDEX(Abilities!$J$14:$J$23,6),INDEX(Abilities!$I$14:$I$23,6))*W19/INDEX(Abilities!$E$14:$E$23,6)),0)</f>
        <v/>
      </c>
      <c r="AO19" s="17">
        <f>IF(INDEX(Abilities!$A$14:$A$23,7)&lt;=A19,MIN(AE19,X19*INDEX(Abilities!$C$14:$C$23,7)*CHOOSE(Inputs!$C$13,1,INDEX(Abilities!$J$14:$J$23,7),INDEX(Abilities!$I$14:$I$23,7))*W19/INDEX(Abilities!$E$14:$E$23,7)),0)</f>
        <v/>
      </c>
      <c r="AP19" s="17">
        <f>IF(INDEX(Abilities!$A$14:$A$23,8)&lt;=A19,MIN(AF19,X19*INDEX(Abilities!$C$14:$C$23,8)*CHOOSE(Inputs!$C$13,1,INDEX(Abilities!$J$14:$J$23,8),INDEX(Abilities!$I$14:$I$23,8))*W19/INDEX(Abilities!$E$14:$E$23,8)),0)</f>
        <v/>
      </c>
      <c r="AQ19" s="17">
        <f>IF(INDEX(Abilities!$A$14:$A$23,9)&lt;=A19,MIN(AG19,X19*INDEX(Abilities!$C$14:$C$23,9)*CHOOSE(Inputs!$C$13,1,INDEX(Abilities!$J$14:$J$23,9),INDEX(Abilities!$I$14:$I$23,9))*W19/INDEX(Abilities!$E$14:$E$23,9)),0)</f>
        <v/>
      </c>
      <c r="AR19" s="17">
        <f>IF(INDEX(Abilities!$A$14:$A$23,10)&lt;=A19,MIN(AH19,X19*INDEX(Abilities!$C$14:$C$23,10)*CHOOSE(Inputs!$C$13,1,INDEX(Abilities!$J$14:$J$23,10),INDEX(Abilities!$I$14:$I$23,10))*W19/INDEX(Abilities!$E$14:$E$23,10)),0)</f>
        <v/>
      </c>
      <c r="AS19" s="17">
        <f>IF(INDEX(Abilities!$A$14:$A$23,1)&lt;=A19,INDEX(Abilities!$C$14:$C$23,1)*CHOOSE(Inputs!$C$13,1,INDEX(Abilities!$J$14:$J$23,1),INDEX(Abilities!$I$14:$I$23,1))*W19/MAX(INDEX(Abilities!$D$14:$D$23,1),2*Inputs!$C$12),0)</f>
        <v/>
      </c>
      <c r="AT19" s="17">
        <f>IF(INDEX(Abilities!$A$14:$A$23,2)&lt;=A19,INDEX(Abilities!$C$14:$C$23,2)*CHOOSE(Inputs!$C$13,1,INDEX(Abilities!$J$14:$J$23,2),INDEX(Abilities!$I$14:$I$23,2))*W19/MAX(INDEX(Abilities!$D$14:$D$23,2),2*Inputs!$C$12),0)</f>
        <v/>
      </c>
      <c r="AU19" s="17">
        <f>IF(INDEX(Abilities!$A$14:$A$23,3)&lt;=A19,INDEX(Abilities!$C$14:$C$23,3)*CHOOSE(Inputs!$C$13,1,INDEX(Abilities!$J$14:$J$23,3),INDEX(Abilities!$I$14:$I$23,3))*W19/MAX(INDEX(Abilities!$D$14:$D$23,3),2*Inputs!$C$12),0)</f>
        <v/>
      </c>
      <c r="AV19" s="17">
        <f>IF(INDEX(Abilities!$A$14:$A$23,4)&lt;=A19,INDEX(Abilities!$C$14:$C$23,4)*CHOOSE(Inputs!$C$13,1,INDEX(Abilities!$J$14:$J$23,4),INDEX(Abilities!$I$14:$I$23,4))*W19/MAX(INDEX(Abilities!$D$14:$D$23,4),2*Inputs!$C$12),0)</f>
        <v/>
      </c>
      <c r="AW19" s="17">
        <f>IF(INDEX(Abilities!$A$14:$A$23,5)&lt;=A19,INDEX(Abilities!$C$14:$C$23,5)*CHOOSE(Inputs!$C$13,1,INDEX(Abilities!$J$14:$J$23,5),INDEX(Abilities!$I$14:$I$23,5))*W19/MAX(INDEX(Abilities!$D$14:$D$23,5),2*Inputs!$C$12),0)</f>
        <v/>
      </c>
      <c r="AX19" s="17">
        <f>IF(INDEX(Abilities!$A$14:$A$23,6)&lt;=A19,INDEX(Abilities!$C$14:$C$23,6)*CHOOSE(Inputs!$C$13,1,INDEX(Abilities!$J$14:$J$23,6),INDEX(Abilities!$I$14:$I$23,6))*W19/MAX(INDEX(Abilities!$D$14:$D$23,6),2*Inputs!$C$12),0)</f>
        <v/>
      </c>
      <c r="AY19" s="17">
        <f>IF(INDEX(Abilities!$A$14:$A$23,7)&lt;=A19,INDEX(Abilities!$C$14:$C$23,7)*CHOOSE(Inputs!$C$13,1,INDEX(Abilities!$J$14:$J$23,7),INDEX(Abilities!$I$14:$I$23,7))*W19/MAX(INDEX(Abilities!$D$14:$D$23,7),2*Inputs!$C$12),0)</f>
        <v/>
      </c>
      <c r="AZ19" s="17">
        <f>IF(INDEX(Abilities!$A$14:$A$23,8)&lt;=A19,INDEX(Abilities!$C$14:$C$23,8)*CHOOSE(Inputs!$C$13,1,INDEX(Abilities!$J$14:$J$23,8),INDEX(Abilities!$I$14:$I$23,8))*W19/MAX(INDEX(Abilities!$D$14:$D$23,8),2*Inputs!$C$12),0)</f>
        <v/>
      </c>
      <c r="BA19" s="17">
        <f>IF(INDEX(Abilities!$A$14:$A$23,9)&lt;=A19,INDEX(Abilities!$C$14:$C$23,9)*CHOOSE(Inputs!$C$13,1,INDEX(Abilities!$J$14:$J$23,9),INDEX(Abilities!$I$14:$I$23,9))*W19/MAX(INDEX(Abilities!$D$14:$D$23,9),2*Inputs!$C$12),0)</f>
        <v/>
      </c>
      <c r="BB19" s="17">
        <f>IF(INDEX(Abilities!$A$14:$A$23,10)&lt;=A19,INDEX(Abilities!$C$14:$C$23,10)*CHOOSE(Inputs!$C$13,1,INDEX(Abilities!$J$14:$J$23,10),INDEX(Abilities!$I$14:$I$23,10))*W19/MAX(INDEX(Abilities!$D$14:$D$23,10),2*Inputs!$C$12),0)</f>
        <v/>
      </c>
      <c r="BC19" s="27">
        <f>MAX(Y19:AH19)</f>
        <v/>
      </c>
      <c r="BD19" s="8">
        <f>MATCH(BC19,Y19:AH19,0)</f>
        <v/>
      </c>
      <c r="BE19" s="15">
        <f>INDEX(Abilities!$B$14:$B$23,BD19)</f>
        <v/>
      </c>
      <c r="BF19" s="16">
        <f>CHOOSE(Inputs!$C$13,1,INDEX(Abilities!$J$14:$J$23,BD19),INDEX(Abilities!$I$14:$I$23,BD19))</f>
        <v/>
      </c>
      <c r="BG19" s="17">
        <f>INDEX(Abilities!$E$14:$E$23,BD19)/MAX(INDEX(Abilities!$D$14:$D$23,BD19),Inputs!$C$12)</f>
        <v/>
      </c>
      <c r="BH19" s="27">
        <f>MAX(AI19:AR19)</f>
        <v/>
      </c>
      <c r="BI19" s="8">
        <f>MATCH(BH19,AI19:AR19,0)</f>
        <v/>
      </c>
      <c r="BJ19" s="15">
        <f>INDEX(Abilities!$B$14:$B$23,BI19)</f>
        <v/>
      </c>
      <c r="BK19" s="14">
        <f>IFERROR(ROUNDUP(C19/(INDEX(Abilities!$C$14:$C$23,BD19)*W19),0),"-")</f>
        <v/>
      </c>
      <c r="BL19" s="9">
        <f>IFERROR(C19*INDEX(Abilities!$E$14:$E$23,BI19)/(INDEX(Abilities!$C$14:$C$23,BI19)*CHOOSE(Inputs!$C$13,1,INDEX(Abilities!$J$14:$J$23,BI19),INDEX(Abilities!$I$14:$I$23,BI19))*W19),"-")</f>
        <v/>
      </c>
      <c r="BM19" s="60">
        <f>IFERROR(P19/BL19,"-")</f>
        <v/>
      </c>
      <c r="BN19" s="17">
        <f>BH19+Inputs!$C$18*V19</f>
        <v/>
      </c>
      <c r="BO19" s="17">
        <f>BC19+Inputs!$C$18*V19</f>
        <v/>
      </c>
      <c r="BP19" s="27">
        <f>LARGE(AS19:BB19,1)+LARGE(AS19:BB19,2)</f>
        <v/>
      </c>
      <c r="BQ19" s="60">
        <f>IFERROR(IF(BG19&lt;=X19,C19/BO19,IF(C19/BO19*(BG19-X19)&lt;=P19,C19/BO19,P19/(BG19-X19)+(C19-BO19*P19/(BG19-X19))/BN19)),"-")</f>
        <v/>
      </c>
      <c r="BR19" s="60">
        <f>BQ19</f>
        <v/>
      </c>
      <c r="BS19" s="9">
        <f>MAX(0,(E19+(B19-A19))*(1-R19)*(1-Q19*'Class Table'!$O$7/Inputs!$C$19)-Q19*'Class Table'!$O$7/25)</f>
        <v/>
      </c>
      <c r="BT19" s="26">
        <f>IFERROR(BS19/F19*BR19,"-")</f>
        <v/>
      </c>
      <c r="BU19" s="28">
        <f>IFERROR(BT19/O19,"-")</f>
        <v/>
      </c>
      <c r="BV19" s="9">
        <f>IFERROR(O19*Inputs!$C$24/Inputs!$C$22*BR19,"-")</f>
        <v/>
      </c>
      <c r="BW19" s="28">
        <f>IFERROR(MAX(0,BT19-BV19)/O19,"-")</f>
        <v/>
      </c>
    </row>
    <row r="20">
      <c r="A20" s="8" t="n">
        <v>17</v>
      </c>
      <c r="B20" s="14">
        <f>'Mob by Level'!B20</f>
        <v/>
      </c>
      <c r="C20" s="9">
        <f>'Mob by Level'!C20</f>
        <v/>
      </c>
      <c r="D20" s="9">
        <f>'Mob by Level'!D20</f>
        <v/>
      </c>
      <c r="E20" s="9">
        <f>'Mob by Level'!E20</f>
        <v/>
      </c>
      <c r="F20" s="16">
        <f>'Mob by Level'!F20</f>
        <v/>
      </c>
      <c r="G20" s="14">
        <f>SUMIFS(Gear!$D$4:$D$603,Gear!$A$4:$A$603,A20,Gear!$B$4:$B$603,"Magus",Gear!$C$4:$C$603,Inputs!$C$5)</f>
        <v/>
      </c>
      <c r="H20" s="14">
        <f>SUMIFS(Gear!$E$4:$E$603,Gear!$A$4:$A$603,A20,Gear!$B$4:$B$603,"Magus",Gear!$C$4:$C$603,Inputs!$C$5)</f>
        <v/>
      </c>
      <c r="I20" s="14">
        <f>SUMIFS(Gear!$F$4:$F$603,Gear!$A$4:$A$603,A20,Gear!$B$4:$B$603,"Magus",Gear!$C$4:$C$603,Inputs!$C$5)+Inputs!$C$17*IFERROR(LOOKUP(A20,Abilities!$A$49:$A$53,Abilities!$C$49:$C$53),0)</f>
        <v/>
      </c>
      <c r="J20" s="13">
        <f>SUMIFS(Gear!$J$4:$J$603,Gear!$A$4:$A$603,A20,Gear!$B$4:$B$603,"Magus",Gear!$C$4:$C$603,Inputs!$C$5)</f>
        <v/>
      </c>
      <c r="K20" s="13">
        <f>SUMIFS(Gear!$K$4:$K$603,Gear!$A$4:$A$603,A20,Gear!$B$4:$B$603,"Magus",Gear!$C$4:$C$603,Inputs!$C$5)</f>
        <v/>
      </c>
      <c r="L20" s="13">
        <f>SUMIFS(Gear!$L$4:$L$603,Gear!$A$4:$A$603,A20,Gear!$B$4:$B$603,"Magus",Gear!$C$4:$C$603,Inputs!$C$5)</f>
        <v/>
      </c>
      <c r="M20" s="13">
        <f>SUMIFS(Gear!$M$4:$M$603,Gear!$A$4:$A$603,A20,Gear!$B$4:$B$603,"Magus",Gear!$C$4:$C$603,Inputs!$C$5)</f>
        <v/>
      </c>
      <c r="N20" s="13">
        <f>SUMIFS(Gear!$N$4:$N$603,Gear!$A$4:$A$603,A20,Gear!$B$4:$B$603,"Magus",Gear!$C$4:$C$603,Inputs!$C$5)</f>
        <v/>
      </c>
      <c r="O20" s="9">
        <f>INDEX('Class Table'!$H$4:$H$53,A20)+SUMIFS(Gear!$G$4:$G$603,Gear!$A$4:$A$603,A20,Gear!$B$4:$B$603,"Magus",Gear!$C$4:$C$603,Inputs!$C$5)</f>
        <v/>
      </c>
      <c r="P20" s="9">
        <f>INDEX('Class Table'!$I$4:$I$53,A20)+SUMIFS(Gear!$H$4:$H$603,Gear!$A$4:$A$603,A20,Gear!$B$4:$B$603,"Magus",Gear!$C$4:$C$603,Inputs!$C$5)</f>
        <v/>
      </c>
      <c r="Q20" s="9">
        <f>INDEX('Class Table'!$J$4:$J$53,A20)+SUMIFS(Gear!$I$4:$I$603,Gear!$A$4:$A$603,A20,Gear!$B$4:$B$603,"Magus",Gear!$C$4:$C$603,Inputs!$C$5)</f>
        <v/>
      </c>
      <c r="R20" s="13">
        <f>SUMIFS(Gear!$O$4:$O$603,Gear!$A$4:$A$603,A20,Gear!$B$4:$B$603,"Magus",Gear!$C$4:$C$603,Inputs!$C$5)</f>
        <v/>
      </c>
      <c r="S20" s="26">
        <f>I20+0+G20+A20+MAX(1,A20/2)+(A20-B20)</f>
        <v/>
      </c>
      <c r="T20" s="9">
        <f>MAX(0,S20*(1+M20)*(1+L20)*Inputs!$C$20*(1-D20/Inputs!$C$19)-D20/25)</f>
        <v/>
      </c>
      <c r="U20" s="16">
        <f>H20/10*(1-MIN(0.95,N20+0))*Inputs!$C$21</f>
        <v/>
      </c>
      <c r="V20" s="27">
        <f>T20/U20</f>
        <v/>
      </c>
      <c r="W20" s="16">
        <f>(1+J20)*(1+K20)*Inputs!$C$20</f>
        <v/>
      </c>
      <c r="X20" s="17">
        <f>P20*Inputs!$C$23/Inputs!$C$22</f>
        <v/>
      </c>
      <c r="Y20" s="17">
        <f>IF(INDEX(Abilities!$A$14:$A$23,1)&lt;=A20,INDEX(Abilities!$C$14:$C$23,1)*CHOOSE(Inputs!$C$13,1,INDEX(Abilities!$J$14:$J$23,1),INDEX(Abilities!$I$14:$I$23,1))*W20/MAX(INDEX(Abilities!$D$14:$D$23,1),Inputs!$C$12),0)</f>
        <v/>
      </c>
      <c r="Z20" s="17">
        <f>IF(INDEX(Abilities!$A$14:$A$23,2)&lt;=A20,INDEX(Abilities!$C$14:$C$23,2)*CHOOSE(Inputs!$C$13,1,INDEX(Abilities!$J$14:$J$23,2),INDEX(Abilities!$I$14:$I$23,2))*W20/MAX(INDEX(Abilities!$D$14:$D$23,2),Inputs!$C$12),0)</f>
        <v/>
      </c>
      <c r="AA20" s="17">
        <f>IF(INDEX(Abilities!$A$14:$A$23,3)&lt;=A20,INDEX(Abilities!$C$14:$C$23,3)*CHOOSE(Inputs!$C$13,1,INDEX(Abilities!$J$14:$J$23,3),INDEX(Abilities!$I$14:$I$23,3))*W20/MAX(INDEX(Abilities!$D$14:$D$23,3),Inputs!$C$12),0)</f>
        <v/>
      </c>
      <c r="AB20" s="17">
        <f>IF(INDEX(Abilities!$A$14:$A$23,4)&lt;=A20,INDEX(Abilities!$C$14:$C$23,4)*CHOOSE(Inputs!$C$13,1,INDEX(Abilities!$J$14:$J$23,4),INDEX(Abilities!$I$14:$I$23,4))*W20/MAX(INDEX(Abilities!$D$14:$D$23,4),Inputs!$C$12),0)</f>
        <v/>
      </c>
      <c r="AC20" s="17">
        <f>IF(INDEX(Abilities!$A$14:$A$23,5)&lt;=A20,INDEX(Abilities!$C$14:$C$23,5)*CHOOSE(Inputs!$C$13,1,INDEX(Abilities!$J$14:$J$23,5),INDEX(Abilities!$I$14:$I$23,5))*W20/MAX(INDEX(Abilities!$D$14:$D$23,5),Inputs!$C$12),0)</f>
        <v/>
      </c>
      <c r="AD20" s="17">
        <f>IF(INDEX(Abilities!$A$14:$A$23,6)&lt;=A20,INDEX(Abilities!$C$14:$C$23,6)*CHOOSE(Inputs!$C$13,1,INDEX(Abilities!$J$14:$J$23,6),INDEX(Abilities!$I$14:$I$23,6))*W20/MAX(INDEX(Abilities!$D$14:$D$23,6),Inputs!$C$12),0)</f>
        <v/>
      </c>
      <c r="AE20" s="17">
        <f>IF(INDEX(Abilities!$A$14:$A$23,7)&lt;=A20,INDEX(Abilities!$C$14:$C$23,7)*CHOOSE(Inputs!$C$13,1,INDEX(Abilities!$J$14:$J$23,7),INDEX(Abilities!$I$14:$I$23,7))*W20/MAX(INDEX(Abilities!$D$14:$D$23,7),Inputs!$C$12),0)</f>
        <v/>
      </c>
      <c r="AF20" s="17">
        <f>IF(INDEX(Abilities!$A$14:$A$23,8)&lt;=A20,INDEX(Abilities!$C$14:$C$23,8)*CHOOSE(Inputs!$C$13,1,INDEX(Abilities!$J$14:$J$23,8),INDEX(Abilities!$I$14:$I$23,8))*W20/MAX(INDEX(Abilities!$D$14:$D$23,8),Inputs!$C$12),0)</f>
        <v/>
      </c>
      <c r="AG20" s="17">
        <f>IF(INDEX(Abilities!$A$14:$A$23,9)&lt;=A20,INDEX(Abilities!$C$14:$C$23,9)*CHOOSE(Inputs!$C$13,1,INDEX(Abilities!$J$14:$J$23,9),INDEX(Abilities!$I$14:$I$23,9))*W20/MAX(INDEX(Abilities!$D$14:$D$23,9),Inputs!$C$12),0)</f>
        <v/>
      </c>
      <c r="AH20" s="17">
        <f>IF(INDEX(Abilities!$A$14:$A$23,10)&lt;=A20,INDEX(Abilities!$C$14:$C$23,10)*CHOOSE(Inputs!$C$13,1,INDEX(Abilities!$J$14:$J$23,10),INDEX(Abilities!$I$14:$I$23,10))*W20/MAX(INDEX(Abilities!$D$14:$D$23,10),Inputs!$C$12),0)</f>
        <v/>
      </c>
      <c r="AI20" s="17">
        <f>IF(INDEX(Abilities!$A$14:$A$23,1)&lt;=A20,MIN(Y20,X20*INDEX(Abilities!$C$14:$C$23,1)*CHOOSE(Inputs!$C$13,1,INDEX(Abilities!$J$14:$J$23,1),INDEX(Abilities!$I$14:$I$23,1))*W20/INDEX(Abilities!$E$14:$E$23,1)),0)</f>
        <v/>
      </c>
      <c r="AJ20" s="17">
        <f>IF(INDEX(Abilities!$A$14:$A$23,2)&lt;=A20,MIN(Z20,X20*INDEX(Abilities!$C$14:$C$23,2)*CHOOSE(Inputs!$C$13,1,INDEX(Abilities!$J$14:$J$23,2),INDEX(Abilities!$I$14:$I$23,2))*W20/INDEX(Abilities!$E$14:$E$23,2)),0)</f>
        <v/>
      </c>
      <c r="AK20" s="17">
        <f>IF(INDEX(Abilities!$A$14:$A$23,3)&lt;=A20,MIN(AA20,X20*INDEX(Abilities!$C$14:$C$23,3)*CHOOSE(Inputs!$C$13,1,INDEX(Abilities!$J$14:$J$23,3),INDEX(Abilities!$I$14:$I$23,3))*W20/INDEX(Abilities!$E$14:$E$23,3)),0)</f>
        <v/>
      </c>
      <c r="AL20" s="17">
        <f>IF(INDEX(Abilities!$A$14:$A$23,4)&lt;=A20,MIN(AB20,X20*INDEX(Abilities!$C$14:$C$23,4)*CHOOSE(Inputs!$C$13,1,INDEX(Abilities!$J$14:$J$23,4),INDEX(Abilities!$I$14:$I$23,4))*W20/INDEX(Abilities!$E$14:$E$23,4)),0)</f>
        <v/>
      </c>
      <c r="AM20" s="17">
        <f>IF(INDEX(Abilities!$A$14:$A$23,5)&lt;=A20,MIN(AC20,X20*INDEX(Abilities!$C$14:$C$23,5)*CHOOSE(Inputs!$C$13,1,INDEX(Abilities!$J$14:$J$23,5),INDEX(Abilities!$I$14:$I$23,5))*W20/INDEX(Abilities!$E$14:$E$23,5)),0)</f>
        <v/>
      </c>
      <c r="AN20" s="17">
        <f>IF(INDEX(Abilities!$A$14:$A$23,6)&lt;=A20,MIN(AD20,X20*INDEX(Abilities!$C$14:$C$23,6)*CHOOSE(Inputs!$C$13,1,INDEX(Abilities!$J$14:$J$23,6),INDEX(Abilities!$I$14:$I$23,6))*W20/INDEX(Abilities!$E$14:$E$23,6)),0)</f>
        <v/>
      </c>
      <c r="AO20" s="17">
        <f>IF(INDEX(Abilities!$A$14:$A$23,7)&lt;=A20,MIN(AE20,X20*INDEX(Abilities!$C$14:$C$23,7)*CHOOSE(Inputs!$C$13,1,INDEX(Abilities!$J$14:$J$23,7),INDEX(Abilities!$I$14:$I$23,7))*W20/INDEX(Abilities!$E$14:$E$23,7)),0)</f>
        <v/>
      </c>
      <c r="AP20" s="17">
        <f>IF(INDEX(Abilities!$A$14:$A$23,8)&lt;=A20,MIN(AF20,X20*INDEX(Abilities!$C$14:$C$23,8)*CHOOSE(Inputs!$C$13,1,INDEX(Abilities!$J$14:$J$23,8),INDEX(Abilities!$I$14:$I$23,8))*W20/INDEX(Abilities!$E$14:$E$23,8)),0)</f>
        <v/>
      </c>
      <c r="AQ20" s="17">
        <f>IF(INDEX(Abilities!$A$14:$A$23,9)&lt;=A20,MIN(AG20,X20*INDEX(Abilities!$C$14:$C$23,9)*CHOOSE(Inputs!$C$13,1,INDEX(Abilities!$J$14:$J$23,9),INDEX(Abilities!$I$14:$I$23,9))*W20/INDEX(Abilities!$E$14:$E$23,9)),0)</f>
        <v/>
      </c>
      <c r="AR20" s="17">
        <f>IF(INDEX(Abilities!$A$14:$A$23,10)&lt;=A20,MIN(AH20,X20*INDEX(Abilities!$C$14:$C$23,10)*CHOOSE(Inputs!$C$13,1,INDEX(Abilities!$J$14:$J$23,10),INDEX(Abilities!$I$14:$I$23,10))*W20/INDEX(Abilities!$E$14:$E$23,10)),0)</f>
        <v/>
      </c>
      <c r="AS20" s="17">
        <f>IF(INDEX(Abilities!$A$14:$A$23,1)&lt;=A20,INDEX(Abilities!$C$14:$C$23,1)*CHOOSE(Inputs!$C$13,1,INDEX(Abilities!$J$14:$J$23,1),INDEX(Abilities!$I$14:$I$23,1))*W20/MAX(INDEX(Abilities!$D$14:$D$23,1),2*Inputs!$C$12),0)</f>
        <v/>
      </c>
      <c r="AT20" s="17">
        <f>IF(INDEX(Abilities!$A$14:$A$23,2)&lt;=A20,INDEX(Abilities!$C$14:$C$23,2)*CHOOSE(Inputs!$C$13,1,INDEX(Abilities!$J$14:$J$23,2),INDEX(Abilities!$I$14:$I$23,2))*W20/MAX(INDEX(Abilities!$D$14:$D$23,2),2*Inputs!$C$12),0)</f>
        <v/>
      </c>
      <c r="AU20" s="17">
        <f>IF(INDEX(Abilities!$A$14:$A$23,3)&lt;=A20,INDEX(Abilities!$C$14:$C$23,3)*CHOOSE(Inputs!$C$13,1,INDEX(Abilities!$J$14:$J$23,3),INDEX(Abilities!$I$14:$I$23,3))*W20/MAX(INDEX(Abilities!$D$14:$D$23,3),2*Inputs!$C$12),0)</f>
        <v/>
      </c>
      <c r="AV20" s="17">
        <f>IF(INDEX(Abilities!$A$14:$A$23,4)&lt;=A20,INDEX(Abilities!$C$14:$C$23,4)*CHOOSE(Inputs!$C$13,1,INDEX(Abilities!$J$14:$J$23,4),INDEX(Abilities!$I$14:$I$23,4))*W20/MAX(INDEX(Abilities!$D$14:$D$23,4),2*Inputs!$C$12),0)</f>
        <v/>
      </c>
      <c r="AW20" s="17">
        <f>IF(INDEX(Abilities!$A$14:$A$23,5)&lt;=A20,INDEX(Abilities!$C$14:$C$23,5)*CHOOSE(Inputs!$C$13,1,INDEX(Abilities!$J$14:$J$23,5),INDEX(Abilities!$I$14:$I$23,5))*W20/MAX(INDEX(Abilities!$D$14:$D$23,5),2*Inputs!$C$12),0)</f>
        <v/>
      </c>
      <c r="AX20" s="17">
        <f>IF(INDEX(Abilities!$A$14:$A$23,6)&lt;=A20,INDEX(Abilities!$C$14:$C$23,6)*CHOOSE(Inputs!$C$13,1,INDEX(Abilities!$J$14:$J$23,6),INDEX(Abilities!$I$14:$I$23,6))*W20/MAX(INDEX(Abilities!$D$14:$D$23,6),2*Inputs!$C$12),0)</f>
        <v/>
      </c>
      <c r="AY20" s="17">
        <f>IF(INDEX(Abilities!$A$14:$A$23,7)&lt;=A20,INDEX(Abilities!$C$14:$C$23,7)*CHOOSE(Inputs!$C$13,1,INDEX(Abilities!$J$14:$J$23,7),INDEX(Abilities!$I$14:$I$23,7))*W20/MAX(INDEX(Abilities!$D$14:$D$23,7),2*Inputs!$C$12),0)</f>
        <v/>
      </c>
      <c r="AZ20" s="17">
        <f>IF(INDEX(Abilities!$A$14:$A$23,8)&lt;=A20,INDEX(Abilities!$C$14:$C$23,8)*CHOOSE(Inputs!$C$13,1,INDEX(Abilities!$J$14:$J$23,8),INDEX(Abilities!$I$14:$I$23,8))*W20/MAX(INDEX(Abilities!$D$14:$D$23,8),2*Inputs!$C$12),0)</f>
        <v/>
      </c>
      <c r="BA20" s="17">
        <f>IF(INDEX(Abilities!$A$14:$A$23,9)&lt;=A20,INDEX(Abilities!$C$14:$C$23,9)*CHOOSE(Inputs!$C$13,1,INDEX(Abilities!$J$14:$J$23,9),INDEX(Abilities!$I$14:$I$23,9))*W20/MAX(INDEX(Abilities!$D$14:$D$23,9),2*Inputs!$C$12),0)</f>
        <v/>
      </c>
      <c r="BB20" s="17">
        <f>IF(INDEX(Abilities!$A$14:$A$23,10)&lt;=A20,INDEX(Abilities!$C$14:$C$23,10)*CHOOSE(Inputs!$C$13,1,INDEX(Abilities!$J$14:$J$23,10),INDEX(Abilities!$I$14:$I$23,10))*W20/MAX(INDEX(Abilities!$D$14:$D$23,10),2*Inputs!$C$12),0)</f>
        <v/>
      </c>
      <c r="BC20" s="27">
        <f>MAX(Y20:AH20)</f>
        <v/>
      </c>
      <c r="BD20" s="8">
        <f>MATCH(BC20,Y20:AH20,0)</f>
        <v/>
      </c>
      <c r="BE20" s="15">
        <f>INDEX(Abilities!$B$14:$B$23,BD20)</f>
        <v/>
      </c>
      <c r="BF20" s="16">
        <f>CHOOSE(Inputs!$C$13,1,INDEX(Abilities!$J$14:$J$23,BD20),INDEX(Abilities!$I$14:$I$23,BD20))</f>
        <v/>
      </c>
      <c r="BG20" s="17">
        <f>INDEX(Abilities!$E$14:$E$23,BD20)/MAX(INDEX(Abilities!$D$14:$D$23,BD20),Inputs!$C$12)</f>
        <v/>
      </c>
      <c r="BH20" s="27">
        <f>MAX(AI20:AR20)</f>
        <v/>
      </c>
      <c r="BI20" s="8">
        <f>MATCH(BH20,AI20:AR20,0)</f>
        <v/>
      </c>
      <c r="BJ20" s="15">
        <f>INDEX(Abilities!$B$14:$B$23,BI20)</f>
        <v/>
      </c>
      <c r="BK20" s="14">
        <f>IFERROR(ROUNDUP(C20/(INDEX(Abilities!$C$14:$C$23,BD20)*W20),0),"-")</f>
        <v/>
      </c>
      <c r="BL20" s="9">
        <f>IFERROR(C20*INDEX(Abilities!$E$14:$E$23,BI20)/(INDEX(Abilities!$C$14:$C$23,BI20)*CHOOSE(Inputs!$C$13,1,INDEX(Abilities!$J$14:$J$23,BI20),INDEX(Abilities!$I$14:$I$23,BI20))*W20),"-")</f>
        <v/>
      </c>
      <c r="BM20" s="60">
        <f>IFERROR(P20/BL20,"-")</f>
        <v/>
      </c>
      <c r="BN20" s="17">
        <f>BH20+Inputs!$C$18*V20</f>
        <v/>
      </c>
      <c r="BO20" s="17">
        <f>BC20+Inputs!$C$18*V20</f>
        <v/>
      </c>
      <c r="BP20" s="27">
        <f>LARGE(AS20:BB20,1)+LARGE(AS20:BB20,2)</f>
        <v/>
      </c>
      <c r="BQ20" s="60">
        <f>IFERROR(IF(BG20&lt;=X20,C20/BO20,IF(C20/BO20*(BG20-X20)&lt;=P20,C20/BO20,P20/(BG20-X20)+(C20-BO20*P20/(BG20-X20))/BN20)),"-")</f>
        <v/>
      </c>
      <c r="BR20" s="60">
        <f>BQ20</f>
        <v/>
      </c>
      <c r="BS20" s="9">
        <f>MAX(0,(E20+(B20-A20))*(1-R20)*(1-Q20*'Class Table'!$O$7/Inputs!$C$19)-Q20*'Class Table'!$O$7/25)</f>
        <v/>
      </c>
      <c r="BT20" s="26">
        <f>IFERROR(BS20/F20*BR20,"-")</f>
        <v/>
      </c>
      <c r="BU20" s="28">
        <f>IFERROR(BT20/O20,"-")</f>
        <v/>
      </c>
      <c r="BV20" s="9">
        <f>IFERROR(O20*Inputs!$C$24/Inputs!$C$22*BR20,"-")</f>
        <v/>
      </c>
      <c r="BW20" s="28">
        <f>IFERROR(MAX(0,BT20-BV20)/O20,"-")</f>
        <v/>
      </c>
    </row>
    <row r="21">
      <c r="A21" s="8" t="n">
        <v>18</v>
      </c>
      <c r="B21" s="14">
        <f>'Mob by Level'!B21</f>
        <v/>
      </c>
      <c r="C21" s="9">
        <f>'Mob by Level'!C21</f>
        <v/>
      </c>
      <c r="D21" s="9">
        <f>'Mob by Level'!D21</f>
        <v/>
      </c>
      <c r="E21" s="9">
        <f>'Mob by Level'!E21</f>
        <v/>
      </c>
      <c r="F21" s="16">
        <f>'Mob by Level'!F21</f>
        <v/>
      </c>
      <c r="G21" s="14">
        <f>SUMIFS(Gear!$D$4:$D$603,Gear!$A$4:$A$603,A21,Gear!$B$4:$B$603,"Magus",Gear!$C$4:$C$603,Inputs!$C$5)</f>
        <v/>
      </c>
      <c r="H21" s="14">
        <f>SUMIFS(Gear!$E$4:$E$603,Gear!$A$4:$A$603,A21,Gear!$B$4:$B$603,"Magus",Gear!$C$4:$C$603,Inputs!$C$5)</f>
        <v/>
      </c>
      <c r="I21" s="14">
        <f>SUMIFS(Gear!$F$4:$F$603,Gear!$A$4:$A$603,A21,Gear!$B$4:$B$603,"Magus",Gear!$C$4:$C$603,Inputs!$C$5)+Inputs!$C$17*IFERROR(LOOKUP(A21,Abilities!$A$49:$A$53,Abilities!$C$49:$C$53),0)</f>
        <v/>
      </c>
      <c r="J21" s="13">
        <f>SUMIFS(Gear!$J$4:$J$603,Gear!$A$4:$A$603,A21,Gear!$B$4:$B$603,"Magus",Gear!$C$4:$C$603,Inputs!$C$5)</f>
        <v/>
      </c>
      <c r="K21" s="13">
        <f>SUMIFS(Gear!$K$4:$K$603,Gear!$A$4:$A$603,A21,Gear!$B$4:$B$603,"Magus",Gear!$C$4:$C$603,Inputs!$C$5)</f>
        <v/>
      </c>
      <c r="L21" s="13">
        <f>SUMIFS(Gear!$L$4:$L$603,Gear!$A$4:$A$603,A21,Gear!$B$4:$B$603,"Magus",Gear!$C$4:$C$603,Inputs!$C$5)</f>
        <v/>
      </c>
      <c r="M21" s="13">
        <f>SUMIFS(Gear!$M$4:$M$603,Gear!$A$4:$A$603,A21,Gear!$B$4:$B$603,"Magus",Gear!$C$4:$C$603,Inputs!$C$5)</f>
        <v/>
      </c>
      <c r="N21" s="13">
        <f>SUMIFS(Gear!$N$4:$N$603,Gear!$A$4:$A$603,A21,Gear!$B$4:$B$603,"Magus",Gear!$C$4:$C$603,Inputs!$C$5)</f>
        <v/>
      </c>
      <c r="O21" s="9">
        <f>INDEX('Class Table'!$H$4:$H$53,A21)+SUMIFS(Gear!$G$4:$G$603,Gear!$A$4:$A$603,A21,Gear!$B$4:$B$603,"Magus",Gear!$C$4:$C$603,Inputs!$C$5)</f>
        <v/>
      </c>
      <c r="P21" s="9">
        <f>INDEX('Class Table'!$I$4:$I$53,A21)+SUMIFS(Gear!$H$4:$H$603,Gear!$A$4:$A$603,A21,Gear!$B$4:$B$603,"Magus",Gear!$C$4:$C$603,Inputs!$C$5)</f>
        <v/>
      </c>
      <c r="Q21" s="9">
        <f>INDEX('Class Table'!$J$4:$J$53,A21)+SUMIFS(Gear!$I$4:$I$603,Gear!$A$4:$A$603,A21,Gear!$B$4:$B$603,"Magus",Gear!$C$4:$C$603,Inputs!$C$5)</f>
        <v/>
      </c>
      <c r="R21" s="13">
        <f>SUMIFS(Gear!$O$4:$O$603,Gear!$A$4:$A$603,A21,Gear!$B$4:$B$603,"Magus",Gear!$C$4:$C$603,Inputs!$C$5)</f>
        <v/>
      </c>
      <c r="S21" s="26">
        <f>I21+0+G21+A21+MAX(1,A21/2)+(A21-B21)</f>
        <v/>
      </c>
      <c r="T21" s="9">
        <f>MAX(0,S21*(1+M21)*(1+L21)*Inputs!$C$20*(1-D21/Inputs!$C$19)-D21/25)</f>
        <v/>
      </c>
      <c r="U21" s="16">
        <f>H21/10*(1-MIN(0.95,N21+0))*Inputs!$C$21</f>
        <v/>
      </c>
      <c r="V21" s="27">
        <f>T21/U21</f>
        <v/>
      </c>
      <c r="W21" s="16">
        <f>(1+J21)*(1+K21)*Inputs!$C$20</f>
        <v/>
      </c>
      <c r="X21" s="17">
        <f>P21*Inputs!$C$23/Inputs!$C$22</f>
        <v/>
      </c>
      <c r="Y21" s="17">
        <f>IF(INDEX(Abilities!$A$14:$A$23,1)&lt;=A21,INDEX(Abilities!$C$14:$C$23,1)*CHOOSE(Inputs!$C$13,1,INDEX(Abilities!$J$14:$J$23,1),INDEX(Abilities!$I$14:$I$23,1))*W21/MAX(INDEX(Abilities!$D$14:$D$23,1),Inputs!$C$12),0)</f>
        <v/>
      </c>
      <c r="Z21" s="17">
        <f>IF(INDEX(Abilities!$A$14:$A$23,2)&lt;=A21,INDEX(Abilities!$C$14:$C$23,2)*CHOOSE(Inputs!$C$13,1,INDEX(Abilities!$J$14:$J$23,2),INDEX(Abilities!$I$14:$I$23,2))*W21/MAX(INDEX(Abilities!$D$14:$D$23,2),Inputs!$C$12),0)</f>
        <v/>
      </c>
      <c r="AA21" s="17">
        <f>IF(INDEX(Abilities!$A$14:$A$23,3)&lt;=A21,INDEX(Abilities!$C$14:$C$23,3)*CHOOSE(Inputs!$C$13,1,INDEX(Abilities!$J$14:$J$23,3),INDEX(Abilities!$I$14:$I$23,3))*W21/MAX(INDEX(Abilities!$D$14:$D$23,3),Inputs!$C$12),0)</f>
        <v/>
      </c>
      <c r="AB21" s="17">
        <f>IF(INDEX(Abilities!$A$14:$A$23,4)&lt;=A21,INDEX(Abilities!$C$14:$C$23,4)*CHOOSE(Inputs!$C$13,1,INDEX(Abilities!$J$14:$J$23,4),INDEX(Abilities!$I$14:$I$23,4))*W21/MAX(INDEX(Abilities!$D$14:$D$23,4),Inputs!$C$12),0)</f>
        <v/>
      </c>
      <c r="AC21" s="17">
        <f>IF(INDEX(Abilities!$A$14:$A$23,5)&lt;=A21,INDEX(Abilities!$C$14:$C$23,5)*CHOOSE(Inputs!$C$13,1,INDEX(Abilities!$J$14:$J$23,5),INDEX(Abilities!$I$14:$I$23,5))*W21/MAX(INDEX(Abilities!$D$14:$D$23,5),Inputs!$C$12),0)</f>
        <v/>
      </c>
      <c r="AD21" s="17">
        <f>IF(INDEX(Abilities!$A$14:$A$23,6)&lt;=A21,INDEX(Abilities!$C$14:$C$23,6)*CHOOSE(Inputs!$C$13,1,INDEX(Abilities!$J$14:$J$23,6),INDEX(Abilities!$I$14:$I$23,6))*W21/MAX(INDEX(Abilities!$D$14:$D$23,6),Inputs!$C$12),0)</f>
        <v/>
      </c>
      <c r="AE21" s="17">
        <f>IF(INDEX(Abilities!$A$14:$A$23,7)&lt;=A21,INDEX(Abilities!$C$14:$C$23,7)*CHOOSE(Inputs!$C$13,1,INDEX(Abilities!$J$14:$J$23,7),INDEX(Abilities!$I$14:$I$23,7))*W21/MAX(INDEX(Abilities!$D$14:$D$23,7),Inputs!$C$12),0)</f>
        <v/>
      </c>
      <c r="AF21" s="17">
        <f>IF(INDEX(Abilities!$A$14:$A$23,8)&lt;=A21,INDEX(Abilities!$C$14:$C$23,8)*CHOOSE(Inputs!$C$13,1,INDEX(Abilities!$J$14:$J$23,8),INDEX(Abilities!$I$14:$I$23,8))*W21/MAX(INDEX(Abilities!$D$14:$D$23,8),Inputs!$C$12),0)</f>
        <v/>
      </c>
      <c r="AG21" s="17">
        <f>IF(INDEX(Abilities!$A$14:$A$23,9)&lt;=A21,INDEX(Abilities!$C$14:$C$23,9)*CHOOSE(Inputs!$C$13,1,INDEX(Abilities!$J$14:$J$23,9),INDEX(Abilities!$I$14:$I$23,9))*W21/MAX(INDEX(Abilities!$D$14:$D$23,9),Inputs!$C$12),0)</f>
        <v/>
      </c>
      <c r="AH21" s="17">
        <f>IF(INDEX(Abilities!$A$14:$A$23,10)&lt;=A21,INDEX(Abilities!$C$14:$C$23,10)*CHOOSE(Inputs!$C$13,1,INDEX(Abilities!$J$14:$J$23,10),INDEX(Abilities!$I$14:$I$23,10))*W21/MAX(INDEX(Abilities!$D$14:$D$23,10),Inputs!$C$12),0)</f>
        <v/>
      </c>
      <c r="AI21" s="17">
        <f>IF(INDEX(Abilities!$A$14:$A$23,1)&lt;=A21,MIN(Y21,X21*INDEX(Abilities!$C$14:$C$23,1)*CHOOSE(Inputs!$C$13,1,INDEX(Abilities!$J$14:$J$23,1),INDEX(Abilities!$I$14:$I$23,1))*W21/INDEX(Abilities!$E$14:$E$23,1)),0)</f>
        <v/>
      </c>
      <c r="AJ21" s="17">
        <f>IF(INDEX(Abilities!$A$14:$A$23,2)&lt;=A21,MIN(Z21,X21*INDEX(Abilities!$C$14:$C$23,2)*CHOOSE(Inputs!$C$13,1,INDEX(Abilities!$J$14:$J$23,2),INDEX(Abilities!$I$14:$I$23,2))*W21/INDEX(Abilities!$E$14:$E$23,2)),0)</f>
        <v/>
      </c>
      <c r="AK21" s="17">
        <f>IF(INDEX(Abilities!$A$14:$A$23,3)&lt;=A21,MIN(AA21,X21*INDEX(Abilities!$C$14:$C$23,3)*CHOOSE(Inputs!$C$13,1,INDEX(Abilities!$J$14:$J$23,3),INDEX(Abilities!$I$14:$I$23,3))*W21/INDEX(Abilities!$E$14:$E$23,3)),0)</f>
        <v/>
      </c>
      <c r="AL21" s="17">
        <f>IF(INDEX(Abilities!$A$14:$A$23,4)&lt;=A21,MIN(AB21,X21*INDEX(Abilities!$C$14:$C$23,4)*CHOOSE(Inputs!$C$13,1,INDEX(Abilities!$J$14:$J$23,4),INDEX(Abilities!$I$14:$I$23,4))*W21/INDEX(Abilities!$E$14:$E$23,4)),0)</f>
        <v/>
      </c>
      <c r="AM21" s="17">
        <f>IF(INDEX(Abilities!$A$14:$A$23,5)&lt;=A21,MIN(AC21,X21*INDEX(Abilities!$C$14:$C$23,5)*CHOOSE(Inputs!$C$13,1,INDEX(Abilities!$J$14:$J$23,5),INDEX(Abilities!$I$14:$I$23,5))*W21/INDEX(Abilities!$E$14:$E$23,5)),0)</f>
        <v/>
      </c>
      <c r="AN21" s="17">
        <f>IF(INDEX(Abilities!$A$14:$A$23,6)&lt;=A21,MIN(AD21,X21*INDEX(Abilities!$C$14:$C$23,6)*CHOOSE(Inputs!$C$13,1,INDEX(Abilities!$J$14:$J$23,6),INDEX(Abilities!$I$14:$I$23,6))*W21/INDEX(Abilities!$E$14:$E$23,6)),0)</f>
        <v/>
      </c>
      <c r="AO21" s="17">
        <f>IF(INDEX(Abilities!$A$14:$A$23,7)&lt;=A21,MIN(AE21,X21*INDEX(Abilities!$C$14:$C$23,7)*CHOOSE(Inputs!$C$13,1,INDEX(Abilities!$J$14:$J$23,7),INDEX(Abilities!$I$14:$I$23,7))*W21/INDEX(Abilities!$E$14:$E$23,7)),0)</f>
        <v/>
      </c>
      <c r="AP21" s="17">
        <f>IF(INDEX(Abilities!$A$14:$A$23,8)&lt;=A21,MIN(AF21,X21*INDEX(Abilities!$C$14:$C$23,8)*CHOOSE(Inputs!$C$13,1,INDEX(Abilities!$J$14:$J$23,8),INDEX(Abilities!$I$14:$I$23,8))*W21/INDEX(Abilities!$E$14:$E$23,8)),0)</f>
        <v/>
      </c>
      <c r="AQ21" s="17">
        <f>IF(INDEX(Abilities!$A$14:$A$23,9)&lt;=A21,MIN(AG21,X21*INDEX(Abilities!$C$14:$C$23,9)*CHOOSE(Inputs!$C$13,1,INDEX(Abilities!$J$14:$J$23,9),INDEX(Abilities!$I$14:$I$23,9))*W21/INDEX(Abilities!$E$14:$E$23,9)),0)</f>
        <v/>
      </c>
      <c r="AR21" s="17">
        <f>IF(INDEX(Abilities!$A$14:$A$23,10)&lt;=A21,MIN(AH21,X21*INDEX(Abilities!$C$14:$C$23,10)*CHOOSE(Inputs!$C$13,1,INDEX(Abilities!$J$14:$J$23,10),INDEX(Abilities!$I$14:$I$23,10))*W21/INDEX(Abilities!$E$14:$E$23,10)),0)</f>
        <v/>
      </c>
      <c r="AS21" s="17">
        <f>IF(INDEX(Abilities!$A$14:$A$23,1)&lt;=A21,INDEX(Abilities!$C$14:$C$23,1)*CHOOSE(Inputs!$C$13,1,INDEX(Abilities!$J$14:$J$23,1),INDEX(Abilities!$I$14:$I$23,1))*W21/MAX(INDEX(Abilities!$D$14:$D$23,1),2*Inputs!$C$12),0)</f>
        <v/>
      </c>
      <c r="AT21" s="17">
        <f>IF(INDEX(Abilities!$A$14:$A$23,2)&lt;=A21,INDEX(Abilities!$C$14:$C$23,2)*CHOOSE(Inputs!$C$13,1,INDEX(Abilities!$J$14:$J$23,2),INDEX(Abilities!$I$14:$I$23,2))*W21/MAX(INDEX(Abilities!$D$14:$D$23,2),2*Inputs!$C$12),0)</f>
        <v/>
      </c>
      <c r="AU21" s="17">
        <f>IF(INDEX(Abilities!$A$14:$A$23,3)&lt;=A21,INDEX(Abilities!$C$14:$C$23,3)*CHOOSE(Inputs!$C$13,1,INDEX(Abilities!$J$14:$J$23,3),INDEX(Abilities!$I$14:$I$23,3))*W21/MAX(INDEX(Abilities!$D$14:$D$23,3),2*Inputs!$C$12),0)</f>
        <v/>
      </c>
      <c r="AV21" s="17">
        <f>IF(INDEX(Abilities!$A$14:$A$23,4)&lt;=A21,INDEX(Abilities!$C$14:$C$23,4)*CHOOSE(Inputs!$C$13,1,INDEX(Abilities!$J$14:$J$23,4),INDEX(Abilities!$I$14:$I$23,4))*W21/MAX(INDEX(Abilities!$D$14:$D$23,4),2*Inputs!$C$12),0)</f>
        <v/>
      </c>
      <c r="AW21" s="17">
        <f>IF(INDEX(Abilities!$A$14:$A$23,5)&lt;=A21,INDEX(Abilities!$C$14:$C$23,5)*CHOOSE(Inputs!$C$13,1,INDEX(Abilities!$J$14:$J$23,5),INDEX(Abilities!$I$14:$I$23,5))*W21/MAX(INDEX(Abilities!$D$14:$D$23,5),2*Inputs!$C$12),0)</f>
        <v/>
      </c>
      <c r="AX21" s="17">
        <f>IF(INDEX(Abilities!$A$14:$A$23,6)&lt;=A21,INDEX(Abilities!$C$14:$C$23,6)*CHOOSE(Inputs!$C$13,1,INDEX(Abilities!$J$14:$J$23,6),INDEX(Abilities!$I$14:$I$23,6))*W21/MAX(INDEX(Abilities!$D$14:$D$23,6),2*Inputs!$C$12),0)</f>
        <v/>
      </c>
      <c r="AY21" s="17">
        <f>IF(INDEX(Abilities!$A$14:$A$23,7)&lt;=A21,INDEX(Abilities!$C$14:$C$23,7)*CHOOSE(Inputs!$C$13,1,INDEX(Abilities!$J$14:$J$23,7),INDEX(Abilities!$I$14:$I$23,7))*W21/MAX(INDEX(Abilities!$D$14:$D$23,7),2*Inputs!$C$12),0)</f>
        <v/>
      </c>
      <c r="AZ21" s="17">
        <f>IF(INDEX(Abilities!$A$14:$A$23,8)&lt;=A21,INDEX(Abilities!$C$14:$C$23,8)*CHOOSE(Inputs!$C$13,1,INDEX(Abilities!$J$14:$J$23,8),INDEX(Abilities!$I$14:$I$23,8))*W21/MAX(INDEX(Abilities!$D$14:$D$23,8),2*Inputs!$C$12),0)</f>
        <v/>
      </c>
      <c r="BA21" s="17">
        <f>IF(INDEX(Abilities!$A$14:$A$23,9)&lt;=A21,INDEX(Abilities!$C$14:$C$23,9)*CHOOSE(Inputs!$C$13,1,INDEX(Abilities!$J$14:$J$23,9),INDEX(Abilities!$I$14:$I$23,9))*W21/MAX(INDEX(Abilities!$D$14:$D$23,9),2*Inputs!$C$12),0)</f>
        <v/>
      </c>
      <c r="BB21" s="17">
        <f>IF(INDEX(Abilities!$A$14:$A$23,10)&lt;=A21,INDEX(Abilities!$C$14:$C$23,10)*CHOOSE(Inputs!$C$13,1,INDEX(Abilities!$J$14:$J$23,10),INDEX(Abilities!$I$14:$I$23,10))*W21/MAX(INDEX(Abilities!$D$14:$D$23,10),2*Inputs!$C$12),0)</f>
        <v/>
      </c>
      <c r="BC21" s="27">
        <f>MAX(Y21:AH21)</f>
        <v/>
      </c>
      <c r="BD21" s="8">
        <f>MATCH(BC21,Y21:AH21,0)</f>
        <v/>
      </c>
      <c r="BE21" s="15">
        <f>INDEX(Abilities!$B$14:$B$23,BD21)</f>
        <v/>
      </c>
      <c r="BF21" s="16">
        <f>CHOOSE(Inputs!$C$13,1,INDEX(Abilities!$J$14:$J$23,BD21),INDEX(Abilities!$I$14:$I$23,BD21))</f>
        <v/>
      </c>
      <c r="BG21" s="17">
        <f>INDEX(Abilities!$E$14:$E$23,BD21)/MAX(INDEX(Abilities!$D$14:$D$23,BD21),Inputs!$C$12)</f>
        <v/>
      </c>
      <c r="BH21" s="27">
        <f>MAX(AI21:AR21)</f>
        <v/>
      </c>
      <c r="BI21" s="8">
        <f>MATCH(BH21,AI21:AR21,0)</f>
        <v/>
      </c>
      <c r="BJ21" s="15">
        <f>INDEX(Abilities!$B$14:$B$23,BI21)</f>
        <v/>
      </c>
      <c r="BK21" s="14">
        <f>IFERROR(ROUNDUP(C21/(INDEX(Abilities!$C$14:$C$23,BD21)*W21),0),"-")</f>
        <v/>
      </c>
      <c r="BL21" s="9">
        <f>IFERROR(C21*INDEX(Abilities!$E$14:$E$23,BI21)/(INDEX(Abilities!$C$14:$C$23,BI21)*CHOOSE(Inputs!$C$13,1,INDEX(Abilities!$J$14:$J$23,BI21),INDEX(Abilities!$I$14:$I$23,BI21))*W21),"-")</f>
        <v/>
      </c>
      <c r="BM21" s="60">
        <f>IFERROR(P21/BL21,"-")</f>
        <v/>
      </c>
      <c r="BN21" s="17">
        <f>BH21+Inputs!$C$18*V21</f>
        <v/>
      </c>
      <c r="BO21" s="17">
        <f>BC21+Inputs!$C$18*V21</f>
        <v/>
      </c>
      <c r="BP21" s="27">
        <f>LARGE(AS21:BB21,1)+LARGE(AS21:BB21,2)</f>
        <v/>
      </c>
      <c r="BQ21" s="60">
        <f>IFERROR(IF(BG21&lt;=X21,C21/BO21,IF(C21/BO21*(BG21-X21)&lt;=P21,C21/BO21,P21/(BG21-X21)+(C21-BO21*P21/(BG21-X21))/BN21)),"-")</f>
        <v/>
      </c>
      <c r="BR21" s="60">
        <f>BQ21</f>
        <v/>
      </c>
      <c r="BS21" s="9">
        <f>MAX(0,(E21+(B21-A21))*(1-R21)*(1-Q21*'Class Table'!$O$7/Inputs!$C$19)-Q21*'Class Table'!$O$7/25)</f>
        <v/>
      </c>
      <c r="BT21" s="26">
        <f>IFERROR(BS21/F21*BR21,"-")</f>
        <v/>
      </c>
      <c r="BU21" s="28">
        <f>IFERROR(BT21/O21,"-")</f>
        <v/>
      </c>
      <c r="BV21" s="9">
        <f>IFERROR(O21*Inputs!$C$24/Inputs!$C$22*BR21,"-")</f>
        <v/>
      </c>
      <c r="BW21" s="28">
        <f>IFERROR(MAX(0,BT21-BV21)/O21,"-")</f>
        <v/>
      </c>
    </row>
    <row r="22">
      <c r="A22" s="8" t="n">
        <v>19</v>
      </c>
      <c r="B22" s="14">
        <f>'Mob by Level'!B22</f>
        <v/>
      </c>
      <c r="C22" s="9">
        <f>'Mob by Level'!C22</f>
        <v/>
      </c>
      <c r="D22" s="9">
        <f>'Mob by Level'!D22</f>
        <v/>
      </c>
      <c r="E22" s="9">
        <f>'Mob by Level'!E22</f>
        <v/>
      </c>
      <c r="F22" s="16">
        <f>'Mob by Level'!F22</f>
        <v/>
      </c>
      <c r="G22" s="14">
        <f>SUMIFS(Gear!$D$4:$D$603,Gear!$A$4:$A$603,A22,Gear!$B$4:$B$603,"Magus",Gear!$C$4:$C$603,Inputs!$C$5)</f>
        <v/>
      </c>
      <c r="H22" s="14">
        <f>SUMIFS(Gear!$E$4:$E$603,Gear!$A$4:$A$603,A22,Gear!$B$4:$B$603,"Magus",Gear!$C$4:$C$603,Inputs!$C$5)</f>
        <v/>
      </c>
      <c r="I22" s="14">
        <f>SUMIFS(Gear!$F$4:$F$603,Gear!$A$4:$A$603,A22,Gear!$B$4:$B$603,"Magus",Gear!$C$4:$C$603,Inputs!$C$5)+Inputs!$C$17*IFERROR(LOOKUP(A22,Abilities!$A$49:$A$53,Abilities!$C$49:$C$53),0)</f>
        <v/>
      </c>
      <c r="J22" s="13">
        <f>SUMIFS(Gear!$J$4:$J$603,Gear!$A$4:$A$603,A22,Gear!$B$4:$B$603,"Magus",Gear!$C$4:$C$603,Inputs!$C$5)</f>
        <v/>
      </c>
      <c r="K22" s="13">
        <f>SUMIFS(Gear!$K$4:$K$603,Gear!$A$4:$A$603,A22,Gear!$B$4:$B$603,"Magus",Gear!$C$4:$C$603,Inputs!$C$5)</f>
        <v/>
      </c>
      <c r="L22" s="13">
        <f>SUMIFS(Gear!$L$4:$L$603,Gear!$A$4:$A$603,A22,Gear!$B$4:$B$603,"Magus",Gear!$C$4:$C$603,Inputs!$C$5)</f>
        <v/>
      </c>
      <c r="M22" s="13">
        <f>SUMIFS(Gear!$M$4:$M$603,Gear!$A$4:$A$603,A22,Gear!$B$4:$B$603,"Magus",Gear!$C$4:$C$603,Inputs!$C$5)</f>
        <v/>
      </c>
      <c r="N22" s="13">
        <f>SUMIFS(Gear!$N$4:$N$603,Gear!$A$4:$A$603,A22,Gear!$B$4:$B$603,"Magus",Gear!$C$4:$C$603,Inputs!$C$5)</f>
        <v/>
      </c>
      <c r="O22" s="9">
        <f>INDEX('Class Table'!$H$4:$H$53,A22)+SUMIFS(Gear!$G$4:$G$603,Gear!$A$4:$A$603,A22,Gear!$B$4:$B$603,"Magus",Gear!$C$4:$C$603,Inputs!$C$5)</f>
        <v/>
      </c>
      <c r="P22" s="9">
        <f>INDEX('Class Table'!$I$4:$I$53,A22)+SUMIFS(Gear!$H$4:$H$603,Gear!$A$4:$A$603,A22,Gear!$B$4:$B$603,"Magus",Gear!$C$4:$C$603,Inputs!$C$5)</f>
        <v/>
      </c>
      <c r="Q22" s="9">
        <f>INDEX('Class Table'!$J$4:$J$53,A22)+SUMIFS(Gear!$I$4:$I$603,Gear!$A$4:$A$603,A22,Gear!$B$4:$B$603,"Magus",Gear!$C$4:$C$603,Inputs!$C$5)</f>
        <v/>
      </c>
      <c r="R22" s="13">
        <f>SUMIFS(Gear!$O$4:$O$603,Gear!$A$4:$A$603,A22,Gear!$B$4:$B$603,"Magus",Gear!$C$4:$C$603,Inputs!$C$5)</f>
        <v/>
      </c>
      <c r="S22" s="26">
        <f>I22+0+G22+A22+MAX(1,A22/2)+(A22-B22)</f>
        <v/>
      </c>
      <c r="T22" s="9">
        <f>MAX(0,S22*(1+M22)*(1+L22)*Inputs!$C$20*(1-D22/Inputs!$C$19)-D22/25)</f>
        <v/>
      </c>
      <c r="U22" s="16">
        <f>H22/10*(1-MIN(0.95,N22+0))*Inputs!$C$21</f>
        <v/>
      </c>
      <c r="V22" s="27">
        <f>T22/U22</f>
        <v/>
      </c>
      <c r="W22" s="16">
        <f>(1+J22)*(1+K22)*Inputs!$C$20</f>
        <v/>
      </c>
      <c r="X22" s="17">
        <f>P22*Inputs!$C$23/Inputs!$C$22</f>
        <v/>
      </c>
      <c r="Y22" s="17">
        <f>IF(INDEX(Abilities!$A$14:$A$23,1)&lt;=A22,INDEX(Abilities!$C$14:$C$23,1)*CHOOSE(Inputs!$C$13,1,INDEX(Abilities!$J$14:$J$23,1),INDEX(Abilities!$I$14:$I$23,1))*W22/MAX(INDEX(Abilities!$D$14:$D$23,1),Inputs!$C$12),0)</f>
        <v/>
      </c>
      <c r="Z22" s="17">
        <f>IF(INDEX(Abilities!$A$14:$A$23,2)&lt;=A22,INDEX(Abilities!$C$14:$C$23,2)*CHOOSE(Inputs!$C$13,1,INDEX(Abilities!$J$14:$J$23,2),INDEX(Abilities!$I$14:$I$23,2))*W22/MAX(INDEX(Abilities!$D$14:$D$23,2),Inputs!$C$12),0)</f>
        <v/>
      </c>
      <c r="AA22" s="17">
        <f>IF(INDEX(Abilities!$A$14:$A$23,3)&lt;=A22,INDEX(Abilities!$C$14:$C$23,3)*CHOOSE(Inputs!$C$13,1,INDEX(Abilities!$J$14:$J$23,3),INDEX(Abilities!$I$14:$I$23,3))*W22/MAX(INDEX(Abilities!$D$14:$D$23,3),Inputs!$C$12),0)</f>
        <v/>
      </c>
      <c r="AB22" s="17">
        <f>IF(INDEX(Abilities!$A$14:$A$23,4)&lt;=A22,INDEX(Abilities!$C$14:$C$23,4)*CHOOSE(Inputs!$C$13,1,INDEX(Abilities!$J$14:$J$23,4),INDEX(Abilities!$I$14:$I$23,4))*W22/MAX(INDEX(Abilities!$D$14:$D$23,4),Inputs!$C$12),0)</f>
        <v/>
      </c>
      <c r="AC22" s="17">
        <f>IF(INDEX(Abilities!$A$14:$A$23,5)&lt;=A22,INDEX(Abilities!$C$14:$C$23,5)*CHOOSE(Inputs!$C$13,1,INDEX(Abilities!$J$14:$J$23,5),INDEX(Abilities!$I$14:$I$23,5))*W22/MAX(INDEX(Abilities!$D$14:$D$23,5),Inputs!$C$12),0)</f>
        <v/>
      </c>
      <c r="AD22" s="17">
        <f>IF(INDEX(Abilities!$A$14:$A$23,6)&lt;=A22,INDEX(Abilities!$C$14:$C$23,6)*CHOOSE(Inputs!$C$13,1,INDEX(Abilities!$J$14:$J$23,6),INDEX(Abilities!$I$14:$I$23,6))*W22/MAX(INDEX(Abilities!$D$14:$D$23,6),Inputs!$C$12),0)</f>
        <v/>
      </c>
      <c r="AE22" s="17">
        <f>IF(INDEX(Abilities!$A$14:$A$23,7)&lt;=A22,INDEX(Abilities!$C$14:$C$23,7)*CHOOSE(Inputs!$C$13,1,INDEX(Abilities!$J$14:$J$23,7),INDEX(Abilities!$I$14:$I$23,7))*W22/MAX(INDEX(Abilities!$D$14:$D$23,7),Inputs!$C$12),0)</f>
        <v/>
      </c>
      <c r="AF22" s="17">
        <f>IF(INDEX(Abilities!$A$14:$A$23,8)&lt;=A22,INDEX(Abilities!$C$14:$C$23,8)*CHOOSE(Inputs!$C$13,1,INDEX(Abilities!$J$14:$J$23,8),INDEX(Abilities!$I$14:$I$23,8))*W22/MAX(INDEX(Abilities!$D$14:$D$23,8),Inputs!$C$12),0)</f>
        <v/>
      </c>
      <c r="AG22" s="17">
        <f>IF(INDEX(Abilities!$A$14:$A$23,9)&lt;=A22,INDEX(Abilities!$C$14:$C$23,9)*CHOOSE(Inputs!$C$13,1,INDEX(Abilities!$J$14:$J$23,9),INDEX(Abilities!$I$14:$I$23,9))*W22/MAX(INDEX(Abilities!$D$14:$D$23,9),Inputs!$C$12),0)</f>
        <v/>
      </c>
      <c r="AH22" s="17">
        <f>IF(INDEX(Abilities!$A$14:$A$23,10)&lt;=A22,INDEX(Abilities!$C$14:$C$23,10)*CHOOSE(Inputs!$C$13,1,INDEX(Abilities!$J$14:$J$23,10),INDEX(Abilities!$I$14:$I$23,10))*W22/MAX(INDEX(Abilities!$D$14:$D$23,10),Inputs!$C$12),0)</f>
        <v/>
      </c>
      <c r="AI22" s="17">
        <f>IF(INDEX(Abilities!$A$14:$A$23,1)&lt;=A22,MIN(Y22,X22*INDEX(Abilities!$C$14:$C$23,1)*CHOOSE(Inputs!$C$13,1,INDEX(Abilities!$J$14:$J$23,1),INDEX(Abilities!$I$14:$I$23,1))*W22/INDEX(Abilities!$E$14:$E$23,1)),0)</f>
        <v/>
      </c>
      <c r="AJ22" s="17">
        <f>IF(INDEX(Abilities!$A$14:$A$23,2)&lt;=A22,MIN(Z22,X22*INDEX(Abilities!$C$14:$C$23,2)*CHOOSE(Inputs!$C$13,1,INDEX(Abilities!$J$14:$J$23,2),INDEX(Abilities!$I$14:$I$23,2))*W22/INDEX(Abilities!$E$14:$E$23,2)),0)</f>
        <v/>
      </c>
      <c r="AK22" s="17">
        <f>IF(INDEX(Abilities!$A$14:$A$23,3)&lt;=A22,MIN(AA22,X22*INDEX(Abilities!$C$14:$C$23,3)*CHOOSE(Inputs!$C$13,1,INDEX(Abilities!$J$14:$J$23,3),INDEX(Abilities!$I$14:$I$23,3))*W22/INDEX(Abilities!$E$14:$E$23,3)),0)</f>
        <v/>
      </c>
      <c r="AL22" s="17">
        <f>IF(INDEX(Abilities!$A$14:$A$23,4)&lt;=A22,MIN(AB22,X22*INDEX(Abilities!$C$14:$C$23,4)*CHOOSE(Inputs!$C$13,1,INDEX(Abilities!$J$14:$J$23,4),INDEX(Abilities!$I$14:$I$23,4))*W22/INDEX(Abilities!$E$14:$E$23,4)),0)</f>
        <v/>
      </c>
      <c r="AM22" s="17">
        <f>IF(INDEX(Abilities!$A$14:$A$23,5)&lt;=A22,MIN(AC22,X22*INDEX(Abilities!$C$14:$C$23,5)*CHOOSE(Inputs!$C$13,1,INDEX(Abilities!$J$14:$J$23,5),INDEX(Abilities!$I$14:$I$23,5))*W22/INDEX(Abilities!$E$14:$E$23,5)),0)</f>
        <v/>
      </c>
      <c r="AN22" s="17">
        <f>IF(INDEX(Abilities!$A$14:$A$23,6)&lt;=A22,MIN(AD22,X22*INDEX(Abilities!$C$14:$C$23,6)*CHOOSE(Inputs!$C$13,1,INDEX(Abilities!$J$14:$J$23,6),INDEX(Abilities!$I$14:$I$23,6))*W22/INDEX(Abilities!$E$14:$E$23,6)),0)</f>
        <v/>
      </c>
      <c r="AO22" s="17">
        <f>IF(INDEX(Abilities!$A$14:$A$23,7)&lt;=A22,MIN(AE22,X22*INDEX(Abilities!$C$14:$C$23,7)*CHOOSE(Inputs!$C$13,1,INDEX(Abilities!$J$14:$J$23,7),INDEX(Abilities!$I$14:$I$23,7))*W22/INDEX(Abilities!$E$14:$E$23,7)),0)</f>
        <v/>
      </c>
      <c r="AP22" s="17">
        <f>IF(INDEX(Abilities!$A$14:$A$23,8)&lt;=A22,MIN(AF22,X22*INDEX(Abilities!$C$14:$C$23,8)*CHOOSE(Inputs!$C$13,1,INDEX(Abilities!$J$14:$J$23,8),INDEX(Abilities!$I$14:$I$23,8))*W22/INDEX(Abilities!$E$14:$E$23,8)),0)</f>
        <v/>
      </c>
      <c r="AQ22" s="17">
        <f>IF(INDEX(Abilities!$A$14:$A$23,9)&lt;=A22,MIN(AG22,X22*INDEX(Abilities!$C$14:$C$23,9)*CHOOSE(Inputs!$C$13,1,INDEX(Abilities!$J$14:$J$23,9),INDEX(Abilities!$I$14:$I$23,9))*W22/INDEX(Abilities!$E$14:$E$23,9)),0)</f>
        <v/>
      </c>
      <c r="AR22" s="17">
        <f>IF(INDEX(Abilities!$A$14:$A$23,10)&lt;=A22,MIN(AH22,X22*INDEX(Abilities!$C$14:$C$23,10)*CHOOSE(Inputs!$C$13,1,INDEX(Abilities!$J$14:$J$23,10),INDEX(Abilities!$I$14:$I$23,10))*W22/INDEX(Abilities!$E$14:$E$23,10)),0)</f>
        <v/>
      </c>
      <c r="AS22" s="17">
        <f>IF(INDEX(Abilities!$A$14:$A$23,1)&lt;=A22,INDEX(Abilities!$C$14:$C$23,1)*CHOOSE(Inputs!$C$13,1,INDEX(Abilities!$J$14:$J$23,1),INDEX(Abilities!$I$14:$I$23,1))*W22/MAX(INDEX(Abilities!$D$14:$D$23,1),2*Inputs!$C$12),0)</f>
        <v/>
      </c>
      <c r="AT22" s="17">
        <f>IF(INDEX(Abilities!$A$14:$A$23,2)&lt;=A22,INDEX(Abilities!$C$14:$C$23,2)*CHOOSE(Inputs!$C$13,1,INDEX(Abilities!$J$14:$J$23,2),INDEX(Abilities!$I$14:$I$23,2))*W22/MAX(INDEX(Abilities!$D$14:$D$23,2),2*Inputs!$C$12),0)</f>
        <v/>
      </c>
      <c r="AU22" s="17">
        <f>IF(INDEX(Abilities!$A$14:$A$23,3)&lt;=A22,INDEX(Abilities!$C$14:$C$23,3)*CHOOSE(Inputs!$C$13,1,INDEX(Abilities!$J$14:$J$23,3),INDEX(Abilities!$I$14:$I$23,3))*W22/MAX(INDEX(Abilities!$D$14:$D$23,3),2*Inputs!$C$12),0)</f>
        <v/>
      </c>
      <c r="AV22" s="17">
        <f>IF(INDEX(Abilities!$A$14:$A$23,4)&lt;=A22,INDEX(Abilities!$C$14:$C$23,4)*CHOOSE(Inputs!$C$13,1,INDEX(Abilities!$J$14:$J$23,4),INDEX(Abilities!$I$14:$I$23,4))*W22/MAX(INDEX(Abilities!$D$14:$D$23,4),2*Inputs!$C$12),0)</f>
        <v/>
      </c>
      <c r="AW22" s="17">
        <f>IF(INDEX(Abilities!$A$14:$A$23,5)&lt;=A22,INDEX(Abilities!$C$14:$C$23,5)*CHOOSE(Inputs!$C$13,1,INDEX(Abilities!$J$14:$J$23,5),INDEX(Abilities!$I$14:$I$23,5))*W22/MAX(INDEX(Abilities!$D$14:$D$23,5),2*Inputs!$C$12),0)</f>
        <v/>
      </c>
      <c r="AX22" s="17">
        <f>IF(INDEX(Abilities!$A$14:$A$23,6)&lt;=A22,INDEX(Abilities!$C$14:$C$23,6)*CHOOSE(Inputs!$C$13,1,INDEX(Abilities!$J$14:$J$23,6),INDEX(Abilities!$I$14:$I$23,6))*W22/MAX(INDEX(Abilities!$D$14:$D$23,6),2*Inputs!$C$12),0)</f>
        <v/>
      </c>
      <c r="AY22" s="17">
        <f>IF(INDEX(Abilities!$A$14:$A$23,7)&lt;=A22,INDEX(Abilities!$C$14:$C$23,7)*CHOOSE(Inputs!$C$13,1,INDEX(Abilities!$J$14:$J$23,7),INDEX(Abilities!$I$14:$I$23,7))*W22/MAX(INDEX(Abilities!$D$14:$D$23,7),2*Inputs!$C$12),0)</f>
        <v/>
      </c>
      <c r="AZ22" s="17">
        <f>IF(INDEX(Abilities!$A$14:$A$23,8)&lt;=A22,INDEX(Abilities!$C$14:$C$23,8)*CHOOSE(Inputs!$C$13,1,INDEX(Abilities!$J$14:$J$23,8),INDEX(Abilities!$I$14:$I$23,8))*W22/MAX(INDEX(Abilities!$D$14:$D$23,8),2*Inputs!$C$12),0)</f>
        <v/>
      </c>
      <c r="BA22" s="17">
        <f>IF(INDEX(Abilities!$A$14:$A$23,9)&lt;=A22,INDEX(Abilities!$C$14:$C$23,9)*CHOOSE(Inputs!$C$13,1,INDEX(Abilities!$J$14:$J$23,9),INDEX(Abilities!$I$14:$I$23,9))*W22/MAX(INDEX(Abilities!$D$14:$D$23,9),2*Inputs!$C$12),0)</f>
        <v/>
      </c>
      <c r="BB22" s="17">
        <f>IF(INDEX(Abilities!$A$14:$A$23,10)&lt;=A22,INDEX(Abilities!$C$14:$C$23,10)*CHOOSE(Inputs!$C$13,1,INDEX(Abilities!$J$14:$J$23,10),INDEX(Abilities!$I$14:$I$23,10))*W22/MAX(INDEX(Abilities!$D$14:$D$23,10),2*Inputs!$C$12),0)</f>
        <v/>
      </c>
      <c r="BC22" s="27">
        <f>MAX(Y22:AH22)</f>
        <v/>
      </c>
      <c r="BD22" s="8">
        <f>MATCH(BC22,Y22:AH22,0)</f>
        <v/>
      </c>
      <c r="BE22" s="15">
        <f>INDEX(Abilities!$B$14:$B$23,BD22)</f>
        <v/>
      </c>
      <c r="BF22" s="16">
        <f>CHOOSE(Inputs!$C$13,1,INDEX(Abilities!$J$14:$J$23,BD22),INDEX(Abilities!$I$14:$I$23,BD22))</f>
        <v/>
      </c>
      <c r="BG22" s="17">
        <f>INDEX(Abilities!$E$14:$E$23,BD22)/MAX(INDEX(Abilities!$D$14:$D$23,BD22),Inputs!$C$12)</f>
        <v/>
      </c>
      <c r="BH22" s="27">
        <f>MAX(AI22:AR22)</f>
        <v/>
      </c>
      <c r="BI22" s="8">
        <f>MATCH(BH22,AI22:AR22,0)</f>
        <v/>
      </c>
      <c r="BJ22" s="15">
        <f>INDEX(Abilities!$B$14:$B$23,BI22)</f>
        <v/>
      </c>
      <c r="BK22" s="14">
        <f>IFERROR(ROUNDUP(C22/(INDEX(Abilities!$C$14:$C$23,BD22)*W22),0),"-")</f>
        <v/>
      </c>
      <c r="BL22" s="9">
        <f>IFERROR(C22*INDEX(Abilities!$E$14:$E$23,BI22)/(INDEX(Abilities!$C$14:$C$23,BI22)*CHOOSE(Inputs!$C$13,1,INDEX(Abilities!$J$14:$J$23,BI22),INDEX(Abilities!$I$14:$I$23,BI22))*W22),"-")</f>
        <v/>
      </c>
      <c r="BM22" s="60">
        <f>IFERROR(P22/BL22,"-")</f>
        <v/>
      </c>
      <c r="BN22" s="17">
        <f>BH22+Inputs!$C$18*V22</f>
        <v/>
      </c>
      <c r="BO22" s="17">
        <f>BC22+Inputs!$C$18*V22</f>
        <v/>
      </c>
      <c r="BP22" s="27">
        <f>LARGE(AS22:BB22,1)+LARGE(AS22:BB22,2)</f>
        <v/>
      </c>
      <c r="BQ22" s="60">
        <f>IFERROR(IF(BG22&lt;=X22,C22/BO22,IF(C22/BO22*(BG22-X22)&lt;=P22,C22/BO22,P22/(BG22-X22)+(C22-BO22*P22/(BG22-X22))/BN22)),"-")</f>
        <v/>
      </c>
      <c r="BR22" s="60">
        <f>BQ22</f>
        <v/>
      </c>
      <c r="BS22" s="9">
        <f>MAX(0,(E22+(B22-A22))*(1-R22)*(1-Q22*'Class Table'!$O$7/Inputs!$C$19)-Q22*'Class Table'!$O$7/25)</f>
        <v/>
      </c>
      <c r="BT22" s="26">
        <f>IFERROR(BS22/F22*BR22,"-")</f>
        <v/>
      </c>
      <c r="BU22" s="28">
        <f>IFERROR(BT22/O22,"-")</f>
        <v/>
      </c>
      <c r="BV22" s="9">
        <f>IFERROR(O22*Inputs!$C$24/Inputs!$C$22*BR22,"-")</f>
        <v/>
      </c>
      <c r="BW22" s="28">
        <f>IFERROR(MAX(0,BT22-BV22)/O22,"-")</f>
        <v/>
      </c>
    </row>
    <row r="23">
      <c r="A23" s="8" t="n">
        <v>20</v>
      </c>
      <c r="B23" s="14">
        <f>'Mob by Level'!B23</f>
        <v/>
      </c>
      <c r="C23" s="9">
        <f>'Mob by Level'!C23</f>
        <v/>
      </c>
      <c r="D23" s="9">
        <f>'Mob by Level'!D23</f>
        <v/>
      </c>
      <c r="E23" s="9">
        <f>'Mob by Level'!E23</f>
        <v/>
      </c>
      <c r="F23" s="16">
        <f>'Mob by Level'!F23</f>
        <v/>
      </c>
      <c r="G23" s="14">
        <f>SUMIFS(Gear!$D$4:$D$603,Gear!$A$4:$A$603,A23,Gear!$B$4:$B$603,"Magus",Gear!$C$4:$C$603,Inputs!$C$5)</f>
        <v/>
      </c>
      <c r="H23" s="14">
        <f>SUMIFS(Gear!$E$4:$E$603,Gear!$A$4:$A$603,A23,Gear!$B$4:$B$603,"Magus",Gear!$C$4:$C$603,Inputs!$C$5)</f>
        <v/>
      </c>
      <c r="I23" s="14">
        <f>SUMIFS(Gear!$F$4:$F$603,Gear!$A$4:$A$603,A23,Gear!$B$4:$B$603,"Magus",Gear!$C$4:$C$603,Inputs!$C$5)+Inputs!$C$17*IFERROR(LOOKUP(A23,Abilities!$A$49:$A$53,Abilities!$C$49:$C$53),0)</f>
        <v/>
      </c>
      <c r="J23" s="13">
        <f>SUMIFS(Gear!$J$4:$J$603,Gear!$A$4:$A$603,A23,Gear!$B$4:$B$603,"Magus",Gear!$C$4:$C$603,Inputs!$C$5)</f>
        <v/>
      </c>
      <c r="K23" s="13">
        <f>SUMIFS(Gear!$K$4:$K$603,Gear!$A$4:$A$603,A23,Gear!$B$4:$B$603,"Magus",Gear!$C$4:$C$603,Inputs!$C$5)</f>
        <v/>
      </c>
      <c r="L23" s="13">
        <f>SUMIFS(Gear!$L$4:$L$603,Gear!$A$4:$A$603,A23,Gear!$B$4:$B$603,"Magus",Gear!$C$4:$C$603,Inputs!$C$5)</f>
        <v/>
      </c>
      <c r="M23" s="13">
        <f>SUMIFS(Gear!$M$4:$M$603,Gear!$A$4:$A$603,A23,Gear!$B$4:$B$603,"Magus",Gear!$C$4:$C$603,Inputs!$C$5)</f>
        <v/>
      </c>
      <c r="N23" s="13">
        <f>SUMIFS(Gear!$N$4:$N$603,Gear!$A$4:$A$603,A23,Gear!$B$4:$B$603,"Magus",Gear!$C$4:$C$603,Inputs!$C$5)</f>
        <v/>
      </c>
      <c r="O23" s="9">
        <f>INDEX('Class Table'!$H$4:$H$53,A23)+SUMIFS(Gear!$G$4:$G$603,Gear!$A$4:$A$603,A23,Gear!$B$4:$B$603,"Magus",Gear!$C$4:$C$603,Inputs!$C$5)</f>
        <v/>
      </c>
      <c r="P23" s="9">
        <f>INDEX('Class Table'!$I$4:$I$53,A23)+SUMIFS(Gear!$H$4:$H$603,Gear!$A$4:$A$603,A23,Gear!$B$4:$B$603,"Magus",Gear!$C$4:$C$603,Inputs!$C$5)</f>
        <v/>
      </c>
      <c r="Q23" s="9">
        <f>INDEX('Class Table'!$J$4:$J$53,A23)+SUMIFS(Gear!$I$4:$I$603,Gear!$A$4:$A$603,A23,Gear!$B$4:$B$603,"Magus",Gear!$C$4:$C$603,Inputs!$C$5)</f>
        <v/>
      </c>
      <c r="R23" s="13">
        <f>SUMIFS(Gear!$O$4:$O$603,Gear!$A$4:$A$603,A23,Gear!$B$4:$B$603,"Magus",Gear!$C$4:$C$603,Inputs!$C$5)</f>
        <v/>
      </c>
      <c r="S23" s="26">
        <f>I23+0+G23+A23+MAX(1,A23/2)+(A23-B23)</f>
        <v/>
      </c>
      <c r="T23" s="9">
        <f>MAX(0,S23*(1+M23)*(1+L23)*Inputs!$C$20*(1-D23/Inputs!$C$19)-D23/25)</f>
        <v/>
      </c>
      <c r="U23" s="16">
        <f>H23/10*(1-MIN(0.95,N23+0))*Inputs!$C$21</f>
        <v/>
      </c>
      <c r="V23" s="27">
        <f>T23/U23</f>
        <v/>
      </c>
      <c r="W23" s="16">
        <f>(1+J23)*(1+K23)*Inputs!$C$20</f>
        <v/>
      </c>
      <c r="X23" s="17">
        <f>P23*Inputs!$C$23/Inputs!$C$22</f>
        <v/>
      </c>
      <c r="Y23" s="17">
        <f>IF(INDEX(Abilities!$A$14:$A$23,1)&lt;=A23,INDEX(Abilities!$C$14:$C$23,1)*CHOOSE(Inputs!$C$13,1,INDEX(Abilities!$J$14:$J$23,1),INDEX(Abilities!$I$14:$I$23,1))*W23/MAX(INDEX(Abilities!$D$14:$D$23,1),Inputs!$C$12),0)</f>
        <v/>
      </c>
      <c r="Z23" s="17">
        <f>IF(INDEX(Abilities!$A$14:$A$23,2)&lt;=A23,INDEX(Abilities!$C$14:$C$23,2)*CHOOSE(Inputs!$C$13,1,INDEX(Abilities!$J$14:$J$23,2),INDEX(Abilities!$I$14:$I$23,2))*W23/MAX(INDEX(Abilities!$D$14:$D$23,2),Inputs!$C$12),0)</f>
        <v/>
      </c>
      <c r="AA23" s="17">
        <f>IF(INDEX(Abilities!$A$14:$A$23,3)&lt;=A23,INDEX(Abilities!$C$14:$C$23,3)*CHOOSE(Inputs!$C$13,1,INDEX(Abilities!$J$14:$J$23,3),INDEX(Abilities!$I$14:$I$23,3))*W23/MAX(INDEX(Abilities!$D$14:$D$23,3),Inputs!$C$12),0)</f>
        <v/>
      </c>
      <c r="AB23" s="17">
        <f>IF(INDEX(Abilities!$A$14:$A$23,4)&lt;=A23,INDEX(Abilities!$C$14:$C$23,4)*CHOOSE(Inputs!$C$13,1,INDEX(Abilities!$J$14:$J$23,4),INDEX(Abilities!$I$14:$I$23,4))*W23/MAX(INDEX(Abilities!$D$14:$D$23,4),Inputs!$C$12),0)</f>
        <v/>
      </c>
      <c r="AC23" s="17">
        <f>IF(INDEX(Abilities!$A$14:$A$23,5)&lt;=A23,INDEX(Abilities!$C$14:$C$23,5)*CHOOSE(Inputs!$C$13,1,INDEX(Abilities!$J$14:$J$23,5),INDEX(Abilities!$I$14:$I$23,5))*W23/MAX(INDEX(Abilities!$D$14:$D$23,5),Inputs!$C$12),0)</f>
        <v/>
      </c>
      <c r="AD23" s="17">
        <f>IF(INDEX(Abilities!$A$14:$A$23,6)&lt;=A23,INDEX(Abilities!$C$14:$C$23,6)*CHOOSE(Inputs!$C$13,1,INDEX(Abilities!$J$14:$J$23,6),INDEX(Abilities!$I$14:$I$23,6))*W23/MAX(INDEX(Abilities!$D$14:$D$23,6),Inputs!$C$12),0)</f>
        <v/>
      </c>
      <c r="AE23" s="17">
        <f>IF(INDEX(Abilities!$A$14:$A$23,7)&lt;=A23,INDEX(Abilities!$C$14:$C$23,7)*CHOOSE(Inputs!$C$13,1,INDEX(Abilities!$J$14:$J$23,7),INDEX(Abilities!$I$14:$I$23,7))*W23/MAX(INDEX(Abilities!$D$14:$D$23,7),Inputs!$C$12),0)</f>
        <v/>
      </c>
      <c r="AF23" s="17">
        <f>IF(INDEX(Abilities!$A$14:$A$23,8)&lt;=A23,INDEX(Abilities!$C$14:$C$23,8)*CHOOSE(Inputs!$C$13,1,INDEX(Abilities!$J$14:$J$23,8),INDEX(Abilities!$I$14:$I$23,8))*W23/MAX(INDEX(Abilities!$D$14:$D$23,8),Inputs!$C$12),0)</f>
        <v/>
      </c>
      <c r="AG23" s="17">
        <f>IF(INDEX(Abilities!$A$14:$A$23,9)&lt;=A23,INDEX(Abilities!$C$14:$C$23,9)*CHOOSE(Inputs!$C$13,1,INDEX(Abilities!$J$14:$J$23,9),INDEX(Abilities!$I$14:$I$23,9))*W23/MAX(INDEX(Abilities!$D$14:$D$23,9),Inputs!$C$12),0)</f>
        <v/>
      </c>
      <c r="AH23" s="17">
        <f>IF(INDEX(Abilities!$A$14:$A$23,10)&lt;=A23,INDEX(Abilities!$C$14:$C$23,10)*CHOOSE(Inputs!$C$13,1,INDEX(Abilities!$J$14:$J$23,10),INDEX(Abilities!$I$14:$I$23,10))*W23/MAX(INDEX(Abilities!$D$14:$D$23,10),Inputs!$C$12),0)</f>
        <v/>
      </c>
      <c r="AI23" s="17">
        <f>IF(INDEX(Abilities!$A$14:$A$23,1)&lt;=A23,MIN(Y23,X23*INDEX(Abilities!$C$14:$C$23,1)*CHOOSE(Inputs!$C$13,1,INDEX(Abilities!$J$14:$J$23,1),INDEX(Abilities!$I$14:$I$23,1))*W23/INDEX(Abilities!$E$14:$E$23,1)),0)</f>
        <v/>
      </c>
      <c r="AJ23" s="17">
        <f>IF(INDEX(Abilities!$A$14:$A$23,2)&lt;=A23,MIN(Z23,X23*INDEX(Abilities!$C$14:$C$23,2)*CHOOSE(Inputs!$C$13,1,INDEX(Abilities!$J$14:$J$23,2),INDEX(Abilities!$I$14:$I$23,2))*W23/INDEX(Abilities!$E$14:$E$23,2)),0)</f>
        <v/>
      </c>
      <c r="AK23" s="17">
        <f>IF(INDEX(Abilities!$A$14:$A$23,3)&lt;=A23,MIN(AA23,X23*INDEX(Abilities!$C$14:$C$23,3)*CHOOSE(Inputs!$C$13,1,INDEX(Abilities!$J$14:$J$23,3),INDEX(Abilities!$I$14:$I$23,3))*W23/INDEX(Abilities!$E$14:$E$23,3)),0)</f>
        <v/>
      </c>
      <c r="AL23" s="17">
        <f>IF(INDEX(Abilities!$A$14:$A$23,4)&lt;=A23,MIN(AB23,X23*INDEX(Abilities!$C$14:$C$23,4)*CHOOSE(Inputs!$C$13,1,INDEX(Abilities!$J$14:$J$23,4),INDEX(Abilities!$I$14:$I$23,4))*W23/INDEX(Abilities!$E$14:$E$23,4)),0)</f>
        <v/>
      </c>
      <c r="AM23" s="17">
        <f>IF(INDEX(Abilities!$A$14:$A$23,5)&lt;=A23,MIN(AC23,X23*INDEX(Abilities!$C$14:$C$23,5)*CHOOSE(Inputs!$C$13,1,INDEX(Abilities!$J$14:$J$23,5),INDEX(Abilities!$I$14:$I$23,5))*W23/INDEX(Abilities!$E$14:$E$23,5)),0)</f>
        <v/>
      </c>
      <c r="AN23" s="17">
        <f>IF(INDEX(Abilities!$A$14:$A$23,6)&lt;=A23,MIN(AD23,X23*INDEX(Abilities!$C$14:$C$23,6)*CHOOSE(Inputs!$C$13,1,INDEX(Abilities!$J$14:$J$23,6),INDEX(Abilities!$I$14:$I$23,6))*W23/INDEX(Abilities!$E$14:$E$23,6)),0)</f>
        <v/>
      </c>
      <c r="AO23" s="17">
        <f>IF(INDEX(Abilities!$A$14:$A$23,7)&lt;=A23,MIN(AE23,X23*INDEX(Abilities!$C$14:$C$23,7)*CHOOSE(Inputs!$C$13,1,INDEX(Abilities!$J$14:$J$23,7),INDEX(Abilities!$I$14:$I$23,7))*W23/INDEX(Abilities!$E$14:$E$23,7)),0)</f>
        <v/>
      </c>
      <c r="AP23" s="17">
        <f>IF(INDEX(Abilities!$A$14:$A$23,8)&lt;=A23,MIN(AF23,X23*INDEX(Abilities!$C$14:$C$23,8)*CHOOSE(Inputs!$C$13,1,INDEX(Abilities!$J$14:$J$23,8),INDEX(Abilities!$I$14:$I$23,8))*W23/INDEX(Abilities!$E$14:$E$23,8)),0)</f>
        <v/>
      </c>
      <c r="AQ23" s="17">
        <f>IF(INDEX(Abilities!$A$14:$A$23,9)&lt;=A23,MIN(AG23,X23*INDEX(Abilities!$C$14:$C$23,9)*CHOOSE(Inputs!$C$13,1,INDEX(Abilities!$J$14:$J$23,9),INDEX(Abilities!$I$14:$I$23,9))*W23/INDEX(Abilities!$E$14:$E$23,9)),0)</f>
        <v/>
      </c>
      <c r="AR23" s="17">
        <f>IF(INDEX(Abilities!$A$14:$A$23,10)&lt;=A23,MIN(AH23,X23*INDEX(Abilities!$C$14:$C$23,10)*CHOOSE(Inputs!$C$13,1,INDEX(Abilities!$J$14:$J$23,10),INDEX(Abilities!$I$14:$I$23,10))*W23/INDEX(Abilities!$E$14:$E$23,10)),0)</f>
        <v/>
      </c>
      <c r="AS23" s="17">
        <f>IF(INDEX(Abilities!$A$14:$A$23,1)&lt;=A23,INDEX(Abilities!$C$14:$C$23,1)*CHOOSE(Inputs!$C$13,1,INDEX(Abilities!$J$14:$J$23,1),INDEX(Abilities!$I$14:$I$23,1))*W23/MAX(INDEX(Abilities!$D$14:$D$23,1),2*Inputs!$C$12),0)</f>
        <v/>
      </c>
      <c r="AT23" s="17">
        <f>IF(INDEX(Abilities!$A$14:$A$23,2)&lt;=A23,INDEX(Abilities!$C$14:$C$23,2)*CHOOSE(Inputs!$C$13,1,INDEX(Abilities!$J$14:$J$23,2),INDEX(Abilities!$I$14:$I$23,2))*W23/MAX(INDEX(Abilities!$D$14:$D$23,2),2*Inputs!$C$12),0)</f>
        <v/>
      </c>
      <c r="AU23" s="17">
        <f>IF(INDEX(Abilities!$A$14:$A$23,3)&lt;=A23,INDEX(Abilities!$C$14:$C$23,3)*CHOOSE(Inputs!$C$13,1,INDEX(Abilities!$J$14:$J$23,3),INDEX(Abilities!$I$14:$I$23,3))*W23/MAX(INDEX(Abilities!$D$14:$D$23,3),2*Inputs!$C$12),0)</f>
        <v/>
      </c>
      <c r="AV23" s="17">
        <f>IF(INDEX(Abilities!$A$14:$A$23,4)&lt;=A23,INDEX(Abilities!$C$14:$C$23,4)*CHOOSE(Inputs!$C$13,1,INDEX(Abilities!$J$14:$J$23,4),INDEX(Abilities!$I$14:$I$23,4))*W23/MAX(INDEX(Abilities!$D$14:$D$23,4),2*Inputs!$C$12),0)</f>
        <v/>
      </c>
      <c r="AW23" s="17">
        <f>IF(INDEX(Abilities!$A$14:$A$23,5)&lt;=A23,INDEX(Abilities!$C$14:$C$23,5)*CHOOSE(Inputs!$C$13,1,INDEX(Abilities!$J$14:$J$23,5),INDEX(Abilities!$I$14:$I$23,5))*W23/MAX(INDEX(Abilities!$D$14:$D$23,5),2*Inputs!$C$12),0)</f>
        <v/>
      </c>
      <c r="AX23" s="17">
        <f>IF(INDEX(Abilities!$A$14:$A$23,6)&lt;=A23,INDEX(Abilities!$C$14:$C$23,6)*CHOOSE(Inputs!$C$13,1,INDEX(Abilities!$J$14:$J$23,6),INDEX(Abilities!$I$14:$I$23,6))*W23/MAX(INDEX(Abilities!$D$14:$D$23,6),2*Inputs!$C$12),0)</f>
        <v/>
      </c>
      <c r="AY23" s="17">
        <f>IF(INDEX(Abilities!$A$14:$A$23,7)&lt;=A23,INDEX(Abilities!$C$14:$C$23,7)*CHOOSE(Inputs!$C$13,1,INDEX(Abilities!$J$14:$J$23,7),INDEX(Abilities!$I$14:$I$23,7))*W23/MAX(INDEX(Abilities!$D$14:$D$23,7),2*Inputs!$C$12),0)</f>
        <v/>
      </c>
      <c r="AZ23" s="17">
        <f>IF(INDEX(Abilities!$A$14:$A$23,8)&lt;=A23,INDEX(Abilities!$C$14:$C$23,8)*CHOOSE(Inputs!$C$13,1,INDEX(Abilities!$J$14:$J$23,8),INDEX(Abilities!$I$14:$I$23,8))*W23/MAX(INDEX(Abilities!$D$14:$D$23,8),2*Inputs!$C$12),0)</f>
        <v/>
      </c>
      <c r="BA23" s="17">
        <f>IF(INDEX(Abilities!$A$14:$A$23,9)&lt;=A23,INDEX(Abilities!$C$14:$C$23,9)*CHOOSE(Inputs!$C$13,1,INDEX(Abilities!$J$14:$J$23,9),INDEX(Abilities!$I$14:$I$23,9))*W23/MAX(INDEX(Abilities!$D$14:$D$23,9),2*Inputs!$C$12),0)</f>
        <v/>
      </c>
      <c r="BB23" s="17">
        <f>IF(INDEX(Abilities!$A$14:$A$23,10)&lt;=A23,INDEX(Abilities!$C$14:$C$23,10)*CHOOSE(Inputs!$C$13,1,INDEX(Abilities!$J$14:$J$23,10),INDEX(Abilities!$I$14:$I$23,10))*W23/MAX(INDEX(Abilities!$D$14:$D$23,10),2*Inputs!$C$12),0)</f>
        <v/>
      </c>
      <c r="BC23" s="27">
        <f>MAX(Y23:AH23)</f>
        <v/>
      </c>
      <c r="BD23" s="8">
        <f>MATCH(BC23,Y23:AH23,0)</f>
        <v/>
      </c>
      <c r="BE23" s="15">
        <f>INDEX(Abilities!$B$14:$B$23,BD23)</f>
        <v/>
      </c>
      <c r="BF23" s="16">
        <f>CHOOSE(Inputs!$C$13,1,INDEX(Abilities!$J$14:$J$23,BD23),INDEX(Abilities!$I$14:$I$23,BD23))</f>
        <v/>
      </c>
      <c r="BG23" s="17">
        <f>INDEX(Abilities!$E$14:$E$23,BD23)/MAX(INDEX(Abilities!$D$14:$D$23,BD23),Inputs!$C$12)</f>
        <v/>
      </c>
      <c r="BH23" s="27">
        <f>MAX(AI23:AR23)</f>
        <v/>
      </c>
      <c r="BI23" s="8">
        <f>MATCH(BH23,AI23:AR23,0)</f>
        <v/>
      </c>
      <c r="BJ23" s="15">
        <f>INDEX(Abilities!$B$14:$B$23,BI23)</f>
        <v/>
      </c>
      <c r="BK23" s="14">
        <f>IFERROR(ROUNDUP(C23/(INDEX(Abilities!$C$14:$C$23,BD23)*W23),0),"-")</f>
        <v/>
      </c>
      <c r="BL23" s="9">
        <f>IFERROR(C23*INDEX(Abilities!$E$14:$E$23,BI23)/(INDEX(Abilities!$C$14:$C$23,BI23)*CHOOSE(Inputs!$C$13,1,INDEX(Abilities!$J$14:$J$23,BI23),INDEX(Abilities!$I$14:$I$23,BI23))*W23),"-")</f>
        <v/>
      </c>
      <c r="BM23" s="60">
        <f>IFERROR(P23/BL23,"-")</f>
        <v/>
      </c>
      <c r="BN23" s="17">
        <f>BH23+Inputs!$C$18*V23</f>
        <v/>
      </c>
      <c r="BO23" s="17">
        <f>BC23+Inputs!$C$18*V23</f>
        <v/>
      </c>
      <c r="BP23" s="27">
        <f>LARGE(AS23:BB23,1)+LARGE(AS23:BB23,2)</f>
        <v/>
      </c>
      <c r="BQ23" s="60">
        <f>IFERROR(IF(BG23&lt;=X23,C23/BO23,IF(C23/BO23*(BG23-X23)&lt;=P23,C23/BO23,P23/(BG23-X23)+(C23-BO23*P23/(BG23-X23))/BN23)),"-")</f>
        <v/>
      </c>
      <c r="BR23" s="60">
        <f>BQ23</f>
        <v/>
      </c>
      <c r="BS23" s="9">
        <f>MAX(0,(E23+(B23-A23))*(1-R23)*(1-Q23*'Class Table'!$O$7/Inputs!$C$19)-Q23*'Class Table'!$O$7/25)</f>
        <v/>
      </c>
      <c r="BT23" s="26">
        <f>IFERROR(BS23/F23*BR23,"-")</f>
        <v/>
      </c>
      <c r="BU23" s="28">
        <f>IFERROR(BT23/O23,"-")</f>
        <v/>
      </c>
      <c r="BV23" s="9">
        <f>IFERROR(O23*Inputs!$C$24/Inputs!$C$22*BR23,"-")</f>
        <v/>
      </c>
      <c r="BW23" s="28">
        <f>IFERROR(MAX(0,BT23-BV23)/O23,"-")</f>
        <v/>
      </c>
    </row>
    <row r="24">
      <c r="A24" s="8" t="n">
        <v>21</v>
      </c>
      <c r="B24" s="14">
        <f>'Mob by Level'!B24</f>
        <v/>
      </c>
      <c r="C24" s="9">
        <f>'Mob by Level'!C24</f>
        <v/>
      </c>
      <c r="D24" s="9">
        <f>'Mob by Level'!D24</f>
        <v/>
      </c>
      <c r="E24" s="9">
        <f>'Mob by Level'!E24</f>
        <v/>
      </c>
      <c r="F24" s="16">
        <f>'Mob by Level'!F24</f>
        <v/>
      </c>
      <c r="G24" s="14">
        <f>SUMIFS(Gear!$D$4:$D$603,Gear!$A$4:$A$603,A24,Gear!$B$4:$B$603,"Magus",Gear!$C$4:$C$603,Inputs!$C$5)</f>
        <v/>
      </c>
      <c r="H24" s="14">
        <f>SUMIFS(Gear!$E$4:$E$603,Gear!$A$4:$A$603,A24,Gear!$B$4:$B$603,"Magus",Gear!$C$4:$C$603,Inputs!$C$5)</f>
        <v/>
      </c>
      <c r="I24" s="14">
        <f>SUMIFS(Gear!$F$4:$F$603,Gear!$A$4:$A$603,A24,Gear!$B$4:$B$603,"Magus",Gear!$C$4:$C$603,Inputs!$C$5)+Inputs!$C$17*IFERROR(LOOKUP(A24,Abilities!$A$49:$A$53,Abilities!$C$49:$C$53),0)</f>
        <v/>
      </c>
      <c r="J24" s="13">
        <f>SUMIFS(Gear!$J$4:$J$603,Gear!$A$4:$A$603,A24,Gear!$B$4:$B$603,"Magus",Gear!$C$4:$C$603,Inputs!$C$5)</f>
        <v/>
      </c>
      <c r="K24" s="13">
        <f>SUMIFS(Gear!$K$4:$K$603,Gear!$A$4:$A$603,A24,Gear!$B$4:$B$603,"Magus",Gear!$C$4:$C$603,Inputs!$C$5)</f>
        <v/>
      </c>
      <c r="L24" s="13">
        <f>SUMIFS(Gear!$L$4:$L$603,Gear!$A$4:$A$603,A24,Gear!$B$4:$B$603,"Magus",Gear!$C$4:$C$603,Inputs!$C$5)</f>
        <v/>
      </c>
      <c r="M24" s="13">
        <f>SUMIFS(Gear!$M$4:$M$603,Gear!$A$4:$A$603,A24,Gear!$B$4:$B$603,"Magus",Gear!$C$4:$C$603,Inputs!$C$5)</f>
        <v/>
      </c>
      <c r="N24" s="13">
        <f>SUMIFS(Gear!$N$4:$N$603,Gear!$A$4:$A$603,A24,Gear!$B$4:$B$603,"Magus",Gear!$C$4:$C$603,Inputs!$C$5)</f>
        <v/>
      </c>
      <c r="O24" s="9">
        <f>INDEX('Class Table'!$H$4:$H$53,A24)+SUMIFS(Gear!$G$4:$G$603,Gear!$A$4:$A$603,A24,Gear!$B$4:$B$603,"Magus",Gear!$C$4:$C$603,Inputs!$C$5)</f>
        <v/>
      </c>
      <c r="P24" s="9">
        <f>INDEX('Class Table'!$I$4:$I$53,A24)+SUMIFS(Gear!$H$4:$H$603,Gear!$A$4:$A$603,A24,Gear!$B$4:$B$603,"Magus",Gear!$C$4:$C$603,Inputs!$C$5)</f>
        <v/>
      </c>
      <c r="Q24" s="9">
        <f>INDEX('Class Table'!$J$4:$J$53,A24)+SUMIFS(Gear!$I$4:$I$603,Gear!$A$4:$A$603,A24,Gear!$B$4:$B$603,"Magus",Gear!$C$4:$C$603,Inputs!$C$5)</f>
        <v/>
      </c>
      <c r="R24" s="13">
        <f>SUMIFS(Gear!$O$4:$O$603,Gear!$A$4:$A$603,A24,Gear!$B$4:$B$603,"Magus",Gear!$C$4:$C$603,Inputs!$C$5)</f>
        <v/>
      </c>
      <c r="S24" s="26">
        <f>I24+0+G24+A24+MAX(1,A24/2)+(A24-B24)</f>
        <v/>
      </c>
      <c r="T24" s="9">
        <f>MAX(0,S24*(1+M24)*(1+L24)*Inputs!$C$20*(1-D24/Inputs!$C$19)-D24/25)</f>
        <v/>
      </c>
      <c r="U24" s="16">
        <f>H24/10*(1-MIN(0.95,N24+0))*Inputs!$C$21</f>
        <v/>
      </c>
      <c r="V24" s="27">
        <f>T24/U24</f>
        <v/>
      </c>
      <c r="W24" s="16">
        <f>(1+J24)*(1+K24)*Inputs!$C$20</f>
        <v/>
      </c>
      <c r="X24" s="17">
        <f>P24*Inputs!$C$23/Inputs!$C$22</f>
        <v/>
      </c>
      <c r="Y24" s="17">
        <f>IF(INDEX(Abilities!$A$14:$A$23,1)&lt;=A24,INDEX(Abilities!$C$14:$C$23,1)*CHOOSE(Inputs!$C$13,1,INDEX(Abilities!$J$14:$J$23,1),INDEX(Abilities!$I$14:$I$23,1))*W24/MAX(INDEX(Abilities!$D$14:$D$23,1),Inputs!$C$12),0)</f>
        <v/>
      </c>
      <c r="Z24" s="17">
        <f>IF(INDEX(Abilities!$A$14:$A$23,2)&lt;=A24,INDEX(Abilities!$C$14:$C$23,2)*CHOOSE(Inputs!$C$13,1,INDEX(Abilities!$J$14:$J$23,2),INDEX(Abilities!$I$14:$I$23,2))*W24/MAX(INDEX(Abilities!$D$14:$D$23,2),Inputs!$C$12),0)</f>
        <v/>
      </c>
      <c r="AA24" s="17">
        <f>IF(INDEX(Abilities!$A$14:$A$23,3)&lt;=A24,INDEX(Abilities!$C$14:$C$23,3)*CHOOSE(Inputs!$C$13,1,INDEX(Abilities!$J$14:$J$23,3),INDEX(Abilities!$I$14:$I$23,3))*W24/MAX(INDEX(Abilities!$D$14:$D$23,3),Inputs!$C$12),0)</f>
        <v/>
      </c>
      <c r="AB24" s="17">
        <f>IF(INDEX(Abilities!$A$14:$A$23,4)&lt;=A24,INDEX(Abilities!$C$14:$C$23,4)*CHOOSE(Inputs!$C$13,1,INDEX(Abilities!$J$14:$J$23,4),INDEX(Abilities!$I$14:$I$23,4))*W24/MAX(INDEX(Abilities!$D$14:$D$23,4),Inputs!$C$12),0)</f>
        <v/>
      </c>
      <c r="AC24" s="17">
        <f>IF(INDEX(Abilities!$A$14:$A$23,5)&lt;=A24,INDEX(Abilities!$C$14:$C$23,5)*CHOOSE(Inputs!$C$13,1,INDEX(Abilities!$J$14:$J$23,5),INDEX(Abilities!$I$14:$I$23,5))*W24/MAX(INDEX(Abilities!$D$14:$D$23,5),Inputs!$C$12),0)</f>
        <v/>
      </c>
      <c r="AD24" s="17">
        <f>IF(INDEX(Abilities!$A$14:$A$23,6)&lt;=A24,INDEX(Abilities!$C$14:$C$23,6)*CHOOSE(Inputs!$C$13,1,INDEX(Abilities!$J$14:$J$23,6),INDEX(Abilities!$I$14:$I$23,6))*W24/MAX(INDEX(Abilities!$D$14:$D$23,6),Inputs!$C$12),0)</f>
        <v/>
      </c>
      <c r="AE24" s="17">
        <f>IF(INDEX(Abilities!$A$14:$A$23,7)&lt;=A24,INDEX(Abilities!$C$14:$C$23,7)*CHOOSE(Inputs!$C$13,1,INDEX(Abilities!$J$14:$J$23,7),INDEX(Abilities!$I$14:$I$23,7))*W24/MAX(INDEX(Abilities!$D$14:$D$23,7),Inputs!$C$12),0)</f>
        <v/>
      </c>
      <c r="AF24" s="17">
        <f>IF(INDEX(Abilities!$A$14:$A$23,8)&lt;=A24,INDEX(Abilities!$C$14:$C$23,8)*CHOOSE(Inputs!$C$13,1,INDEX(Abilities!$J$14:$J$23,8),INDEX(Abilities!$I$14:$I$23,8))*W24/MAX(INDEX(Abilities!$D$14:$D$23,8),Inputs!$C$12),0)</f>
        <v/>
      </c>
      <c r="AG24" s="17">
        <f>IF(INDEX(Abilities!$A$14:$A$23,9)&lt;=A24,INDEX(Abilities!$C$14:$C$23,9)*CHOOSE(Inputs!$C$13,1,INDEX(Abilities!$J$14:$J$23,9),INDEX(Abilities!$I$14:$I$23,9))*W24/MAX(INDEX(Abilities!$D$14:$D$23,9),Inputs!$C$12),0)</f>
        <v/>
      </c>
      <c r="AH24" s="17">
        <f>IF(INDEX(Abilities!$A$14:$A$23,10)&lt;=A24,INDEX(Abilities!$C$14:$C$23,10)*CHOOSE(Inputs!$C$13,1,INDEX(Abilities!$J$14:$J$23,10),INDEX(Abilities!$I$14:$I$23,10))*W24/MAX(INDEX(Abilities!$D$14:$D$23,10),Inputs!$C$12),0)</f>
        <v/>
      </c>
      <c r="AI24" s="17">
        <f>IF(INDEX(Abilities!$A$14:$A$23,1)&lt;=A24,MIN(Y24,X24*INDEX(Abilities!$C$14:$C$23,1)*CHOOSE(Inputs!$C$13,1,INDEX(Abilities!$J$14:$J$23,1),INDEX(Abilities!$I$14:$I$23,1))*W24/INDEX(Abilities!$E$14:$E$23,1)),0)</f>
        <v/>
      </c>
      <c r="AJ24" s="17">
        <f>IF(INDEX(Abilities!$A$14:$A$23,2)&lt;=A24,MIN(Z24,X24*INDEX(Abilities!$C$14:$C$23,2)*CHOOSE(Inputs!$C$13,1,INDEX(Abilities!$J$14:$J$23,2),INDEX(Abilities!$I$14:$I$23,2))*W24/INDEX(Abilities!$E$14:$E$23,2)),0)</f>
        <v/>
      </c>
      <c r="AK24" s="17">
        <f>IF(INDEX(Abilities!$A$14:$A$23,3)&lt;=A24,MIN(AA24,X24*INDEX(Abilities!$C$14:$C$23,3)*CHOOSE(Inputs!$C$13,1,INDEX(Abilities!$J$14:$J$23,3),INDEX(Abilities!$I$14:$I$23,3))*W24/INDEX(Abilities!$E$14:$E$23,3)),0)</f>
        <v/>
      </c>
      <c r="AL24" s="17">
        <f>IF(INDEX(Abilities!$A$14:$A$23,4)&lt;=A24,MIN(AB24,X24*INDEX(Abilities!$C$14:$C$23,4)*CHOOSE(Inputs!$C$13,1,INDEX(Abilities!$J$14:$J$23,4),INDEX(Abilities!$I$14:$I$23,4))*W24/INDEX(Abilities!$E$14:$E$23,4)),0)</f>
        <v/>
      </c>
      <c r="AM24" s="17">
        <f>IF(INDEX(Abilities!$A$14:$A$23,5)&lt;=A24,MIN(AC24,X24*INDEX(Abilities!$C$14:$C$23,5)*CHOOSE(Inputs!$C$13,1,INDEX(Abilities!$J$14:$J$23,5),INDEX(Abilities!$I$14:$I$23,5))*W24/INDEX(Abilities!$E$14:$E$23,5)),0)</f>
        <v/>
      </c>
      <c r="AN24" s="17">
        <f>IF(INDEX(Abilities!$A$14:$A$23,6)&lt;=A24,MIN(AD24,X24*INDEX(Abilities!$C$14:$C$23,6)*CHOOSE(Inputs!$C$13,1,INDEX(Abilities!$J$14:$J$23,6),INDEX(Abilities!$I$14:$I$23,6))*W24/INDEX(Abilities!$E$14:$E$23,6)),0)</f>
        <v/>
      </c>
      <c r="AO24" s="17">
        <f>IF(INDEX(Abilities!$A$14:$A$23,7)&lt;=A24,MIN(AE24,X24*INDEX(Abilities!$C$14:$C$23,7)*CHOOSE(Inputs!$C$13,1,INDEX(Abilities!$J$14:$J$23,7),INDEX(Abilities!$I$14:$I$23,7))*W24/INDEX(Abilities!$E$14:$E$23,7)),0)</f>
        <v/>
      </c>
      <c r="AP24" s="17">
        <f>IF(INDEX(Abilities!$A$14:$A$23,8)&lt;=A24,MIN(AF24,X24*INDEX(Abilities!$C$14:$C$23,8)*CHOOSE(Inputs!$C$13,1,INDEX(Abilities!$J$14:$J$23,8),INDEX(Abilities!$I$14:$I$23,8))*W24/INDEX(Abilities!$E$14:$E$23,8)),0)</f>
        <v/>
      </c>
      <c r="AQ24" s="17">
        <f>IF(INDEX(Abilities!$A$14:$A$23,9)&lt;=A24,MIN(AG24,X24*INDEX(Abilities!$C$14:$C$23,9)*CHOOSE(Inputs!$C$13,1,INDEX(Abilities!$J$14:$J$23,9),INDEX(Abilities!$I$14:$I$23,9))*W24/INDEX(Abilities!$E$14:$E$23,9)),0)</f>
        <v/>
      </c>
      <c r="AR24" s="17">
        <f>IF(INDEX(Abilities!$A$14:$A$23,10)&lt;=A24,MIN(AH24,X24*INDEX(Abilities!$C$14:$C$23,10)*CHOOSE(Inputs!$C$13,1,INDEX(Abilities!$J$14:$J$23,10),INDEX(Abilities!$I$14:$I$23,10))*W24/INDEX(Abilities!$E$14:$E$23,10)),0)</f>
        <v/>
      </c>
      <c r="AS24" s="17">
        <f>IF(INDEX(Abilities!$A$14:$A$23,1)&lt;=A24,INDEX(Abilities!$C$14:$C$23,1)*CHOOSE(Inputs!$C$13,1,INDEX(Abilities!$J$14:$J$23,1),INDEX(Abilities!$I$14:$I$23,1))*W24/MAX(INDEX(Abilities!$D$14:$D$23,1),2*Inputs!$C$12),0)</f>
        <v/>
      </c>
      <c r="AT24" s="17">
        <f>IF(INDEX(Abilities!$A$14:$A$23,2)&lt;=A24,INDEX(Abilities!$C$14:$C$23,2)*CHOOSE(Inputs!$C$13,1,INDEX(Abilities!$J$14:$J$23,2),INDEX(Abilities!$I$14:$I$23,2))*W24/MAX(INDEX(Abilities!$D$14:$D$23,2),2*Inputs!$C$12),0)</f>
        <v/>
      </c>
      <c r="AU24" s="17">
        <f>IF(INDEX(Abilities!$A$14:$A$23,3)&lt;=A24,INDEX(Abilities!$C$14:$C$23,3)*CHOOSE(Inputs!$C$13,1,INDEX(Abilities!$J$14:$J$23,3),INDEX(Abilities!$I$14:$I$23,3))*W24/MAX(INDEX(Abilities!$D$14:$D$23,3),2*Inputs!$C$12),0)</f>
        <v/>
      </c>
      <c r="AV24" s="17">
        <f>IF(INDEX(Abilities!$A$14:$A$23,4)&lt;=A24,INDEX(Abilities!$C$14:$C$23,4)*CHOOSE(Inputs!$C$13,1,INDEX(Abilities!$J$14:$J$23,4),INDEX(Abilities!$I$14:$I$23,4))*W24/MAX(INDEX(Abilities!$D$14:$D$23,4),2*Inputs!$C$12),0)</f>
        <v/>
      </c>
      <c r="AW24" s="17">
        <f>IF(INDEX(Abilities!$A$14:$A$23,5)&lt;=A24,INDEX(Abilities!$C$14:$C$23,5)*CHOOSE(Inputs!$C$13,1,INDEX(Abilities!$J$14:$J$23,5),INDEX(Abilities!$I$14:$I$23,5))*W24/MAX(INDEX(Abilities!$D$14:$D$23,5),2*Inputs!$C$12),0)</f>
        <v/>
      </c>
      <c r="AX24" s="17">
        <f>IF(INDEX(Abilities!$A$14:$A$23,6)&lt;=A24,INDEX(Abilities!$C$14:$C$23,6)*CHOOSE(Inputs!$C$13,1,INDEX(Abilities!$J$14:$J$23,6),INDEX(Abilities!$I$14:$I$23,6))*W24/MAX(INDEX(Abilities!$D$14:$D$23,6),2*Inputs!$C$12),0)</f>
        <v/>
      </c>
      <c r="AY24" s="17">
        <f>IF(INDEX(Abilities!$A$14:$A$23,7)&lt;=A24,INDEX(Abilities!$C$14:$C$23,7)*CHOOSE(Inputs!$C$13,1,INDEX(Abilities!$J$14:$J$23,7),INDEX(Abilities!$I$14:$I$23,7))*W24/MAX(INDEX(Abilities!$D$14:$D$23,7),2*Inputs!$C$12),0)</f>
        <v/>
      </c>
      <c r="AZ24" s="17">
        <f>IF(INDEX(Abilities!$A$14:$A$23,8)&lt;=A24,INDEX(Abilities!$C$14:$C$23,8)*CHOOSE(Inputs!$C$13,1,INDEX(Abilities!$J$14:$J$23,8),INDEX(Abilities!$I$14:$I$23,8))*W24/MAX(INDEX(Abilities!$D$14:$D$23,8),2*Inputs!$C$12),0)</f>
        <v/>
      </c>
      <c r="BA24" s="17">
        <f>IF(INDEX(Abilities!$A$14:$A$23,9)&lt;=A24,INDEX(Abilities!$C$14:$C$23,9)*CHOOSE(Inputs!$C$13,1,INDEX(Abilities!$J$14:$J$23,9),INDEX(Abilities!$I$14:$I$23,9))*W24/MAX(INDEX(Abilities!$D$14:$D$23,9),2*Inputs!$C$12),0)</f>
        <v/>
      </c>
      <c r="BB24" s="17">
        <f>IF(INDEX(Abilities!$A$14:$A$23,10)&lt;=A24,INDEX(Abilities!$C$14:$C$23,10)*CHOOSE(Inputs!$C$13,1,INDEX(Abilities!$J$14:$J$23,10),INDEX(Abilities!$I$14:$I$23,10))*W24/MAX(INDEX(Abilities!$D$14:$D$23,10),2*Inputs!$C$12),0)</f>
        <v/>
      </c>
      <c r="BC24" s="27">
        <f>MAX(Y24:AH24)</f>
        <v/>
      </c>
      <c r="BD24" s="8">
        <f>MATCH(BC24,Y24:AH24,0)</f>
        <v/>
      </c>
      <c r="BE24" s="15">
        <f>INDEX(Abilities!$B$14:$B$23,BD24)</f>
        <v/>
      </c>
      <c r="BF24" s="16">
        <f>CHOOSE(Inputs!$C$13,1,INDEX(Abilities!$J$14:$J$23,BD24),INDEX(Abilities!$I$14:$I$23,BD24))</f>
        <v/>
      </c>
      <c r="BG24" s="17">
        <f>INDEX(Abilities!$E$14:$E$23,BD24)/MAX(INDEX(Abilities!$D$14:$D$23,BD24),Inputs!$C$12)</f>
        <v/>
      </c>
      <c r="BH24" s="27">
        <f>MAX(AI24:AR24)</f>
        <v/>
      </c>
      <c r="BI24" s="8">
        <f>MATCH(BH24,AI24:AR24,0)</f>
        <v/>
      </c>
      <c r="BJ24" s="15">
        <f>INDEX(Abilities!$B$14:$B$23,BI24)</f>
        <v/>
      </c>
      <c r="BK24" s="14">
        <f>IFERROR(ROUNDUP(C24/(INDEX(Abilities!$C$14:$C$23,BD24)*W24),0),"-")</f>
        <v/>
      </c>
      <c r="BL24" s="9">
        <f>IFERROR(C24*INDEX(Abilities!$E$14:$E$23,BI24)/(INDEX(Abilities!$C$14:$C$23,BI24)*CHOOSE(Inputs!$C$13,1,INDEX(Abilities!$J$14:$J$23,BI24),INDEX(Abilities!$I$14:$I$23,BI24))*W24),"-")</f>
        <v/>
      </c>
      <c r="BM24" s="60">
        <f>IFERROR(P24/BL24,"-")</f>
        <v/>
      </c>
      <c r="BN24" s="17">
        <f>BH24+Inputs!$C$18*V24</f>
        <v/>
      </c>
      <c r="BO24" s="17">
        <f>BC24+Inputs!$C$18*V24</f>
        <v/>
      </c>
      <c r="BP24" s="27">
        <f>LARGE(AS24:BB24,1)+LARGE(AS24:BB24,2)</f>
        <v/>
      </c>
      <c r="BQ24" s="60">
        <f>IFERROR(IF(BG24&lt;=X24,C24/BO24,IF(C24/BO24*(BG24-X24)&lt;=P24,C24/BO24,P24/(BG24-X24)+(C24-BO24*P24/(BG24-X24))/BN24)),"-")</f>
        <v/>
      </c>
      <c r="BR24" s="60">
        <f>BQ24</f>
        <v/>
      </c>
      <c r="BS24" s="9">
        <f>MAX(0,(E24+(B24-A24))*(1-R24)*(1-Q24*'Class Table'!$O$7/Inputs!$C$19)-Q24*'Class Table'!$O$7/25)</f>
        <v/>
      </c>
      <c r="BT24" s="26">
        <f>IFERROR(BS24/F24*BR24,"-")</f>
        <v/>
      </c>
      <c r="BU24" s="28">
        <f>IFERROR(BT24/O24,"-")</f>
        <v/>
      </c>
      <c r="BV24" s="9">
        <f>IFERROR(O24*Inputs!$C$24/Inputs!$C$22*BR24,"-")</f>
        <v/>
      </c>
      <c r="BW24" s="28">
        <f>IFERROR(MAX(0,BT24-BV24)/O24,"-")</f>
        <v/>
      </c>
    </row>
    <row r="25">
      <c r="A25" s="8" t="n">
        <v>22</v>
      </c>
      <c r="B25" s="14">
        <f>'Mob by Level'!B25</f>
        <v/>
      </c>
      <c r="C25" s="9">
        <f>'Mob by Level'!C25</f>
        <v/>
      </c>
      <c r="D25" s="9">
        <f>'Mob by Level'!D25</f>
        <v/>
      </c>
      <c r="E25" s="9">
        <f>'Mob by Level'!E25</f>
        <v/>
      </c>
      <c r="F25" s="16">
        <f>'Mob by Level'!F25</f>
        <v/>
      </c>
      <c r="G25" s="14">
        <f>SUMIFS(Gear!$D$4:$D$603,Gear!$A$4:$A$603,A25,Gear!$B$4:$B$603,"Magus",Gear!$C$4:$C$603,Inputs!$C$5)</f>
        <v/>
      </c>
      <c r="H25" s="14">
        <f>SUMIFS(Gear!$E$4:$E$603,Gear!$A$4:$A$603,A25,Gear!$B$4:$B$603,"Magus",Gear!$C$4:$C$603,Inputs!$C$5)</f>
        <v/>
      </c>
      <c r="I25" s="14">
        <f>SUMIFS(Gear!$F$4:$F$603,Gear!$A$4:$A$603,A25,Gear!$B$4:$B$603,"Magus",Gear!$C$4:$C$603,Inputs!$C$5)+Inputs!$C$17*IFERROR(LOOKUP(A25,Abilities!$A$49:$A$53,Abilities!$C$49:$C$53),0)</f>
        <v/>
      </c>
      <c r="J25" s="13">
        <f>SUMIFS(Gear!$J$4:$J$603,Gear!$A$4:$A$603,A25,Gear!$B$4:$B$603,"Magus",Gear!$C$4:$C$603,Inputs!$C$5)</f>
        <v/>
      </c>
      <c r="K25" s="13">
        <f>SUMIFS(Gear!$K$4:$K$603,Gear!$A$4:$A$603,A25,Gear!$B$4:$B$603,"Magus",Gear!$C$4:$C$603,Inputs!$C$5)</f>
        <v/>
      </c>
      <c r="L25" s="13">
        <f>SUMIFS(Gear!$L$4:$L$603,Gear!$A$4:$A$603,A25,Gear!$B$4:$B$603,"Magus",Gear!$C$4:$C$603,Inputs!$C$5)</f>
        <v/>
      </c>
      <c r="M25" s="13">
        <f>SUMIFS(Gear!$M$4:$M$603,Gear!$A$4:$A$603,A25,Gear!$B$4:$B$603,"Magus",Gear!$C$4:$C$603,Inputs!$C$5)</f>
        <v/>
      </c>
      <c r="N25" s="13">
        <f>SUMIFS(Gear!$N$4:$N$603,Gear!$A$4:$A$603,A25,Gear!$B$4:$B$603,"Magus",Gear!$C$4:$C$603,Inputs!$C$5)</f>
        <v/>
      </c>
      <c r="O25" s="9">
        <f>INDEX('Class Table'!$H$4:$H$53,A25)+SUMIFS(Gear!$G$4:$G$603,Gear!$A$4:$A$603,A25,Gear!$B$4:$B$603,"Magus",Gear!$C$4:$C$603,Inputs!$C$5)</f>
        <v/>
      </c>
      <c r="P25" s="9">
        <f>INDEX('Class Table'!$I$4:$I$53,A25)+SUMIFS(Gear!$H$4:$H$603,Gear!$A$4:$A$603,A25,Gear!$B$4:$B$603,"Magus",Gear!$C$4:$C$603,Inputs!$C$5)</f>
        <v/>
      </c>
      <c r="Q25" s="9">
        <f>INDEX('Class Table'!$J$4:$J$53,A25)+SUMIFS(Gear!$I$4:$I$603,Gear!$A$4:$A$603,A25,Gear!$B$4:$B$603,"Magus",Gear!$C$4:$C$603,Inputs!$C$5)</f>
        <v/>
      </c>
      <c r="R25" s="13">
        <f>SUMIFS(Gear!$O$4:$O$603,Gear!$A$4:$A$603,A25,Gear!$B$4:$B$603,"Magus",Gear!$C$4:$C$603,Inputs!$C$5)</f>
        <v/>
      </c>
      <c r="S25" s="26">
        <f>I25+0+G25+A25+MAX(1,A25/2)+(A25-B25)</f>
        <v/>
      </c>
      <c r="T25" s="9">
        <f>MAX(0,S25*(1+M25)*(1+L25)*Inputs!$C$20*(1-D25/Inputs!$C$19)-D25/25)</f>
        <v/>
      </c>
      <c r="U25" s="16">
        <f>H25/10*(1-MIN(0.95,N25+0))*Inputs!$C$21</f>
        <v/>
      </c>
      <c r="V25" s="27">
        <f>T25/U25</f>
        <v/>
      </c>
      <c r="W25" s="16">
        <f>(1+J25)*(1+K25)*Inputs!$C$20</f>
        <v/>
      </c>
      <c r="X25" s="17">
        <f>P25*Inputs!$C$23/Inputs!$C$22</f>
        <v/>
      </c>
      <c r="Y25" s="17">
        <f>IF(INDEX(Abilities!$A$14:$A$23,1)&lt;=A25,INDEX(Abilities!$C$14:$C$23,1)*CHOOSE(Inputs!$C$13,1,INDEX(Abilities!$J$14:$J$23,1),INDEX(Abilities!$I$14:$I$23,1))*W25/MAX(INDEX(Abilities!$D$14:$D$23,1),Inputs!$C$12),0)</f>
        <v/>
      </c>
      <c r="Z25" s="17">
        <f>IF(INDEX(Abilities!$A$14:$A$23,2)&lt;=A25,INDEX(Abilities!$C$14:$C$23,2)*CHOOSE(Inputs!$C$13,1,INDEX(Abilities!$J$14:$J$23,2),INDEX(Abilities!$I$14:$I$23,2))*W25/MAX(INDEX(Abilities!$D$14:$D$23,2),Inputs!$C$12),0)</f>
        <v/>
      </c>
      <c r="AA25" s="17">
        <f>IF(INDEX(Abilities!$A$14:$A$23,3)&lt;=A25,INDEX(Abilities!$C$14:$C$23,3)*CHOOSE(Inputs!$C$13,1,INDEX(Abilities!$J$14:$J$23,3),INDEX(Abilities!$I$14:$I$23,3))*W25/MAX(INDEX(Abilities!$D$14:$D$23,3),Inputs!$C$12),0)</f>
        <v/>
      </c>
      <c r="AB25" s="17">
        <f>IF(INDEX(Abilities!$A$14:$A$23,4)&lt;=A25,INDEX(Abilities!$C$14:$C$23,4)*CHOOSE(Inputs!$C$13,1,INDEX(Abilities!$J$14:$J$23,4),INDEX(Abilities!$I$14:$I$23,4))*W25/MAX(INDEX(Abilities!$D$14:$D$23,4),Inputs!$C$12),0)</f>
        <v/>
      </c>
      <c r="AC25" s="17">
        <f>IF(INDEX(Abilities!$A$14:$A$23,5)&lt;=A25,INDEX(Abilities!$C$14:$C$23,5)*CHOOSE(Inputs!$C$13,1,INDEX(Abilities!$J$14:$J$23,5),INDEX(Abilities!$I$14:$I$23,5))*W25/MAX(INDEX(Abilities!$D$14:$D$23,5),Inputs!$C$12),0)</f>
        <v/>
      </c>
      <c r="AD25" s="17">
        <f>IF(INDEX(Abilities!$A$14:$A$23,6)&lt;=A25,INDEX(Abilities!$C$14:$C$23,6)*CHOOSE(Inputs!$C$13,1,INDEX(Abilities!$J$14:$J$23,6),INDEX(Abilities!$I$14:$I$23,6))*W25/MAX(INDEX(Abilities!$D$14:$D$23,6),Inputs!$C$12),0)</f>
        <v/>
      </c>
      <c r="AE25" s="17">
        <f>IF(INDEX(Abilities!$A$14:$A$23,7)&lt;=A25,INDEX(Abilities!$C$14:$C$23,7)*CHOOSE(Inputs!$C$13,1,INDEX(Abilities!$J$14:$J$23,7),INDEX(Abilities!$I$14:$I$23,7))*W25/MAX(INDEX(Abilities!$D$14:$D$23,7),Inputs!$C$12),0)</f>
        <v/>
      </c>
      <c r="AF25" s="17">
        <f>IF(INDEX(Abilities!$A$14:$A$23,8)&lt;=A25,INDEX(Abilities!$C$14:$C$23,8)*CHOOSE(Inputs!$C$13,1,INDEX(Abilities!$J$14:$J$23,8),INDEX(Abilities!$I$14:$I$23,8))*W25/MAX(INDEX(Abilities!$D$14:$D$23,8),Inputs!$C$12),0)</f>
        <v/>
      </c>
      <c r="AG25" s="17">
        <f>IF(INDEX(Abilities!$A$14:$A$23,9)&lt;=A25,INDEX(Abilities!$C$14:$C$23,9)*CHOOSE(Inputs!$C$13,1,INDEX(Abilities!$J$14:$J$23,9),INDEX(Abilities!$I$14:$I$23,9))*W25/MAX(INDEX(Abilities!$D$14:$D$23,9),Inputs!$C$12),0)</f>
        <v/>
      </c>
      <c r="AH25" s="17">
        <f>IF(INDEX(Abilities!$A$14:$A$23,10)&lt;=A25,INDEX(Abilities!$C$14:$C$23,10)*CHOOSE(Inputs!$C$13,1,INDEX(Abilities!$J$14:$J$23,10),INDEX(Abilities!$I$14:$I$23,10))*W25/MAX(INDEX(Abilities!$D$14:$D$23,10),Inputs!$C$12),0)</f>
        <v/>
      </c>
      <c r="AI25" s="17">
        <f>IF(INDEX(Abilities!$A$14:$A$23,1)&lt;=A25,MIN(Y25,X25*INDEX(Abilities!$C$14:$C$23,1)*CHOOSE(Inputs!$C$13,1,INDEX(Abilities!$J$14:$J$23,1),INDEX(Abilities!$I$14:$I$23,1))*W25/INDEX(Abilities!$E$14:$E$23,1)),0)</f>
        <v/>
      </c>
      <c r="AJ25" s="17">
        <f>IF(INDEX(Abilities!$A$14:$A$23,2)&lt;=A25,MIN(Z25,X25*INDEX(Abilities!$C$14:$C$23,2)*CHOOSE(Inputs!$C$13,1,INDEX(Abilities!$J$14:$J$23,2),INDEX(Abilities!$I$14:$I$23,2))*W25/INDEX(Abilities!$E$14:$E$23,2)),0)</f>
        <v/>
      </c>
      <c r="AK25" s="17">
        <f>IF(INDEX(Abilities!$A$14:$A$23,3)&lt;=A25,MIN(AA25,X25*INDEX(Abilities!$C$14:$C$23,3)*CHOOSE(Inputs!$C$13,1,INDEX(Abilities!$J$14:$J$23,3),INDEX(Abilities!$I$14:$I$23,3))*W25/INDEX(Abilities!$E$14:$E$23,3)),0)</f>
        <v/>
      </c>
      <c r="AL25" s="17">
        <f>IF(INDEX(Abilities!$A$14:$A$23,4)&lt;=A25,MIN(AB25,X25*INDEX(Abilities!$C$14:$C$23,4)*CHOOSE(Inputs!$C$13,1,INDEX(Abilities!$J$14:$J$23,4),INDEX(Abilities!$I$14:$I$23,4))*W25/INDEX(Abilities!$E$14:$E$23,4)),0)</f>
        <v/>
      </c>
      <c r="AM25" s="17">
        <f>IF(INDEX(Abilities!$A$14:$A$23,5)&lt;=A25,MIN(AC25,X25*INDEX(Abilities!$C$14:$C$23,5)*CHOOSE(Inputs!$C$13,1,INDEX(Abilities!$J$14:$J$23,5),INDEX(Abilities!$I$14:$I$23,5))*W25/INDEX(Abilities!$E$14:$E$23,5)),0)</f>
        <v/>
      </c>
      <c r="AN25" s="17">
        <f>IF(INDEX(Abilities!$A$14:$A$23,6)&lt;=A25,MIN(AD25,X25*INDEX(Abilities!$C$14:$C$23,6)*CHOOSE(Inputs!$C$13,1,INDEX(Abilities!$J$14:$J$23,6),INDEX(Abilities!$I$14:$I$23,6))*W25/INDEX(Abilities!$E$14:$E$23,6)),0)</f>
        <v/>
      </c>
      <c r="AO25" s="17">
        <f>IF(INDEX(Abilities!$A$14:$A$23,7)&lt;=A25,MIN(AE25,X25*INDEX(Abilities!$C$14:$C$23,7)*CHOOSE(Inputs!$C$13,1,INDEX(Abilities!$J$14:$J$23,7),INDEX(Abilities!$I$14:$I$23,7))*W25/INDEX(Abilities!$E$14:$E$23,7)),0)</f>
        <v/>
      </c>
      <c r="AP25" s="17">
        <f>IF(INDEX(Abilities!$A$14:$A$23,8)&lt;=A25,MIN(AF25,X25*INDEX(Abilities!$C$14:$C$23,8)*CHOOSE(Inputs!$C$13,1,INDEX(Abilities!$J$14:$J$23,8),INDEX(Abilities!$I$14:$I$23,8))*W25/INDEX(Abilities!$E$14:$E$23,8)),0)</f>
        <v/>
      </c>
      <c r="AQ25" s="17">
        <f>IF(INDEX(Abilities!$A$14:$A$23,9)&lt;=A25,MIN(AG25,X25*INDEX(Abilities!$C$14:$C$23,9)*CHOOSE(Inputs!$C$13,1,INDEX(Abilities!$J$14:$J$23,9),INDEX(Abilities!$I$14:$I$23,9))*W25/INDEX(Abilities!$E$14:$E$23,9)),0)</f>
        <v/>
      </c>
      <c r="AR25" s="17">
        <f>IF(INDEX(Abilities!$A$14:$A$23,10)&lt;=A25,MIN(AH25,X25*INDEX(Abilities!$C$14:$C$23,10)*CHOOSE(Inputs!$C$13,1,INDEX(Abilities!$J$14:$J$23,10),INDEX(Abilities!$I$14:$I$23,10))*W25/INDEX(Abilities!$E$14:$E$23,10)),0)</f>
        <v/>
      </c>
      <c r="AS25" s="17">
        <f>IF(INDEX(Abilities!$A$14:$A$23,1)&lt;=A25,INDEX(Abilities!$C$14:$C$23,1)*CHOOSE(Inputs!$C$13,1,INDEX(Abilities!$J$14:$J$23,1),INDEX(Abilities!$I$14:$I$23,1))*W25/MAX(INDEX(Abilities!$D$14:$D$23,1),2*Inputs!$C$12),0)</f>
        <v/>
      </c>
      <c r="AT25" s="17">
        <f>IF(INDEX(Abilities!$A$14:$A$23,2)&lt;=A25,INDEX(Abilities!$C$14:$C$23,2)*CHOOSE(Inputs!$C$13,1,INDEX(Abilities!$J$14:$J$23,2),INDEX(Abilities!$I$14:$I$23,2))*W25/MAX(INDEX(Abilities!$D$14:$D$23,2),2*Inputs!$C$12),0)</f>
        <v/>
      </c>
      <c r="AU25" s="17">
        <f>IF(INDEX(Abilities!$A$14:$A$23,3)&lt;=A25,INDEX(Abilities!$C$14:$C$23,3)*CHOOSE(Inputs!$C$13,1,INDEX(Abilities!$J$14:$J$23,3),INDEX(Abilities!$I$14:$I$23,3))*W25/MAX(INDEX(Abilities!$D$14:$D$23,3),2*Inputs!$C$12),0)</f>
        <v/>
      </c>
      <c r="AV25" s="17">
        <f>IF(INDEX(Abilities!$A$14:$A$23,4)&lt;=A25,INDEX(Abilities!$C$14:$C$23,4)*CHOOSE(Inputs!$C$13,1,INDEX(Abilities!$J$14:$J$23,4),INDEX(Abilities!$I$14:$I$23,4))*W25/MAX(INDEX(Abilities!$D$14:$D$23,4),2*Inputs!$C$12),0)</f>
        <v/>
      </c>
      <c r="AW25" s="17">
        <f>IF(INDEX(Abilities!$A$14:$A$23,5)&lt;=A25,INDEX(Abilities!$C$14:$C$23,5)*CHOOSE(Inputs!$C$13,1,INDEX(Abilities!$J$14:$J$23,5),INDEX(Abilities!$I$14:$I$23,5))*W25/MAX(INDEX(Abilities!$D$14:$D$23,5),2*Inputs!$C$12),0)</f>
        <v/>
      </c>
      <c r="AX25" s="17">
        <f>IF(INDEX(Abilities!$A$14:$A$23,6)&lt;=A25,INDEX(Abilities!$C$14:$C$23,6)*CHOOSE(Inputs!$C$13,1,INDEX(Abilities!$J$14:$J$23,6),INDEX(Abilities!$I$14:$I$23,6))*W25/MAX(INDEX(Abilities!$D$14:$D$23,6),2*Inputs!$C$12),0)</f>
        <v/>
      </c>
      <c r="AY25" s="17">
        <f>IF(INDEX(Abilities!$A$14:$A$23,7)&lt;=A25,INDEX(Abilities!$C$14:$C$23,7)*CHOOSE(Inputs!$C$13,1,INDEX(Abilities!$J$14:$J$23,7),INDEX(Abilities!$I$14:$I$23,7))*W25/MAX(INDEX(Abilities!$D$14:$D$23,7),2*Inputs!$C$12),0)</f>
        <v/>
      </c>
      <c r="AZ25" s="17">
        <f>IF(INDEX(Abilities!$A$14:$A$23,8)&lt;=A25,INDEX(Abilities!$C$14:$C$23,8)*CHOOSE(Inputs!$C$13,1,INDEX(Abilities!$J$14:$J$23,8),INDEX(Abilities!$I$14:$I$23,8))*W25/MAX(INDEX(Abilities!$D$14:$D$23,8),2*Inputs!$C$12),0)</f>
        <v/>
      </c>
      <c r="BA25" s="17">
        <f>IF(INDEX(Abilities!$A$14:$A$23,9)&lt;=A25,INDEX(Abilities!$C$14:$C$23,9)*CHOOSE(Inputs!$C$13,1,INDEX(Abilities!$J$14:$J$23,9),INDEX(Abilities!$I$14:$I$23,9))*W25/MAX(INDEX(Abilities!$D$14:$D$23,9),2*Inputs!$C$12),0)</f>
        <v/>
      </c>
      <c r="BB25" s="17">
        <f>IF(INDEX(Abilities!$A$14:$A$23,10)&lt;=A25,INDEX(Abilities!$C$14:$C$23,10)*CHOOSE(Inputs!$C$13,1,INDEX(Abilities!$J$14:$J$23,10),INDEX(Abilities!$I$14:$I$23,10))*W25/MAX(INDEX(Abilities!$D$14:$D$23,10),2*Inputs!$C$12),0)</f>
        <v/>
      </c>
      <c r="BC25" s="27">
        <f>MAX(Y25:AH25)</f>
        <v/>
      </c>
      <c r="BD25" s="8">
        <f>MATCH(BC25,Y25:AH25,0)</f>
        <v/>
      </c>
      <c r="BE25" s="15">
        <f>INDEX(Abilities!$B$14:$B$23,BD25)</f>
        <v/>
      </c>
      <c r="BF25" s="16">
        <f>CHOOSE(Inputs!$C$13,1,INDEX(Abilities!$J$14:$J$23,BD25),INDEX(Abilities!$I$14:$I$23,BD25))</f>
        <v/>
      </c>
      <c r="BG25" s="17">
        <f>INDEX(Abilities!$E$14:$E$23,BD25)/MAX(INDEX(Abilities!$D$14:$D$23,BD25),Inputs!$C$12)</f>
        <v/>
      </c>
      <c r="BH25" s="27">
        <f>MAX(AI25:AR25)</f>
        <v/>
      </c>
      <c r="BI25" s="8">
        <f>MATCH(BH25,AI25:AR25,0)</f>
        <v/>
      </c>
      <c r="BJ25" s="15">
        <f>INDEX(Abilities!$B$14:$B$23,BI25)</f>
        <v/>
      </c>
      <c r="BK25" s="14">
        <f>IFERROR(ROUNDUP(C25/(INDEX(Abilities!$C$14:$C$23,BD25)*W25),0),"-")</f>
        <v/>
      </c>
      <c r="BL25" s="9">
        <f>IFERROR(C25*INDEX(Abilities!$E$14:$E$23,BI25)/(INDEX(Abilities!$C$14:$C$23,BI25)*CHOOSE(Inputs!$C$13,1,INDEX(Abilities!$J$14:$J$23,BI25),INDEX(Abilities!$I$14:$I$23,BI25))*W25),"-")</f>
        <v/>
      </c>
      <c r="BM25" s="60">
        <f>IFERROR(P25/BL25,"-")</f>
        <v/>
      </c>
      <c r="BN25" s="17">
        <f>BH25+Inputs!$C$18*V25</f>
        <v/>
      </c>
      <c r="BO25" s="17">
        <f>BC25+Inputs!$C$18*V25</f>
        <v/>
      </c>
      <c r="BP25" s="27">
        <f>LARGE(AS25:BB25,1)+LARGE(AS25:BB25,2)</f>
        <v/>
      </c>
      <c r="BQ25" s="60">
        <f>IFERROR(IF(BG25&lt;=X25,C25/BO25,IF(C25/BO25*(BG25-X25)&lt;=P25,C25/BO25,P25/(BG25-X25)+(C25-BO25*P25/(BG25-X25))/BN25)),"-")</f>
        <v/>
      </c>
      <c r="BR25" s="60">
        <f>BQ25</f>
        <v/>
      </c>
      <c r="BS25" s="9">
        <f>MAX(0,(E25+(B25-A25))*(1-R25)*(1-Q25*'Class Table'!$O$7/Inputs!$C$19)-Q25*'Class Table'!$O$7/25)</f>
        <v/>
      </c>
      <c r="BT25" s="26">
        <f>IFERROR(BS25/F25*BR25,"-")</f>
        <v/>
      </c>
      <c r="BU25" s="28">
        <f>IFERROR(BT25/O25,"-")</f>
        <v/>
      </c>
      <c r="BV25" s="9">
        <f>IFERROR(O25*Inputs!$C$24/Inputs!$C$22*BR25,"-")</f>
        <v/>
      </c>
      <c r="BW25" s="28">
        <f>IFERROR(MAX(0,BT25-BV25)/O25,"-")</f>
        <v/>
      </c>
    </row>
    <row r="26">
      <c r="A26" s="8" t="n">
        <v>23</v>
      </c>
      <c r="B26" s="14">
        <f>'Mob by Level'!B26</f>
        <v/>
      </c>
      <c r="C26" s="9">
        <f>'Mob by Level'!C26</f>
        <v/>
      </c>
      <c r="D26" s="9">
        <f>'Mob by Level'!D26</f>
        <v/>
      </c>
      <c r="E26" s="9">
        <f>'Mob by Level'!E26</f>
        <v/>
      </c>
      <c r="F26" s="16">
        <f>'Mob by Level'!F26</f>
        <v/>
      </c>
      <c r="G26" s="14">
        <f>SUMIFS(Gear!$D$4:$D$603,Gear!$A$4:$A$603,A26,Gear!$B$4:$B$603,"Magus",Gear!$C$4:$C$603,Inputs!$C$5)</f>
        <v/>
      </c>
      <c r="H26" s="14">
        <f>SUMIFS(Gear!$E$4:$E$603,Gear!$A$4:$A$603,A26,Gear!$B$4:$B$603,"Magus",Gear!$C$4:$C$603,Inputs!$C$5)</f>
        <v/>
      </c>
      <c r="I26" s="14">
        <f>SUMIFS(Gear!$F$4:$F$603,Gear!$A$4:$A$603,A26,Gear!$B$4:$B$603,"Magus",Gear!$C$4:$C$603,Inputs!$C$5)+Inputs!$C$17*IFERROR(LOOKUP(A26,Abilities!$A$49:$A$53,Abilities!$C$49:$C$53),0)</f>
        <v/>
      </c>
      <c r="J26" s="13">
        <f>SUMIFS(Gear!$J$4:$J$603,Gear!$A$4:$A$603,A26,Gear!$B$4:$B$603,"Magus",Gear!$C$4:$C$603,Inputs!$C$5)</f>
        <v/>
      </c>
      <c r="K26" s="13">
        <f>SUMIFS(Gear!$K$4:$K$603,Gear!$A$4:$A$603,A26,Gear!$B$4:$B$603,"Magus",Gear!$C$4:$C$603,Inputs!$C$5)</f>
        <v/>
      </c>
      <c r="L26" s="13">
        <f>SUMIFS(Gear!$L$4:$L$603,Gear!$A$4:$A$603,A26,Gear!$B$4:$B$603,"Magus",Gear!$C$4:$C$603,Inputs!$C$5)</f>
        <v/>
      </c>
      <c r="M26" s="13">
        <f>SUMIFS(Gear!$M$4:$M$603,Gear!$A$4:$A$603,A26,Gear!$B$4:$B$603,"Magus",Gear!$C$4:$C$603,Inputs!$C$5)</f>
        <v/>
      </c>
      <c r="N26" s="13">
        <f>SUMIFS(Gear!$N$4:$N$603,Gear!$A$4:$A$603,A26,Gear!$B$4:$B$603,"Magus",Gear!$C$4:$C$603,Inputs!$C$5)</f>
        <v/>
      </c>
      <c r="O26" s="9">
        <f>INDEX('Class Table'!$H$4:$H$53,A26)+SUMIFS(Gear!$G$4:$G$603,Gear!$A$4:$A$603,A26,Gear!$B$4:$B$603,"Magus",Gear!$C$4:$C$603,Inputs!$C$5)</f>
        <v/>
      </c>
      <c r="P26" s="9">
        <f>INDEX('Class Table'!$I$4:$I$53,A26)+SUMIFS(Gear!$H$4:$H$603,Gear!$A$4:$A$603,A26,Gear!$B$4:$B$603,"Magus",Gear!$C$4:$C$603,Inputs!$C$5)</f>
        <v/>
      </c>
      <c r="Q26" s="9">
        <f>INDEX('Class Table'!$J$4:$J$53,A26)+SUMIFS(Gear!$I$4:$I$603,Gear!$A$4:$A$603,A26,Gear!$B$4:$B$603,"Magus",Gear!$C$4:$C$603,Inputs!$C$5)</f>
        <v/>
      </c>
      <c r="R26" s="13">
        <f>SUMIFS(Gear!$O$4:$O$603,Gear!$A$4:$A$603,A26,Gear!$B$4:$B$603,"Magus",Gear!$C$4:$C$603,Inputs!$C$5)</f>
        <v/>
      </c>
      <c r="S26" s="26">
        <f>I26+0+G26+A26+MAX(1,A26/2)+(A26-B26)</f>
        <v/>
      </c>
      <c r="T26" s="9">
        <f>MAX(0,S26*(1+M26)*(1+L26)*Inputs!$C$20*(1-D26/Inputs!$C$19)-D26/25)</f>
        <v/>
      </c>
      <c r="U26" s="16">
        <f>H26/10*(1-MIN(0.95,N26+0))*Inputs!$C$21</f>
        <v/>
      </c>
      <c r="V26" s="27">
        <f>T26/U26</f>
        <v/>
      </c>
      <c r="W26" s="16">
        <f>(1+J26)*(1+K26)*Inputs!$C$20</f>
        <v/>
      </c>
      <c r="X26" s="17">
        <f>P26*Inputs!$C$23/Inputs!$C$22</f>
        <v/>
      </c>
      <c r="Y26" s="17">
        <f>IF(INDEX(Abilities!$A$14:$A$23,1)&lt;=A26,INDEX(Abilities!$C$14:$C$23,1)*CHOOSE(Inputs!$C$13,1,INDEX(Abilities!$J$14:$J$23,1),INDEX(Abilities!$I$14:$I$23,1))*W26/MAX(INDEX(Abilities!$D$14:$D$23,1),Inputs!$C$12),0)</f>
        <v/>
      </c>
      <c r="Z26" s="17">
        <f>IF(INDEX(Abilities!$A$14:$A$23,2)&lt;=A26,INDEX(Abilities!$C$14:$C$23,2)*CHOOSE(Inputs!$C$13,1,INDEX(Abilities!$J$14:$J$23,2),INDEX(Abilities!$I$14:$I$23,2))*W26/MAX(INDEX(Abilities!$D$14:$D$23,2),Inputs!$C$12),0)</f>
        <v/>
      </c>
      <c r="AA26" s="17">
        <f>IF(INDEX(Abilities!$A$14:$A$23,3)&lt;=A26,INDEX(Abilities!$C$14:$C$23,3)*CHOOSE(Inputs!$C$13,1,INDEX(Abilities!$J$14:$J$23,3),INDEX(Abilities!$I$14:$I$23,3))*W26/MAX(INDEX(Abilities!$D$14:$D$23,3),Inputs!$C$12),0)</f>
        <v/>
      </c>
      <c r="AB26" s="17">
        <f>IF(INDEX(Abilities!$A$14:$A$23,4)&lt;=A26,INDEX(Abilities!$C$14:$C$23,4)*CHOOSE(Inputs!$C$13,1,INDEX(Abilities!$J$14:$J$23,4),INDEX(Abilities!$I$14:$I$23,4))*W26/MAX(INDEX(Abilities!$D$14:$D$23,4),Inputs!$C$12),0)</f>
        <v/>
      </c>
      <c r="AC26" s="17">
        <f>IF(INDEX(Abilities!$A$14:$A$23,5)&lt;=A26,INDEX(Abilities!$C$14:$C$23,5)*CHOOSE(Inputs!$C$13,1,INDEX(Abilities!$J$14:$J$23,5),INDEX(Abilities!$I$14:$I$23,5))*W26/MAX(INDEX(Abilities!$D$14:$D$23,5),Inputs!$C$12),0)</f>
        <v/>
      </c>
      <c r="AD26" s="17">
        <f>IF(INDEX(Abilities!$A$14:$A$23,6)&lt;=A26,INDEX(Abilities!$C$14:$C$23,6)*CHOOSE(Inputs!$C$13,1,INDEX(Abilities!$J$14:$J$23,6),INDEX(Abilities!$I$14:$I$23,6))*W26/MAX(INDEX(Abilities!$D$14:$D$23,6),Inputs!$C$12),0)</f>
        <v/>
      </c>
      <c r="AE26" s="17">
        <f>IF(INDEX(Abilities!$A$14:$A$23,7)&lt;=A26,INDEX(Abilities!$C$14:$C$23,7)*CHOOSE(Inputs!$C$13,1,INDEX(Abilities!$J$14:$J$23,7),INDEX(Abilities!$I$14:$I$23,7))*W26/MAX(INDEX(Abilities!$D$14:$D$23,7),Inputs!$C$12),0)</f>
        <v/>
      </c>
      <c r="AF26" s="17">
        <f>IF(INDEX(Abilities!$A$14:$A$23,8)&lt;=A26,INDEX(Abilities!$C$14:$C$23,8)*CHOOSE(Inputs!$C$13,1,INDEX(Abilities!$J$14:$J$23,8),INDEX(Abilities!$I$14:$I$23,8))*W26/MAX(INDEX(Abilities!$D$14:$D$23,8),Inputs!$C$12),0)</f>
        <v/>
      </c>
      <c r="AG26" s="17">
        <f>IF(INDEX(Abilities!$A$14:$A$23,9)&lt;=A26,INDEX(Abilities!$C$14:$C$23,9)*CHOOSE(Inputs!$C$13,1,INDEX(Abilities!$J$14:$J$23,9),INDEX(Abilities!$I$14:$I$23,9))*W26/MAX(INDEX(Abilities!$D$14:$D$23,9),Inputs!$C$12),0)</f>
        <v/>
      </c>
      <c r="AH26" s="17">
        <f>IF(INDEX(Abilities!$A$14:$A$23,10)&lt;=A26,INDEX(Abilities!$C$14:$C$23,10)*CHOOSE(Inputs!$C$13,1,INDEX(Abilities!$J$14:$J$23,10),INDEX(Abilities!$I$14:$I$23,10))*W26/MAX(INDEX(Abilities!$D$14:$D$23,10),Inputs!$C$12),0)</f>
        <v/>
      </c>
      <c r="AI26" s="17">
        <f>IF(INDEX(Abilities!$A$14:$A$23,1)&lt;=A26,MIN(Y26,X26*INDEX(Abilities!$C$14:$C$23,1)*CHOOSE(Inputs!$C$13,1,INDEX(Abilities!$J$14:$J$23,1),INDEX(Abilities!$I$14:$I$23,1))*W26/INDEX(Abilities!$E$14:$E$23,1)),0)</f>
        <v/>
      </c>
      <c r="AJ26" s="17">
        <f>IF(INDEX(Abilities!$A$14:$A$23,2)&lt;=A26,MIN(Z26,X26*INDEX(Abilities!$C$14:$C$23,2)*CHOOSE(Inputs!$C$13,1,INDEX(Abilities!$J$14:$J$23,2),INDEX(Abilities!$I$14:$I$23,2))*W26/INDEX(Abilities!$E$14:$E$23,2)),0)</f>
        <v/>
      </c>
      <c r="AK26" s="17">
        <f>IF(INDEX(Abilities!$A$14:$A$23,3)&lt;=A26,MIN(AA26,X26*INDEX(Abilities!$C$14:$C$23,3)*CHOOSE(Inputs!$C$13,1,INDEX(Abilities!$J$14:$J$23,3),INDEX(Abilities!$I$14:$I$23,3))*W26/INDEX(Abilities!$E$14:$E$23,3)),0)</f>
        <v/>
      </c>
      <c r="AL26" s="17">
        <f>IF(INDEX(Abilities!$A$14:$A$23,4)&lt;=A26,MIN(AB26,X26*INDEX(Abilities!$C$14:$C$23,4)*CHOOSE(Inputs!$C$13,1,INDEX(Abilities!$J$14:$J$23,4),INDEX(Abilities!$I$14:$I$23,4))*W26/INDEX(Abilities!$E$14:$E$23,4)),0)</f>
        <v/>
      </c>
      <c r="AM26" s="17">
        <f>IF(INDEX(Abilities!$A$14:$A$23,5)&lt;=A26,MIN(AC26,X26*INDEX(Abilities!$C$14:$C$23,5)*CHOOSE(Inputs!$C$13,1,INDEX(Abilities!$J$14:$J$23,5),INDEX(Abilities!$I$14:$I$23,5))*W26/INDEX(Abilities!$E$14:$E$23,5)),0)</f>
        <v/>
      </c>
      <c r="AN26" s="17">
        <f>IF(INDEX(Abilities!$A$14:$A$23,6)&lt;=A26,MIN(AD26,X26*INDEX(Abilities!$C$14:$C$23,6)*CHOOSE(Inputs!$C$13,1,INDEX(Abilities!$J$14:$J$23,6),INDEX(Abilities!$I$14:$I$23,6))*W26/INDEX(Abilities!$E$14:$E$23,6)),0)</f>
        <v/>
      </c>
      <c r="AO26" s="17">
        <f>IF(INDEX(Abilities!$A$14:$A$23,7)&lt;=A26,MIN(AE26,X26*INDEX(Abilities!$C$14:$C$23,7)*CHOOSE(Inputs!$C$13,1,INDEX(Abilities!$J$14:$J$23,7),INDEX(Abilities!$I$14:$I$23,7))*W26/INDEX(Abilities!$E$14:$E$23,7)),0)</f>
        <v/>
      </c>
      <c r="AP26" s="17">
        <f>IF(INDEX(Abilities!$A$14:$A$23,8)&lt;=A26,MIN(AF26,X26*INDEX(Abilities!$C$14:$C$23,8)*CHOOSE(Inputs!$C$13,1,INDEX(Abilities!$J$14:$J$23,8),INDEX(Abilities!$I$14:$I$23,8))*W26/INDEX(Abilities!$E$14:$E$23,8)),0)</f>
        <v/>
      </c>
      <c r="AQ26" s="17">
        <f>IF(INDEX(Abilities!$A$14:$A$23,9)&lt;=A26,MIN(AG26,X26*INDEX(Abilities!$C$14:$C$23,9)*CHOOSE(Inputs!$C$13,1,INDEX(Abilities!$J$14:$J$23,9),INDEX(Abilities!$I$14:$I$23,9))*W26/INDEX(Abilities!$E$14:$E$23,9)),0)</f>
        <v/>
      </c>
      <c r="AR26" s="17">
        <f>IF(INDEX(Abilities!$A$14:$A$23,10)&lt;=A26,MIN(AH26,X26*INDEX(Abilities!$C$14:$C$23,10)*CHOOSE(Inputs!$C$13,1,INDEX(Abilities!$J$14:$J$23,10),INDEX(Abilities!$I$14:$I$23,10))*W26/INDEX(Abilities!$E$14:$E$23,10)),0)</f>
        <v/>
      </c>
      <c r="AS26" s="17">
        <f>IF(INDEX(Abilities!$A$14:$A$23,1)&lt;=A26,INDEX(Abilities!$C$14:$C$23,1)*CHOOSE(Inputs!$C$13,1,INDEX(Abilities!$J$14:$J$23,1),INDEX(Abilities!$I$14:$I$23,1))*W26/MAX(INDEX(Abilities!$D$14:$D$23,1),2*Inputs!$C$12),0)</f>
        <v/>
      </c>
      <c r="AT26" s="17">
        <f>IF(INDEX(Abilities!$A$14:$A$23,2)&lt;=A26,INDEX(Abilities!$C$14:$C$23,2)*CHOOSE(Inputs!$C$13,1,INDEX(Abilities!$J$14:$J$23,2),INDEX(Abilities!$I$14:$I$23,2))*W26/MAX(INDEX(Abilities!$D$14:$D$23,2),2*Inputs!$C$12),0)</f>
        <v/>
      </c>
      <c r="AU26" s="17">
        <f>IF(INDEX(Abilities!$A$14:$A$23,3)&lt;=A26,INDEX(Abilities!$C$14:$C$23,3)*CHOOSE(Inputs!$C$13,1,INDEX(Abilities!$J$14:$J$23,3),INDEX(Abilities!$I$14:$I$23,3))*W26/MAX(INDEX(Abilities!$D$14:$D$23,3),2*Inputs!$C$12),0)</f>
        <v/>
      </c>
      <c r="AV26" s="17">
        <f>IF(INDEX(Abilities!$A$14:$A$23,4)&lt;=A26,INDEX(Abilities!$C$14:$C$23,4)*CHOOSE(Inputs!$C$13,1,INDEX(Abilities!$J$14:$J$23,4),INDEX(Abilities!$I$14:$I$23,4))*W26/MAX(INDEX(Abilities!$D$14:$D$23,4),2*Inputs!$C$12),0)</f>
        <v/>
      </c>
      <c r="AW26" s="17">
        <f>IF(INDEX(Abilities!$A$14:$A$23,5)&lt;=A26,INDEX(Abilities!$C$14:$C$23,5)*CHOOSE(Inputs!$C$13,1,INDEX(Abilities!$J$14:$J$23,5),INDEX(Abilities!$I$14:$I$23,5))*W26/MAX(INDEX(Abilities!$D$14:$D$23,5),2*Inputs!$C$12),0)</f>
        <v/>
      </c>
      <c r="AX26" s="17">
        <f>IF(INDEX(Abilities!$A$14:$A$23,6)&lt;=A26,INDEX(Abilities!$C$14:$C$23,6)*CHOOSE(Inputs!$C$13,1,INDEX(Abilities!$J$14:$J$23,6),INDEX(Abilities!$I$14:$I$23,6))*W26/MAX(INDEX(Abilities!$D$14:$D$23,6),2*Inputs!$C$12),0)</f>
        <v/>
      </c>
      <c r="AY26" s="17">
        <f>IF(INDEX(Abilities!$A$14:$A$23,7)&lt;=A26,INDEX(Abilities!$C$14:$C$23,7)*CHOOSE(Inputs!$C$13,1,INDEX(Abilities!$J$14:$J$23,7),INDEX(Abilities!$I$14:$I$23,7))*W26/MAX(INDEX(Abilities!$D$14:$D$23,7),2*Inputs!$C$12),0)</f>
        <v/>
      </c>
      <c r="AZ26" s="17">
        <f>IF(INDEX(Abilities!$A$14:$A$23,8)&lt;=A26,INDEX(Abilities!$C$14:$C$23,8)*CHOOSE(Inputs!$C$13,1,INDEX(Abilities!$J$14:$J$23,8),INDEX(Abilities!$I$14:$I$23,8))*W26/MAX(INDEX(Abilities!$D$14:$D$23,8),2*Inputs!$C$12),0)</f>
        <v/>
      </c>
      <c r="BA26" s="17">
        <f>IF(INDEX(Abilities!$A$14:$A$23,9)&lt;=A26,INDEX(Abilities!$C$14:$C$23,9)*CHOOSE(Inputs!$C$13,1,INDEX(Abilities!$J$14:$J$23,9),INDEX(Abilities!$I$14:$I$23,9))*W26/MAX(INDEX(Abilities!$D$14:$D$23,9),2*Inputs!$C$12),0)</f>
        <v/>
      </c>
      <c r="BB26" s="17">
        <f>IF(INDEX(Abilities!$A$14:$A$23,10)&lt;=A26,INDEX(Abilities!$C$14:$C$23,10)*CHOOSE(Inputs!$C$13,1,INDEX(Abilities!$J$14:$J$23,10),INDEX(Abilities!$I$14:$I$23,10))*W26/MAX(INDEX(Abilities!$D$14:$D$23,10),2*Inputs!$C$12),0)</f>
        <v/>
      </c>
      <c r="BC26" s="27">
        <f>MAX(Y26:AH26)</f>
        <v/>
      </c>
      <c r="BD26" s="8">
        <f>MATCH(BC26,Y26:AH26,0)</f>
        <v/>
      </c>
      <c r="BE26" s="15">
        <f>INDEX(Abilities!$B$14:$B$23,BD26)</f>
        <v/>
      </c>
      <c r="BF26" s="16">
        <f>CHOOSE(Inputs!$C$13,1,INDEX(Abilities!$J$14:$J$23,BD26),INDEX(Abilities!$I$14:$I$23,BD26))</f>
        <v/>
      </c>
      <c r="BG26" s="17">
        <f>INDEX(Abilities!$E$14:$E$23,BD26)/MAX(INDEX(Abilities!$D$14:$D$23,BD26),Inputs!$C$12)</f>
        <v/>
      </c>
      <c r="BH26" s="27">
        <f>MAX(AI26:AR26)</f>
        <v/>
      </c>
      <c r="BI26" s="8">
        <f>MATCH(BH26,AI26:AR26,0)</f>
        <v/>
      </c>
      <c r="BJ26" s="15">
        <f>INDEX(Abilities!$B$14:$B$23,BI26)</f>
        <v/>
      </c>
      <c r="BK26" s="14">
        <f>IFERROR(ROUNDUP(C26/(INDEX(Abilities!$C$14:$C$23,BD26)*W26),0),"-")</f>
        <v/>
      </c>
      <c r="BL26" s="9">
        <f>IFERROR(C26*INDEX(Abilities!$E$14:$E$23,BI26)/(INDEX(Abilities!$C$14:$C$23,BI26)*CHOOSE(Inputs!$C$13,1,INDEX(Abilities!$J$14:$J$23,BI26),INDEX(Abilities!$I$14:$I$23,BI26))*W26),"-")</f>
        <v/>
      </c>
      <c r="BM26" s="60">
        <f>IFERROR(P26/BL26,"-")</f>
        <v/>
      </c>
      <c r="BN26" s="17">
        <f>BH26+Inputs!$C$18*V26</f>
        <v/>
      </c>
      <c r="BO26" s="17">
        <f>BC26+Inputs!$C$18*V26</f>
        <v/>
      </c>
      <c r="BP26" s="27">
        <f>LARGE(AS26:BB26,1)+LARGE(AS26:BB26,2)</f>
        <v/>
      </c>
      <c r="BQ26" s="60">
        <f>IFERROR(IF(BG26&lt;=X26,C26/BO26,IF(C26/BO26*(BG26-X26)&lt;=P26,C26/BO26,P26/(BG26-X26)+(C26-BO26*P26/(BG26-X26))/BN26)),"-")</f>
        <v/>
      </c>
      <c r="BR26" s="60">
        <f>BQ26</f>
        <v/>
      </c>
      <c r="BS26" s="9">
        <f>MAX(0,(E26+(B26-A26))*(1-R26)*(1-Q26*'Class Table'!$O$7/Inputs!$C$19)-Q26*'Class Table'!$O$7/25)</f>
        <v/>
      </c>
      <c r="BT26" s="26">
        <f>IFERROR(BS26/F26*BR26,"-")</f>
        <v/>
      </c>
      <c r="BU26" s="28">
        <f>IFERROR(BT26/O26,"-")</f>
        <v/>
      </c>
      <c r="BV26" s="9">
        <f>IFERROR(O26*Inputs!$C$24/Inputs!$C$22*BR26,"-")</f>
        <v/>
      </c>
      <c r="BW26" s="28">
        <f>IFERROR(MAX(0,BT26-BV26)/O26,"-")</f>
        <v/>
      </c>
    </row>
    <row r="27">
      <c r="A27" s="8" t="n">
        <v>24</v>
      </c>
      <c r="B27" s="14">
        <f>'Mob by Level'!B27</f>
        <v/>
      </c>
      <c r="C27" s="9">
        <f>'Mob by Level'!C27</f>
        <v/>
      </c>
      <c r="D27" s="9">
        <f>'Mob by Level'!D27</f>
        <v/>
      </c>
      <c r="E27" s="9">
        <f>'Mob by Level'!E27</f>
        <v/>
      </c>
      <c r="F27" s="16">
        <f>'Mob by Level'!F27</f>
        <v/>
      </c>
      <c r="G27" s="14">
        <f>SUMIFS(Gear!$D$4:$D$603,Gear!$A$4:$A$603,A27,Gear!$B$4:$B$603,"Magus",Gear!$C$4:$C$603,Inputs!$C$5)</f>
        <v/>
      </c>
      <c r="H27" s="14">
        <f>SUMIFS(Gear!$E$4:$E$603,Gear!$A$4:$A$603,A27,Gear!$B$4:$B$603,"Magus",Gear!$C$4:$C$603,Inputs!$C$5)</f>
        <v/>
      </c>
      <c r="I27" s="14">
        <f>SUMIFS(Gear!$F$4:$F$603,Gear!$A$4:$A$603,A27,Gear!$B$4:$B$603,"Magus",Gear!$C$4:$C$603,Inputs!$C$5)+Inputs!$C$17*IFERROR(LOOKUP(A27,Abilities!$A$49:$A$53,Abilities!$C$49:$C$53),0)</f>
        <v/>
      </c>
      <c r="J27" s="13">
        <f>SUMIFS(Gear!$J$4:$J$603,Gear!$A$4:$A$603,A27,Gear!$B$4:$B$603,"Magus",Gear!$C$4:$C$603,Inputs!$C$5)</f>
        <v/>
      </c>
      <c r="K27" s="13">
        <f>SUMIFS(Gear!$K$4:$K$603,Gear!$A$4:$A$603,A27,Gear!$B$4:$B$603,"Magus",Gear!$C$4:$C$603,Inputs!$C$5)</f>
        <v/>
      </c>
      <c r="L27" s="13">
        <f>SUMIFS(Gear!$L$4:$L$603,Gear!$A$4:$A$603,A27,Gear!$B$4:$B$603,"Magus",Gear!$C$4:$C$603,Inputs!$C$5)</f>
        <v/>
      </c>
      <c r="M27" s="13">
        <f>SUMIFS(Gear!$M$4:$M$603,Gear!$A$4:$A$603,A27,Gear!$B$4:$B$603,"Magus",Gear!$C$4:$C$603,Inputs!$C$5)</f>
        <v/>
      </c>
      <c r="N27" s="13">
        <f>SUMIFS(Gear!$N$4:$N$603,Gear!$A$4:$A$603,A27,Gear!$B$4:$B$603,"Magus",Gear!$C$4:$C$603,Inputs!$C$5)</f>
        <v/>
      </c>
      <c r="O27" s="9">
        <f>INDEX('Class Table'!$H$4:$H$53,A27)+SUMIFS(Gear!$G$4:$G$603,Gear!$A$4:$A$603,A27,Gear!$B$4:$B$603,"Magus",Gear!$C$4:$C$603,Inputs!$C$5)</f>
        <v/>
      </c>
      <c r="P27" s="9">
        <f>INDEX('Class Table'!$I$4:$I$53,A27)+SUMIFS(Gear!$H$4:$H$603,Gear!$A$4:$A$603,A27,Gear!$B$4:$B$603,"Magus",Gear!$C$4:$C$603,Inputs!$C$5)</f>
        <v/>
      </c>
      <c r="Q27" s="9">
        <f>INDEX('Class Table'!$J$4:$J$53,A27)+SUMIFS(Gear!$I$4:$I$603,Gear!$A$4:$A$603,A27,Gear!$B$4:$B$603,"Magus",Gear!$C$4:$C$603,Inputs!$C$5)</f>
        <v/>
      </c>
      <c r="R27" s="13">
        <f>SUMIFS(Gear!$O$4:$O$603,Gear!$A$4:$A$603,A27,Gear!$B$4:$B$603,"Magus",Gear!$C$4:$C$603,Inputs!$C$5)</f>
        <v/>
      </c>
      <c r="S27" s="26">
        <f>I27+0+G27+A27+MAX(1,A27/2)+(A27-B27)</f>
        <v/>
      </c>
      <c r="T27" s="9">
        <f>MAX(0,S27*(1+M27)*(1+L27)*Inputs!$C$20*(1-D27/Inputs!$C$19)-D27/25)</f>
        <v/>
      </c>
      <c r="U27" s="16">
        <f>H27/10*(1-MIN(0.95,N27+0))*Inputs!$C$21</f>
        <v/>
      </c>
      <c r="V27" s="27">
        <f>T27/U27</f>
        <v/>
      </c>
      <c r="W27" s="16">
        <f>(1+J27)*(1+K27)*Inputs!$C$20</f>
        <v/>
      </c>
      <c r="X27" s="17">
        <f>P27*Inputs!$C$23/Inputs!$C$22</f>
        <v/>
      </c>
      <c r="Y27" s="17">
        <f>IF(INDEX(Abilities!$A$14:$A$23,1)&lt;=A27,INDEX(Abilities!$C$14:$C$23,1)*CHOOSE(Inputs!$C$13,1,INDEX(Abilities!$J$14:$J$23,1),INDEX(Abilities!$I$14:$I$23,1))*W27/MAX(INDEX(Abilities!$D$14:$D$23,1),Inputs!$C$12),0)</f>
        <v/>
      </c>
      <c r="Z27" s="17">
        <f>IF(INDEX(Abilities!$A$14:$A$23,2)&lt;=A27,INDEX(Abilities!$C$14:$C$23,2)*CHOOSE(Inputs!$C$13,1,INDEX(Abilities!$J$14:$J$23,2),INDEX(Abilities!$I$14:$I$23,2))*W27/MAX(INDEX(Abilities!$D$14:$D$23,2),Inputs!$C$12),0)</f>
        <v/>
      </c>
      <c r="AA27" s="17">
        <f>IF(INDEX(Abilities!$A$14:$A$23,3)&lt;=A27,INDEX(Abilities!$C$14:$C$23,3)*CHOOSE(Inputs!$C$13,1,INDEX(Abilities!$J$14:$J$23,3),INDEX(Abilities!$I$14:$I$23,3))*W27/MAX(INDEX(Abilities!$D$14:$D$23,3),Inputs!$C$12),0)</f>
        <v/>
      </c>
      <c r="AB27" s="17">
        <f>IF(INDEX(Abilities!$A$14:$A$23,4)&lt;=A27,INDEX(Abilities!$C$14:$C$23,4)*CHOOSE(Inputs!$C$13,1,INDEX(Abilities!$J$14:$J$23,4),INDEX(Abilities!$I$14:$I$23,4))*W27/MAX(INDEX(Abilities!$D$14:$D$23,4),Inputs!$C$12),0)</f>
        <v/>
      </c>
      <c r="AC27" s="17">
        <f>IF(INDEX(Abilities!$A$14:$A$23,5)&lt;=A27,INDEX(Abilities!$C$14:$C$23,5)*CHOOSE(Inputs!$C$13,1,INDEX(Abilities!$J$14:$J$23,5),INDEX(Abilities!$I$14:$I$23,5))*W27/MAX(INDEX(Abilities!$D$14:$D$23,5),Inputs!$C$12),0)</f>
        <v/>
      </c>
      <c r="AD27" s="17">
        <f>IF(INDEX(Abilities!$A$14:$A$23,6)&lt;=A27,INDEX(Abilities!$C$14:$C$23,6)*CHOOSE(Inputs!$C$13,1,INDEX(Abilities!$J$14:$J$23,6),INDEX(Abilities!$I$14:$I$23,6))*W27/MAX(INDEX(Abilities!$D$14:$D$23,6),Inputs!$C$12),0)</f>
        <v/>
      </c>
      <c r="AE27" s="17">
        <f>IF(INDEX(Abilities!$A$14:$A$23,7)&lt;=A27,INDEX(Abilities!$C$14:$C$23,7)*CHOOSE(Inputs!$C$13,1,INDEX(Abilities!$J$14:$J$23,7),INDEX(Abilities!$I$14:$I$23,7))*W27/MAX(INDEX(Abilities!$D$14:$D$23,7),Inputs!$C$12),0)</f>
        <v/>
      </c>
      <c r="AF27" s="17">
        <f>IF(INDEX(Abilities!$A$14:$A$23,8)&lt;=A27,INDEX(Abilities!$C$14:$C$23,8)*CHOOSE(Inputs!$C$13,1,INDEX(Abilities!$J$14:$J$23,8),INDEX(Abilities!$I$14:$I$23,8))*W27/MAX(INDEX(Abilities!$D$14:$D$23,8),Inputs!$C$12),0)</f>
        <v/>
      </c>
      <c r="AG27" s="17">
        <f>IF(INDEX(Abilities!$A$14:$A$23,9)&lt;=A27,INDEX(Abilities!$C$14:$C$23,9)*CHOOSE(Inputs!$C$13,1,INDEX(Abilities!$J$14:$J$23,9),INDEX(Abilities!$I$14:$I$23,9))*W27/MAX(INDEX(Abilities!$D$14:$D$23,9),Inputs!$C$12),0)</f>
        <v/>
      </c>
      <c r="AH27" s="17">
        <f>IF(INDEX(Abilities!$A$14:$A$23,10)&lt;=A27,INDEX(Abilities!$C$14:$C$23,10)*CHOOSE(Inputs!$C$13,1,INDEX(Abilities!$J$14:$J$23,10),INDEX(Abilities!$I$14:$I$23,10))*W27/MAX(INDEX(Abilities!$D$14:$D$23,10),Inputs!$C$12),0)</f>
        <v/>
      </c>
      <c r="AI27" s="17">
        <f>IF(INDEX(Abilities!$A$14:$A$23,1)&lt;=A27,MIN(Y27,X27*INDEX(Abilities!$C$14:$C$23,1)*CHOOSE(Inputs!$C$13,1,INDEX(Abilities!$J$14:$J$23,1),INDEX(Abilities!$I$14:$I$23,1))*W27/INDEX(Abilities!$E$14:$E$23,1)),0)</f>
        <v/>
      </c>
      <c r="AJ27" s="17">
        <f>IF(INDEX(Abilities!$A$14:$A$23,2)&lt;=A27,MIN(Z27,X27*INDEX(Abilities!$C$14:$C$23,2)*CHOOSE(Inputs!$C$13,1,INDEX(Abilities!$J$14:$J$23,2),INDEX(Abilities!$I$14:$I$23,2))*W27/INDEX(Abilities!$E$14:$E$23,2)),0)</f>
        <v/>
      </c>
      <c r="AK27" s="17">
        <f>IF(INDEX(Abilities!$A$14:$A$23,3)&lt;=A27,MIN(AA27,X27*INDEX(Abilities!$C$14:$C$23,3)*CHOOSE(Inputs!$C$13,1,INDEX(Abilities!$J$14:$J$23,3),INDEX(Abilities!$I$14:$I$23,3))*W27/INDEX(Abilities!$E$14:$E$23,3)),0)</f>
        <v/>
      </c>
      <c r="AL27" s="17">
        <f>IF(INDEX(Abilities!$A$14:$A$23,4)&lt;=A27,MIN(AB27,X27*INDEX(Abilities!$C$14:$C$23,4)*CHOOSE(Inputs!$C$13,1,INDEX(Abilities!$J$14:$J$23,4),INDEX(Abilities!$I$14:$I$23,4))*W27/INDEX(Abilities!$E$14:$E$23,4)),0)</f>
        <v/>
      </c>
      <c r="AM27" s="17">
        <f>IF(INDEX(Abilities!$A$14:$A$23,5)&lt;=A27,MIN(AC27,X27*INDEX(Abilities!$C$14:$C$23,5)*CHOOSE(Inputs!$C$13,1,INDEX(Abilities!$J$14:$J$23,5),INDEX(Abilities!$I$14:$I$23,5))*W27/INDEX(Abilities!$E$14:$E$23,5)),0)</f>
        <v/>
      </c>
      <c r="AN27" s="17">
        <f>IF(INDEX(Abilities!$A$14:$A$23,6)&lt;=A27,MIN(AD27,X27*INDEX(Abilities!$C$14:$C$23,6)*CHOOSE(Inputs!$C$13,1,INDEX(Abilities!$J$14:$J$23,6),INDEX(Abilities!$I$14:$I$23,6))*W27/INDEX(Abilities!$E$14:$E$23,6)),0)</f>
        <v/>
      </c>
      <c r="AO27" s="17">
        <f>IF(INDEX(Abilities!$A$14:$A$23,7)&lt;=A27,MIN(AE27,X27*INDEX(Abilities!$C$14:$C$23,7)*CHOOSE(Inputs!$C$13,1,INDEX(Abilities!$J$14:$J$23,7),INDEX(Abilities!$I$14:$I$23,7))*W27/INDEX(Abilities!$E$14:$E$23,7)),0)</f>
        <v/>
      </c>
      <c r="AP27" s="17">
        <f>IF(INDEX(Abilities!$A$14:$A$23,8)&lt;=A27,MIN(AF27,X27*INDEX(Abilities!$C$14:$C$23,8)*CHOOSE(Inputs!$C$13,1,INDEX(Abilities!$J$14:$J$23,8),INDEX(Abilities!$I$14:$I$23,8))*W27/INDEX(Abilities!$E$14:$E$23,8)),0)</f>
        <v/>
      </c>
      <c r="AQ27" s="17">
        <f>IF(INDEX(Abilities!$A$14:$A$23,9)&lt;=A27,MIN(AG27,X27*INDEX(Abilities!$C$14:$C$23,9)*CHOOSE(Inputs!$C$13,1,INDEX(Abilities!$J$14:$J$23,9),INDEX(Abilities!$I$14:$I$23,9))*W27/INDEX(Abilities!$E$14:$E$23,9)),0)</f>
        <v/>
      </c>
      <c r="AR27" s="17">
        <f>IF(INDEX(Abilities!$A$14:$A$23,10)&lt;=A27,MIN(AH27,X27*INDEX(Abilities!$C$14:$C$23,10)*CHOOSE(Inputs!$C$13,1,INDEX(Abilities!$J$14:$J$23,10),INDEX(Abilities!$I$14:$I$23,10))*W27/INDEX(Abilities!$E$14:$E$23,10)),0)</f>
        <v/>
      </c>
      <c r="AS27" s="17">
        <f>IF(INDEX(Abilities!$A$14:$A$23,1)&lt;=A27,INDEX(Abilities!$C$14:$C$23,1)*CHOOSE(Inputs!$C$13,1,INDEX(Abilities!$J$14:$J$23,1),INDEX(Abilities!$I$14:$I$23,1))*W27/MAX(INDEX(Abilities!$D$14:$D$23,1),2*Inputs!$C$12),0)</f>
        <v/>
      </c>
      <c r="AT27" s="17">
        <f>IF(INDEX(Abilities!$A$14:$A$23,2)&lt;=A27,INDEX(Abilities!$C$14:$C$23,2)*CHOOSE(Inputs!$C$13,1,INDEX(Abilities!$J$14:$J$23,2),INDEX(Abilities!$I$14:$I$23,2))*W27/MAX(INDEX(Abilities!$D$14:$D$23,2),2*Inputs!$C$12),0)</f>
        <v/>
      </c>
      <c r="AU27" s="17">
        <f>IF(INDEX(Abilities!$A$14:$A$23,3)&lt;=A27,INDEX(Abilities!$C$14:$C$23,3)*CHOOSE(Inputs!$C$13,1,INDEX(Abilities!$J$14:$J$23,3),INDEX(Abilities!$I$14:$I$23,3))*W27/MAX(INDEX(Abilities!$D$14:$D$23,3),2*Inputs!$C$12),0)</f>
        <v/>
      </c>
      <c r="AV27" s="17">
        <f>IF(INDEX(Abilities!$A$14:$A$23,4)&lt;=A27,INDEX(Abilities!$C$14:$C$23,4)*CHOOSE(Inputs!$C$13,1,INDEX(Abilities!$J$14:$J$23,4),INDEX(Abilities!$I$14:$I$23,4))*W27/MAX(INDEX(Abilities!$D$14:$D$23,4),2*Inputs!$C$12),0)</f>
        <v/>
      </c>
      <c r="AW27" s="17">
        <f>IF(INDEX(Abilities!$A$14:$A$23,5)&lt;=A27,INDEX(Abilities!$C$14:$C$23,5)*CHOOSE(Inputs!$C$13,1,INDEX(Abilities!$J$14:$J$23,5),INDEX(Abilities!$I$14:$I$23,5))*W27/MAX(INDEX(Abilities!$D$14:$D$23,5),2*Inputs!$C$12),0)</f>
        <v/>
      </c>
      <c r="AX27" s="17">
        <f>IF(INDEX(Abilities!$A$14:$A$23,6)&lt;=A27,INDEX(Abilities!$C$14:$C$23,6)*CHOOSE(Inputs!$C$13,1,INDEX(Abilities!$J$14:$J$23,6),INDEX(Abilities!$I$14:$I$23,6))*W27/MAX(INDEX(Abilities!$D$14:$D$23,6),2*Inputs!$C$12),0)</f>
        <v/>
      </c>
      <c r="AY27" s="17">
        <f>IF(INDEX(Abilities!$A$14:$A$23,7)&lt;=A27,INDEX(Abilities!$C$14:$C$23,7)*CHOOSE(Inputs!$C$13,1,INDEX(Abilities!$J$14:$J$23,7),INDEX(Abilities!$I$14:$I$23,7))*W27/MAX(INDEX(Abilities!$D$14:$D$23,7),2*Inputs!$C$12),0)</f>
        <v/>
      </c>
      <c r="AZ27" s="17">
        <f>IF(INDEX(Abilities!$A$14:$A$23,8)&lt;=A27,INDEX(Abilities!$C$14:$C$23,8)*CHOOSE(Inputs!$C$13,1,INDEX(Abilities!$J$14:$J$23,8),INDEX(Abilities!$I$14:$I$23,8))*W27/MAX(INDEX(Abilities!$D$14:$D$23,8),2*Inputs!$C$12),0)</f>
        <v/>
      </c>
      <c r="BA27" s="17">
        <f>IF(INDEX(Abilities!$A$14:$A$23,9)&lt;=A27,INDEX(Abilities!$C$14:$C$23,9)*CHOOSE(Inputs!$C$13,1,INDEX(Abilities!$J$14:$J$23,9),INDEX(Abilities!$I$14:$I$23,9))*W27/MAX(INDEX(Abilities!$D$14:$D$23,9),2*Inputs!$C$12),0)</f>
        <v/>
      </c>
      <c r="BB27" s="17">
        <f>IF(INDEX(Abilities!$A$14:$A$23,10)&lt;=A27,INDEX(Abilities!$C$14:$C$23,10)*CHOOSE(Inputs!$C$13,1,INDEX(Abilities!$J$14:$J$23,10),INDEX(Abilities!$I$14:$I$23,10))*W27/MAX(INDEX(Abilities!$D$14:$D$23,10),2*Inputs!$C$12),0)</f>
        <v/>
      </c>
      <c r="BC27" s="27">
        <f>MAX(Y27:AH27)</f>
        <v/>
      </c>
      <c r="BD27" s="8">
        <f>MATCH(BC27,Y27:AH27,0)</f>
        <v/>
      </c>
      <c r="BE27" s="15">
        <f>INDEX(Abilities!$B$14:$B$23,BD27)</f>
        <v/>
      </c>
      <c r="BF27" s="16">
        <f>CHOOSE(Inputs!$C$13,1,INDEX(Abilities!$J$14:$J$23,BD27),INDEX(Abilities!$I$14:$I$23,BD27))</f>
        <v/>
      </c>
      <c r="BG27" s="17">
        <f>INDEX(Abilities!$E$14:$E$23,BD27)/MAX(INDEX(Abilities!$D$14:$D$23,BD27),Inputs!$C$12)</f>
        <v/>
      </c>
      <c r="BH27" s="27">
        <f>MAX(AI27:AR27)</f>
        <v/>
      </c>
      <c r="BI27" s="8">
        <f>MATCH(BH27,AI27:AR27,0)</f>
        <v/>
      </c>
      <c r="BJ27" s="15">
        <f>INDEX(Abilities!$B$14:$B$23,BI27)</f>
        <v/>
      </c>
      <c r="BK27" s="14">
        <f>IFERROR(ROUNDUP(C27/(INDEX(Abilities!$C$14:$C$23,BD27)*W27),0),"-")</f>
        <v/>
      </c>
      <c r="BL27" s="9">
        <f>IFERROR(C27*INDEX(Abilities!$E$14:$E$23,BI27)/(INDEX(Abilities!$C$14:$C$23,BI27)*CHOOSE(Inputs!$C$13,1,INDEX(Abilities!$J$14:$J$23,BI27),INDEX(Abilities!$I$14:$I$23,BI27))*W27),"-")</f>
        <v/>
      </c>
      <c r="BM27" s="60">
        <f>IFERROR(P27/BL27,"-")</f>
        <v/>
      </c>
      <c r="BN27" s="17">
        <f>BH27+Inputs!$C$18*V27</f>
        <v/>
      </c>
      <c r="BO27" s="17">
        <f>BC27+Inputs!$C$18*V27</f>
        <v/>
      </c>
      <c r="BP27" s="27">
        <f>LARGE(AS27:BB27,1)+LARGE(AS27:BB27,2)</f>
        <v/>
      </c>
      <c r="BQ27" s="60">
        <f>IFERROR(IF(BG27&lt;=X27,C27/BO27,IF(C27/BO27*(BG27-X27)&lt;=P27,C27/BO27,P27/(BG27-X27)+(C27-BO27*P27/(BG27-X27))/BN27)),"-")</f>
        <v/>
      </c>
      <c r="BR27" s="60">
        <f>BQ27</f>
        <v/>
      </c>
      <c r="BS27" s="9">
        <f>MAX(0,(E27+(B27-A27))*(1-R27)*(1-Q27*'Class Table'!$O$7/Inputs!$C$19)-Q27*'Class Table'!$O$7/25)</f>
        <v/>
      </c>
      <c r="BT27" s="26">
        <f>IFERROR(BS27/F27*BR27,"-")</f>
        <v/>
      </c>
      <c r="BU27" s="28">
        <f>IFERROR(BT27/O27,"-")</f>
        <v/>
      </c>
      <c r="BV27" s="9">
        <f>IFERROR(O27*Inputs!$C$24/Inputs!$C$22*BR27,"-")</f>
        <v/>
      </c>
      <c r="BW27" s="28">
        <f>IFERROR(MAX(0,BT27-BV27)/O27,"-")</f>
        <v/>
      </c>
    </row>
    <row r="28">
      <c r="A28" s="8" t="n">
        <v>25</v>
      </c>
      <c r="B28" s="14">
        <f>'Mob by Level'!B28</f>
        <v/>
      </c>
      <c r="C28" s="9">
        <f>'Mob by Level'!C28</f>
        <v/>
      </c>
      <c r="D28" s="9">
        <f>'Mob by Level'!D28</f>
        <v/>
      </c>
      <c r="E28" s="9">
        <f>'Mob by Level'!E28</f>
        <v/>
      </c>
      <c r="F28" s="16">
        <f>'Mob by Level'!F28</f>
        <v/>
      </c>
      <c r="G28" s="14">
        <f>SUMIFS(Gear!$D$4:$D$603,Gear!$A$4:$A$603,A28,Gear!$B$4:$B$603,"Magus",Gear!$C$4:$C$603,Inputs!$C$5)</f>
        <v/>
      </c>
      <c r="H28" s="14">
        <f>SUMIFS(Gear!$E$4:$E$603,Gear!$A$4:$A$603,A28,Gear!$B$4:$B$603,"Magus",Gear!$C$4:$C$603,Inputs!$C$5)</f>
        <v/>
      </c>
      <c r="I28" s="14">
        <f>SUMIFS(Gear!$F$4:$F$603,Gear!$A$4:$A$603,A28,Gear!$B$4:$B$603,"Magus",Gear!$C$4:$C$603,Inputs!$C$5)+Inputs!$C$17*IFERROR(LOOKUP(A28,Abilities!$A$49:$A$53,Abilities!$C$49:$C$53),0)</f>
        <v/>
      </c>
      <c r="J28" s="13">
        <f>SUMIFS(Gear!$J$4:$J$603,Gear!$A$4:$A$603,A28,Gear!$B$4:$B$603,"Magus",Gear!$C$4:$C$603,Inputs!$C$5)</f>
        <v/>
      </c>
      <c r="K28" s="13">
        <f>SUMIFS(Gear!$K$4:$K$603,Gear!$A$4:$A$603,A28,Gear!$B$4:$B$603,"Magus",Gear!$C$4:$C$603,Inputs!$C$5)</f>
        <v/>
      </c>
      <c r="L28" s="13">
        <f>SUMIFS(Gear!$L$4:$L$603,Gear!$A$4:$A$603,A28,Gear!$B$4:$B$603,"Magus",Gear!$C$4:$C$603,Inputs!$C$5)</f>
        <v/>
      </c>
      <c r="M28" s="13">
        <f>SUMIFS(Gear!$M$4:$M$603,Gear!$A$4:$A$603,A28,Gear!$B$4:$B$603,"Magus",Gear!$C$4:$C$603,Inputs!$C$5)</f>
        <v/>
      </c>
      <c r="N28" s="13">
        <f>SUMIFS(Gear!$N$4:$N$603,Gear!$A$4:$A$603,A28,Gear!$B$4:$B$603,"Magus",Gear!$C$4:$C$603,Inputs!$C$5)</f>
        <v/>
      </c>
      <c r="O28" s="9">
        <f>INDEX('Class Table'!$H$4:$H$53,A28)+SUMIFS(Gear!$G$4:$G$603,Gear!$A$4:$A$603,A28,Gear!$B$4:$B$603,"Magus",Gear!$C$4:$C$603,Inputs!$C$5)</f>
        <v/>
      </c>
      <c r="P28" s="9">
        <f>INDEX('Class Table'!$I$4:$I$53,A28)+SUMIFS(Gear!$H$4:$H$603,Gear!$A$4:$A$603,A28,Gear!$B$4:$B$603,"Magus",Gear!$C$4:$C$603,Inputs!$C$5)</f>
        <v/>
      </c>
      <c r="Q28" s="9">
        <f>INDEX('Class Table'!$J$4:$J$53,A28)+SUMIFS(Gear!$I$4:$I$603,Gear!$A$4:$A$603,A28,Gear!$B$4:$B$603,"Magus",Gear!$C$4:$C$603,Inputs!$C$5)</f>
        <v/>
      </c>
      <c r="R28" s="13">
        <f>SUMIFS(Gear!$O$4:$O$603,Gear!$A$4:$A$603,A28,Gear!$B$4:$B$603,"Magus",Gear!$C$4:$C$603,Inputs!$C$5)</f>
        <v/>
      </c>
      <c r="S28" s="26">
        <f>I28+0+G28+A28+MAX(1,A28/2)+(A28-B28)</f>
        <v/>
      </c>
      <c r="T28" s="9">
        <f>MAX(0,S28*(1+M28)*(1+L28)*Inputs!$C$20*(1-D28/Inputs!$C$19)-D28/25)</f>
        <v/>
      </c>
      <c r="U28" s="16">
        <f>H28/10*(1-MIN(0.95,N28+0))*Inputs!$C$21</f>
        <v/>
      </c>
      <c r="V28" s="27">
        <f>T28/U28</f>
        <v/>
      </c>
      <c r="W28" s="16">
        <f>(1+J28)*(1+K28)*Inputs!$C$20</f>
        <v/>
      </c>
      <c r="X28" s="17">
        <f>P28*Inputs!$C$23/Inputs!$C$22</f>
        <v/>
      </c>
      <c r="Y28" s="17">
        <f>IF(INDEX(Abilities!$A$14:$A$23,1)&lt;=A28,INDEX(Abilities!$C$14:$C$23,1)*CHOOSE(Inputs!$C$13,1,INDEX(Abilities!$J$14:$J$23,1),INDEX(Abilities!$I$14:$I$23,1))*W28/MAX(INDEX(Abilities!$D$14:$D$23,1),Inputs!$C$12),0)</f>
        <v/>
      </c>
      <c r="Z28" s="17">
        <f>IF(INDEX(Abilities!$A$14:$A$23,2)&lt;=A28,INDEX(Abilities!$C$14:$C$23,2)*CHOOSE(Inputs!$C$13,1,INDEX(Abilities!$J$14:$J$23,2),INDEX(Abilities!$I$14:$I$23,2))*W28/MAX(INDEX(Abilities!$D$14:$D$23,2),Inputs!$C$12),0)</f>
        <v/>
      </c>
      <c r="AA28" s="17">
        <f>IF(INDEX(Abilities!$A$14:$A$23,3)&lt;=A28,INDEX(Abilities!$C$14:$C$23,3)*CHOOSE(Inputs!$C$13,1,INDEX(Abilities!$J$14:$J$23,3),INDEX(Abilities!$I$14:$I$23,3))*W28/MAX(INDEX(Abilities!$D$14:$D$23,3),Inputs!$C$12),0)</f>
        <v/>
      </c>
      <c r="AB28" s="17">
        <f>IF(INDEX(Abilities!$A$14:$A$23,4)&lt;=A28,INDEX(Abilities!$C$14:$C$23,4)*CHOOSE(Inputs!$C$13,1,INDEX(Abilities!$J$14:$J$23,4),INDEX(Abilities!$I$14:$I$23,4))*W28/MAX(INDEX(Abilities!$D$14:$D$23,4),Inputs!$C$12),0)</f>
        <v/>
      </c>
      <c r="AC28" s="17">
        <f>IF(INDEX(Abilities!$A$14:$A$23,5)&lt;=A28,INDEX(Abilities!$C$14:$C$23,5)*CHOOSE(Inputs!$C$13,1,INDEX(Abilities!$J$14:$J$23,5),INDEX(Abilities!$I$14:$I$23,5))*W28/MAX(INDEX(Abilities!$D$14:$D$23,5),Inputs!$C$12),0)</f>
        <v/>
      </c>
      <c r="AD28" s="17">
        <f>IF(INDEX(Abilities!$A$14:$A$23,6)&lt;=A28,INDEX(Abilities!$C$14:$C$23,6)*CHOOSE(Inputs!$C$13,1,INDEX(Abilities!$J$14:$J$23,6),INDEX(Abilities!$I$14:$I$23,6))*W28/MAX(INDEX(Abilities!$D$14:$D$23,6),Inputs!$C$12),0)</f>
        <v/>
      </c>
      <c r="AE28" s="17">
        <f>IF(INDEX(Abilities!$A$14:$A$23,7)&lt;=A28,INDEX(Abilities!$C$14:$C$23,7)*CHOOSE(Inputs!$C$13,1,INDEX(Abilities!$J$14:$J$23,7),INDEX(Abilities!$I$14:$I$23,7))*W28/MAX(INDEX(Abilities!$D$14:$D$23,7),Inputs!$C$12),0)</f>
        <v/>
      </c>
      <c r="AF28" s="17">
        <f>IF(INDEX(Abilities!$A$14:$A$23,8)&lt;=A28,INDEX(Abilities!$C$14:$C$23,8)*CHOOSE(Inputs!$C$13,1,INDEX(Abilities!$J$14:$J$23,8),INDEX(Abilities!$I$14:$I$23,8))*W28/MAX(INDEX(Abilities!$D$14:$D$23,8),Inputs!$C$12),0)</f>
        <v/>
      </c>
      <c r="AG28" s="17">
        <f>IF(INDEX(Abilities!$A$14:$A$23,9)&lt;=A28,INDEX(Abilities!$C$14:$C$23,9)*CHOOSE(Inputs!$C$13,1,INDEX(Abilities!$J$14:$J$23,9),INDEX(Abilities!$I$14:$I$23,9))*W28/MAX(INDEX(Abilities!$D$14:$D$23,9),Inputs!$C$12),0)</f>
        <v/>
      </c>
      <c r="AH28" s="17">
        <f>IF(INDEX(Abilities!$A$14:$A$23,10)&lt;=A28,INDEX(Abilities!$C$14:$C$23,10)*CHOOSE(Inputs!$C$13,1,INDEX(Abilities!$J$14:$J$23,10),INDEX(Abilities!$I$14:$I$23,10))*W28/MAX(INDEX(Abilities!$D$14:$D$23,10),Inputs!$C$12),0)</f>
        <v/>
      </c>
      <c r="AI28" s="17">
        <f>IF(INDEX(Abilities!$A$14:$A$23,1)&lt;=A28,MIN(Y28,X28*INDEX(Abilities!$C$14:$C$23,1)*CHOOSE(Inputs!$C$13,1,INDEX(Abilities!$J$14:$J$23,1),INDEX(Abilities!$I$14:$I$23,1))*W28/INDEX(Abilities!$E$14:$E$23,1)),0)</f>
        <v/>
      </c>
      <c r="AJ28" s="17">
        <f>IF(INDEX(Abilities!$A$14:$A$23,2)&lt;=A28,MIN(Z28,X28*INDEX(Abilities!$C$14:$C$23,2)*CHOOSE(Inputs!$C$13,1,INDEX(Abilities!$J$14:$J$23,2),INDEX(Abilities!$I$14:$I$23,2))*W28/INDEX(Abilities!$E$14:$E$23,2)),0)</f>
        <v/>
      </c>
      <c r="AK28" s="17">
        <f>IF(INDEX(Abilities!$A$14:$A$23,3)&lt;=A28,MIN(AA28,X28*INDEX(Abilities!$C$14:$C$23,3)*CHOOSE(Inputs!$C$13,1,INDEX(Abilities!$J$14:$J$23,3),INDEX(Abilities!$I$14:$I$23,3))*W28/INDEX(Abilities!$E$14:$E$23,3)),0)</f>
        <v/>
      </c>
      <c r="AL28" s="17">
        <f>IF(INDEX(Abilities!$A$14:$A$23,4)&lt;=A28,MIN(AB28,X28*INDEX(Abilities!$C$14:$C$23,4)*CHOOSE(Inputs!$C$13,1,INDEX(Abilities!$J$14:$J$23,4),INDEX(Abilities!$I$14:$I$23,4))*W28/INDEX(Abilities!$E$14:$E$23,4)),0)</f>
        <v/>
      </c>
      <c r="AM28" s="17">
        <f>IF(INDEX(Abilities!$A$14:$A$23,5)&lt;=A28,MIN(AC28,X28*INDEX(Abilities!$C$14:$C$23,5)*CHOOSE(Inputs!$C$13,1,INDEX(Abilities!$J$14:$J$23,5),INDEX(Abilities!$I$14:$I$23,5))*W28/INDEX(Abilities!$E$14:$E$23,5)),0)</f>
        <v/>
      </c>
      <c r="AN28" s="17">
        <f>IF(INDEX(Abilities!$A$14:$A$23,6)&lt;=A28,MIN(AD28,X28*INDEX(Abilities!$C$14:$C$23,6)*CHOOSE(Inputs!$C$13,1,INDEX(Abilities!$J$14:$J$23,6),INDEX(Abilities!$I$14:$I$23,6))*W28/INDEX(Abilities!$E$14:$E$23,6)),0)</f>
        <v/>
      </c>
      <c r="AO28" s="17">
        <f>IF(INDEX(Abilities!$A$14:$A$23,7)&lt;=A28,MIN(AE28,X28*INDEX(Abilities!$C$14:$C$23,7)*CHOOSE(Inputs!$C$13,1,INDEX(Abilities!$J$14:$J$23,7),INDEX(Abilities!$I$14:$I$23,7))*W28/INDEX(Abilities!$E$14:$E$23,7)),0)</f>
        <v/>
      </c>
      <c r="AP28" s="17">
        <f>IF(INDEX(Abilities!$A$14:$A$23,8)&lt;=A28,MIN(AF28,X28*INDEX(Abilities!$C$14:$C$23,8)*CHOOSE(Inputs!$C$13,1,INDEX(Abilities!$J$14:$J$23,8),INDEX(Abilities!$I$14:$I$23,8))*W28/INDEX(Abilities!$E$14:$E$23,8)),0)</f>
        <v/>
      </c>
      <c r="AQ28" s="17">
        <f>IF(INDEX(Abilities!$A$14:$A$23,9)&lt;=A28,MIN(AG28,X28*INDEX(Abilities!$C$14:$C$23,9)*CHOOSE(Inputs!$C$13,1,INDEX(Abilities!$J$14:$J$23,9),INDEX(Abilities!$I$14:$I$23,9))*W28/INDEX(Abilities!$E$14:$E$23,9)),0)</f>
        <v/>
      </c>
      <c r="AR28" s="17">
        <f>IF(INDEX(Abilities!$A$14:$A$23,10)&lt;=A28,MIN(AH28,X28*INDEX(Abilities!$C$14:$C$23,10)*CHOOSE(Inputs!$C$13,1,INDEX(Abilities!$J$14:$J$23,10),INDEX(Abilities!$I$14:$I$23,10))*W28/INDEX(Abilities!$E$14:$E$23,10)),0)</f>
        <v/>
      </c>
      <c r="AS28" s="17">
        <f>IF(INDEX(Abilities!$A$14:$A$23,1)&lt;=A28,INDEX(Abilities!$C$14:$C$23,1)*CHOOSE(Inputs!$C$13,1,INDEX(Abilities!$J$14:$J$23,1),INDEX(Abilities!$I$14:$I$23,1))*W28/MAX(INDEX(Abilities!$D$14:$D$23,1),2*Inputs!$C$12),0)</f>
        <v/>
      </c>
      <c r="AT28" s="17">
        <f>IF(INDEX(Abilities!$A$14:$A$23,2)&lt;=A28,INDEX(Abilities!$C$14:$C$23,2)*CHOOSE(Inputs!$C$13,1,INDEX(Abilities!$J$14:$J$23,2),INDEX(Abilities!$I$14:$I$23,2))*W28/MAX(INDEX(Abilities!$D$14:$D$23,2),2*Inputs!$C$12),0)</f>
        <v/>
      </c>
      <c r="AU28" s="17">
        <f>IF(INDEX(Abilities!$A$14:$A$23,3)&lt;=A28,INDEX(Abilities!$C$14:$C$23,3)*CHOOSE(Inputs!$C$13,1,INDEX(Abilities!$J$14:$J$23,3),INDEX(Abilities!$I$14:$I$23,3))*W28/MAX(INDEX(Abilities!$D$14:$D$23,3),2*Inputs!$C$12),0)</f>
        <v/>
      </c>
      <c r="AV28" s="17">
        <f>IF(INDEX(Abilities!$A$14:$A$23,4)&lt;=A28,INDEX(Abilities!$C$14:$C$23,4)*CHOOSE(Inputs!$C$13,1,INDEX(Abilities!$J$14:$J$23,4),INDEX(Abilities!$I$14:$I$23,4))*W28/MAX(INDEX(Abilities!$D$14:$D$23,4),2*Inputs!$C$12),0)</f>
        <v/>
      </c>
      <c r="AW28" s="17">
        <f>IF(INDEX(Abilities!$A$14:$A$23,5)&lt;=A28,INDEX(Abilities!$C$14:$C$23,5)*CHOOSE(Inputs!$C$13,1,INDEX(Abilities!$J$14:$J$23,5),INDEX(Abilities!$I$14:$I$23,5))*W28/MAX(INDEX(Abilities!$D$14:$D$23,5),2*Inputs!$C$12),0)</f>
        <v/>
      </c>
      <c r="AX28" s="17">
        <f>IF(INDEX(Abilities!$A$14:$A$23,6)&lt;=A28,INDEX(Abilities!$C$14:$C$23,6)*CHOOSE(Inputs!$C$13,1,INDEX(Abilities!$J$14:$J$23,6),INDEX(Abilities!$I$14:$I$23,6))*W28/MAX(INDEX(Abilities!$D$14:$D$23,6),2*Inputs!$C$12),0)</f>
        <v/>
      </c>
      <c r="AY28" s="17">
        <f>IF(INDEX(Abilities!$A$14:$A$23,7)&lt;=A28,INDEX(Abilities!$C$14:$C$23,7)*CHOOSE(Inputs!$C$13,1,INDEX(Abilities!$J$14:$J$23,7),INDEX(Abilities!$I$14:$I$23,7))*W28/MAX(INDEX(Abilities!$D$14:$D$23,7),2*Inputs!$C$12),0)</f>
        <v/>
      </c>
      <c r="AZ28" s="17">
        <f>IF(INDEX(Abilities!$A$14:$A$23,8)&lt;=A28,INDEX(Abilities!$C$14:$C$23,8)*CHOOSE(Inputs!$C$13,1,INDEX(Abilities!$J$14:$J$23,8),INDEX(Abilities!$I$14:$I$23,8))*W28/MAX(INDEX(Abilities!$D$14:$D$23,8),2*Inputs!$C$12),0)</f>
        <v/>
      </c>
      <c r="BA28" s="17">
        <f>IF(INDEX(Abilities!$A$14:$A$23,9)&lt;=A28,INDEX(Abilities!$C$14:$C$23,9)*CHOOSE(Inputs!$C$13,1,INDEX(Abilities!$J$14:$J$23,9),INDEX(Abilities!$I$14:$I$23,9))*W28/MAX(INDEX(Abilities!$D$14:$D$23,9),2*Inputs!$C$12),0)</f>
        <v/>
      </c>
      <c r="BB28" s="17">
        <f>IF(INDEX(Abilities!$A$14:$A$23,10)&lt;=A28,INDEX(Abilities!$C$14:$C$23,10)*CHOOSE(Inputs!$C$13,1,INDEX(Abilities!$J$14:$J$23,10),INDEX(Abilities!$I$14:$I$23,10))*W28/MAX(INDEX(Abilities!$D$14:$D$23,10),2*Inputs!$C$12),0)</f>
        <v/>
      </c>
      <c r="BC28" s="27">
        <f>MAX(Y28:AH28)</f>
        <v/>
      </c>
      <c r="BD28" s="8">
        <f>MATCH(BC28,Y28:AH28,0)</f>
        <v/>
      </c>
      <c r="BE28" s="15">
        <f>INDEX(Abilities!$B$14:$B$23,BD28)</f>
        <v/>
      </c>
      <c r="BF28" s="16">
        <f>CHOOSE(Inputs!$C$13,1,INDEX(Abilities!$J$14:$J$23,BD28),INDEX(Abilities!$I$14:$I$23,BD28))</f>
        <v/>
      </c>
      <c r="BG28" s="17">
        <f>INDEX(Abilities!$E$14:$E$23,BD28)/MAX(INDEX(Abilities!$D$14:$D$23,BD28),Inputs!$C$12)</f>
        <v/>
      </c>
      <c r="BH28" s="27">
        <f>MAX(AI28:AR28)</f>
        <v/>
      </c>
      <c r="BI28" s="8">
        <f>MATCH(BH28,AI28:AR28,0)</f>
        <v/>
      </c>
      <c r="BJ28" s="15">
        <f>INDEX(Abilities!$B$14:$B$23,BI28)</f>
        <v/>
      </c>
      <c r="BK28" s="14">
        <f>IFERROR(ROUNDUP(C28/(INDEX(Abilities!$C$14:$C$23,BD28)*W28),0),"-")</f>
        <v/>
      </c>
      <c r="BL28" s="9">
        <f>IFERROR(C28*INDEX(Abilities!$E$14:$E$23,BI28)/(INDEX(Abilities!$C$14:$C$23,BI28)*CHOOSE(Inputs!$C$13,1,INDEX(Abilities!$J$14:$J$23,BI28),INDEX(Abilities!$I$14:$I$23,BI28))*W28),"-")</f>
        <v/>
      </c>
      <c r="BM28" s="60">
        <f>IFERROR(P28/BL28,"-")</f>
        <v/>
      </c>
      <c r="BN28" s="17">
        <f>BH28+Inputs!$C$18*V28</f>
        <v/>
      </c>
      <c r="BO28" s="17">
        <f>BC28+Inputs!$C$18*V28</f>
        <v/>
      </c>
      <c r="BP28" s="27">
        <f>LARGE(AS28:BB28,1)+LARGE(AS28:BB28,2)</f>
        <v/>
      </c>
      <c r="BQ28" s="60">
        <f>IFERROR(IF(BG28&lt;=X28,C28/BO28,IF(C28/BO28*(BG28-X28)&lt;=P28,C28/BO28,P28/(BG28-X28)+(C28-BO28*P28/(BG28-X28))/BN28)),"-")</f>
        <v/>
      </c>
      <c r="BR28" s="60">
        <f>BQ28</f>
        <v/>
      </c>
      <c r="BS28" s="9">
        <f>MAX(0,(E28+(B28-A28))*(1-R28)*(1-Q28*'Class Table'!$O$7/Inputs!$C$19)-Q28*'Class Table'!$O$7/25)</f>
        <v/>
      </c>
      <c r="BT28" s="26">
        <f>IFERROR(BS28/F28*BR28,"-")</f>
        <v/>
      </c>
      <c r="BU28" s="28">
        <f>IFERROR(BT28/O28,"-")</f>
        <v/>
      </c>
      <c r="BV28" s="9">
        <f>IFERROR(O28*Inputs!$C$24/Inputs!$C$22*BR28,"-")</f>
        <v/>
      </c>
      <c r="BW28" s="28">
        <f>IFERROR(MAX(0,BT28-BV28)/O28,"-")</f>
        <v/>
      </c>
    </row>
    <row r="29">
      <c r="A29" s="8" t="n">
        <v>26</v>
      </c>
      <c r="B29" s="14">
        <f>'Mob by Level'!B29</f>
        <v/>
      </c>
      <c r="C29" s="9">
        <f>'Mob by Level'!C29</f>
        <v/>
      </c>
      <c r="D29" s="9">
        <f>'Mob by Level'!D29</f>
        <v/>
      </c>
      <c r="E29" s="9">
        <f>'Mob by Level'!E29</f>
        <v/>
      </c>
      <c r="F29" s="16">
        <f>'Mob by Level'!F29</f>
        <v/>
      </c>
      <c r="G29" s="14">
        <f>SUMIFS(Gear!$D$4:$D$603,Gear!$A$4:$A$603,A29,Gear!$B$4:$B$603,"Magus",Gear!$C$4:$C$603,Inputs!$C$5)</f>
        <v/>
      </c>
      <c r="H29" s="14">
        <f>SUMIFS(Gear!$E$4:$E$603,Gear!$A$4:$A$603,A29,Gear!$B$4:$B$603,"Magus",Gear!$C$4:$C$603,Inputs!$C$5)</f>
        <v/>
      </c>
      <c r="I29" s="14">
        <f>SUMIFS(Gear!$F$4:$F$603,Gear!$A$4:$A$603,A29,Gear!$B$4:$B$603,"Magus",Gear!$C$4:$C$603,Inputs!$C$5)+Inputs!$C$17*IFERROR(LOOKUP(A29,Abilities!$A$49:$A$53,Abilities!$C$49:$C$53),0)</f>
        <v/>
      </c>
      <c r="J29" s="13">
        <f>SUMIFS(Gear!$J$4:$J$603,Gear!$A$4:$A$603,A29,Gear!$B$4:$B$603,"Magus",Gear!$C$4:$C$603,Inputs!$C$5)</f>
        <v/>
      </c>
      <c r="K29" s="13">
        <f>SUMIFS(Gear!$K$4:$K$603,Gear!$A$4:$A$603,A29,Gear!$B$4:$B$603,"Magus",Gear!$C$4:$C$603,Inputs!$C$5)</f>
        <v/>
      </c>
      <c r="L29" s="13">
        <f>SUMIFS(Gear!$L$4:$L$603,Gear!$A$4:$A$603,A29,Gear!$B$4:$B$603,"Magus",Gear!$C$4:$C$603,Inputs!$C$5)</f>
        <v/>
      </c>
      <c r="M29" s="13">
        <f>SUMIFS(Gear!$M$4:$M$603,Gear!$A$4:$A$603,A29,Gear!$B$4:$B$603,"Magus",Gear!$C$4:$C$603,Inputs!$C$5)</f>
        <v/>
      </c>
      <c r="N29" s="13">
        <f>SUMIFS(Gear!$N$4:$N$603,Gear!$A$4:$A$603,A29,Gear!$B$4:$B$603,"Magus",Gear!$C$4:$C$603,Inputs!$C$5)</f>
        <v/>
      </c>
      <c r="O29" s="9">
        <f>INDEX('Class Table'!$H$4:$H$53,A29)+SUMIFS(Gear!$G$4:$G$603,Gear!$A$4:$A$603,A29,Gear!$B$4:$B$603,"Magus",Gear!$C$4:$C$603,Inputs!$C$5)</f>
        <v/>
      </c>
      <c r="P29" s="9">
        <f>INDEX('Class Table'!$I$4:$I$53,A29)+SUMIFS(Gear!$H$4:$H$603,Gear!$A$4:$A$603,A29,Gear!$B$4:$B$603,"Magus",Gear!$C$4:$C$603,Inputs!$C$5)</f>
        <v/>
      </c>
      <c r="Q29" s="9">
        <f>INDEX('Class Table'!$J$4:$J$53,A29)+SUMIFS(Gear!$I$4:$I$603,Gear!$A$4:$A$603,A29,Gear!$B$4:$B$603,"Magus",Gear!$C$4:$C$603,Inputs!$C$5)</f>
        <v/>
      </c>
      <c r="R29" s="13">
        <f>SUMIFS(Gear!$O$4:$O$603,Gear!$A$4:$A$603,A29,Gear!$B$4:$B$603,"Magus",Gear!$C$4:$C$603,Inputs!$C$5)</f>
        <v/>
      </c>
      <c r="S29" s="26">
        <f>I29+0+G29+A29+MAX(1,A29/2)+(A29-B29)</f>
        <v/>
      </c>
      <c r="T29" s="9">
        <f>MAX(0,S29*(1+M29)*(1+L29)*Inputs!$C$20*(1-D29/Inputs!$C$19)-D29/25)</f>
        <v/>
      </c>
      <c r="U29" s="16">
        <f>H29/10*(1-MIN(0.95,N29+0))*Inputs!$C$21</f>
        <v/>
      </c>
      <c r="V29" s="27">
        <f>T29/U29</f>
        <v/>
      </c>
      <c r="W29" s="16">
        <f>(1+J29)*(1+K29)*Inputs!$C$20</f>
        <v/>
      </c>
      <c r="X29" s="17">
        <f>P29*Inputs!$C$23/Inputs!$C$22</f>
        <v/>
      </c>
      <c r="Y29" s="17">
        <f>IF(INDEX(Abilities!$A$14:$A$23,1)&lt;=A29,INDEX(Abilities!$C$14:$C$23,1)*CHOOSE(Inputs!$C$13,1,INDEX(Abilities!$J$14:$J$23,1),INDEX(Abilities!$I$14:$I$23,1))*W29/MAX(INDEX(Abilities!$D$14:$D$23,1),Inputs!$C$12),0)</f>
        <v/>
      </c>
      <c r="Z29" s="17">
        <f>IF(INDEX(Abilities!$A$14:$A$23,2)&lt;=A29,INDEX(Abilities!$C$14:$C$23,2)*CHOOSE(Inputs!$C$13,1,INDEX(Abilities!$J$14:$J$23,2),INDEX(Abilities!$I$14:$I$23,2))*W29/MAX(INDEX(Abilities!$D$14:$D$23,2),Inputs!$C$12),0)</f>
        <v/>
      </c>
      <c r="AA29" s="17">
        <f>IF(INDEX(Abilities!$A$14:$A$23,3)&lt;=A29,INDEX(Abilities!$C$14:$C$23,3)*CHOOSE(Inputs!$C$13,1,INDEX(Abilities!$J$14:$J$23,3),INDEX(Abilities!$I$14:$I$23,3))*W29/MAX(INDEX(Abilities!$D$14:$D$23,3),Inputs!$C$12),0)</f>
        <v/>
      </c>
      <c r="AB29" s="17">
        <f>IF(INDEX(Abilities!$A$14:$A$23,4)&lt;=A29,INDEX(Abilities!$C$14:$C$23,4)*CHOOSE(Inputs!$C$13,1,INDEX(Abilities!$J$14:$J$23,4),INDEX(Abilities!$I$14:$I$23,4))*W29/MAX(INDEX(Abilities!$D$14:$D$23,4),Inputs!$C$12),0)</f>
        <v/>
      </c>
      <c r="AC29" s="17">
        <f>IF(INDEX(Abilities!$A$14:$A$23,5)&lt;=A29,INDEX(Abilities!$C$14:$C$23,5)*CHOOSE(Inputs!$C$13,1,INDEX(Abilities!$J$14:$J$23,5),INDEX(Abilities!$I$14:$I$23,5))*W29/MAX(INDEX(Abilities!$D$14:$D$23,5),Inputs!$C$12),0)</f>
        <v/>
      </c>
      <c r="AD29" s="17">
        <f>IF(INDEX(Abilities!$A$14:$A$23,6)&lt;=A29,INDEX(Abilities!$C$14:$C$23,6)*CHOOSE(Inputs!$C$13,1,INDEX(Abilities!$J$14:$J$23,6),INDEX(Abilities!$I$14:$I$23,6))*W29/MAX(INDEX(Abilities!$D$14:$D$23,6),Inputs!$C$12),0)</f>
        <v/>
      </c>
      <c r="AE29" s="17">
        <f>IF(INDEX(Abilities!$A$14:$A$23,7)&lt;=A29,INDEX(Abilities!$C$14:$C$23,7)*CHOOSE(Inputs!$C$13,1,INDEX(Abilities!$J$14:$J$23,7),INDEX(Abilities!$I$14:$I$23,7))*W29/MAX(INDEX(Abilities!$D$14:$D$23,7),Inputs!$C$12),0)</f>
        <v/>
      </c>
      <c r="AF29" s="17">
        <f>IF(INDEX(Abilities!$A$14:$A$23,8)&lt;=A29,INDEX(Abilities!$C$14:$C$23,8)*CHOOSE(Inputs!$C$13,1,INDEX(Abilities!$J$14:$J$23,8),INDEX(Abilities!$I$14:$I$23,8))*W29/MAX(INDEX(Abilities!$D$14:$D$23,8),Inputs!$C$12),0)</f>
        <v/>
      </c>
      <c r="AG29" s="17">
        <f>IF(INDEX(Abilities!$A$14:$A$23,9)&lt;=A29,INDEX(Abilities!$C$14:$C$23,9)*CHOOSE(Inputs!$C$13,1,INDEX(Abilities!$J$14:$J$23,9),INDEX(Abilities!$I$14:$I$23,9))*W29/MAX(INDEX(Abilities!$D$14:$D$23,9),Inputs!$C$12),0)</f>
        <v/>
      </c>
      <c r="AH29" s="17">
        <f>IF(INDEX(Abilities!$A$14:$A$23,10)&lt;=A29,INDEX(Abilities!$C$14:$C$23,10)*CHOOSE(Inputs!$C$13,1,INDEX(Abilities!$J$14:$J$23,10),INDEX(Abilities!$I$14:$I$23,10))*W29/MAX(INDEX(Abilities!$D$14:$D$23,10),Inputs!$C$12),0)</f>
        <v/>
      </c>
      <c r="AI29" s="17">
        <f>IF(INDEX(Abilities!$A$14:$A$23,1)&lt;=A29,MIN(Y29,X29*INDEX(Abilities!$C$14:$C$23,1)*CHOOSE(Inputs!$C$13,1,INDEX(Abilities!$J$14:$J$23,1),INDEX(Abilities!$I$14:$I$23,1))*W29/INDEX(Abilities!$E$14:$E$23,1)),0)</f>
        <v/>
      </c>
      <c r="AJ29" s="17">
        <f>IF(INDEX(Abilities!$A$14:$A$23,2)&lt;=A29,MIN(Z29,X29*INDEX(Abilities!$C$14:$C$23,2)*CHOOSE(Inputs!$C$13,1,INDEX(Abilities!$J$14:$J$23,2),INDEX(Abilities!$I$14:$I$23,2))*W29/INDEX(Abilities!$E$14:$E$23,2)),0)</f>
        <v/>
      </c>
      <c r="AK29" s="17">
        <f>IF(INDEX(Abilities!$A$14:$A$23,3)&lt;=A29,MIN(AA29,X29*INDEX(Abilities!$C$14:$C$23,3)*CHOOSE(Inputs!$C$13,1,INDEX(Abilities!$J$14:$J$23,3),INDEX(Abilities!$I$14:$I$23,3))*W29/INDEX(Abilities!$E$14:$E$23,3)),0)</f>
        <v/>
      </c>
      <c r="AL29" s="17">
        <f>IF(INDEX(Abilities!$A$14:$A$23,4)&lt;=A29,MIN(AB29,X29*INDEX(Abilities!$C$14:$C$23,4)*CHOOSE(Inputs!$C$13,1,INDEX(Abilities!$J$14:$J$23,4),INDEX(Abilities!$I$14:$I$23,4))*W29/INDEX(Abilities!$E$14:$E$23,4)),0)</f>
        <v/>
      </c>
      <c r="AM29" s="17">
        <f>IF(INDEX(Abilities!$A$14:$A$23,5)&lt;=A29,MIN(AC29,X29*INDEX(Abilities!$C$14:$C$23,5)*CHOOSE(Inputs!$C$13,1,INDEX(Abilities!$J$14:$J$23,5),INDEX(Abilities!$I$14:$I$23,5))*W29/INDEX(Abilities!$E$14:$E$23,5)),0)</f>
        <v/>
      </c>
      <c r="AN29" s="17">
        <f>IF(INDEX(Abilities!$A$14:$A$23,6)&lt;=A29,MIN(AD29,X29*INDEX(Abilities!$C$14:$C$23,6)*CHOOSE(Inputs!$C$13,1,INDEX(Abilities!$J$14:$J$23,6),INDEX(Abilities!$I$14:$I$23,6))*W29/INDEX(Abilities!$E$14:$E$23,6)),0)</f>
        <v/>
      </c>
      <c r="AO29" s="17">
        <f>IF(INDEX(Abilities!$A$14:$A$23,7)&lt;=A29,MIN(AE29,X29*INDEX(Abilities!$C$14:$C$23,7)*CHOOSE(Inputs!$C$13,1,INDEX(Abilities!$J$14:$J$23,7),INDEX(Abilities!$I$14:$I$23,7))*W29/INDEX(Abilities!$E$14:$E$23,7)),0)</f>
        <v/>
      </c>
      <c r="AP29" s="17">
        <f>IF(INDEX(Abilities!$A$14:$A$23,8)&lt;=A29,MIN(AF29,X29*INDEX(Abilities!$C$14:$C$23,8)*CHOOSE(Inputs!$C$13,1,INDEX(Abilities!$J$14:$J$23,8),INDEX(Abilities!$I$14:$I$23,8))*W29/INDEX(Abilities!$E$14:$E$23,8)),0)</f>
        <v/>
      </c>
      <c r="AQ29" s="17">
        <f>IF(INDEX(Abilities!$A$14:$A$23,9)&lt;=A29,MIN(AG29,X29*INDEX(Abilities!$C$14:$C$23,9)*CHOOSE(Inputs!$C$13,1,INDEX(Abilities!$J$14:$J$23,9),INDEX(Abilities!$I$14:$I$23,9))*W29/INDEX(Abilities!$E$14:$E$23,9)),0)</f>
        <v/>
      </c>
      <c r="AR29" s="17">
        <f>IF(INDEX(Abilities!$A$14:$A$23,10)&lt;=A29,MIN(AH29,X29*INDEX(Abilities!$C$14:$C$23,10)*CHOOSE(Inputs!$C$13,1,INDEX(Abilities!$J$14:$J$23,10),INDEX(Abilities!$I$14:$I$23,10))*W29/INDEX(Abilities!$E$14:$E$23,10)),0)</f>
        <v/>
      </c>
      <c r="AS29" s="17">
        <f>IF(INDEX(Abilities!$A$14:$A$23,1)&lt;=A29,INDEX(Abilities!$C$14:$C$23,1)*CHOOSE(Inputs!$C$13,1,INDEX(Abilities!$J$14:$J$23,1),INDEX(Abilities!$I$14:$I$23,1))*W29/MAX(INDEX(Abilities!$D$14:$D$23,1),2*Inputs!$C$12),0)</f>
        <v/>
      </c>
      <c r="AT29" s="17">
        <f>IF(INDEX(Abilities!$A$14:$A$23,2)&lt;=A29,INDEX(Abilities!$C$14:$C$23,2)*CHOOSE(Inputs!$C$13,1,INDEX(Abilities!$J$14:$J$23,2),INDEX(Abilities!$I$14:$I$23,2))*W29/MAX(INDEX(Abilities!$D$14:$D$23,2),2*Inputs!$C$12),0)</f>
        <v/>
      </c>
      <c r="AU29" s="17">
        <f>IF(INDEX(Abilities!$A$14:$A$23,3)&lt;=A29,INDEX(Abilities!$C$14:$C$23,3)*CHOOSE(Inputs!$C$13,1,INDEX(Abilities!$J$14:$J$23,3),INDEX(Abilities!$I$14:$I$23,3))*W29/MAX(INDEX(Abilities!$D$14:$D$23,3),2*Inputs!$C$12),0)</f>
        <v/>
      </c>
      <c r="AV29" s="17">
        <f>IF(INDEX(Abilities!$A$14:$A$23,4)&lt;=A29,INDEX(Abilities!$C$14:$C$23,4)*CHOOSE(Inputs!$C$13,1,INDEX(Abilities!$J$14:$J$23,4),INDEX(Abilities!$I$14:$I$23,4))*W29/MAX(INDEX(Abilities!$D$14:$D$23,4),2*Inputs!$C$12),0)</f>
        <v/>
      </c>
      <c r="AW29" s="17">
        <f>IF(INDEX(Abilities!$A$14:$A$23,5)&lt;=A29,INDEX(Abilities!$C$14:$C$23,5)*CHOOSE(Inputs!$C$13,1,INDEX(Abilities!$J$14:$J$23,5),INDEX(Abilities!$I$14:$I$23,5))*W29/MAX(INDEX(Abilities!$D$14:$D$23,5),2*Inputs!$C$12),0)</f>
        <v/>
      </c>
      <c r="AX29" s="17">
        <f>IF(INDEX(Abilities!$A$14:$A$23,6)&lt;=A29,INDEX(Abilities!$C$14:$C$23,6)*CHOOSE(Inputs!$C$13,1,INDEX(Abilities!$J$14:$J$23,6),INDEX(Abilities!$I$14:$I$23,6))*W29/MAX(INDEX(Abilities!$D$14:$D$23,6),2*Inputs!$C$12),0)</f>
        <v/>
      </c>
      <c r="AY29" s="17">
        <f>IF(INDEX(Abilities!$A$14:$A$23,7)&lt;=A29,INDEX(Abilities!$C$14:$C$23,7)*CHOOSE(Inputs!$C$13,1,INDEX(Abilities!$J$14:$J$23,7),INDEX(Abilities!$I$14:$I$23,7))*W29/MAX(INDEX(Abilities!$D$14:$D$23,7),2*Inputs!$C$12),0)</f>
        <v/>
      </c>
      <c r="AZ29" s="17">
        <f>IF(INDEX(Abilities!$A$14:$A$23,8)&lt;=A29,INDEX(Abilities!$C$14:$C$23,8)*CHOOSE(Inputs!$C$13,1,INDEX(Abilities!$J$14:$J$23,8),INDEX(Abilities!$I$14:$I$23,8))*W29/MAX(INDEX(Abilities!$D$14:$D$23,8),2*Inputs!$C$12),0)</f>
        <v/>
      </c>
      <c r="BA29" s="17">
        <f>IF(INDEX(Abilities!$A$14:$A$23,9)&lt;=A29,INDEX(Abilities!$C$14:$C$23,9)*CHOOSE(Inputs!$C$13,1,INDEX(Abilities!$J$14:$J$23,9),INDEX(Abilities!$I$14:$I$23,9))*W29/MAX(INDEX(Abilities!$D$14:$D$23,9),2*Inputs!$C$12),0)</f>
        <v/>
      </c>
      <c r="BB29" s="17">
        <f>IF(INDEX(Abilities!$A$14:$A$23,10)&lt;=A29,INDEX(Abilities!$C$14:$C$23,10)*CHOOSE(Inputs!$C$13,1,INDEX(Abilities!$J$14:$J$23,10),INDEX(Abilities!$I$14:$I$23,10))*W29/MAX(INDEX(Abilities!$D$14:$D$23,10),2*Inputs!$C$12),0)</f>
        <v/>
      </c>
      <c r="BC29" s="27">
        <f>MAX(Y29:AH29)</f>
        <v/>
      </c>
      <c r="BD29" s="8">
        <f>MATCH(BC29,Y29:AH29,0)</f>
        <v/>
      </c>
      <c r="BE29" s="15">
        <f>INDEX(Abilities!$B$14:$B$23,BD29)</f>
        <v/>
      </c>
      <c r="BF29" s="16">
        <f>CHOOSE(Inputs!$C$13,1,INDEX(Abilities!$J$14:$J$23,BD29),INDEX(Abilities!$I$14:$I$23,BD29))</f>
        <v/>
      </c>
      <c r="BG29" s="17">
        <f>INDEX(Abilities!$E$14:$E$23,BD29)/MAX(INDEX(Abilities!$D$14:$D$23,BD29),Inputs!$C$12)</f>
        <v/>
      </c>
      <c r="BH29" s="27">
        <f>MAX(AI29:AR29)</f>
        <v/>
      </c>
      <c r="BI29" s="8">
        <f>MATCH(BH29,AI29:AR29,0)</f>
        <v/>
      </c>
      <c r="BJ29" s="15">
        <f>INDEX(Abilities!$B$14:$B$23,BI29)</f>
        <v/>
      </c>
      <c r="BK29" s="14">
        <f>IFERROR(ROUNDUP(C29/(INDEX(Abilities!$C$14:$C$23,BD29)*W29),0),"-")</f>
        <v/>
      </c>
      <c r="BL29" s="9">
        <f>IFERROR(C29*INDEX(Abilities!$E$14:$E$23,BI29)/(INDEX(Abilities!$C$14:$C$23,BI29)*CHOOSE(Inputs!$C$13,1,INDEX(Abilities!$J$14:$J$23,BI29),INDEX(Abilities!$I$14:$I$23,BI29))*W29),"-")</f>
        <v/>
      </c>
      <c r="BM29" s="60">
        <f>IFERROR(P29/BL29,"-")</f>
        <v/>
      </c>
      <c r="BN29" s="17">
        <f>BH29+Inputs!$C$18*V29</f>
        <v/>
      </c>
      <c r="BO29" s="17">
        <f>BC29+Inputs!$C$18*V29</f>
        <v/>
      </c>
      <c r="BP29" s="27">
        <f>LARGE(AS29:BB29,1)+LARGE(AS29:BB29,2)</f>
        <v/>
      </c>
      <c r="BQ29" s="60">
        <f>IFERROR(IF(BG29&lt;=X29,C29/BO29,IF(C29/BO29*(BG29-X29)&lt;=P29,C29/BO29,P29/(BG29-X29)+(C29-BO29*P29/(BG29-X29))/BN29)),"-")</f>
        <v/>
      </c>
      <c r="BR29" s="60">
        <f>BQ29</f>
        <v/>
      </c>
      <c r="BS29" s="9">
        <f>MAX(0,(E29+(B29-A29))*(1-R29)*(1-Q29*'Class Table'!$O$7/Inputs!$C$19)-Q29*'Class Table'!$O$7/25)</f>
        <v/>
      </c>
      <c r="BT29" s="26">
        <f>IFERROR(BS29/F29*BR29,"-")</f>
        <v/>
      </c>
      <c r="BU29" s="28">
        <f>IFERROR(BT29/O29,"-")</f>
        <v/>
      </c>
      <c r="BV29" s="9">
        <f>IFERROR(O29*Inputs!$C$24/Inputs!$C$22*BR29,"-")</f>
        <v/>
      </c>
      <c r="BW29" s="28">
        <f>IFERROR(MAX(0,BT29-BV29)/O29,"-")</f>
        <v/>
      </c>
    </row>
    <row r="30">
      <c r="A30" s="8" t="n">
        <v>27</v>
      </c>
      <c r="B30" s="14">
        <f>'Mob by Level'!B30</f>
        <v/>
      </c>
      <c r="C30" s="9">
        <f>'Mob by Level'!C30</f>
        <v/>
      </c>
      <c r="D30" s="9">
        <f>'Mob by Level'!D30</f>
        <v/>
      </c>
      <c r="E30" s="9">
        <f>'Mob by Level'!E30</f>
        <v/>
      </c>
      <c r="F30" s="16">
        <f>'Mob by Level'!F30</f>
        <v/>
      </c>
      <c r="G30" s="14">
        <f>SUMIFS(Gear!$D$4:$D$603,Gear!$A$4:$A$603,A30,Gear!$B$4:$B$603,"Magus",Gear!$C$4:$C$603,Inputs!$C$5)</f>
        <v/>
      </c>
      <c r="H30" s="14">
        <f>SUMIFS(Gear!$E$4:$E$603,Gear!$A$4:$A$603,A30,Gear!$B$4:$B$603,"Magus",Gear!$C$4:$C$603,Inputs!$C$5)</f>
        <v/>
      </c>
      <c r="I30" s="14">
        <f>SUMIFS(Gear!$F$4:$F$603,Gear!$A$4:$A$603,A30,Gear!$B$4:$B$603,"Magus",Gear!$C$4:$C$603,Inputs!$C$5)+Inputs!$C$17*IFERROR(LOOKUP(A30,Abilities!$A$49:$A$53,Abilities!$C$49:$C$53),0)</f>
        <v/>
      </c>
      <c r="J30" s="13">
        <f>SUMIFS(Gear!$J$4:$J$603,Gear!$A$4:$A$603,A30,Gear!$B$4:$B$603,"Magus",Gear!$C$4:$C$603,Inputs!$C$5)</f>
        <v/>
      </c>
      <c r="K30" s="13">
        <f>SUMIFS(Gear!$K$4:$K$603,Gear!$A$4:$A$603,A30,Gear!$B$4:$B$603,"Magus",Gear!$C$4:$C$603,Inputs!$C$5)</f>
        <v/>
      </c>
      <c r="L30" s="13">
        <f>SUMIFS(Gear!$L$4:$L$603,Gear!$A$4:$A$603,A30,Gear!$B$4:$B$603,"Magus",Gear!$C$4:$C$603,Inputs!$C$5)</f>
        <v/>
      </c>
      <c r="M30" s="13">
        <f>SUMIFS(Gear!$M$4:$M$603,Gear!$A$4:$A$603,A30,Gear!$B$4:$B$603,"Magus",Gear!$C$4:$C$603,Inputs!$C$5)</f>
        <v/>
      </c>
      <c r="N30" s="13">
        <f>SUMIFS(Gear!$N$4:$N$603,Gear!$A$4:$A$603,A30,Gear!$B$4:$B$603,"Magus",Gear!$C$4:$C$603,Inputs!$C$5)</f>
        <v/>
      </c>
      <c r="O30" s="9">
        <f>INDEX('Class Table'!$H$4:$H$53,A30)+SUMIFS(Gear!$G$4:$G$603,Gear!$A$4:$A$603,A30,Gear!$B$4:$B$603,"Magus",Gear!$C$4:$C$603,Inputs!$C$5)</f>
        <v/>
      </c>
      <c r="P30" s="9">
        <f>INDEX('Class Table'!$I$4:$I$53,A30)+SUMIFS(Gear!$H$4:$H$603,Gear!$A$4:$A$603,A30,Gear!$B$4:$B$603,"Magus",Gear!$C$4:$C$603,Inputs!$C$5)</f>
        <v/>
      </c>
      <c r="Q30" s="9">
        <f>INDEX('Class Table'!$J$4:$J$53,A30)+SUMIFS(Gear!$I$4:$I$603,Gear!$A$4:$A$603,A30,Gear!$B$4:$B$603,"Magus",Gear!$C$4:$C$603,Inputs!$C$5)</f>
        <v/>
      </c>
      <c r="R30" s="13">
        <f>SUMIFS(Gear!$O$4:$O$603,Gear!$A$4:$A$603,A30,Gear!$B$4:$B$603,"Magus",Gear!$C$4:$C$603,Inputs!$C$5)</f>
        <v/>
      </c>
      <c r="S30" s="26">
        <f>I30+0+G30+A30+MAX(1,A30/2)+(A30-B30)</f>
        <v/>
      </c>
      <c r="T30" s="9">
        <f>MAX(0,S30*(1+M30)*(1+L30)*Inputs!$C$20*(1-D30/Inputs!$C$19)-D30/25)</f>
        <v/>
      </c>
      <c r="U30" s="16">
        <f>H30/10*(1-MIN(0.95,N30+0))*Inputs!$C$21</f>
        <v/>
      </c>
      <c r="V30" s="27">
        <f>T30/U30</f>
        <v/>
      </c>
      <c r="W30" s="16">
        <f>(1+J30)*(1+K30)*Inputs!$C$20</f>
        <v/>
      </c>
      <c r="X30" s="17">
        <f>P30*Inputs!$C$23/Inputs!$C$22</f>
        <v/>
      </c>
      <c r="Y30" s="17">
        <f>IF(INDEX(Abilities!$A$14:$A$23,1)&lt;=A30,INDEX(Abilities!$C$14:$C$23,1)*CHOOSE(Inputs!$C$13,1,INDEX(Abilities!$J$14:$J$23,1),INDEX(Abilities!$I$14:$I$23,1))*W30/MAX(INDEX(Abilities!$D$14:$D$23,1),Inputs!$C$12),0)</f>
        <v/>
      </c>
      <c r="Z30" s="17">
        <f>IF(INDEX(Abilities!$A$14:$A$23,2)&lt;=A30,INDEX(Abilities!$C$14:$C$23,2)*CHOOSE(Inputs!$C$13,1,INDEX(Abilities!$J$14:$J$23,2),INDEX(Abilities!$I$14:$I$23,2))*W30/MAX(INDEX(Abilities!$D$14:$D$23,2),Inputs!$C$12),0)</f>
        <v/>
      </c>
      <c r="AA30" s="17">
        <f>IF(INDEX(Abilities!$A$14:$A$23,3)&lt;=A30,INDEX(Abilities!$C$14:$C$23,3)*CHOOSE(Inputs!$C$13,1,INDEX(Abilities!$J$14:$J$23,3),INDEX(Abilities!$I$14:$I$23,3))*W30/MAX(INDEX(Abilities!$D$14:$D$23,3),Inputs!$C$12),0)</f>
        <v/>
      </c>
      <c r="AB30" s="17">
        <f>IF(INDEX(Abilities!$A$14:$A$23,4)&lt;=A30,INDEX(Abilities!$C$14:$C$23,4)*CHOOSE(Inputs!$C$13,1,INDEX(Abilities!$J$14:$J$23,4),INDEX(Abilities!$I$14:$I$23,4))*W30/MAX(INDEX(Abilities!$D$14:$D$23,4),Inputs!$C$12),0)</f>
        <v/>
      </c>
      <c r="AC30" s="17">
        <f>IF(INDEX(Abilities!$A$14:$A$23,5)&lt;=A30,INDEX(Abilities!$C$14:$C$23,5)*CHOOSE(Inputs!$C$13,1,INDEX(Abilities!$J$14:$J$23,5),INDEX(Abilities!$I$14:$I$23,5))*W30/MAX(INDEX(Abilities!$D$14:$D$23,5),Inputs!$C$12),0)</f>
        <v/>
      </c>
      <c r="AD30" s="17">
        <f>IF(INDEX(Abilities!$A$14:$A$23,6)&lt;=A30,INDEX(Abilities!$C$14:$C$23,6)*CHOOSE(Inputs!$C$13,1,INDEX(Abilities!$J$14:$J$23,6),INDEX(Abilities!$I$14:$I$23,6))*W30/MAX(INDEX(Abilities!$D$14:$D$23,6),Inputs!$C$12),0)</f>
        <v/>
      </c>
      <c r="AE30" s="17">
        <f>IF(INDEX(Abilities!$A$14:$A$23,7)&lt;=A30,INDEX(Abilities!$C$14:$C$23,7)*CHOOSE(Inputs!$C$13,1,INDEX(Abilities!$J$14:$J$23,7),INDEX(Abilities!$I$14:$I$23,7))*W30/MAX(INDEX(Abilities!$D$14:$D$23,7),Inputs!$C$12),0)</f>
        <v/>
      </c>
      <c r="AF30" s="17">
        <f>IF(INDEX(Abilities!$A$14:$A$23,8)&lt;=A30,INDEX(Abilities!$C$14:$C$23,8)*CHOOSE(Inputs!$C$13,1,INDEX(Abilities!$J$14:$J$23,8),INDEX(Abilities!$I$14:$I$23,8))*W30/MAX(INDEX(Abilities!$D$14:$D$23,8),Inputs!$C$12),0)</f>
        <v/>
      </c>
      <c r="AG30" s="17">
        <f>IF(INDEX(Abilities!$A$14:$A$23,9)&lt;=A30,INDEX(Abilities!$C$14:$C$23,9)*CHOOSE(Inputs!$C$13,1,INDEX(Abilities!$J$14:$J$23,9),INDEX(Abilities!$I$14:$I$23,9))*W30/MAX(INDEX(Abilities!$D$14:$D$23,9),Inputs!$C$12),0)</f>
        <v/>
      </c>
      <c r="AH30" s="17">
        <f>IF(INDEX(Abilities!$A$14:$A$23,10)&lt;=A30,INDEX(Abilities!$C$14:$C$23,10)*CHOOSE(Inputs!$C$13,1,INDEX(Abilities!$J$14:$J$23,10),INDEX(Abilities!$I$14:$I$23,10))*W30/MAX(INDEX(Abilities!$D$14:$D$23,10),Inputs!$C$12),0)</f>
        <v/>
      </c>
      <c r="AI30" s="17">
        <f>IF(INDEX(Abilities!$A$14:$A$23,1)&lt;=A30,MIN(Y30,X30*INDEX(Abilities!$C$14:$C$23,1)*CHOOSE(Inputs!$C$13,1,INDEX(Abilities!$J$14:$J$23,1),INDEX(Abilities!$I$14:$I$23,1))*W30/INDEX(Abilities!$E$14:$E$23,1)),0)</f>
        <v/>
      </c>
      <c r="AJ30" s="17">
        <f>IF(INDEX(Abilities!$A$14:$A$23,2)&lt;=A30,MIN(Z30,X30*INDEX(Abilities!$C$14:$C$23,2)*CHOOSE(Inputs!$C$13,1,INDEX(Abilities!$J$14:$J$23,2),INDEX(Abilities!$I$14:$I$23,2))*W30/INDEX(Abilities!$E$14:$E$23,2)),0)</f>
        <v/>
      </c>
      <c r="AK30" s="17">
        <f>IF(INDEX(Abilities!$A$14:$A$23,3)&lt;=A30,MIN(AA30,X30*INDEX(Abilities!$C$14:$C$23,3)*CHOOSE(Inputs!$C$13,1,INDEX(Abilities!$J$14:$J$23,3),INDEX(Abilities!$I$14:$I$23,3))*W30/INDEX(Abilities!$E$14:$E$23,3)),0)</f>
        <v/>
      </c>
      <c r="AL30" s="17">
        <f>IF(INDEX(Abilities!$A$14:$A$23,4)&lt;=A30,MIN(AB30,X30*INDEX(Abilities!$C$14:$C$23,4)*CHOOSE(Inputs!$C$13,1,INDEX(Abilities!$J$14:$J$23,4),INDEX(Abilities!$I$14:$I$23,4))*W30/INDEX(Abilities!$E$14:$E$23,4)),0)</f>
        <v/>
      </c>
      <c r="AM30" s="17">
        <f>IF(INDEX(Abilities!$A$14:$A$23,5)&lt;=A30,MIN(AC30,X30*INDEX(Abilities!$C$14:$C$23,5)*CHOOSE(Inputs!$C$13,1,INDEX(Abilities!$J$14:$J$23,5),INDEX(Abilities!$I$14:$I$23,5))*W30/INDEX(Abilities!$E$14:$E$23,5)),0)</f>
        <v/>
      </c>
      <c r="AN30" s="17">
        <f>IF(INDEX(Abilities!$A$14:$A$23,6)&lt;=A30,MIN(AD30,X30*INDEX(Abilities!$C$14:$C$23,6)*CHOOSE(Inputs!$C$13,1,INDEX(Abilities!$J$14:$J$23,6),INDEX(Abilities!$I$14:$I$23,6))*W30/INDEX(Abilities!$E$14:$E$23,6)),0)</f>
        <v/>
      </c>
      <c r="AO30" s="17">
        <f>IF(INDEX(Abilities!$A$14:$A$23,7)&lt;=A30,MIN(AE30,X30*INDEX(Abilities!$C$14:$C$23,7)*CHOOSE(Inputs!$C$13,1,INDEX(Abilities!$J$14:$J$23,7),INDEX(Abilities!$I$14:$I$23,7))*W30/INDEX(Abilities!$E$14:$E$23,7)),0)</f>
        <v/>
      </c>
      <c r="AP30" s="17">
        <f>IF(INDEX(Abilities!$A$14:$A$23,8)&lt;=A30,MIN(AF30,X30*INDEX(Abilities!$C$14:$C$23,8)*CHOOSE(Inputs!$C$13,1,INDEX(Abilities!$J$14:$J$23,8),INDEX(Abilities!$I$14:$I$23,8))*W30/INDEX(Abilities!$E$14:$E$23,8)),0)</f>
        <v/>
      </c>
      <c r="AQ30" s="17">
        <f>IF(INDEX(Abilities!$A$14:$A$23,9)&lt;=A30,MIN(AG30,X30*INDEX(Abilities!$C$14:$C$23,9)*CHOOSE(Inputs!$C$13,1,INDEX(Abilities!$J$14:$J$23,9),INDEX(Abilities!$I$14:$I$23,9))*W30/INDEX(Abilities!$E$14:$E$23,9)),0)</f>
        <v/>
      </c>
      <c r="AR30" s="17">
        <f>IF(INDEX(Abilities!$A$14:$A$23,10)&lt;=A30,MIN(AH30,X30*INDEX(Abilities!$C$14:$C$23,10)*CHOOSE(Inputs!$C$13,1,INDEX(Abilities!$J$14:$J$23,10),INDEX(Abilities!$I$14:$I$23,10))*W30/INDEX(Abilities!$E$14:$E$23,10)),0)</f>
        <v/>
      </c>
      <c r="AS30" s="17">
        <f>IF(INDEX(Abilities!$A$14:$A$23,1)&lt;=A30,INDEX(Abilities!$C$14:$C$23,1)*CHOOSE(Inputs!$C$13,1,INDEX(Abilities!$J$14:$J$23,1),INDEX(Abilities!$I$14:$I$23,1))*W30/MAX(INDEX(Abilities!$D$14:$D$23,1),2*Inputs!$C$12),0)</f>
        <v/>
      </c>
      <c r="AT30" s="17">
        <f>IF(INDEX(Abilities!$A$14:$A$23,2)&lt;=A30,INDEX(Abilities!$C$14:$C$23,2)*CHOOSE(Inputs!$C$13,1,INDEX(Abilities!$J$14:$J$23,2),INDEX(Abilities!$I$14:$I$23,2))*W30/MAX(INDEX(Abilities!$D$14:$D$23,2),2*Inputs!$C$12),0)</f>
        <v/>
      </c>
      <c r="AU30" s="17">
        <f>IF(INDEX(Abilities!$A$14:$A$23,3)&lt;=A30,INDEX(Abilities!$C$14:$C$23,3)*CHOOSE(Inputs!$C$13,1,INDEX(Abilities!$J$14:$J$23,3),INDEX(Abilities!$I$14:$I$23,3))*W30/MAX(INDEX(Abilities!$D$14:$D$23,3),2*Inputs!$C$12),0)</f>
        <v/>
      </c>
      <c r="AV30" s="17">
        <f>IF(INDEX(Abilities!$A$14:$A$23,4)&lt;=A30,INDEX(Abilities!$C$14:$C$23,4)*CHOOSE(Inputs!$C$13,1,INDEX(Abilities!$J$14:$J$23,4),INDEX(Abilities!$I$14:$I$23,4))*W30/MAX(INDEX(Abilities!$D$14:$D$23,4),2*Inputs!$C$12),0)</f>
        <v/>
      </c>
      <c r="AW30" s="17">
        <f>IF(INDEX(Abilities!$A$14:$A$23,5)&lt;=A30,INDEX(Abilities!$C$14:$C$23,5)*CHOOSE(Inputs!$C$13,1,INDEX(Abilities!$J$14:$J$23,5),INDEX(Abilities!$I$14:$I$23,5))*W30/MAX(INDEX(Abilities!$D$14:$D$23,5),2*Inputs!$C$12),0)</f>
        <v/>
      </c>
      <c r="AX30" s="17">
        <f>IF(INDEX(Abilities!$A$14:$A$23,6)&lt;=A30,INDEX(Abilities!$C$14:$C$23,6)*CHOOSE(Inputs!$C$13,1,INDEX(Abilities!$J$14:$J$23,6),INDEX(Abilities!$I$14:$I$23,6))*W30/MAX(INDEX(Abilities!$D$14:$D$23,6),2*Inputs!$C$12),0)</f>
        <v/>
      </c>
      <c r="AY30" s="17">
        <f>IF(INDEX(Abilities!$A$14:$A$23,7)&lt;=A30,INDEX(Abilities!$C$14:$C$23,7)*CHOOSE(Inputs!$C$13,1,INDEX(Abilities!$J$14:$J$23,7),INDEX(Abilities!$I$14:$I$23,7))*W30/MAX(INDEX(Abilities!$D$14:$D$23,7),2*Inputs!$C$12),0)</f>
        <v/>
      </c>
      <c r="AZ30" s="17">
        <f>IF(INDEX(Abilities!$A$14:$A$23,8)&lt;=A30,INDEX(Abilities!$C$14:$C$23,8)*CHOOSE(Inputs!$C$13,1,INDEX(Abilities!$J$14:$J$23,8),INDEX(Abilities!$I$14:$I$23,8))*W30/MAX(INDEX(Abilities!$D$14:$D$23,8),2*Inputs!$C$12),0)</f>
        <v/>
      </c>
      <c r="BA30" s="17">
        <f>IF(INDEX(Abilities!$A$14:$A$23,9)&lt;=A30,INDEX(Abilities!$C$14:$C$23,9)*CHOOSE(Inputs!$C$13,1,INDEX(Abilities!$J$14:$J$23,9),INDEX(Abilities!$I$14:$I$23,9))*W30/MAX(INDEX(Abilities!$D$14:$D$23,9),2*Inputs!$C$12),0)</f>
        <v/>
      </c>
      <c r="BB30" s="17">
        <f>IF(INDEX(Abilities!$A$14:$A$23,10)&lt;=A30,INDEX(Abilities!$C$14:$C$23,10)*CHOOSE(Inputs!$C$13,1,INDEX(Abilities!$J$14:$J$23,10),INDEX(Abilities!$I$14:$I$23,10))*W30/MAX(INDEX(Abilities!$D$14:$D$23,10),2*Inputs!$C$12),0)</f>
        <v/>
      </c>
      <c r="BC30" s="27">
        <f>MAX(Y30:AH30)</f>
        <v/>
      </c>
      <c r="BD30" s="8">
        <f>MATCH(BC30,Y30:AH30,0)</f>
        <v/>
      </c>
      <c r="BE30" s="15">
        <f>INDEX(Abilities!$B$14:$B$23,BD30)</f>
        <v/>
      </c>
      <c r="BF30" s="16">
        <f>CHOOSE(Inputs!$C$13,1,INDEX(Abilities!$J$14:$J$23,BD30),INDEX(Abilities!$I$14:$I$23,BD30))</f>
        <v/>
      </c>
      <c r="BG30" s="17">
        <f>INDEX(Abilities!$E$14:$E$23,BD30)/MAX(INDEX(Abilities!$D$14:$D$23,BD30),Inputs!$C$12)</f>
        <v/>
      </c>
      <c r="BH30" s="27">
        <f>MAX(AI30:AR30)</f>
        <v/>
      </c>
      <c r="BI30" s="8">
        <f>MATCH(BH30,AI30:AR30,0)</f>
        <v/>
      </c>
      <c r="BJ30" s="15">
        <f>INDEX(Abilities!$B$14:$B$23,BI30)</f>
        <v/>
      </c>
      <c r="BK30" s="14">
        <f>IFERROR(ROUNDUP(C30/(INDEX(Abilities!$C$14:$C$23,BD30)*W30),0),"-")</f>
        <v/>
      </c>
      <c r="BL30" s="9">
        <f>IFERROR(C30*INDEX(Abilities!$E$14:$E$23,BI30)/(INDEX(Abilities!$C$14:$C$23,BI30)*CHOOSE(Inputs!$C$13,1,INDEX(Abilities!$J$14:$J$23,BI30),INDEX(Abilities!$I$14:$I$23,BI30))*W30),"-")</f>
        <v/>
      </c>
      <c r="BM30" s="60">
        <f>IFERROR(P30/BL30,"-")</f>
        <v/>
      </c>
      <c r="BN30" s="17">
        <f>BH30+Inputs!$C$18*V30</f>
        <v/>
      </c>
      <c r="BO30" s="17">
        <f>BC30+Inputs!$C$18*V30</f>
        <v/>
      </c>
      <c r="BP30" s="27">
        <f>LARGE(AS30:BB30,1)+LARGE(AS30:BB30,2)</f>
        <v/>
      </c>
      <c r="BQ30" s="60">
        <f>IFERROR(IF(BG30&lt;=X30,C30/BO30,IF(C30/BO30*(BG30-X30)&lt;=P30,C30/BO30,P30/(BG30-X30)+(C30-BO30*P30/(BG30-X30))/BN30)),"-")</f>
        <v/>
      </c>
      <c r="BR30" s="60">
        <f>BQ30</f>
        <v/>
      </c>
      <c r="BS30" s="9">
        <f>MAX(0,(E30+(B30-A30))*(1-R30)*(1-Q30*'Class Table'!$O$7/Inputs!$C$19)-Q30*'Class Table'!$O$7/25)</f>
        <v/>
      </c>
      <c r="BT30" s="26">
        <f>IFERROR(BS30/F30*BR30,"-")</f>
        <v/>
      </c>
      <c r="BU30" s="28">
        <f>IFERROR(BT30/O30,"-")</f>
        <v/>
      </c>
      <c r="BV30" s="9">
        <f>IFERROR(O30*Inputs!$C$24/Inputs!$C$22*BR30,"-")</f>
        <v/>
      </c>
      <c r="BW30" s="28">
        <f>IFERROR(MAX(0,BT30-BV30)/O30,"-")</f>
        <v/>
      </c>
    </row>
    <row r="31">
      <c r="A31" s="8" t="n">
        <v>28</v>
      </c>
      <c r="B31" s="14">
        <f>'Mob by Level'!B31</f>
        <v/>
      </c>
      <c r="C31" s="9">
        <f>'Mob by Level'!C31</f>
        <v/>
      </c>
      <c r="D31" s="9">
        <f>'Mob by Level'!D31</f>
        <v/>
      </c>
      <c r="E31" s="9">
        <f>'Mob by Level'!E31</f>
        <v/>
      </c>
      <c r="F31" s="16">
        <f>'Mob by Level'!F31</f>
        <v/>
      </c>
      <c r="G31" s="14">
        <f>SUMIFS(Gear!$D$4:$D$603,Gear!$A$4:$A$603,A31,Gear!$B$4:$B$603,"Magus",Gear!$C$4:$C$603,Inputs!$C$5)</f>
        <v/>
      </c>
      <c r="H31" s="14">
        <f>SUMIFS(Gear!$E$4:$E$603,Gear!$A$4:$A$603,A31,Gear!$B$4:$B$603,"Magus",Gear!$C$4:$C$603,Inputs!$C$5)</f>
        <v/>
      </c>
      <c r="I31" s="14">
        <f>SUMIFS(Gear!$F$4:$F$603,Gear!$A$4:$A$603,A31,Gear!$B$4:$B$603,"Magus",Gear!$C$4:$C$603,Inputs!$C$5)+Inputs!$C$17*IFERROR(LOOKUP(A31,Abilities!$A$49:$A$53,Abilities!$C$49:$C$53),0)</f>
        <v/>
      </c>
      <c r="J31" s="13">
        <f>SUMIFS(Gear!$J$4:$J$603,Gear!$A$4:$A$603,A31,Gear!$B$4:$B$603,"Magus",Gear!$C$4:$C$603,Inputs!$C$5)</f>
        <v/>
      </c>
      <c r="K31" s="13">
        <f>SUMIFS(Gear!$K$4:$K$603,Gear!$A$4:$A$603,A31,Gear!$B$4:$B$603,"Magus",Gear!$C$4:$C$603,Inputs!$C$5)</f>
        <v/>
      </c>
      <c r="L31" s="13">
        <f>SUMIFS(Gear!$L$4:$L$603,Gear!$A$4:$A$603,A31,Gear!$B$4:$B$603,"Magus",Gear!$C$4:$C$603,Inputs!$C$5)</f>
        <v/>
      </c>
      <c r="M31" s="13">
        <f>SUMIFS(Gear!$M$4:$M$603,Gear!$A$4:$A$603,A31,Gear!$B$4:$B$603,"Magus",Gear!$C$4:$C$603,Inputs!$C$5)</f>
        <v/>
      </c>
      <c r="N31" s="13">
        <f>SUMIFS(Gear!$N$4:$N$603,Gear!$A$4:$A$603,A31,Gear!$B$4:$B$603,"Magus",Gear!$C$4:$C$603,Inputs!$C$5)</f>
        <v/>
      </c>
      <c r="O31" s="9">
        <f>INDEX('Class Table'!$H$4:$H$53,A31)+SUMIFS(Gear!$G$4:$G$603,Gear!$A$4:$A$603,A31,Gear!$B$4:$B$603,"Magus",Gear!$C$4:$C$603,Inputs!$C$5)</f>
        <v/>
      </c>
      <c r="P31" s="9">
        <f>INDEX('Class Table'!$I$4:$I$53,A31)+SUMIFS(Gear!$H$4:$H$603,Gear!$A$4:$A$603,A31,Gear!$B$4:$B$603,"Magus",Gear!$C$4:$C$603,Inputs!$C$5)</f>
        <v/>
      </c>
      <c r="Q31" s="9">
        <f>INDEX('Class Table'!$J$4:$J$53,A31)+SUMIFS(Gear!$I$4:$I$603,Gear!$A$4:$A$603,A31,Gear!$B$4:$B$603,"Magus",Gear!$C$4:$C$603,Inputs!$C$5)</f>
        <v/>
      </c>
      <c r="R31" s="13">
        <f>SUMIFS(Gear!$O$4:$O$603,Gear!$A$4:$A$603,A31,Gear!$B$4:$B$603,"Magus",Gear!$C$4:$C$603,Inputs!$C$5)</f>
        <v/>
      </c>
      <c r="S31" s="26">
        <f>I31+0+G31+A31+MAX(1,A31/2)+(A31-B31)</f>
        <v/>
      </c>
      <c r="T31" s="9">
        <f>MAX(0,S31*(1+M31)*(1+L31)*Inputs!$C$20*(1-D31/Inputs!$C$19)-D31/25)</f>
        <v/>
      </c>
      <c r="U31" s="16">
        <f>H31/10*(1-MIN(0.95,N31+0))*Inputs!$C$21</f>
        <v/>
      </c>
      <c r="V31" s="27">
        <f>T31/U31</f>
        <v/>
      </c>
      <c r="W31" s="16">
        <f>(1+J31)*(1+K31)*Inputs!$C$20</f>
        <v/>
      </c>
      <c r="X31" s="17">
        <f>P31*Inputs!$C$23/Inputs!$C$22</f>
        <v/>
      </c>
      <c r="Y31" s="17">
        <f>IF(INDEX(Abilities!$A$14:$A$23,1)&lt;=A31,INDEX(Abilities!$C$14:$C$23,1)*CHOOSE(Inputs!$C$13,1,INDEX(Abilities!$J$14:$J$23,1),INDEX(Abilities!$I$14:$I$23,1))*W31/MAX(INDEX(Abilities!$D$14:$D$23,1),Inputs!$C$12),0)</f>
        <v/>
      </c>
      <c r="Z31" s="17">
        <f>IF(INDEX(Abilities!$A$14:$A$23,2)&lt;=A31,INDEX(Abilities!$C$14:$C$23,2)*CHOOSE(Inputs!$C$13,1,INDEX(Abilities!$J$14:$J$23,2),INDEX(Abilities!$I$14:$I$23,2))*W31/MAX(INDEX(Abilities!$D$14:$D$23,2),Inputs!$C$12),0)</f>
        <v/>
      </c>
      <c r="AA31" s="17">
        <f>IF(INDEX(Abilities!$A$14:$A$23,3)&lt;=A31,INDEX(Abilities!$C$14:$C$23,3)*CHOOSE(Inputs!$C$13,1,INDEX(Abilities!$J$14:$J$23,3),INDEX(Abilities!$I$14:$I$23,3))*W31/MAX(INDEX(Abilities!$D$14:$D$23,3),Inputs!$C$12),0)</f>
        <v/>
      </c>
      <c r="AB31" s="17">
        <f>IF(INDEX(Abilities!$A$14:$A$23,4)&lt;=A31,INDEX(Abilities!$C$14:$C$23,4)*CHOOSE(Inputs!$C$13,1,INDEX(Abilities!$J$14:$J$23,4),INDEX(Abilities!$I$14:$I$23,4))*W31/MAX(INDEX(Abilities!$D$14:$D$23,4),Inputs!$C$12),0)</f>
        <v/>
      </c>
      <c r="AC31" s="17">
        <f>IF(INDEX(Abilities!$A$14:$A$23,5)&lt;=A31,INDEX(Abilities!$C$14:$C$23,5)*CHOOSE(Inputs!$C$13,1,INDEX(Abilities!$J$14:$J$23,5),INDEX(Abilities!$I$14:$I$23,5))*W31/MAX(INDEX(Abilities!$D$14:$D$23,5),Inputs!$C$12),0)</f>
        <v/>
      </c>
      <c r="AD31" s="17">
        <f>IF(INDEX(Abilities!$A$14:$A$23,6)&lt;=A31,INDEX(Abilities!$C$14:$C$23,6)*CHOOSE(Inputs!$C$13,1,INDEX(Abilities!$J$14:$J$23,6),INDEX(Abilities!$I$14:$I$23,6))*W31/MAX(INDEX(Abilities!$D$14:$D$23,6),Inputs!$C$12),0)</f>
        <v/>
      </c>
      <c r="AE31" s="17">
        <f>IF(INDEX(Abilities!$A$14:$A$23,7)&lt;=A31,INDEX(Abilities!$C$14:$C$23,7)*CHOOSE(Inputs!$C$13,1,INDEX(Abilities!$J$14:$J$23,7),INDEX(Abilities!$I$14:$I$23,7))*W31/MAX(INDEX(Abilities!$D$14:$D$23,7),Inputs!$C$12),0)</f>
        <v/>
      </c>
      <c r="AF31" s="17">
        <f>IF(INDEX(Abilities!$A$14:$A$23,8)&lt;=A31,INDEX(Abilities!$C$14:$C$23,8)*CHOOSE(Inputs!$C$13,1,INDEX(Abilities!$J$14:$J$23,8),INDEX(Abilities!$I$14:$I$23,8))*W31/MAX(INDEX(Abilities!$D$14:$D$23,8),Inputs!$C$12),0)</f>
        <v/>
      </c>
      <c r="AG31" s="17">
        <f>IF(INDEX(Abilities!$A$14:$A$23,9)&lt;=A31,INDEX(Abilities!$C$14:$C$23,9)*CHOOSE(Inputs!$C$13,1,INDEX(Abilities!$J$14:$J$23,9),INDEX(Abilities!$I$14:$I$23,9))*W31/MAX(INDEX(Abilities!$D$14:$D$23,9),Inputs!$C$12),0)</f>
        <v/>
      </c>
      <c r="AH31" s="17">
        <f>IF(INDEX(Abilities!$A$14:$A$23,10)&lt;=A31,INDEX(Abilities!$C$14:$C$23,10)*CHOOSE(Inputs!$C$13,1,INDEX(Abilities!$J$14:$J$23,10),INDEX(Abilities!$I$14:$I$23,10))*W31/MAX(INDEX(Abilities!$D$14:$D$23,10),Inputs!$C$12),0)</f>
        <v/>
      </c>
      <c r="AI31" s="17">
        <f>IF(INDEX(Abilities!$A$14:$A$23,1)&lt;=A31,MIN(Y31,X31*INDEX(Abilities!$C$14:$C$23,1)*CHOOSE(Inputs!$C$13,1,INDEX(Abilities!$J$14:$J$23,1),INDEX(Abilities!$I$14:$I$23,1))*W31/INDEX(Abilities!$E$14:$E$23,1)),0)</f>
        <v/>
      </c>
      <c r="AJ31" s="17">
        <f>IF(INDEX(Abilities!$A$14:$A$23,2)&lt;=A31,MIN(Z31,X31*INDEX(Abilities!$C$14:$C$23,2)*CHOOSE(Inputs!$C$13,1,INDEX(Abilities!$J$14:$J$23,2),INDEX(Abilities!$I$14:$I$23,2))*W31/INDEX(Abilities!$E$14:$E$23,2)),0)</f>
        <v/>
      </c>
      <c r="AK31" s="17">
        <f>IF(INDEX(Abilities!$A$14:$A$23,3)&lt;=A31,MIN(AA31,X31*INDEX(Abilities!$C$14:$C$23,3)*CHOOSE(Inputs!$C$13,1,INDEX(Abilities!$J$14:$J$23,3),INDEX(Abilities!$I$14:$I$23,3))*W31/INDEX(Abilities!$E$14:$E$23,3)),0)</f>
        <v/>
      </c>
      <c r="AL31" s="17">
        <f>IF(INDEX(Abilities!$A$14:$A$23,4)&lt;=A31,MIN(AB31,X31*INDEX(Abilities!$C$14:$C$23,4)*CHOOSE(Inputs!$C$13,1,INDEX(Abilities!$J$14:$J$23,4),INDEX(Abilities!$I$14:$I$23,4))*W31/INDEX(Abilities!$E$14:$E$23,4)),0)</f>
        <v/>
      </c>
      <c r="AM31" s="17">
        <f>IF(INDEX(Abilities!$A$14:$A$23,5)&lt;=A31,MIN(AC31,X31*INDEX(Abilities!$C$14:$C$23,5)*CHOOSE(Inputs!$C$13,1,INDEX(Abilities!$J$14:$J$23,5),INDEX(Abilities!$I$14:$I$23,5))*W31/INDEX(Abilities!$E$14:$E$23,5)),0)</f>
        <v/>
      </c>
      <c r="AN31" s="17">
        <f>IF(INDEX(Abilities!$A$14:$A$23,6)&lt;=A31,MIN(AD31,X31*INDEX(Abilities!$C$14:$C$23,6)*CHOOSE(Inputs!$C$13,1,INDEX(Abilities!$J$14:$J$23,6),INDEX(Abilities!$I$14:$I$23,6))*W31/INDEX(Abilities!$E$14:$E$23,6)),0)</f>
        <v/>
      </c>
      <c r="AO31" s="17">
        <f>IF(INDEX(Abilities!$A$14:$A$23,7)&lt;=A31,MIN(AE31,X31*INDEX(Abilities!$C$14:$C$23,7)*CHOOSE(Inputs!$C$13,1,INDEX(Abilities!$J$14:$J$23,7),INDEX(Abilities!$I$14:$I$23,7))*W31/INDEX(Abilities!$E$14:$E$23,7)),0)</f>
        <v/>
      </c>
      <c r="AP31" s="17">
        <f>IF(INDEX(Abilities!$A$14:$A$23,8)&lt;=A31,MIN(AF31,X31*INDEX(Abilities!$C$14:$C$23,8)*CHOOSE(Inputs!$C$13,1,INDEX(Abilities!$J$14:$J$23,8),INDEX(Abilities!$I$14:$I$23,8))*W31/INDEX(Abilities!$E$14:$E$23,8)),0)</f>
        <v/>
      </c>
      <c r="AQ31" s="17">
        <f>IF(INDEX(Abilities!$A$14:$A$23,9)&lt;=A31,MIN(AG31,X31*INDEX(Abilities!$C$14:$C$23,9)*CHOOSE(Inputs!$C$13,1,INDEX(Abilities!$J$14:$J$23,9),INDEX(Abilities!$I$14:$I$23,9))*W31/INDEX(Abilities!$E$14:$E$23,9)),0)</f>
        <v/>
      </c>
      <c r="AR31" s="17">
        <f>IF(INDEX(Abilities!$A$14:$A$23,10)&lt;=A31,MIN(AH31,X31*INDEX(Abilities!$C$14:$C$23,10)*CHOOSE(Inputs!$C$13,1,INDEX(Abilities!$J$14:$J$23,10),INDEX(Abilities!$I$14:$I$23,10))*W31/INDEX(Abilities!$E$14:$E$23,10)),0)</f>
        <v/>
      </c>
      <c r="AS31" s="17">
        <f>IF(INDEX(Abilities!$A$14:$A$23,1)&lt;=A31,INDEX(Abilities!$C$14:$C$23,1)*CHOOSE(Inputs!$C$13,1,INDEX(Abilities!$J$14:$J$23,1),INDEX(Abilities!$I$14:$I$23,1))*W31/MAX(INDEX(Abilities!$D$14:$D$23,1),2*Inputs!$C$12),0)</f>
        <v/>
      </c>
      <c r="AT31" s="17">
        <f>IF(INDEX(Abilities!$A$14:$A$23,2)&lt;=A31,INDEX(Abilities!$C$14:$C$23,2)*CHOOSE(Inputs!$C$13,1,INDEX(Abilities!$J$14:$J$23,2),INDEX(Abilities!$I$14:$I$23,2))*W31/MAX(INDEX(Abilities!$D$14:$D$23,2),2*Inputs!$C$12),0)</f>
        <v/>
      </c>
      <c r="AU31" s="17">
        <f>IF(INDEX(Abilities!$A$14:$A$23,3)&lt;=A31,INDEX(Abilities!$C$14:$C$23,3)*CHOOSE(Inputs!$C$13,1,INDEX(Abilities!$J$14:$J$23,3),INDEX(Abilities!$I$14:$I$23,3))*W31/MAX(INDEX(Abilities!$D$14:$D$23,3),2*Inputs!$C$12),0)</f>
        <v/>
      </c>
      <c r="AV31" s="17">
        <f>IF(INDEX(Abilities!$A$14:$A$23,4)&lt;=A31,INDEX(Abilities!$C$14:$C$23,4)*CHOOSE(Inputs!$C$13,1,INDEX(Abilities!$J$14:$J$23,4),INDEX(Abilities!$I$14:$I$23,4))*W31/MAX(INDEX(Abilities!$D$14:$D$23,4),2*Inputs!$C$12),0)</f>
        <v/>
      </c>
      <c r="AW31" s="17">
        <f>IF(INDEX(Abilities!$A$14:$A$23,5)&lt;=A31,INDEX(Abilities!$C$14:$C$23,5)*CHOOSE(Inputs!$C$13,1,INDEX(Abilities!$J$14:$J$23,5),INDEX(Abilities!$I$14:$I$23,5))*W31/MAX(INDEX(Abilities!$D$14:$D$23,5),2*Inputs!$C$12),0)</f>
        <v/>
      </c>
      <c r="AX31" s="17">
        <f>IF(INDEX(Abilities!$A$14:$A$23,6)&lt;=A31,INDEX(Abilities!$C$14:$C$23,6)*CHOOSE(Inputs!$C$13,1,INDEX(Abilities!$J$14:$J$23,6),INDEX(Abilities!$I$14:$I$23,6))*W31/MAX(INDEX(Abilities!$D$14:$D$23,6),2*Inputs!$C$12),0)</f>
        <v/>
      </c>
      <c r="AY31" s="17">
        <f>IF(INDEX(Abilities!$A$14:$A$23,7)&lt;=A31,INDEX(Abilities!$C$14:$C$23,7)*CHOOSE(Inputs!$C$13,1,INDEX(Abilities!$J$14:$J$23,7),INDEX(Abilities!$I$14:$I$23,7))*W31/MAX(INDEX(Abilities!$D$14:$D$23,7),2*Inputs!$C$12),0)</f>
        <v/>
      </c>
      <c r="AZ31" s="17">
        <f>IF(INDEX(Abilities!$A$14:$A$23,8)&lt;=A31,INDEX(Abilities!$C$14:$C$23,8)*CHOOSE(Inputs!$C$13,1,INDEX(Abilities!$J$14:$J$23,8),INDEX(Abilities!$I$14:$I$23,8))*W31/MAX(INDEX(Abilities!$D$14:$D$23,8),2*Inputs!$C$12),0)</f>
        <v/>
      </c>
      <c r="BA31" s="17">
        <f>IF(INDEX(Abilities!$A$14:$A$23,9)&lt;=A31,INDEX(Abilities!$C$14:$C$23,9)*CHOOSE(Inputs!$C$13,1,INDEX(Abilities!$J$14:$J$23,9),INDEX(Abilities!$I$14:$I$23,9))*W31/MAX(INDEX(Abilities!$D$14:$D$23,9),2*Inputs!$C$12),0)</f>
        <v/>
      </c>
      <c r="BB31" s="17">
        <f>IF(INDEX(Abilities!$A$14:$A$23,10)&lt;=A31,INDEX(Abilities!$C$14:$C$23,10)*CHOOSE(Inputs!$C$13,1,INDEX(Abilities!$J$14:$J$23,10),INDEX(Abilities!$I$14:$I$23,10))*W31/MAX(INDEX(Abilities!$D$14:$D$23,10),2*Inputs!$C$12),0)</f>
        <v/>
      </c>
      <c r="BC31" s="27">
        <f>MAX(Y31:AH31)</f>
        <v/>
      </c>
      <c r="BD31" s="8">
        <f>MATCH(BC31,Y31:AH31,0)</f>
        <v/>
      </c>
      <c r="BE31" s="15">
        <f>INDEX(Abilities!$B$14:$B$23,BD31)</f>
        <v/>
      </c>
      <c r="BF31" s="16">
        <f>CHOOSE(Inputs!$C$13,1,INDEX(Abilities!$J$14:$J$23,BD31),INDEX(Abilities!$I$14:$I$23,BD31))</f>
        <v/>
      </c>
      <c r="BG31" s="17">
        <f>INDEX(Abilities!$E$14:$E$23,BD31)/MAX(INDEX(Abilities!$D$14:$D$23,BD31),Inputs!$C$12)</f>
        <v/>
      </c>
      <c r="BH31" s="27">
        <f>MAX(AI31:AR31)</f>
        <v/>
      </c>
      <c r="BI31" s="8">
        <f>MATCH(BH31,AI31:AR31,0)</f>
        <v/>
      </c>
      <c r="BJ31" s="15">
        <f>INDEX(Abilities!$B$14:$B$23,BI31)</f>
        <v/>
      </c>
      <c r="BK31" s="14">
        <f>IFERROR(ROUNDUP(C31/(INDEX(Abilities!$C$14:$C$23,BD31)*W31),0),"-")</f>
        <v/>
      </c>
      <c r="BL31" s="9">
        <f>IFERROR(C31*INDEX(Abilities!$E$14:$E$23,BI31)/(INDEX(Abilities!$C$14:$C$23,BI31)*CHOOSE(Inputs!$C$13,1,INDEX(Abilities!$J$14:$J$23,BI31),INDEX(Abilities!$I$14:$I$23,BI31))*W31),"-")</f>
        <v/>
      </c>
      <c r="BM31" s="60">
        <f>IFERROR(P31/BL31,"-")</f>
        <v/>
      </c>
      <c r="BN31" s="17">
        <f>BH31+Inputs!$C$18*V31</f>
        <v/>
      </c>
      <c r="BO31" s="17">
        <f>BC31+Inputs!$C$18*V31</f>
        <v/>
      </c>
      <c r="BP31" s="27">
        <f>LARGE(AS31:BB31,1)+LARGE(AS31:BB31,2)</f>
        <v/>
      </c>
      <c r="BQ31" s="60">
        <f>IFERROR(IF(BG31&lt;=X31,C31/BO31,IF(C31/BO31*(BG31-X31)&lt;=P31,C31/BO31,P31/(BG31-X31)+(C31-BO31*P31/(BG31-X31))/BN31)),"-")</f>
        <v/>
      </c>
      <c r="BR31" s="60">
        <f>BQ31</f>
        <v/>
      </c>
      <c r="BS31" s="9">
        <f>MAX(0,(E31+(B31-A31))*(1-R31)*(1-Q31*'Class Table'!$O$7/Inputs!$C$19)-Q31*'Class Table'!$O$7/25)</f>
        <v/>
      </c>
      <c r="BT31" s="26">
        <f>IFERROR(BS31/F31*BR31,"-")</f>
        <v/>
      </c>
      <c r="BU31" s="28">
        <f>IFERROR(BT31/O31,"-")</f>
        <v/>
      </c>
      <c r="BV31" s="9">
        <f>IFERROR(O31*Inputs!$C$24/Inputs!$C$22*BR31,"-")</f>
        <v/>
      </c>
      <c r="BW31" s="28">
        <f>IFERROR(MAX(0,BT31-BV31)/O31,"-")</f>
        <v/>
      </c>
    </row>
    <row r="32">
      <c r="A32" s="8" t="n">
        <v>29</v>
      </c>
      <c r="B32" s="14">
        <f>'Mob by Level'!B32</f>
        <v/>
      </c>
      <c r="C32" s="9">
        <f>'Mob by Level'!C32</f>
        <v/>
      </c>
      <c r="D32" s="9">
        <f>'Mob by Level'!D32</f>
        <v/>
      </c>
      <c r="E32" s="9">
        <f>'Mob by Level'!E32</f>
        <v/>
      </c>
      <c r="F32" s="16">
        <f>'Mob by Level'!F32</f>
        <v/>
      </c>
      <c r="G32" s="14">
        <f>SUMIFS(Gear!$D$4:$D$603,Gear!$A$4:$A$603,A32,Gear!$B$4:$B$603,"Magus",Gear!$C$4:$C$603,Inputs!$C$5)</f>
        <v/>
      </c>
      <c r="H32" s="14">
        <f>SUMIFS(Gear!$E$4:$E$603,Gear!$A$4:$A$603,A32,Gear!$B$4:$B$603,"Magus",Gear!$C$4:$C$603,Inputs!$C$5)</f>
        <v/>
      </c>
      <c r="I32" s="14">
        <f>SUMIFS(Gear!$F$4:$F$603,Gear!$A$4:$A$603,A32,Gear!$B$4:$B$603,"Magus",Gear!$C$4:$C$603,Inputs!$C$5)+Inputs!$C$17*IFERROR(LOOKUP(A32,Abilities!$A$49:$A$53,Abilities!$C$49:$C$53),0)</f>
        <v/>
      </c>
      <c r="J32" s="13">
        <f>SUMIFS(Gear!$J$4:$J$603,Gear!$A$4:$A$603,A32,Gear!$B$4:$B$603,"Magus",Gear!$C$4:$C$603,Inputs!$C$5)</f>
        <v/>
      </c>
      <c r="K32" s="13">
        <f>SUMIFS(Gear!$K$4:$K$603,Gear!$A$4:$A$603,A32,Gear!$B$4:$B$603,"Magus",Gear!$C$4:$C$603,Inputs!$C$5)</f>
        <v/>
      </c>
      <c r="L32" s="13">
        <f>SUMIFS(Gear!$L$4:$L$603,Gear!$A$4:$A$603,A32,Gear!$B$4:$B$603,"Magus",Gear!$C$4:$C$603,Inputs!$C$5)</f>
        <v/>
      </c>
      <c r="M32" s="13">
        <f>SUMIFS(Gear!$M$4:$M$603,Gear!$A$4:$A$603,A32,Gear!$B$4:$B$603,"Magus",Gear!$C$4:$C$603,Inputs!$C$5)</f>
        <v/>
      </c>
      <c r="N32" s="13">
        <f>SUMIFS(Gear!$N$4:$N$603,Gear!$A$4:$A$603,A32,Gear!$B$4:$B$603,"Magus",Gear!$C$4:$C$603,Inputs!$C$5)</f>
        <v/>
      </c>
      <c r="O32" s="9">
        <f>INDEX('Class Table'!$H$4:$H$53,A32)+SUMIFS(Gear!$G$4:$G$603,Gear!$A$4:$A$603,A32,Gear!$B$4:$B$603,"Magus",Gear!$C$4:$C$603,Inputs!$C$5)</f>
        <v/>
      </c>
      <c r="P32" s="9">
        <f>INDEX('Class Table'!$I$4:$I$53,A32)+SUMIFS(Gear!$H$4:$H$603,Gear!$A$4:$A$603,A32,Gear!$B$4:$B$603,"Magus",Gear!$C$4:$C$603,Inputs!$C$5)</f>
        <v/>
      </c>
      <c r="Q32" s="9">
        <f>INDEX('Class Table'!$J$4:$J$53,A32)+SUMIFS(Gear!$I$4:$I$603,Gear!$A$4:$A$603,A32,Gear!$B$4:$B$603,"Magus",Gear!$C$4:$C$603,Inputs!$C$5)</f>
        <v/>
      </c>
      <c r="R32" s="13">
        <f>SUMIFS(Gear!$O$4:$O$603,Gear!$A$4:$A$603,A32,Gear!$B$4:$B$603,"Magus",Gear!$C$4:$C$603,Inputs!$C$5)</f>
        <v/>
      </c>
      <c r="S32" s="26">
        <f>I32+0+G32+A32+MAX(1,A32/2)+(A32-B32)</f>
        <v/>
      </c>
      <c r="T32" s="9">
        <f>MAX(0,S32*(1+M32)*(1+L32)*Inputs!$C$20*(1-D32/Inputs!$C$19)-D32/25)</f>
        <v/>
      </c>
      <c r="U32" s="16">
        <f>H32/10*(1-MIN(0.95,N32+0))*Inputs!$C$21</f>
        <v/>
      </c>
      <c r="V32" s="27">
        <f>T32/U32</f>
        <v/>
      </c>
      <c r="W32" s="16">
        <f>(1+J32)*(1+K32)*Inputs!$C$20</f>
        <v/>
      </c>
      <c r="X32" s="17">
        <f>P32*Inputs!$C$23/Inputs!$C$22</f>
        <v/>
      </c>
      <c r="Y32" s="17">
        <f>IF(INDEX(Abilities!$A$14:$A$23,1)&lt;=A32,INDEX(Abilities!$C$14:$C$23,1)*CHOOSE(Inputs!$C$13,1,INDEX(Abilities!$J$14:$J$23,1),INDEX(Abilities!$I$14:$I$23,1))*W32/MAX(INDEX(Abilities!$D$14:$D$23,1),Inputs!$C$12),0)</f>
        <v/>
      </c>
      <c r="Z32" s="17">
        <f>IF(INDEX(Abilities!$A$14:$A$23,2)&lt;=A32,INDEX(Abilities!$C$14:$C$23,2)*CHOOSE(Inputs!$C$13,1,INDEX(Abilities!$J$14:$J$23,2),INDEX(Abilities!$I$14:$I$23,2))*W32/MAX(INDEX(Abilities!$D$14:$D$23,2),Inputs!$C$12),0)</f>
        <v/>
      </c>
      <c r="AA32" s="17">
        <f>IF(INDEX(Abilities!$A$14:$A$23,3)&lt;=A32,INDEX(Abilities!$C$14:$C$23,3)*CHOOSE(Inputs!$C$13,1,INDEX(Abilities!$J$14:$J$23,3),INDEX(Abilities!$I$14:$I$23,3))*W32/MAX(INDEX(Abilities!$D$14:$D$23,3),Inputs!$C$12),0)</f>
        <v/>
      </c>
      <c r="AB32" s="17">
        <f>IF(INDEX(Abilities!$A$14:$A$23,4)&lt;=A32,INDEX(Abilities!$C$14:$C$23,4)*CHOOSE(Inputs!$C$13,1,INDEX(Abilities!$J$14:$J$23,4),INDEX(Abilities!$I$14:$I$23,4))*W32/MAX(INDEX(Abilities!$D$14:$D$23,4),Inputs!$C$12),0)</f>
        <v/>
      </c>
      <c r="AC32" s="17">
        <f>IF(INDEX(Abilities!$A$14:$A$23,5)&lt;=A32,INDEX(Abilities!$C$14:$C$23,5)*CHOOSE(Inputs!$C$13,1,INDEX(Abilities!$J$14:$J$23,5),INDEX(Abilities!$I$14:$I$23,5))*W32/MAX(INDEX(Abilities!$D$14:$D$23,5),Inputs!$C$12),0)</f>
        <v/>
      </c>
      <c r="AD32" s="17">
        <f>IF(INDEX(Abilities!$A$14:$A$23,6)&lt;=A32,INDEX(Abilities!$C$14:$C$23,6)*CHOOSE(Inputs!$C$13,1,INDEX(Abilities!$J$14:$J$23,6),INDEX(Abilities!$I$14:$I$23,6))*W32/MAX(INDEX(Abilities!$D$14:$D$23,6),Inputs!$C$12),0)</f>
        <v/>
      </c>
      <c r="AE32" s="17">
        <f>IF(INDEX(Abilities!$A$14:$A$23,7)&lt;=A32,INDEX(Abilities!$C$14:$C$23,7)*CHOOSE(Inputs!$C$13,1,INDEX(Abilities!$J$14:$J$23,7),INDEX(Abilities!$I$14:$I$23,7))*W32/MAX(INDEX(Abilities!$D$14:$D$23,7),Inputs!$C$12),0)</f>
        <v/>
      </c>
      <c r="AF32" s="17">
        <f>IF(INDEX(Abilities!$A$14:$A$23,8)&lt;=A32,INDEX(Abilities!$C$14:$C$23,8)*CHOOSE(Inputs!$C$13,1,INDEX(Abilities!$J$14:$J$23,8),INDEX(Abilities!$I$14:$I$23,8))*W32/MAX(INDEX(Abilities!$D$14:$D$23,8),Inputs!$C$12),0)</f>
        <v/>
      </c>
      <c r="AG32" s="17">
        <f>IF(INDEX(Abilities!$A$14:$A$23,9)&lt;=A32,INDEX(Abilities!$C$14:$C$23,9)*CHOOSE(Inputs!$C$13,1,INDEX(Abilities!$J$14:$J$23,9),INDEX(Abilities!$I$14:$I$23,9))*W32/MAX(INDEX(Abilities!$D$14:$D$23,9),Inputs!$C$12),0)</f>
        <v/>
      </c>
      <c r="AH32" s="17">
        <f>IF(INDEX(Abilities!$A$14:$A$23,10)&lt;=A32,INDEX(Abilities!$C$14:$C$23,10)*CHOOSE(Inputs!$C$13,1,INDEX(Abilities!$J$14:$J$23,10),INDEX(Abilities!$I$14:$I$23,10))*W32/MAX(INDEX(Abilities!$D$14:$D$23,10),Inputs!$C$12),0)</f>
        <v/>
      </c>
      <c r="AI32" s="17">
        <f>IF(INDEX(Abilities!$A$14:$A$23,1)&lt;=A32,MIN(Y32,X32*INDEX(Abilities!$C$14:$C$23,1)*CHOOSE(Inputs!$C$13,1,INDEX(Abilities!$J$14:$J$23,1),INDEX(Abilities!$I$14:$I$23,1))*W32/INDEX(Abilities!$E$14:$E$23,1)),0)</f>
        <v/>
      </c>
      <c r="AJ32" s="17">
        <f>IF(INDEX(Abilities!$A$14:$A$23,2)&lt;=A32,MIN(Z32,X32*INDEX(Abilities!$C$14:$C$23,2)*CHOOSE(Inputs!$C$13,1,INDEX(Abilities!$J$14:$J$23,2),INDEX(Abilities!$I$14:$I$23,2))*W32/INDEX(Abilities!$E$14:$E$23,2)),0)</f>
        <v/>
      </c>
      <c r="AK32" s="17">
        <f>IF(INDEX(Abilities!$A$14:$A$23,3)&lt;=A32,MIN(AA32,X32*INDEX(Abilities!$C$14:$C$23,3)*CHOOSE(Inputs!$C$13,1,INDEX(Abilities!$J$14:$J$23,3),INDEX(Abilities!$I$14:$I$23,3))*W32/INDEX(Abilities!$E$14:$E$23,3)),0)</f>
        <v/>
      </c>
      <c r="AL32" s="17">
        <f>IF(INDEX(Abilities!$A$14:$A$23,4)&lt;=A32,MIN(AB32,X32*INDEX(Abilities!$C$14:$C$23,4)*CHOOSE(Inputs!$C$13,1,INDEX(Abilities!$J$14:$J$23,4),INDEX(Abilities!$I$14:$I$23,4))*W32/INDEX(Abilities!$E$14:$E$23,4)),0)</f>
        <v/>
      </c>
      <c r="AM32" s="17">
        <f>IF(INDEX(Abilities!$A$14:$A$23,5)&lt;=A32,MIN(AC32,X32*INDEX(Abilities!$C$14:$C$23,5)*CHOOSE(Inputs!$C$13,1,INDEX(Abilities!$J$14:$J$23,5),INDEX(Abilities!$I$14:$I$23,5))*W32/INDEX(Abilities!$E$14:$E$23,5)),0)</f>
        <v/>
      </c>
      <c r="AN32" s="17">
        <f>IF(INDEX(Abilities!$A$14:$A$23,6)&lt;=A32,MIN(AD32,X32*INDEX(Abilities!$C$14:$C$23,6)*CHOOSE(Inputs!$C$13,1,INDEX(Abilities!$J$14:$J$23,6),INDEX(Abilities!$I$14:$I$23,6))*W32/INDEX(Abilities!$E$14:$E$23,6)),0)</f>
        <v/>
      </c>
      <c r="AO32" s="17">
        <f>IF(INDEX(Abilities!$A$14:$A$23,7)&lt;=A32,MIN(AE32,X32*INDEX(Abilities!$C$14:$C$23,7)*CHOOSE(Inputs!$C$13,1,INDEX(Abilities!$J$14:$J$23,7),INDEX(Abilities!$I$14:$I$23,7))*W32/INDEX(Abilities!$E$14:$E$23,7)),0)</f>
        <v/>
      </c>
      <c r="AP32" s="17">
        <f>IF(INDEX(Abilities!$A$14:$A$23,8)&lt;=A32,MIN(AF32,X32*INDEX(Abilities!$C$14:$C$23,8)*CHOOSE(Inputs!$C$13,1,INDEX(Abilities!$J$14:$J$23,8),INDEX(Abilities!$I$14:$I$23,8))*W32/INDEX(Abilities!$E$14:$E$23,8)),0)</f>
        <v/>
      </c>
      <c r="AQ32" s="17">
        <f>IF(INDEX(Abilities!$A$14:$A$23,9)&lt;=A32,MIN(AG32,X32*INDEX(Abilities!$C$14:$C$23,9)*CHOOSE(Inputs!$C$13,1,INDEX(Abilities!$J$14:$J$23,9),INDEX(Abilities!$I$14:$I$23,9))*W32/INDEX(Abilities!$E$14:$E$23,9)),0)</f>
        <v/>
      </c>
      <c r="AR32" s="17">
        <f>IF(INDEX(Abilities!$A$14:$A$23,10)&lt;=A32,MIN(AH32,X32*INDEX(Abilities!$C$14:$C$23,10)*CHOOSE(Inputs!$C$13,1,INDEX(Abilities!$J$14:$J$23,10),INDEX(Abilities!$I$14:$I$23,10))*W32/INDEX(Abilities!$E$14:$E$23,10)),0)</f>
        <v/>
      </c>
      <c r="AS32" s="17">
        <f>IF(INDEX(Abilities!$A$14:$A$23,1)&lt;=A32,INDEX(Abilities!$C$14:$C$23,1)*CHOOSE(Inputs!$C$13,1,INDEX(Abilities!$J$14:$J$23,1),INDEX(Abilities!$I$14:$I$23,1))*W32/MAX(INDEX(Abilities!$D$14:$D$23,1),2*Inputs!$C$12),0)</f>
        <v/>
      </c>
      <c r="AT32" s="17">
        <f>IF(INDEX(Abilities!$A$14:$A$23,2)&lt;=A32,INDEX(Abilities!$C$14:$C$23,2)*CHOOSE(Inputs!$C$13,1,INDEX(Abilities!$J$14:$J$23,2),INDEX(Abilities!$I$14:$I$23,2))*W32/MAX(INDEX(Abilities!$D$14:$D$23,2),2*Inputs!$C$12),0)</f>
        <v/>
      </c>
      <c r="AU32" s="17">
        <f>IF(INDEX(Abilities!$A$14:$A$23,3)&lt;=A32,INDEX(Abilities!$C$14:$C$23,3)*CHOOSE(Inputs!$C$13,1,INDEX(Abilities!$J$14:$J$23,3),INDEX(Abilities!$I$14:$I$23,3))*W32/MAX(INDEX(Abilities!$D$14:$D$23,3),2*Inputs!$C$12),0)</f>
        <v/>
      </c>
      <c r="AV32" s="17">
        <f>IF(INDEX(Abilities!$A$14:$A$23,4)&lt;=A32,INDEX(Abilities!$C$14:$C$23,4)*CHOOSE(Inputs!$C$13,1,INDEX(Abilities!$J$14:$J$23,4),INDEX(Abilities!$I$14:$I$23,4))*W32/MAX(INDEX(Abilities!$D$14:$D$23,4),2*Inputs!$C$12),0)</f>
        <v/>
      </c>
      <c r="AW32" s="17">
        <f>IF(INDEX(Abilities!$A$14:$A$23,5)&lt;=A32,INDEX(Abilities!$C$14:$C$23,5)*CHOOSE(Inputs!$C$13,1,INDEX(Abilities!$J$14:$J$23,5),INDEX(Abilities!$I$14:$I$23,5))*W32/MAX(INDEX(Abilities!$D$14:$D$23,5),2*Inputs!$C$12),0)</f>
        <v/>
      </c>
      <c r="AX32" s="17">
        <f>IF(INDEX(Abilities!$A$14:$A$23,6)&lt;=A32,INDEX(Abilities!$C$14:$C$23,6)*CHOOSE(Inputs!$C$13,1,INDEX(Abilities!$J$14:$J$23,6),INDEX(Abilities!$I$14:$I$23,6))*W32/MAX(INDEX(Abilities!$D$14:$D$23,6),2*Inputs!$C$12),0)</f>
        <v/>
      </c>
      <c r="AY32" s="17">
        <f>IF(INDEX(Abilities!$A$14:$A$23,7)&lt;=A32,INDEX(Abilities!$C$14:$C$23,7)*CHOOSE(Inputs!$C$13,1,INDEX(Abilities!$J$14:$J$23,7),INDEX(Abilities!$I$14:$I$23,7))*W32/MAX(INDEX(Abilities!$D$14:$D$23,7),2*Inputs!$C$12),0)</f>
        <v/>
      </c>
      <c r="AZ32" s="17">
        <f>IF(INDEX(Abilities!$A$14:$A$23,8)&lt;=A32,INDEX(Abilities!$C$14:$C$23,8)*CHOOSE(Inputs!$C$13,1,INDEX(Abilities!$J$14:$J$23,8),INDEX(Abilities!$I$14:$I$23,8))*W32/MAX(INDEX(Abilities!$D$14:$D$23,8),2*Inputs!$C$12),0)</f>
        <v/>
      </c>
      <c r="BA32" s="17">
        <f>IF(INDEX(Abilities!$A$14:$A$23,9)&lt;=A32,INDEX(Abilities!$C$14:$C$23,9)*CHOOSE(Inputs!$C$13,1,INDEX(Abilities!$J$14:$J$23,9),INDEX(Abilities!$I$14:$I$23,9))*W32/MAX(INDEX(Abilities!$D$14:$D$23,9),2*Inputs!$C$12),0)</f>
        <v/>
      </c>
      <c r="BB32" s="17">
        <f>IF(INDEX(Abilities!$A$14:$A$23,10)&lt;=A32,INDEX(Abilities!$C$14:$C$23,10)*CHOOSE(Inputs!$C$13,1,INDEX(Abilities!$J$14:$J$23,10),INDEX(Abilities!$I$14:$I$23,10))*W32/MAX(INDEX(Abilities!$D$14:$D$23,10),2*Inputs!$C$12),0)</f>
        <v/>
      </c>
      <c r="BC32" s="27">
        <f>MAX(Y32:AH32)</f>
        <v/>
      </c>
      <c r="BD32" s="8">
        <f>MATCH(BC32,Y32:AH32,0)</f>
        <v/>
      </c>
      <c r="BE32" s="15">
        <f>INDEX(Abilities!$B$14:$B$23,BD32)</f>
        <v/>
      </c>
      <c r="BF32" s="16">
        <f>CHOOSE(Inputs!$C$13,1,INDEX(Abilities!$J$14:$J$23,BD32),INDEX(Abilities!$I$14:$I$23,BD32))</f>
        <v/>
      </c>
      <c r="BG32" s="17">
        <f>INDEX(Abilities!$E$14:$E$23,BD32)/MAX(INDEX(Abilities!$D$14:$D$23,BD32),Inputs!$C$12)</f>
        <v/>
      </c>
      <c r="BH32" s="27">
        <f>MAX(AI32:AR32)</f>
        <v/>
      </c>
      <c r="BI32" s="8">
        <f>MATCH(BH32,AI32:AR32,0)</f>
        <v/>
      </c>
      <c r="BJ32" s="15">
        <f>INDEX(Abilities!$B$14:$B$23,BI32)</f>
        <v/>
      </c>
      <c r="BK32" s="14">
        <f>IFERROR(ROUNDUP(C32/(INDEX(Abilities!$C$14:$C$23,BD32)*W32),0),"-")</f>
        <v/>
      </c>
      <c r="BL32" s="9">
        <f>IFERROR(C32*INDEX(Abilities!$E$14:$E$23,BI32)/(INDEX(Abilities!$C$14:$C$23,BI32)*CHOOSE(Inputs!$C$13,1,INDEX(Abilities!$J$14:$J$23,BI32),INDEX(Abilities!$I$14:$I$23,BI32))*W32),"-")</f>
        <v/>
      </c>
      <c r="BM32" s="60">
        <f>IFERROR(P32/BL32,"-")</f>
        <v/>
      </c>
      <c r="BN32" s="17">
        <f>BH32+Inputs!$C$18*V32</f>
        <v/>
      </c>
      <c r="BO32" s="17">
        <f>BC32+Inputs!$C$18*V32</f>
        <v/>
      </c>
      <c r="BP32" s="27">
        <f>LARGE(AS32:BB32,1)+LARGE(AS32:BB32,2)</f>
        <v/>
      </c>
      <c r="BQ32" s="60">
        <f>IFERROR(IF(BG32&lt;=X32,C32/BO32,IF(C32/BO32*(BG32-X32)&lt;=P32,C32/BO32,P32/(BG32-X32)+(C32-BO32*P32/(BG32-X32))/BN32)),"-")</f>
        <v/>
      </c>
      <c r="BR32" s="60">
        <f>BQ32</f>
        <v/>
      </c>
      <c r="BS32" s="9">
        <f>MAX(0,(E32+(B32-A32))*(1-R32)*(1-Q32*'Class Table'!$O$7/Inputs!$C$19)-Q32*'Class Table'!$O$7/25)</f>
        <v/>
      </c>
      <c r="BT32" s="26">
        <f>IFERROR(BS32/F32*BR32,"-")</f>
        <v/>
      </c>
      <c r="BU32" s="28">
        <f>IFERROR(BT32/O32,"-")</f>
        <v/>
      </c>
      <c r="BV32" s="9">
        <f>IFERROR(O32*Inputs!$C$24/Inputs!$C$22*BR32,"-")</f>
        <v/>
      </c>
      <c r="BW32" s="28">
        <f>IFERROR(MAX(0,BT32-BV32)/O32,"-")</f>
        <v/>
      </c>
    </row>
    <row r="33">
      <c r="A33" s="8" t="n">
        <v>30</v>
      </c>
      <c r="B33" s="14">
        <f>'Mob by Level'!B33</f>
        <v/>
      </c>
      <c r="C33" s="9">
        <f>'Mob by Level'!C33</f>
        <v/>
      </c>
      <c r="D33" s="9">
        <f>'Mob by Level'!D33</f>
        <v/>
      </c>
      <c r="E33" s="9">
        <f>'Mob by Level'!E33</f>
        <v/>
      </c>
      <c r="F33" s="16">
        <f>'Mob by Level'!F33</f>
        <v/>
      </c>
      <c r="G33" s="14">
        <f>SUMIFS(Gear!$D$4:$D$603,Gear!$A$4:$A$603,A33,Gear!$B$4:$B$603,"Magus",Gear!$C$4:$C$603,Inputs!$C$5)</f>
        <v/>
      </c>
      <c r="H33" s="14">
        <f>SUMIFS(Gear!$E$4:$E$603,Gear!$A$4:$A$603,A33,Gear!$B$4:$B$603,"Magus",Gear!$C$4:$C$603,Inputs!$C$5)</f>
        <v/>
      </c>
      <c r="I33" s="14">
        <f>SUMIFS(Gear!$F$4:$F$603,Gear!$A$4:$A$603,A33,Gear!$B$4:$B$603,"Magus",Gear!$C$4:$C$603,Inputs!$C$5)+Inputs!$C$17*IFERROR(LOOKUP(A33,Abilities!$A$49:$A$53,Abilities!$C$49:$C$53),0)</f>
        <v/>
      </c>
      <c r="J33" s="13">
        <f>SUMIFS(Gear!$J$4:$J$603,Gear!$A$4:$A$603,A33,Gear!$B$4:$B$603,"Magus",Gear!$C$4:$C$603,Inputs!$C$5)</f>
        <v/>
      </c>
      <c r="K33" s="13">
        <f>SUMIFS(Gear!$K$4:$K$603,Gear!$A$4:$A$603,A33,Gear!$B$4:$B$603,"Magus",Gear!$C$4:$C$603,Inputs!$C$5)</f>
        <v/>
      </c>
      <c r="L33" s="13">
        <f>SUMIFS(Gear!$L$4:$L$603,Gear!$A$4:$A$603,A33,Gear!$B$4:$B$603,"Magus",Gear!$C$4:$C$603,Inputs!$C$5)</f>
        <v/>
      </c>
      <c r="M33" s="13">
        <f>SUMIFS(Gear!$M$4:$M$603,Gear!$A$4:$A$603,A33,Gear!$B$4:$B$603,"Magus",Gear!$C$4:$C$603,Inputs!$C$5)</f>
        <v/>
      </c>
      <c r="N33" s="13">
        <f>SUMIFS(Gear!$N$4:$N$603,Gear!$A$4:$A$603,A33,Gear!$B$4:$B$603,"Magus",Gear!$C$4:$C$603,Inputs!$C$5)</f>
        <v/>
      </c>
      <c r="O33" s="9">
        <f>INDEX('Class Table'!$H$4:$H$53,A33)+SUMIFS(Gear!$G$4:$G$603,Gear!$A$4:$A$603,A33,Gear!$B$4:$B$603,"Magus",Gear!$C$4:$C$603,Inputs!$C$5)</f>
        <v/>
      </c>
      <c r="P33" s="9">
        <f>INDEX('Class Table'!$I$4:$I$53,A33)+SUMIFS(Gear!$H$4:$H$603,Gear!$A$4:$A$603,A33,Gear!$B$4:$B$603,"Magus",Gear!$C$4:$C$603,Inputs!$C$5)</f>
        <v/>
      </c>
      <c r="Q33" s="9">
        <f>INDEX('Class Table'!$J$4:$J$53,A33)+SUMIFS(Gear!$I$4:$I$603,Gear!$A$4:$A$603,A33,Gear!$B$4:$B$603,"Magus",Gear!$C$4:$C$603,Inputs!$C$5)</f>
        <v/>
      </c>
      <c r="R33" s="13">
        <f>SUMIFS(Gear!$O$4:$O$603,Gear!$A$4:$A$603,A33,Gear!$B$4:$B$603,"Magus",Gear!$C$4:$C$603,Inputs!$C$5)</f>
        <v/>
      </c>
      <c r="S33" s="26">
        <f>I33+0+G33+A33+MAX(1,A33/2)+(A33-B33)</f>
        <v/>
      </c>
      <c r="T33" s="9">
        <f>MAX(0,S33*(1+M33)*(1+L33)*Inputs!$C$20*(1-D33/Inputs!$C$19)-D33/25)</f>
        <v/>
      </c>
      <c r="U33" s="16">
        <f>H33/10*(1-MIN(0.95,N33+0))*Inputs!$C$21</f>
        <v/>
      </c>
      <c r="V33" s="27">
        <f>T33/U33</f>
        <v/>
      </c>
      <c r="W33" s="16">
        <f>(1+J33)*(1+K33)*Inputs!$C$20</f>
        <v/>
      </c>
      <c r="X33" s="17">
        <f>P33*Inputs!$C$23/Inputs!$C$22</f>
        <v/>
      </c>
      <c r="Y33" s="17">
        <f>IF(INDEX(Abilities!$A$14:$A$23,1)&lt;=A33,INDEX(Abilities!$C$14:$C$23,1)*CHOOSE(Inputs!$C$13,1,INDEX(Abilities!$J$14:$J$23,1),INDEX(Abilities!$I$14:$I$23,1))*W33/MAX(INDEX(Abilities!$D$14:$D$23,1),Inputs!$C$12),0)</f>
        <v/>
      </c>
      <c r="Z33" s="17">
        <f>IF(INDEX(Abilities!$A$14:$A$23,2)&lt;=A33,INDEX(Abilities!$C$14:$C$23,2)*CHOOSE(Inputs!$C$13,1,INDEX(Abilities!$J$14:$J$23,2),INDEX(Abilities!$I$14:$I$23,2))*W33/MAX(INDEX(Abilities!$D$14:$D$23,2),Inputs!$C$12),0)</f>
        <v/>
      </c>
      <c r="AA33" s="17">
        <f>IF(INDEX(Abilities!$A$14:$A$23,3)&lt;=A33,INDEX(Abilities!$C$14:$C$23,3)*CHOOSE(Inputs!$C$13,1,INDEX(Abilities!$J$14:$J$23,3),INDEX(Abilities!$I$14:$I$23,3))*W33/MAX(INDEX(Abilities!$D$14:$D$23,3),Inputs!$C$12),0)</f>
        <v/>
      </c>
      <c r="AB33" s="17">
        <f>IF(INDEX(Abilities!$A$14:$A$23,4)&lt;=A33,INDEX(Abilities!$C$14:$C$23,4)*CHOOSE(Inputs!$C$13,1,INDEX(Abilities!$J$14:$J$23,4),INDEX(Abilities!$I$14:$I$23,4))*W33/MAX(INDEX(Abilities!$D$14:$D$23,4),Inputs!$C$12),0)</f>
        <v/>
      </c>
      <c r="AC33" s="17">
        <f>IF(INDEX(Abilities!$A$14:$A$23,5)&lt;=A33,INDEX(Abilities!$C$14:$C$23,5)*CHOOSE(Inputs!$C$13,1,INDEX(Abilities!$J$14:$J$23,5),INDEX(Abilities!$I$14:$I$23,5))*W33/MAX(INDEX(Abilities!$D$14:$D$23,5),Inputs!$C$12),0)</f>
        <v/>
      </c>
      <c r="AD33" s="17">
        <f>IF(INDEX(Abilities!$A$14:$A$23,6)&lt;=A33,INDEX(Abilities!$C$14:$C$23,6)*CHOOSE(Inputs!$C$13,1,INDEX(Abilities!$J$14:$J$23,6),INDEX(Abilities!$I$14:$I$23,6))*W33/MAX(INDEX(Abilities!$D$14:$D$23,6),Inputs!$C$12),0)</f>
        <v/>
      </c>
      <c r="AE33" s="17">
        <f>IF(INDEX(Abilities!$A$14:$A$23,7)&lt;=A33,INDEX(Abilities!$C$14:$C$23,7)*CHOOSE(Inputs!$C$13,1,INDEX(Abilities!$J$14:$J$23,7),INDEX(Abilities!$I$14:$I$23,7))*W33/MAX(INDEX(Abilities!$D$14:$D$23,7),Inputs!$C$12),0)</f>
        <v/>
      </c>
      <c r="AF33" s="17">
        <f>IF(INDEX(Abilities!$A$14:$A$23,8)&lt;=A33,INDEX(Abilities!$C$14:$C$23,8)*CHOOSE(Inputs!$C$13,1,INDEX(Abilities!$J$14:$J$23,8),INDEX(Abilities!$I$14:$I$23,8))*W33/MAX(INDEX(Abilities!$D$14:$D$23,8),Inputs!$C$12),0)</f>
        <v/>
      </c>
      <c r="AG33" s="17">
        <f>IF(INDEX(Abilities!$A$14:$A$23,9)&lt;=A33,INDEX(Abilities!$C$14:$C$23,9)*CHOOSE(Inputs!$C$13,1,INDEX(Abilities!$J$14:$J$23,9),INDEX(Abilities!$I$14:$I$23,9))*W33/MAX(INDEX(Abilities!$D$14:$D$23,9),Inputs!$C$12),0)</f>
        <v/>
      </c>
      <c r="AH33" s="17">
        <f>IF(INDEX(Abilities!$A$14:$A$23,10)&lt;=A33,INDEX(Abilities!$C$14:$C$23,10)*CHOOSE(Inputs!$C$13,1,INDEX(Abilities!$J$14:$J$23,10),INDEX(Abilities!$I$14:$I$23,10))*W33/MAX(INDEX(Abilities!$D$14:$D$23,10),Inputs!$C$12),0)</f>
        <v/>
      </c>
      <c r="AI33" s="17">
        <f>IF(INDEX(Abilities!$A$14:$A$23,1)&lt;=A33,MIN(Y33,X33*INDEX(Abilities!$C$14:$C$23,1)*CHOOSE(Inputs!$C$13,1,INDEX(Abilities!$J$14:$J$23,1),INDEX(Abilities!$I$14:$I$23,1))*W33/INDEX(Abilities!$E$14:$E$23,1)),0)</f>
        <v/>
      </c>
      <c r="AJ33" s="17">
        <f>IF(INDEX(Abilities!$A$14:$A$23,2)&lt;=A33,MIN(Z33,X33*INDEX(Abilities!$C$14:$C$23,2)*CHOOSE(Inputs!$C$13,1,INDEX(Abilities!$J$14:$J$23,2),INDEX(Abilities!$I$14:$I$23,2))*W33/INDEX(Abilities!$E$14:$E$23,2)),0)</f>
        <v/>
      </c>
      <c r="AK33" s="17">
        <f>IF(INDEX(Abilities!$A$14:$A$23,3)&lt;=A33,MIN(AA33,X33*INDEX(Abilities!$C$14:$C$23,3)*CHOOSE(Inputs!$C$13,1,INDEX(Abilities!$J$14:$J$23,3),INDEX(Abilities!$I$14:$I$23,3))*W33/INDEX(Abilities!$E$14:$E$23,3)),0)</f>
        <v/>
      </c>
      <c r="AL33" s="17">
        <f>IF(INDEX(Abilities!$A$14:$A$23,4)&lt;=A33,MIN(AB33,X33*INDEX(Abilities!$C$14:$C$23,4)*CHOOSE(Inputs!$C$13,1,INDEX(Abilities!$J$14:$J$23,4),INDEX(Abilities!$I$14:$I$23,4))*W33/INDEX(Abilities!$E$14:$E$23,4)),0)</f>
        <v/>
      </c>
      <c r="AM33" s="17">
        <f>IF(INDEX(Abilities!$A$14:$A$23,5)&lt;=A33,MIN(AC33,X33*INDEX(Abilities!$C$14:$C$23,5)*CHOOSE(Inputs!$C$13,1,INDEX(Abilities!$J$14:$J$23,5),INDEX(Abilities!$I$14:$I$23,5))*W33/INDEX(Abilities!$E$14:$E$23,5)),0)</f>
        <v/>
      </c>
      <c r="AN33" s="17">
        <f>IF(INDEX(Abilities!$A$14:$A$23,6)&lt;=A33,MIN(AD33,X33*INDEX(Abilities!$C$14:$C$23,6)*CHOOSE(Inputs!$C$13,1,INDEX(Abilities!$J$14:$J$23,6),INDEX(Abilities!$I$14:$I$23,6))*W33/INDEX(Abilities!$E$14:$E$23,6)),0)</f>
        <v/>
      </c>
      <c r="AO33" s="17">
        <f>IF(INDEX(Abilities!$A$14:$A$23,7)&lt;=A33,MIN(AE33,X33*INDEX(Abilities!$C$14:$C$23,7)*CHOOSE(Inputs!$C$13,1,INDEX(Abilities!$J$14:$J$23,7),INDEX(Abilities!$I$14:$I$23,7))*W33/INDEX(Abilities!$E$14:$E$23,7)),0)</f>
        <v/>
      </c>
      <c r="AP33" s="17">
        <f>IF(INDEX(Abilities!$A$14:$A$23,8)&lt;=A33,MIN(AF33,X33*INDEX(Abilities!$C$14:$C$23,8)*CHOOSE(Inputs!$C$13,1,INDEX(Abilities!$J$14:$J$23,8),INDEX(Abilities!$I$14:$I$23,8))*W33/INDEX(Abilities!$E$14:$E$23,8)),0)</f>
        <v/>
      </c>
      <c r="AQ33" s="17">
        <f>IF(INDEX(Abilities!$A$14:$A$23,9)&lt;=A33,MIN(AG33,X33*INDEX(Abilities!$C$14:$C$23,9)*CHOOSE(Inputs!$C$13,1,INDEX(Abilities!$J$14:$J$23,9),INDEX(Abilities!$I$14:$I$23,9))*W33/INDEX(Abilities!$E$14:$E$23,9)),0)</f>
        <v/>
      </c>
      <c r="AR33" s="17">
        <f>IF(INDEX(Abilities!$A$14:$A$23,10)&lt;=A33,MIN(AH33,X33*INDEX(Abilities!$C$14:$C$23,10)*CHOOSE(Inputs!$C$13,1,INDEX(Abilities!$J$14:$J$23,10),INDEX(Abilities!$I$14:$I$23,10))*W33/INDEX(Abilities!$E$14:$E$23,10)),0)</f>
        <v/>
      </c>
      <c r="AS33" s="17">
        <f>IF(INDEX(Abilities!$A$14:$A$23,1)&lt;=A33,INDEX(Abilities!$C$14:$C$23,1)*CHOOSE(Inputs!$C$13,1,INDEX(Abilities!$J$14:$J$23,1),INDEX(Abilities!$I$14:$I$23,1))*W33/MAX(INDEX(Abilities!$D$14:$D$23,1),2*Inputs!$C$12),0)</f>
        <v/>
      </c>
      <c r="AT33" s="17">
        <f>IF(INDEX(Abilities!$A$14:$A$23,2)&lt;=A33,INDEX(Abilities!$C$14:$C$23,2)*CHOOSE(Inputs!$C$13,1,INDEX(Abilities!$J$14:$J$23,2),INDEX(Abilities!$I$14:$I$23,2))*W33/MAX(INDEX(Abilities!$D$14:$D$23,2),2*Inputs!$C$12),0)</f>
        <v/>
      </c>
      <c r="AU33" s="17">
        <f>IF(INDEX(Abilities!$A$14:$A$23,3)&lt;=A33,INDEX(Abilities!$C$14:$C$23,3)*CHOOSE(Inputs!$C$13,1,INDEX(Abilities!$J$14:$J$23,3),INDEX(Abilities!$I$14:$I$23,3))*W33/MAX(INDEX(Abilities!$D$14:$D$23,3),2*Inputs!$C$12),0)</f>
        <v/>
      </c>
      <c r="AV33" s="17">
        <f>IF(INDEX(Abilities!$A$14:$A$23,4)&lt;=A33,INDEX(Abilities!$C$14:$C$23,4)*CHOOSE(Inputs!$C$13,1,INDEX(Abilities!$J$14:$J$23,4),INDEX(Abilities!$I$14:$I$23,4))*W33/MAX(INDEX(Abilities!$D$14:$D$23,4),2*Inputs!$C$12),0)</f>
        <v/>
      </c>
      <c r="AW33" s="17">
        <f>IF(INDEX(Abilities!$A$14:$A$23,5)&lt;=A33,INDEX(Abilities!$C$14:$C$23,5)*CHOOSE(Inputs!$C$13,1,INDEX(Abilities!$J$14:$J$23,5),INDEX(Abilities!$I$14:$I$23,5))*W33/MAX(INDEX(Abilities!$D$14:$D$23,5),2*Inputs!$C$12),0)</f>
        <v/>
      </c>
      <c r="AX33" s="17">
        <f>IF(INDEX(Abilities!$A$14:$A$23,6)&lt;=A33,INDEX(Abilities!$C$14:$C$23,6)*CHOOSE(Inputs!$C$13,1,INDEX(Abilities!$J$14:$J$23,6),INDEX(Abilities!$I$14:$I$23,6))*W33/MAX(INDEX(Abilities!$D$14:$D$23,6),2*Inputs!$C$12),0)</f>
        <v/>
      </c>
      <c r="AY33" s="17">
        <f>IF(INDEX(Abilities!$A$14:$A$23,7)&lt;=A33,INDEX(Abilities!$C$14:$C$23,7)*CHOOSE(Inputs!$C$13,1,INDEX(Abilities!$J$14:$J$23,7),INDEX(Abilities!$I$14:$I$23,7))*W33/MAX(INDEX(Abilities!$D$14:$D$23,7),2*Inputs!$C$12),0)</f>
        <v/>
      </c>
      <c r="AZ33" s="17">
        <f>IF(INDEX(Abilities!$A$14:$A$23,8)&lt;=A33,INDEX(Abilities!$C$14:$C$23,8)*CHOOSE(Inputs!$C$13,1,INDEX(Abilities!$J$14:$J$23,8),INDEX(Abilities!$I$14:$I$23,8))*W33/MAX(INDEX(Abilities!$D$14:$D$23,8),2*Inputs!$C$12),0)</f>
        <v/>
      </c>
      <c r="BA33" s="17">
        <f>IF(INDEX(Abilities!$A$14:$A$23,9)&lt;=A33,INDEX(Abilities!$C$14:$C$23,9)*CHOOSE(Inputs!$C$13,1,INDEX(Abilities!$J$14:$J$23,9),INDEX(Abilities!$I$14:$I$23,9))*W33/MAX(INDEX(Abilities!$D$14:$D$23,9),2*Inputs!$C$12),0)</f>
        <v/>
      </c>
      <c r="BB33" s="17">
        <f>IF(INDEX(Abilities!$A$14:$A$23,10)&lt;=A33,INDEX(Abilities!$C$14:$C$23,10)*CHOOSE(Inputs!$C$13,1,INDEX(Abilities!$J$14:$J$23,10),INDEX(Abilities!$I$14:$I$23,10))*W33/MAX(INDEX(Abilities!$D$14:$D$23,10),2*Inputs!$C$12),0)</f>
        <v/>
      </c>
      <c r="BC33" s="27">
        <f>MAX(Y33:AH33)</f>
        <v/>
      </c>
      <c r="BD33" s="8">
        <f>MATCH(BC33,Y33:AH33,0)</f>
        <v/>
      </c>
      <c r="BE33" s="15">
        <f>INDEX(Abilities!$B$14:$B$23,BD33)</f>
        <v/>
      </c>
      <c r="BF33" s="16">
        <f>CHOOSE(Inputs!$C$13,1,INDEX(Abilities!$J$14:$J$23,BD33),INDEX(Abilities!$I$14:$I$23,BD33))</f>
        <v/>
      </c>
      <c r="BG33" s="17">
        <f>INDEX(Abilities!$E$14:$E$23,BD33)/MAX(INDEX(Abilities!$D$14:$D$23,BD33),Inputs!$C$12)</f>
        <v/>
      </c>
      <c r="BH33" s="27">
        <f>MAX(AI33:AR33)</f>
        <v/>
      </c>
      <c r="BI33" s="8">
        <f>MATCH(BH33,AI33:AR33,0)</f>
        <v/>
      </c>
      <c r="BJ33" s="15">
        <f>INDEX(Abilities!$B$14:$B$23,BI33)</f>
        <v/>
      </c>
      <c r="BK33" s="14">
        <f>IFERROR(ROUNDUP(C33/(INDEX(Abilities!$C$14:$C$23,BD33)*W33),0),"-")</f>
        <v/>
      </c>
      <c r="BL33" s="9">
        <f>IFERROR(C33*INDEX(Abilities!$E$14:$E$23,BI33)/(INDEX(Abilities!$C$14:$C$23,BI33)*CHOOSE(Inputs!$C$13,1,INDEX(Abilities!$J$14:$J$23,BI33),INDEX(Abilities!$I$14:$I$23,BI33))*W33),"-")</f>
        <v/>
      </c>
      <c r="BM33" s="60">
        <f>IFERROR(P33/BL33,"-")</f>
        <v/>
      </c>
      <c r="BN33" s="17">
        <f>BH33+Inputs!$C$18*V33</f>
        <v/>
      </c>
      <c r="BO33" s="17">
        <f>BC33+Inputs!$C$18*V33</f>
        <v/>
      </c>
      <c r="BP33" s="27">
        <f>LARGE(AS33:BB33,1)+LARGE(AS33:BB33,2)</f>
        <v/>
      </c>
      <c r="BQ33" s="60">
        <f>IFERROR(IF(BG33&lt;=X33,C33/BO33,IF(C33/BO33*(BG33-X33)&lt;=P33,C33/BO33,P33/(BG33-X33)+(C33-BO33*P33/(BG33-X33))/BN33)),"-")</f>
        <v/>
      </c>
      <c r="BR33" s="60">
        <f>BQ33</f>
        <v/>
      </c>
      <c r="BS33" s="9">
        <f>MAX(0,(E33+(B33-A33))*(1-R33)*(1-Q33*'Class Table'!$O$7/Inputs!$C$19)-Q33*'Class Table'!$O$7/25)</f>
        <v/>
      </c>
      <c r="BT33" s="26">
        <f>IFERROR(BS33/F33*BR33,"-")</f>
        <v/>
      </c>
      <c r="BU33" s="28">
        <f>IFERROR(BT33/O33,"-")</f>
        <v/>
      </c>
      <c r="BV33" s="9">
        <f>IFERROR(O33*Inputs!$C$24/Inputs!$C$22*BR33,"-")</f>
        <v/>
      </c>
      <c r="BW33" s="28">
        <f>IFERROR(MAX(0,BT33-BV33)/O33,"-")</f>
        <v/>
      </c>
    </row>
    <row r="34">
      <c r="A34" s="8" t="n">
        <v>31</v>
      </c>
      <c r="B34" s="14">
        <f>'Mob by Level'!B34</f>
        <v/>
      </c>
      <c r="C34" s="9">
        <f>'Mob by Level'!C34</f>
        <v/>
      </c>
      <c r="D34" s="9">
        <f>'Mob by Level'!D34</f>
        <v/>
      </c>
      <c r="E34" s="9">
        <f>'Mob by Level'!E34</f>
        <v/>
      </c>
      <c r="F34" s="16">
        <f>'Mob by Level'!F34</f>
        <v/>
      </c>
      <c r="G34" s="14">
        <f>SUMIFS(Gear!$D$4:$D$603,Gear!$A$4:$A$603,A34,Gear!$B$4:$B$603,"Magus",Gear!$C$4:$C$603,Inputs!$C$5)</f>
        <v/>
      </c>
      <c r="H34" s="14">
        <f>SUMIFS(Gear!$E$4:$E$603,Gear!$A$4:$A$603,A34,Gear!$B$4:$B$603,"Magus",Gear!$C$4:$C$603,Inputs!$C$5)</f>
        <v/>
      </c>
      <c r="I34" s="14">
        <f>SUMIFS(Gear!$F$4:$F$603,Gear!$A$4:$A$603,A34,Gear!$B$4:$B$603,"Magus",Gear!$C$4:$C$603,Inputs!$C$5)+Inputs!$C$17*IFERROR(LOOKUP(A34,Abilities!$A$49:$A$53,Abilities!$C$49:$C$53),0)</f>
        <v/>
      </c>
      <c r="J34" s="13">
        <f>SUMIFS(Gear!$J$4:$J$603,Gear!$A$4:$A$603,A34,Gear!$B$4:$B$603,"Magus",Gear!$C$4:$C$603,Inputs!$C$5)</f>
        <v/>
      </c>
      <c r="K34" s="13">
        <f>SUMIFS(Gear!$K$4:$K$603,Gear!$A$4:$A$603,A34,Gear!$B$4:$B$603,"Magus",Gear!$C$4:$C$603,Inputs!$C$5)</f>
        <v/>
      </c>
      <c r="L34" s="13">
        <f>SUMIFS(Gear!$L$4:$L$603,Gear!$A$4:$A$603,A34,Gear!$B$4:$B$603,"Magus",Gear!$C$4:$C$603,Inputs!$C$5)</f>
        <v/>
      </c>
      <c r="M34" s="13">
        <f>SUMIFS(Gear!$M$4:$M$603,Gear!$A$4:$A$603,A34,Gear!$B$4:$B$603,"Magus",Gear!$C$4:$C$603,Inputs!$C$5)</f>
        <v/>
      </c>
      <c r="N34" s="13">
        <f>SUMIFS(Gear!$N$4:$N$603,Gear!$A$4:$A$603,A34,Gear!$B$4:$B$603,"Magus",Gear!$C$4:$C$603,Inputs!$C$5)</f>
        <v/>
      </c>
      <c r="O34" s="9">
        <f>INDEX('Class Table'!$H$4:$H$53,A34)+SUMIFS(Gear!$G$4:$G$603,Gear!$A$4:$A$603,A34,Gear!$B$4:$B$603,"Magus",Gear!$C$4:$C$603,Inputs!$C$5)</f>
        <v/>
      </c>
      <c r="P34" s="9">
        <f>INDEX('Class Table'!$I$4:$I$53,A34)+SUMIFS(Gear!$H$4:$H$603,Gear!$A$4:$A$603,A34,Gear!$B$4:$B$603,"Magus",Gear!$C$4:$C$603,Inputs!$C$5)</f>
        <v/>
      </c>
      <c r="Q34" s="9">
        <f>INDEX('Class Table'!$J$4:$J$53,A34)+SUMIFS(Gear!$I$4:$I$603,Gear!$A$4:$A$603,A34,Gear!$B$4:$B$603,"Magus",Gear!$C$4:$C$603,Inputs!$C$5)</f>
        <v/>
      </c>
      <c r="R34" s="13">
        <f>SUMIFS(Gear!$O$4:$O$603,Gear!$A$4:$A$603,A34,Gear!$B$4:$B$603,"Magus",Gear!$C$4:$C$603,Inputs!$C$5)</f>
        <v/>
      </c>
      <c r="S34" s="26">
        <f>I34+0+G34+A34+MAX(1,A34/2)+(A34-B34)</f>
        <v/>
      </c>
      <c r="T34" s="9">
        <f>MAX(0,S34*(1+M34)*(1+L34)*Inputs!$C$20*(1-D34/Inputs!$C$19)-D34/25)</f>
        <v/>
      </c>
      <c r="U34" s="16">
        <f>H34/10*(1-MIN(0.95,N34+0))*Inputs!$C$21</f>
        <v/>
      </c>
      <c r="V34" s="27">
        <f>T34/U34</f>
        <v/>
      </c>
      <c r="W34" s="16">
        <f>(1+J34)*(1+K34)*Inputs!$C$20</f>
        <v/>
      </c>
      <c r="X34" s="17">
        <f>P34*Inputs!$C$23/Inputs!$C$22</f>
        <v/>
      </c>
      <c r="Y34" s="17">
        <f>IF(INDEX(Abilities!$A$14:$A$23,1)&lt;=A34,INDEX(Abilities!$C$14:$C$23,1)*CHOOSE(Inputs!$C$13,1,INDEX(Abilities!$J$14:$J$23,1),INDEX(Abilities!$I$14:$I$23,1))*W34/MAX(INDEX(Abilities!$D$14:$D$23,1),Inputs!$C$12),0)</f>
        <v/>
      </c>
      <c r="Z34" s="17">
        <f>IF(INDEX(Abilities!$A$14:$A$23,2)&lt;=A34,INDEX(Abilities!$C$14:$C$23,2)*CHOOSE(Inputs!$C$13,1,INDEX(Abilities!$J$14:$J$23,2),INDEX(Abilities!$I$14:$I$23,2))*W34/MAX(INDEX(Abilities!$D$14:$D$23,2),Inputs!$C$12),0)</f>
        <v/>
      </c>
      <c r="AA34" s="17">
        <f>IF(INDEX(Abilities!$A$14:$A$23,3)&lt;=A34,INDEX(Abilities!$C$14:$C$23,3)*CHOOSE(Inputs!$C$13,1,INDEX(Abilities!$J$14:$J$23,3),INDEX(Abilities!$I$14:$I$23,3))*W34/MAX(INDEX(Abilities!$D$14:$D$23,3),Inputs!$C$12),0)</f>
        <v/>
      </c>
      <c r="AB34" s="17">
        <f>IF(INDEX(Abilities!$A$14:$A$23,4)&lt;=A34,INDEX(Abilities!$C$14:$C$23,4)*CHOOSE(Inputs!$C$13,1,INDEX(Abilities!$J$14:$J$23,4),INDEX(Abilities!$I$14:$I$23,4))*W34/MAX(INDEX(Abilities!$D$14:$D$23,4),Inputs!$C$12),0)</f>
        <v/>
      </c>
      <c r="AC34" s="17">
        <f>IF(INDEX(Abilities!$A$14:$A$23,5)&lt;=A34,INDEX(Abilities!$C$14:$C$23,5)*CHOOSE(Inputs!$C$13,1,INDEX(Abilities!$J$14:$J$23,5),INDEX(Abilities!$I$14:$I$23,5))*W34/MAX(INDEX(Abilities!$D$14:$D$23,5),Inputs!$C$12),0)</f>
        <v/>
      </c>
      <c r="AD34" s="17">
        <f>IF(INDEX(Abilities!$A$14:$A$23,6)&lt;=A34,INDEX(Abilities!$C$14:$C$23,6)*CHOOSE(Inputs!$C$13,1,INDEX(Abilities!$J$14:$J$23,6),INDEX(Abilities!$I$14:$I$23,6))*W34/MAX(INDEX(Abilities!$D$14:$D$23,6),Inputs!$C$12),0)</f>
        <v/>
      </c>
      <c r="AE34" s="17">
        <f>IF(INDEX(Abilities!$A$14:$A$23,7)&lt;=A34,INDEX(Abilities!$C$14:$C$23,7)*CHOOSE(Inputs!$C$13,1,INDEX(Abilities!$J$14:$J$23,7),INDEX(Abilities!$I$14:$I$23,7))*W34/MAX(INDEX(Abilities!$D$14:$D$23,7),Inputs!$C$12),0)</f>
        <v/>
      </c>
      <c r="AF34" s="17">
        <f>IF(INDEX(Abilities!$A$14:$A$23,8)&lt;=A34,INDEX(Abilities!$C$14:$C$23,8)*CHOOSE(Inputs!$C$13,1,INDEX(Abilities!$J$14:$J$23,8),INDEX(Abilities!$I$14:$I$23,8))*W34/MAX(INDEX(Abilities!$D$14:$D$23,8),Inputs!$C$12),0)</f>
        <v/>
      </c>
      <c r="AG34" s="17">
        <f>IF(INDEX(Abilities!$A$14:$A$23,9)&lt;=A34,INDEX(Abilities!$C$14:$C$23,9)*CHOOSE(Inputs!$C$13,1,INDEX(Abilities!$J$14:$J$23,9),INDEX(Abilities!$I$14:$I$23,9))*W34/MAX(INDEX(Abilities!$D$14:$D$23,9),Inputs!$C$12),0)</f>
        <v/>
      </c>
      <c r="AH34" s="17">
        <f>IF(INDEX(Abilities!$A$14:$A$23,10)&lt;=A34,INDEX(Abilities!$C$14:$C$23,10)*CHOOSE(Inputs!$C$13,1,INDEX(Abilities!$J$14:$J$23,10),INDEX(Abilities!$I$14:$I$23,10))*W34/MAX(INDEX(Abilities!$D$14:$D$23,10),Inputs!$C$12),0)</f>
        <v/>
      </c>
      <c r="AI34" s="17">
        <f>IF(INDEX(Abilities!$A$14:$A$23,1)&lt;=A34,MIN(Y34,X34*INDEX(Abilities!$C$14:$C$23,1)*CHOOSE(Inputs!$C$13,1,INDEX(Abilities!$J$14:$J$23,1),INDEX(Abilities!$I$14:$I$23,1))*W34/INDEX(Abilities!$E$14:$E$23,1)),0)</f>
        <v/>
      </c>
      <c r="AJ34" s="17">
        <f>IF(INDEX(Abilities!$A$14:$A$23,2)&lt;=A34,MIN(Z34,X34*INDEX(Abilities!$C$14:$C$23,2)*CHOOSE(Inputs!$C$13,1,INDEX(Abilities!$J$14:$J$23,2),INDEX(Abilities!$I$14:$I$23,2))*W34/INDEX(Abilities!$E$14:$E$23,2)),0)</f>
        <v/>
      </c>
      <c r="AK34" s="17">
        <f>IF(INDEX(Abilities!$A$14:$A$23,3)&lt;=A34,MIN(AA34,X34*INDEX(Abilities!$C$14:$C$23,3)*CHOOSE(Inputs!$C$13,1,INDEX(Abilities!$J$14:$J$23,3),INDEX(Abilities!$I$14:$I$23,3))*W34/INDEX(Abilities!$E$14:$E$23,3)),0)</f>
        <v/>
      </c>
      <c r="AL34" s="17">
        <f>IF(INDEX(Abilities!$A$14:$A$23,4)&lt;=A34,MIN(AB34,X34*INDEX(Abilities!$C$14:$C$23,4)*CHOOSE(Inputs!$C$13,1,INDEX(Abilities!$J$14:$J$23,4),INDEX(Abilities!$I$14:$I$23,4))*W34/INDEX(Abilities!$E$14:$E$23,4)),0)</f>
        <v/>
      </c>
      <c r="AM34" s="17">
        <f>IF(INDEX(Abilities!$A$14:$A$23,5)&lt;=A34,MIN(AC34,X34*INDEX(Abilities!$C$14:$C$23,5)*CHOOSE(Inputs!$C$13,1,INDEX(Abilities!$J$14:$J$23,5),INDEX(Abilities!$I$14:$I$23,5))*W34/INDEX(Abilities!$E$14:$E$23,5)),0)</f>
        <v/>
      </c>
      <c r="AN34" s="17">
        <f>IF(INDEX(Abilities!$A$14:$A$23,6)&lt;=A34,MIN(AD34,X34*INDEX(Abilities!$C$14:$C$23,6)*CHOOSE(Inputs!$C$13,1,INDEX(Abilities!$J$14:$J$23,6),INDEX(Abilities!$I$14:$I$23,6))*W34/INDEX(Abilities!$E$14:$E$23,6)),0)</f>
        <v/>
      </c>
      <c r="AO34" s="17">
        <f>IF(INDEX(Abilities!$A$14:$A$23,7)&lt;=A34,MIN(AE34,X34*INDEX(Abilities!$C$14:$C$23,7)*CHOOSE(Inputs!$C$13,1,INDEX(Abilities!$J$14:$J$23,7),INDEX(Abilities!$I$14:$I$23,7))*W34/INDEX(Abilities!$E$14:$E$23,7)),0)</f>
        <v/>
      </c>
      <c r="AP34" s="17">
        <f>IF(INDEX(Abilities!$A$14:$A$23,8)&lt;=A34,MIN(AF34,X34*INDEX(Abilities!$C$14:$C$23,8)*CHOOSE(Inputs!$C$13,1,INDEX(Abilities!$J$14:$J$23,8),INDEX(Abilities!$I$14:$I$23,8))*W34/INDEX(Abilities!$E$14:$E$23,8)),0)</f>
        <v/>
      </c>
      <c r="AQ34" s="17">
        <f>IF(INDEX(Abilities!$A$14:$A$23,9)&lt;=A34,MIN(AG34,X34*INDEX(Abilities!$C$14:$C$23,9)*CHOOSE(Inputs!$C$13,1,INDEX(Abilities!$J$14:$J$23,9),INDEX(Abilities!$I$14:$I$23,9))*W34/INDEX(Abilities!$E$14:$E$23,9)),0)</f>
        <v/>
      </c>
      <c r="AR34" s="17">
        <f>IF(INDEX(Abilities!$A$14:$A$23,10)&lt;=A34,MIN(AH34,X34*INDEX(Abilities!$C$14:$C$23,10)*CHOOSE(Inputs!$C$13,1,INDEX(Abilities!$J$14:$J$23,10),INDEX(Abilities!$I$14:$I$23,10))*W34/INDEX(Abilities!$E$14:$E$23,10)),0)</f>
        <v/>
      </c>
      <c r="AS34" s="17">
        <f>IF(INDEX(Abilities!$A$14:$A$23,1)&lt;=A34,INDEX(Abilities!$C$14:$C$23,1)*CHOOSE(Inputs!$C$13,1,INDEX(Abilities!$J$14:$J$23,1),INDEX(Abilities!$I$14:$I$23,1))*W34/MAX(INDEX(Abilities!$D$14:$D$23,1),2*Inputs!$C$12),0)</f>
        <v/>
      </c>
      <c r="AT34" s="17">
        <f>IF(INDEX(Abilities!$A$14:$A$23,2)&lt;=A34,INDEX(Abilities!$C$14:$C$23,2)*CHOOSE(Inputs!$C$13,1,INDEX(Abilities!$J$14:$J$23,2),INDEX(Abilities!$I$14:$I$23,2))*W34/MAX(INDEX(Abilities!$D$14:$D$23,2),2*Inputs!$C$12),0)</f>
        <v/>
      </c>
      <c r="AU34" s="17">
        <f>IF(INDEX(Abilities!$A$14:$A$23,3)&lt;=A34,INDEX(Abilities!$C$14:$C$23,3)*CHOOSE(Inputs!$C$13,1,INDEX(Abilities!$J$14:$J$23,3),INDEX(Abilities!$I$14:$I$23,3))*W34/MAX(INDEX(Abilities!$D$14:$D$23,3),2*Inputs!$C$12),0)</f>
        <v/>
      </c>
      <c r="AV34" s="17">
        <f>IF(INDEX(Abilities!$A$14:$A$23,4)&lt;=A34,INDEX(Abilities!$C$14:$C$23,4)*CHOOSE(Inputs!$C$13,1,INDEX(Abilities!$J$14:$J$23,4),INDEX(Abilities!$I$14:$I$23,4))*W34/MAX(INDEX(Abilities!$D$14:$D$23,4),2*Inputs!$C$12),0)</f>
        <v/>
      </c>
      <c r="AW34" s="17">
        <f>IF(INDEX(Abilities!$A$14:$A$23,5)&lt;=A34,INDEX(Abilities!$C$14:$C$23,5)*CHOOSE(Inputs!$C$13,1,INDEX(Abilities!$J$14:$J$23,5),INDEX(Abilities!$I$14:$I$23,5))*W34/MAX(INDEX(Abilities!$D$14:$D$23,5),2*Inputs!$C$12),0)</f>
        <v/>
      </c>
      <c r="AX34" s="17">
        <f>IF(INDEX(Abilities!$A$14:$A$23,6)&lt;=A34,INDEX(Abilities!$C$14:$C$23,6)*CHOOSE(Inputs!$C$13,1,INDEX(Abilities!$J$14:$J$23,6),INDEX(Abilities!$I$14:$I$23,6))*W34/MAX(INDEX(Abilities!$D$14:$D$23,6),2*Inputs!$C$12),0)</f>
        <v/>
      </c>
      <c r="AY34" s="17">
        <f>IF(INDEX(Abilities!$A$14:$A$23,7)&lt;=A34,INDEX(Abilities!$C$14:$C$23,7)*CHOOSE(Inputs!$C$13,1,INDEX(Abilities!$J$14:$J$23,7),INDEX(Abilities!$I$14:$I$23,7))*W34/MAX(INDEX(Abilities!$D$14:$D$23,7),2*Inputs!$C$12),0)</f>
        <v/>
      </c>
      <c r="AZ34" s="17">
        <f>IF(INDEX(Abilities!$A$14:$A$23,8)&lt;=A34,INDEX(Abilities!$C$14:$C$23,8)*CHOOSE(Inputs!$C$13,1,INDEX(Abilities!$J$14:$J$23,8),INDEX(Abilities!$I$14:$I$23,8))*W34/MAX(INDEX(Abilities!$D$14:$D$23,8),2*Inputs!$C$12),0)</f>
        <v/>
      </c>
      <c r="BA34" s="17">
        <f>IF(INDEX(Abilities!$A$14:$A$23,9)&lt;=A34,INDEX(Abilities!$C$14:$C$23,9)*CHOOSE(Inputs!$C$13,1,INDEX(Abilities!$J$14:$J$23,9),INDEX(Abilities!$I$14:$I$23,9))*W34/MAX(INDEX(Abilities!$D$14:$D$23,9),2*Inputs!$C$12),0)</f>
        <v/>
      </c>
      <c r="BB34" s="17">
        <f>IF(INDEX(Abilities!$A$14:$A$23,10)&lt;=A34,INDEX(Abilities!$C$14:$C$23,10)*CHOOSE(Inputs!$C$13,1,INDEX(Abilities!$J$14:$J$23,10),INDEX(Abilities!$I$14:$I$23,10))*W34/MAX(INDEX(Abilities!$D$14:$D$23,10),2*Inputs!$C$12),0)</f>
        <v/>
      </c>
      <c r="BC34" s="27">
        <f>MAX(Y34:AH34)</f>
        <v/>
      </c>
      <c r="BD34" s="8">
        <f>MATCH(BC34,Y34:AH34,0)</f>
        <v/>
      </c>
      <c r="BE34" s="15">
        <f>INDEX(Abilities!$B$14:$B$23,BD34)</f>
        <v/>
      </c>
      <c r="BF34" s="16">
        <f>CHOOSE(Inputs!$C$13,1,INDEX(Abilities!$J$14:$J$23,BD34),INDEX(Abilities!$I$14:$I$23,BD34))</f>
        <v/>
      </c>
      <c r="BG34" s="17">
        <f>INDEX(Abilities!$E$14:$E$23,BD34)/MAX(INDEX(Abilities!$D$14:$D$23,BD34),Inputs!$C$12)</f>
        <v/>
      </c>
      <c r="BH34" s="27">
        <f>MAX(AI34:AR34)</f>
        <v/>
      </c>
      <c r="BI34" s="8">
        <f>MATCH(BH34,AI34:AR34,0)</f>
        <v/>
      </c>
      <c r="BJ34" s="15">
        <f>INDEX(Abilities!$B$14:$B$23,BI34)</f>
        <v/>
      </c>
      <c r="BK34" s="14">
        <f>IFERROR(ROUNDUP(C34/(INDEX(Abilities!$C$14:$C$23,BD34)*W34),0),"-")</f>
        <v/>
      </c>
      <c r="BL34" s="9">
        <f>IFERROR(C34*INDEX(Abilities!$E$14:$E$23,BI34)/(INDEX(Abilities!$C$14:$C$23,BI34)*CHOOSE(Inputs!$C$13,1,INDEX(Abilities!$J$14:$J$23,BI34),INDEX(Abilities!$I$14:$I$23,BI34))*W34),"-")</f>
        <v/>
      </c>
      <c r="BM34" s="60">
        <f>IFERROR(P34/BL34,"-")</f>
        <v/>
      </c>
      <c r="BN34" s="17">
        <f>BH34+Inputs!$C$18*V34</f>
        <v/>
      </c>
      <c r="BO34" s="17">
        <f>BC34+Inputs!$C$18*V34</f>
        <v/>
      </c>
      <c r="BP34" s="27">
        <f>LARGE(AS34:BB34,1)+LARGE(AS34:BB34,2)</f>
        <v/>
      </c>
      <c r="BQ34" s="60">
        <f>IFERROR(IF(BG34&lt;=X34,C34/BO34,IF(C34/BO34*(BG34-X34)&lt;=P34,C34/BO34,P34/(BG34-X34)+(C34-BO34*P34/(BG34-X34))/BN34)),"-")</f>
        <v/>
      </c>
      <c r="BR34" s="60">
        <f>BQ34</f>
        <v/>
      </c>
      <c r="BS34" s="9">
        <f>MAX(0,(E34+(B34-A34))*(1-R34)*(1-Q34*'Class Table'!$O$7/Inputs!$C$19)-Q34*'Class Table'!$O$7/25)</f>
        <v/>
      </c>
      <c r="BT34" s="26">
        <f>IFERROR(BS34/F34*BR34,"-")</f>
        <v/>
      </c>
      <c r="BU34" s="28">
        <f>IFERROR(BT34/O34,"-")</f>
        <v/>
      </c>
      <c r="BV34" s="9">
        <f>IFERROR(O34*Inputs!$C$24/Inputs!$C$22*BR34,"-")</f>
        <v/>
      </c>
      <c r="BW34" s="28">
        <f>IFERROR(MAX(0,BT34-BV34)/O34,"-")</f>
        <v/>
      </c>
    </row>
    <row r="35">
      <c r="A35" s="8" t="n">
        <v>32</v>
      </c>
      <c r="B35" s="14">
        <f>'Mob by Level'!B35</f>
        <v/>
      </c>
      <c r="C35" s="9">
        <f>'Mob by Level'!C35</f>
        <v/>
      </c>
      <c r="D35" s="9">
        <f>'Mob by Level'!D35</f>
        <v/>
      </c>
      <c r="E35" s="9">
        <f>'Mob by Level'!E35</f>
        <v/>
      </c>
      <c r="F35" s="16">
        <f>'Mob by Level'!F35</f>
        <v/>
      </c>
      <c r="G35" s="14">
        <f>SUMIFS(Gear!$D$4:$D$603,Gear!$A$4:$A$603,A35,Gear!$B$4:$B$603,"Magus",Gear!$C$4:$C$603,Inputs!$C$5)</f>
        <v/>
      </c>
      <c r="H35" s="14">
        <f>SUMIFS(Gear!$E$4:$E$603,Gear!$A$4:$A$603,A35,Gear!$B$4:$B$603,"Magus",Gear!$C$4:$C$603,Inputs!$C$5)</f>
        <v/>
      </c>
      <c r="I35" s="14">
        <f>SUMIFS(Gear!$F$4:$F$603,Gear!$A$4:$A$603,A35,Gear!$B$4:$B$603,"Magus",Gear!$C$4:$C$603,Inputs!$C$5)+Inputs!$C$17*IFERROR(LOOKUP(A35,Abilities!$A$49:$A$53,Abilities!$C$49:$C$53),0)</f>
        <v/>
      </c>
      <c r="J35" s="13">
        <f>SUMIFS(Gear!$J$4:$J$603,Gear!$A$4:$A$603,A35,Gear!$B$4:$B$603,"Magus",Gear!$C$4:$C$603,Inputs!$C$5)</f>
        <v/>
      </c>
      <c r="K35" s="13">
        <f>SUMIFS(Gear!$K$4:$K$603,Gear!$A$4:$A$603,A35,Gear!$B$4:$B$603,"Magus",Gear!$C$4:$C$603,Inputs!$C$5)</f>
        <v/>
      </c>
      <c r="L35" s="13">
        <f>SUMIFS(Gear!$L$4:$L$603,Gear!$A$4:$A$603,A35,Gear!$B$4:$B$603,"Magus",Gear!$C$4:$C$603,Inputs!$C$5)</f>
        <v/>
      </c>
      <c r="M35" s="13">
        <f>SUMIFS(Gear!$M$4:$M$603,Gear!$A$4:$A$603,A35,Gear!$B$4:$B$603,"Magus",Gear!$C$4:$C$603,Inputs!$C$5)</f>
        <v/>
      </c>
      <c r="N35" s="13">
        <f>SUMIFS(Gear!$N$4:$N$603,Gear!$A$4:$A$603,A35,Gear!$B$4:$B$603,"Magus",Gear!$C$4:$C$603,Inputs!$C$5)</f>
        <v/>
      </c>
      <c r="O35" s="9">
        <f>INDEX('Class Table'!$H$4:$H$53,A35)+SUMIFS(Gear!$G$4:$G$603,Gear!$A$4:$A$603,A35,Gear!$B$4:$B$603,"Magus",Gear!$C$4:$C$603,Inputs!$C$5)</f>
        <v/>
      </c>
      <c r="P35" s="9">
        <f>INDEX('Class Table'!$I$4:$I$53,A35)+SUMIFS(Gear!$H$4:$H$603,Gear!$A$4:$A$603,A35,Gear!$B$4:$B$603,"Magus",Gear!$C$4:$C$603,Inputs!$C$5)</f>
        <v/>
      </c>
      <c r="Q35" s="9">
        <f>INDEX('Class Table'!$J$4:$J$53,A35)+SUMIFS(Gear!$I$4:$I$603,Gear!$A$4:$A$603,A35,Gear!$B$4:$B$603,"Magus",Gear!$C$4:$C$603,Inputs!$C$5)</f>
        <v/>
      </c>
      <c r="R35" s="13">
        <f>SUMIFS(Gear!$O$4:$O$603,Gear!$A$4:$A$603,A35,Gear!$B$4:$B$603,"Magus",Gear!$C$4:$C$603,Inputs!$C$5)</f>
        <v/>
      </c>
      <c r="S35" s="26">
        <f>I35+0+G35+A35+MAX(1,A35/2)+(A35-B35)</f>
        <v/>
      </c>
      <c r="T35" s="9">
        <f>MAX(0,S35*(1+M35)*(1+L35)*Inputs!$C$20*(1-D35/Inputs!$C$19)-D35/25)</f>
        <v/>
      </c>
      <c r="U35" s="16">
        <f>H35/10*(1-MIN(0.95,N35+0))*Inputs!$C$21</f>
        <v/>
      </c>
      <c r="V35" s="27">
        <f>T35/U35</f>
        <v/>
      </c>
      <c r="W35" s="16">
        <f>(1+J35)*(1+K35)*Inputs!$C$20</f>
        <v/>
      </c>
      <c r="X35" s="17">
        <f>P35*Inputs!$C$23/Inputs!$C$22</f>
        <v/>
      </c>
      <c r="Y35" s="17">
        <f>IF(INDEX(Abilities!$A$14:$A$23,1)&lt;=A35,INDEX(Abilities!$C$14:$C$23,1)*CHOOSE(Inputs!$C$13,1,INDEX(Abilities!$J$14:$J$23,1),INDEX(Abilities!$I$14:$I$23,1))*W35/MAX(INDEX(Abilities!$D$14:$D$23,1),Inputs!$C$12),0)</f>
        <v/>
      </c>
      <c r="Z35" s="17">
        <f>IF(INDEX(Abilities!$A$14:$A$23,2)&lt;=A35,INDEX(Abilities!$C$14:$C$23,2)*CHOOSE(Inputs!$C$13,1,INDEX(Abilities!$J$14:$J$23,2),INDEX(Abilities!$I$14:$I$23,2))*W35/MAX(INDEX(Abilities!$D$14:$D$23,2),Inputs!$C$12),0)</f>
        <v/>
      </c>
      <c r="AA35" s="17">
        <f>IF(INDEX(Abilities!$A$14:$A$23,3)&lt;=A35,INDEX(Abilities!$C$14:$C$23,3)*CHOOSE(Inputs!$C$13,1,INDEX(Abilities!$J$14:$J$23,3),INDEX(Abilities!$I$14:$I$23,3))*W35/MAX(INDEX(Abilities!$D$14:$D$23,3),Inputs!$C$12),0)</f>
        <v/>
      </c>
      <c r="AB35" s="17">
        <f>IF(INDEX(Abilities!$A$14:$A$23,4)&lt;=A35,INDEX(Abilities!$C$14:$C$23,4)*CHOOSE(Inputs!$C$13,1,INDEX(Abilities!$J$14:$J$23,4),INDEX(Abilities!$I$14:$I$23,4))*W35/MAX(INDEX(Abilities!$D$14:$D$23,4),Inputs!$C$12),0)</f>
        <v/>
      </c>
      <c r="AC35" s="17">
        <f>IF(INDEX(Abilities!$A$14:$A$23,5)&lt;=A35,INDEX(Abilities!$C$14:$C$23,5)*CHOOSE(Inputs!$C$13,1,INDEX(Abilities!$J$14:$J$23,5),INDEX(Abilities!$I$14:$I$23,5))*W35/MAX(INDEX(Abilities!$D$14:$D$23,5),Inputs!$C$12),0)</f>
        <v/>
      </c>
      <c r="AD35" s="17">
        <f>IF(INDEX(Abilities!$A$14:$A$23,6)&lt;=A35,INDEX(Abilities!$C$14:$C$23,6)*CHOOSE(Inputs!$C$13,1,INDEX(Abilities!$J$14:$J$23,6),INDEX(Abilities!$I$14:$I$23,6))*W35/MAX(INDEX(Abilities!$D$14:$D$23,6),Inputs!$C$12),0)</f>
        <v/>
      </c>
      <c r="AE35" s="17">
        <f>IF(INDEX(Abilities!$A$14:$A$23,7)&lt;=A35,INDEX(Abilities!$C$14:$C$23,7)*CHOOSE(Inputs!$C$13,1,INDEX(Abilities!$J$14:$J$23,7),INDEX(Abilities!$I$14:$I$23,7))*W35/MAX(INDEX(Abilities!$D$14:$D$23,7),Inputs!$C$12),0)</f>
        <v/>
      </c>
      <c r="AF35" s="17">
        <f>IF(INDEX(Abilities!$A$14:$A$23,8)&lt;=A35,INDEX(Abilities!$C$14:$C$23,8)*CHOOSE(Inputs!$C$13,1,INDEX(Abilities!$J$14:$J$23,8),INDEX(Abilities!$I$14:$I$23,8))*W35/MAX(INDEX(Abilities!$D$14:$D$23,8),Inputs!$C$12),0)</f>
        <v/>
      </c>
      <c r="AG35" s="17">
        <f>IF(INDEX(Abilities!$A$14:$A$23,9)&lt;=A35,INDEX(Abilities!$C$14:$C$23,9)*CHOOSE(Inputs!$C$13,1,INDEX(Abilities!$J$14:$J$23,9),INDEX(Abilities!$I$14:$I$23,9))*W35/MAX(INDEX(Abilities!$D$14:$D$23,9),Inputs!$C$12),0)</f>
        <v/>
      </c>
      <c r="AH35" s="17">
        <f>IF(INDEX(Abilities!$A$14:$A$23,10)&lt;=A35,INDEX(Abilities!$C$14:$C$23,10)*CHOOSE(Inputs!$C$13,1,INDEX(Abilities!$J$14:$J$23,10),INDEX(Abilities!$I$14:$I$23,10))*W35/MAX(INDEX(Abilities!$D$14:$D$23,10),Inputs!$C$12),0)</f>
        <v/>
      </c>
      <c r="AI35" s="17">
        <f>IF(INDEX(Abilities!$A$14:$A$23,1)&lt;=A35,MIN(Y35,X35*INDEX(Abilities!$C$14:$C$23,1)*CHOOSE(Inputs!$C$13,1,INDEX(Abilities!$J$14:$J$23,1),INDEX(Abilities!$I$14:$I$23,1))*W35/INDEX(Abilities!$E$14:$E$23,1)),0)</f>
        <v/>
      </c>
      <c r="AJ35" s="17">
        <f>IF(INDEX(Abilities!$A$14:$A$23,2)&lt;=A35,MIN(Z35,X35*INDEX(Abilities!$C$14:$C$23,2)*CHOOSE(Inputs!$C$13,1,INDEX(Abilities!$J$14:$J$23,2),INDEX(Abilities!$I$14:$I$23,2))*W35/INDEX(Abilities!$E$14:$E$23,2)),0)</f>
        <v/>
      </c>
      <c r="AK35" s="17">
        <f>IF(INDEX(Abilities!$A$14:$A$23,3)&lt;=A35,MIN(AA35,X35*INDEX(Abilities!$C$14:$C$23,3)*CHOOSE(Inputs!$C$13,1,INDEX(Abilities!$J$14:$J$23,3),INDEX(Abilities!$I$14:$I$23,3))*W35/INDEX(Abilities!$E$14:$E$23,3)),0)</f>
        <v/>
      </c>
      <c r="AL35" s="17">
        <f>IF(INDEX(Abilities!$A$14:$A$23,4)&lt;=A35,MIN(AB35,X35*INDEX(Abilities!$C$14:$C$23,4)*CHOOSE(Inputs!$C$13,1,INDEX(Abilities!$J$14:$J$23,4),INDEX(Abilities!$I$14:$I$23,4))*W35/INDEX(Abilities!$E$14:$E$23,4)),0)</f>
        <v/>
      </c>
      <c r="AM35" s="17">
        <f>IF(INDEX(Abilities!$A$14:$A$23,5)&lt;=A35,MIN(AC35,X35*INDEX(Abilities!$C$14:$C$23,5)*CHOOSE(Inputs!$C$13,1,INDEX(Abilities!$J$14:$J$23,5),INDEX(Abilities!$I$14:$I$23,5))*W35/INDEX(Abilities!$E$14:$E$23,5)),0)</f>
        <v/>
      </c>
      <c r="AN35" s="17">
        <f>IF(INDEX(Abilities!$A$14:$A$23,6)&lt;=A35,MIN(AD35,X35*INDEX(Abilities!$C$14:$C$23,6)*CHOOSE(Inputs!$C$13,1,INDEX(Abilities!$J$14:$J$23,6),INDEX(Abilities!$I$14:$I$23,6))*W35/INDEX(Abilities!$E$14:$E$23,6)),0)</f>
        <v/>
      </c>
      <c r="AO35" s="17">
        <f>IF(INDEX(Abilities!$A$14:$A$23,7)&lt;=A35,MIN(AE35,X35*INDEX(Abilities!$C$14:$C$23,7)*CHOOSE(Inputs!$C$13,1,INDEX(Abilities!$J$14:$J$23,7),INDEX(Abilities!$I$14:$I$23,7))*W35/INDEX(Abilities!$E$14:$E$23,7)),0)</f>
        <v/>
      </c>
      <c r="AP35" s="17">
        <f>IF(INDEX(Abilities!$A$14:$A$23,8)&lt;=A35,MIN(AF35,X35*INDEX(Abilities!$C$14:$C$23,8)*CHOOSE(Inputs!$C$13,1,INDEX(Abilities!$J$14:$J$23,8),INDEX(Abilities!$I$14:$I$23,8))*W35/INDEX(Abilities!$E$14:$E$23,8)),0)</f>
        <v/>
      </c>
      <c r="AQ35" s="17">
        <f>IF(INDEX(Abilities!$A$14:$A$23,9)&lt;=A35,MIN(AG35,X35*INDEX(Abilities!$C$14:$C$23,9)*CHOOSE(Inputs!$C$13,1,INDEX(Abilities!$J$14:$J$23,9),INDEX(Abilities!$I$14:$I$23,9))*W35/INDEX(Abilities!$E$14:$E$23,9)),0)</f>
        <v/>
      </c>
      <c r="AR35" s="17">
        <f>IF(INDEX(Abilities!$A$14:$A$23,10)&lt;=A35,MIN(AH35,X35*INDEX(Abilities!$C$14:$C$23,10)*CHOOSE(Inputs!$C$13,1,INDEX(Abilities!$J$14:$J$23,10),INDEX(Abilities!$I$14:$I$23,10))*W35/INDEX(Abilities!$E$14:$E$23,10)),0)</f>
        <v/>
      </c>
      <c r="AS35" s="17">
        <f>IF(INDEX(Abilities!$A$14:$A$23,1)&lt;=A35,INDEX(Abilities!$C$14:$C$23,1)*CHOOSE(Inputs!$C$13,1,INDEX(Abilities!$J$14:$J$23,1),INDEX(Abilities!$I$14:$I$23,1))*W35/MAX(INDEX(Abilities!$D$14:$D$23,1),2*Inputs!$C$12),0)</f>
        <v/>
      </c>
      <c r="AT35" s="17">
        <f>IF(INDEX(Abilities!$A$14:$A$23,2)&lt;=A35,INDEX(Abilities!$C$14:$C$23,2)*CHOOSE(Inputs!$C$13,1,INDEX(Abilities!$J$14:$J$23,2),INDEX(Abilities!$I$14:$I$23,2))*W35/MAX(INDEX(Abilities!$D$14:$D$23,2),2*Inputs!$C$12),0)</f>
        <v/>
      </c>
      <c r="AU35" s="17">
        <f>IF(INDEX(Abilities!$A$14:$A$23,3)&lt;=A35,INDEX(Abilities!$C$14:$C$23,3)*CHOOSE(Inputs!$C$13,1,INDEX(Abilities!$J$14:$J$23,3),INDEX(Abilities!$I$14:$I$23,3))*W35/MAX(INDEX(Abilities!$D$14:$D$23,3),2*Inputs!$C$12),0)</f>
        <v/>
      </c>
      <c r="AV35" s="17">
        <f>IF(INDEX(Abilities!$A$14:$A$23,4)&lt;=A35,INDEX(Abilities!$C$14:$C$23,4)*CHOOSE(Inputs!$C$13,1,INDEX(Abilities!$J$14:$J$23,4),INDEX(Abilities!$I$14:$I$23,4))*W35/MAX(INDEX(Abilities!$D$14:$D$23,4),2*Inputs!$C$12),0)</f>
        <v/>
      </c>
      <c r="AW35" s="17">
        <f>IF(INDEX(Abilities!$A$14:$A$23,5)&lt;=A35,INDEX(Abilities!$C$14:$C$23,5)*CHOOSE(Inputs!$C$13,1,INDEX(Abilities!$J$14:$J$23,5),INDEX(Abilities!$I$14:$I$23,5))*W35/MAX(INDEX(Abilities!$D$14:$D$23,5),2*Inputs!$C$12),0)</f>
        <v/>
      </c>
      <c r="AX35" s="17">
        <f>IF(INDEX(Abilities!$A$14:$A$23,6)&lt;=A35,INDEX(Abilities!$C$14:$C$23,6)*CHOOSE(Inputs!$C$13,1,INDEX(Abilities!$J$14:$J$23,6),INDEX(Abilities!$I$14:$I$23,6))*W35/MAX(INDEX(Abilities!$D$14:$D$23,6),2*Inputs!$C$12),0)</f>
        <v/>
      </c>
      <c r="AY35" s="17">
        <f>IF(INDEX(Abilities!$A$14:$A$23,7)&lt;=A35,INDEX(Abilities!$C$14:$C$23,7)*CHOOSE(Inputs!$C$13,1,INDEX(Abilities!$J$14:$J$23,7),INDEX(Abilities!$I$14:$I$23,7))*W35/MAX(INDEX(Abilities!$D$14:$D$23,7),2*Inputs!$C$12),0)</f>
        <v/>
      </c>
      <c r="AZ35" s="17">
        <f>IF(INDEX(Abilities!$A$14:$A$23,8)&lt;=A35,INDEX(Abilities!$C$14:$C$23,8)*CHOOSE(Inputs!$C$13,1,INDEX(Abilities!$J$14:$J$23,8),INDEX(Abilities!$I$14:$I$23,8))*W35/MAX(INDEX(Abilities!$D$14:$D$23,8),2*Inputs!$C$12),0)</f>
        <v/>
      </c>
      <c r="BA35" s="17">
        <f>IF(INDEX(Abilities!$A$14:$A$23,9)&lt;=A35,INDEX(Abilities!$C$14:$C$23,9)*CHOOSE(Inputs!$C$13,1,INDEX(Abilities!$J$14:$J$23,9),INDEX(Abilities!$I$14:$I$23,9))*W35/MAX(INDEX(Abilities!$D$14:$D$23,9),2*Inputs!$C$12),0)</f>
        <v/>
      </c>
      <c r="BB35" s="17">
        <f>IF(INDEX(Abilities!$A$14:$A$23,10)&lt;=A35,INDEX(Abilities!$C$14:$C$23,10)*CHOOSE(Inputs!$C$13,1,INDEX(Abilities!$J$14:$J$23,10),INDEX(Abilities!$I$14:$I$23,10))*W35/MAX(INDEX(Abilities!$D$14:$D$23,10),2*Inputs!$C$12),0)</f>
        <v/>
      </c>
      <c r="BC35" s="27">
        <f>MAX(Y35:AH35)</f>
        <v/>
      </c>
      <c r="BD35" s="8">
        <f>MATCH(BC35,Y35:AH35,0)</f>
        <v/>
      </c>
      <c r="BE35" s="15">
        <f>INDEX(Abilities!$B$14:$B$23,BD35)</f>
        <v/>
      </c>
      <c r="BF35" s="16">
        <f>CHOOSE(Inputs!$C$13,1,INDEX(Abilities!$J$14:$J$23,BD35),INDEX(Abilities!$I$14:$I$23,BD35))</f>
        <v/>
      </c>
      <c r="BG35" s="17">
        <f>INDEX(Abilities!$E$14:$E$23,BD35)/MAX(INDEX(Abilities!$D$14:$D$23,BD35),Inputs!$C$12)</f>
        <v/>
      </c>
      <c r="BH35" s="27">
        <f>MAX(AI35:AR35)</f>
        <v/>
      </c>
      <c r="BI35" s="8">
        <f>MATCH(BH35,AI35:AR35,0)</f>
        <v/>
      </c>
      <c r="BJ35" s="15">
        <f>INDEX(Abilities!$B$14:$B$23,BI35)</f>
        <v/>
      </c>
      <c r="BK35" s="14">
        <f>IFERROR(ROUNDUP(C35/(INDEX(Abilities!$C$14:$C$23,BD35)*W35),0),"-")</f>
        <v/>
      </c>
      <c r="BL35" s="9">
        <f>IFERROR(C35*INDEX(Abilities!$E$14:$E$23,BI35)/(INDEX(Abilities!$C$14:$C$23,BI35)*CHOOSE(Inputs!$C$13,1,INDEX(Abilities!$J$14:$J$23,BI35),INDEX(Abilities!$I$14:$I$23,BI35))*W35),"-")</f>
        <v/>
      </c>
      <c r="BM35" s="60">
        <f>IFERROR(P35/BL35,"-")</f>
        <v/>
      </c>
      <c r="BN35" s="17">
        <f>BH35+Inputs!$C$18*V35</f>
        <v/>
      </c>
      <c r="BO35" s="17">
        <f>BC35+Inputs!$C$18*V35</f>
        <v/>
      </c>
      <c r="BP35" s="27">
        <f>LARGE(AS35:BB35,1)+LARGE(AS35:BB35,2)</f>
        <v/>
      </c>
      <c r="BQ35" s="60">
        <f>IFERROR(IF(BG35&lt;=X35,C35/BO35,IF(C35/BO35*(BG35-X35)&lt;=P35,C35/BO35,P35/(BG35-X35)+(C35-BO35*P35/(BG35-X35))/BN35)),"-")</f>
        <v/>
      </c>
      <c r="BR35" s="60">
        <f>BQ35</f>
        <v/>
      </c>
      <c r="BS35" s="9">
        <f>MAX(0,(E35+(B35-A35))*(1-R35)*(1-Q35*'Class Table'!$O$7/Inputs!$C$19)-Q35*'Class Table'!$O$7/25)</f>
        <v/>
      </c>
      <c r="BT35" s="26">
        <f>IFERROR(BS35/F35*BR35,"-")</f>
        <v/>
      </c>
      <c r="BU35" s="28">
        <f>IFERROR(BT35/O35,"-")</f>
        <v/>
      </c>
      <c r="BV35" s="9">
        <f>IFERROR(O35*Inputs!$C$24/Inputs!$C$22*BR35,"-")</f>
        <v/>
      </c>
      <c r="BW35" s="28">
        <f>IFERROR(MAX(0,BT35-BV35)/O35,"-")</f>
        <v/>
      </c>
    </row>
    <row r="36">
      <c r="A36" s="8" t="n">
        <v>33</v>
      </c>
      <c r="B36" s="14">
        <f>'Mob by Level'!B36</f>
        <v/>
      </c>
      <c r="C36" s="9">
        <f>'Mob by Level'!C36</f>
        <v/>
      </c>
      <c r="D36" s="9">
        <f>'Mob by Level'!D36</f>
        <v/>
      </c>
      <c r="E36" s="9">
        <f>'Mob by Level'!E36</f>
        <v/>
      </c>
      <c r="F36" s="16">
        <f>'Mob by Level'!F36</f>
        <v/>
      </c>
      <c r="G36" s="14">
        <f>SUMIFS(Gear!$D$4:$D$603,Gear!$A$4:$A$603,A36,Gear!$B$4:$B$603,"Magus",Gear!$C$4:$C$603,Inputs!$C$5)</f>
        <v/>
      </c>
      <c r="H36" s="14">
        <f>SUMIFS(Gear!$E$4:$E$603,Gear!$A$4:$A$603,A36,Gear!$B$4:$B$603,"Magus",Gear!$C$4:$C$603,Inputs!$C$5)</f>
        <v/>
      </c>
      <c r="I36" s="14">
        <f>SUMIFS(Gear!$F$4:$F$603,Gear!$A$4:$A$603,A36,Gear!$B$4:$B$603,"Magus",Gear!$C$4:$C$603,Inputs!$C$5)+Inputs!$C$17*IFERROR(LOOKUP(A36,Abilities!$A$49:$A$53,Abilities!$C$49:$C$53),0)</f>
        <v/>
      </c>
      <c r="J36" s="13">
        <f>SUMIFS(Gear!$J$4:$J$603,Gear!$A$4:$A$603,A36,Gear!$B$4:$B$603,"Magus",Gear!$C$4:$C$603,Inputs!$C$5)</f>
        <v/>
      </c>
      <c r="K36" s="13">
        <f>SUMIFS(Gear!$K$4:$K$603,Gear!$A$4:$A$603,A36,Gear!$B$4:$B$603,"Magus",Gear!$C$4:$C$603,Inputs!$C$5)</f>
        <v/>
      </c>
      <c r="L36" s="13">
        <f>SUMIFS(Gear!$L$4:$L$603,Gear!$A$4:$A$603,A36,Gear!$B$4:$B$603,"Magus",Gear!$C$4:$C$603,Inputs!$C$5)</f>
        <v/>
      </c>
      <c r="M36" s="13">
        <f>SUMIFS(Gear!$M$4:$M$603,Gear!$A$4:$A$603,A36,Gear!$B$4:$B$603,"Magus",Gear!$C$4:$C$603,Inputs!$C$5)</f>
        <v/>
      </c>
      <c r="N36" s="13">
        <f>SUMIFS(Gear!$N$4:$N$603,Gear!$A$4:$A$603,A36,Gear!$B$4:$B$603,"Magus",Gear!$C$4:$C$603,Inputs!$C$5)</f>
        <v/>
      </c>
      <c r="O36" s="9">
        <f>INDEX('Class Table'!$H$4:$H$53,A36)+SUMIFS(Gear!$G$4:$G$603,Gear!$A$4:$A$603,A36,Gear!$B$4:$B$603,"Magus",Gear!$C$4:$C$603,Inputs!$C$5)</f>
        <v/>
      </c>
      <c r="P36" s="9">
        <f>INDEX('Class Table'!$I$4:$I$53,A36)+SUMIFS(Gear!$H$4:$H$603,Gear!$A$4:$A$603,A36,Gear!$B$4:$B$603,"Magus",Gear!$C$4:$C$603,Inputs!$C$5)</f>
        <v/>
      </c>
      <c r="Q36" s="9">
        <f>INDEX('Class Table'!$J$4:$J$53,A36)+SUMIFS(Gear!$I$4:$I$603,Gear!$A$4:$A$603,A36,Gear!$B$4:$B$603,"Magus",Gear!$C$4:$C$603,Inputs!$C$5)</f>
        <v/>
      </c>
      <c r="R36" s="13">
        <f>SUMIFS(Gear!$O$4:$O$603,Gear!$A$4:$A$603,A36,Gear!$B$4:$B$603,"Magus",Gear!$C$4:$C$603,Inputs!$C$5)</f>
        <v/>
      </c>
      <c r="S36" s="26">
        <f>I36+0+G36+A36+MAX(1,A36/2)+(A36-B36)</f>
        <v/>
      </c>
      <c r="T36" s="9">
        <f>MAX(0,S36*(1+M36)*(1+L36)*Inputs!$C$20*(1-D36/Inputs!$C$19)-D36/25)</f>
        <v/>
      </c>
      <c r="U36" s="16">
        <f>H36/10*(1-MIN(0.95,N36+0))*Inputs!$C$21</f>
        <v/>
      </c>
      <c r="V36" s="27">
        <f>T36/U36</f>
        <v/>
      </c>
      <c r="W36" s="16">
        <f>(1+J36)*(1+K36)*Inputs!$C$20</f>
        <v/>
      </c>
      <c r="X36" s="17">
        <f>P36*Inputs!$C$23/Inputs!$C$22</f>
        <v/>
      </c>
      <c r="Y36" s="17">
        <f>IF(INDEX(Abilities!$A$14:$A$23,1)&lt;=A36,INDEX(Abilities!$C$14:$C$23,1)*CHOOSE(Inputs!$C$13,1,INDEX(Abilities!$J$14:$J$23,1),INDEX(Abilities!$I$14:$I$23,1))*W36/MAX(INDEX(Abilities!$D$14:$D$23,1),Inputs!$C$12),0)</f>
        <v/>
      </c>
      <c r="Z36" s="17">
        <f>IF(INDEX(Abilities!$A$14:$A$23,2)&lt;=A36,INDEX(Abilities!$C$14:$C$23,2)*CHOOSE(Inputs!$C$13,1,INDEX(Abilities!$J$14:$J$23,2),INDEX(Abilities!$I$14:$I$23,2))*W36/MAX(INDEX(Abilities!$D$14:$D$23,2),Inputs!$C$12),0)</f>
        <v/>
      </c>
      <c r="AA36" s="17">
        <f>IF(INDEX(Abilities!$A$14:$A$23,3)&lt;=A36,INDEX(Abilities!$C$14:$C$23,3)*CHOOSE(Inputs!$C$13,1,INDEX(Abilities!$J$14:$J$23,3),INDEX(Abilities!$I$14:$I$23,3))*W36/MAX(INDEX(Abilities!$D$14:$D$23,3),Inputs!$C$12),0)</f>
        <v/>
      </c>
      <c r="AB36" s="17">
        <f>IF(INDEX(Abilities!$A$14:$A$23,4)&lt;=A36,INDEX(Abilities!$C$14:$C$23,4)*CHOOSE(Inputs!$C$13,1,INDEX(Abilities!$J$14:$J$23,4),INDEX(Abilities!$I$14:$I$23,4))*W36/MAX(INDEX(Abilities!$D$14:$D$23,4),Inputs!$C$12),0)</f>
        <v/>
      </c>
      <c r="AC36" s="17">
        <f>IF(INDEX(Abilities!$A$14:$A$23,5)&lt;=A36,INDEX(Abilities!$C$14:$C$23,5)*CHOOSE(Inputs!$C$13,1,INDEX(Abilities!$J$14:$J$23,5),INDEX(Abilities!$I$14:$I$23,5))*W36/MAX(INDEX(Abilities!$D$14:$D$23,5),Inputs!$C$12),0)</f>
        <v/>
      </c>
      <c r="AD36" s="17">
        <f>IF(INDEX(Abilities!$A$14:$A$23,6)&lt;=A36,INDEX(Abilities!$C$14:$C$23,6)*CHOOSE(Inputs!$C$13,1,INDEX(Abilities!$J$14:$J$23,6),INDEX(Abilities!$I$14:$I$23,6))*W36/MAX(INDEX(Abilities!$D$14:$D$23,6),Inputs!$C$12),0)</f>
        <v/>
      </c>
      <c r="AE36" s="17">
        <f>IF(INDEX(Abilities!$A$14:$A$23,7)&lt;=A36,INDEX(Abilities!$C$14:$C$23,7)*CHOOSE(Inputs!$C$13,1,INDEX(Abilities!$J$14:$J$23,7),INDEX(Abilities!$I$14:$I$23,7))*W36/MAX(INDEX(Abilities!$D$14:$D$23,7),Inputs!$C$12),0)</f>
        <v/>
      </c>
      <c r="AF36" s="17">
        <f>IF(INDEX(Abilities!$A$14:$A$23,8)&lt;=A36,INDEX(Abilities!$C$14:$C$23,8)*CHOOSE(Inputs!$C$13,1,INDEX(Abilities!$J$14:$J$23,8),INDEX(Abilities!$I$14:$I$23,8))*W36/MAX(INDEX(Abilities!$D$14:$D$23,8),Inputs!$C$12),0)</f>
        <v/>
      </c>
      <c r="AG36" s="17">
        <f>IF(INDEX(Abilities!$A$14:$A$23,9)&lt;=A36,INDEX(Abilities!$C$14:$C$23,9)*CHOOSE(Inputs!$C$13,1,INDEX(Abilities!$J$14:$J$23,9),INDEX(Abilities!$I$14:$I$23,9))*W36/MAX(INDEX(Abilities!$D$14:$D$23,9),Inputs!$C$12),0)</f>
        <v/>
      </c>
      <c r="AH36" s="17">
        <f>IF(INDEX(Abilities!$A$14:$A$23,10)&lt;=A36,INDEX(Abilities!$C$14:$C$23,10)*CHOOSE(Inputs!$C$13,1,INDEX(Abilities!$J$14:$J$23,10),INDEX(Abilities!$I$14:$I$23,10))*W36/MAX(INDEX(Abilities!$D$14:$D$23,10),Inputs!$C$12),0)</f>
        <v/>
      </c>
      <c r="AI36" s="17">
        <f>IF(INDEX(Abilities!$A$14:$A$23,1)&lt;=A36,MIN(Y36,X36*INDEX(Abilities!$C$14:$C$23,1)*CHOOSE(Inputs!$C$13,1,INDEX(Abilities!$J$14:$J$23,1),INDEX(Abilities!$I$14:$I$23,1))*W36/INDEX(Abilities!$E$14:$E$23,1)),0)</f>
        <v/>
      </c>
      <c r="AJ36" s="17">
        <f>IF(INDEX(Abilities!$A$14:$A$23,2)&lt;=A36,MIN(Z36,X36*INDEX(Abilities!$C$14:$C$23,2)*CHOOSE(Inputs!$C$13,1,INDEX(Abilities!$J$14:$J$23,2),INDEX(Abilities!$I$14:$I$23,2))*W36/INDEX(Abilities!$E$14:$E$23,2)),0)</f>
        <v/>
      </c>
      <c r="AK36" s="17">
        <f>IF(INDEX(Abilities!$A$14:$A$23,3)&lt;=A36,MIN(AA36,X36*INDEX(Abilities!$C$14:$C$23,3)*CHOOSE(Inputs!$C$13,1,INDEX(Abilities!$J$14:$J$23,3),INDEX(Abilities!$I$14:$I$23,3))*W36/INDEX(Abilities!$E$14:$E$23,3)),0)</f>
        <v/>
      </c>
      <c r="AL36" s="17">
        <f>IF(INDEX(Abilities!$A$14:$A$23,4)&lt;=A36,MIN(AB36,X36*INDEX(Abilities!$C$14:$C$23,4)*CHOOSE(Inputs!$C$13,1,INDEX(Abilities!$J$14:$J$23,4),INDEX(Abilities!$I$14:$I$23,4))*W36/INDEX(Abilities!$E$14:$E$23,4)),0)</f>
        <v/>
      </c>
      <c r="AM36" s="17">
        <f>IF(INDEX(Abilities!$A$14:$A$23,5)&lt;=A36,MIN(AC36,X36*INDEX(Abilities!$C$14:$C$23,5)*CHOOSE(Inputs!$C$13,1,INDEX(Abilities!$J$14:$J$23,5),INDEX(Abilities!$I$14:$I$23,5))*W36/INDEX(Abilities!$E$14:$E$23,5)),0)</f>
        <v/>
      </c>
      <c r="AN36" s="17">
        <f>IF(INDEX(Abilities!$A$14:$A$23,6)&lt;=A36,MIN(AD36,X36*INDEX(Abilities!$C$14:$C$23,6)*CHOOSE(Inputs!$C$13,1,INDEX(Abilities!$J$14:$J$23,6),INDEX(Abilities!$I$14:$I$23,6))*W36/INDEX(Abilities!$E$14:$E$23,6)),0)</f>
        <v/>
      </c>
      <c r="AO36" s="17">
        <f>IF(INDEX(Abilities!$A$14:$A$23,7)&lt;=A36,MIN(AE36,X36*INDEX(Abilities!$C$14:$C$23,7)*CHOOSE(Inputs!$C$13,1,INDEX(Abilities!$J$14:$J$23,7),INDEX(Abilities!$I$14:$I$23,7))*W36/INDEX(Abilities!$E$14:$E$23,7)),0)</f>
        <v/>
      </c>
      <c r="AP36" s="17">
        <f>IF(INDEX(Abilities!$A$14:$A$23,8)&lt;=A36,MIN(AF36,X36*INDEX(Abilities!$C$14:$C$23,8)*CHOOSE(Inputs!$C$13,1,INDEX(Abilities!$J$14:$J$23,8),INDEX(Abilities!$I$14:$I$23,8))*W36/INDEX(Abilities!$E$14:$E$23,8)),0)</f>
        <v/>
      </c>
      <c r="AQ36" s="17">
        <f>IF(INDEX(Abilities!$A$14:$A$23,9)&lt;=A36,MIN(AG36,X36*INDEX(Abilities!$C$14:$C$23,9)*CHOOSE(Inputs!$C$13,1,INDEX(Abilities!$J$14:$J$23,9),INDEX(Abilities!$I$14:$I$23,9))*W36/INDEX(Abilities!$E$14:$E$23,9)),0)</f>
        <v/>
      </c>
      <c r="AR36" s="17">
        <f>IF(INDEX(Abilities!$A$14:$A$23,10)&lt;=A36,MIN(AH36,X36*INDEX(Abilities!$C$14:$C$23,10)*CHOOSE(Inputs!$C$13,1,INDEX(Abilities!$J$14:$J$23,10),INDEX(Abilities!$I$14:$I$23,10))*W36/INDEX(Abilities!$E$14:$E$23,10)),0)</f>
        <v/>
      </c>
      <c r="AS36" s="17">
        <f>IF(INDEX(Abilities!$A$14:$A$23,1)&lt;=A36,INDEX(Abilities!$C$14:$C$23,1)*CHOOSE(Inputs!$C$13,1,INDEX(Abilities!$J$14:$J$23,1),INDEX(Abilities!$I$14:$I$23,1))*W36/MAX(INDEX(Abilities!$D$14:$D$23,1),2*Inputs!$C$12),0)</f>
        <v/>
      </c>
      <c r="AT36" s="17">
        <f>IF(INDEX(Abilities!$A$14:$A$23,2)&lt;=A36,INDEX(Abilities!$C$14:$C$23,2)*CHOOSE(Inputs!$C$13,1,INDEX(Abilities!$J$14:$J$23,2),INDEX(Abilities!$I$14:$I$23,2))*W36/MAX(INDEX(Abilities!$D$14:$D$23,2),2*Inputs!$C$12),0)</f>
        <v/>
      </c>
      <c r="AU36" s="17">
        <f>IF(INDEX(Abilities!$A$14:$A$23,3)&lt;=A36,INDEX(Abilities!$C$14:$C$23,3)*CHOOSE(Inputs!$C$13,1,INDEX(Abilities!$J$14:$J$23,3),INDEX(Abilities!$I$14:$I$23,3))*W36/MAX(INDEX(Abilities!$D$14:$D$23,3),2*Inputs!$C$12),0)</f>
        <v/>
      </c>
      <c r="AV36" s="17">
        <f>IF(INDEX(Abilities!$A$14:$A$23,4)&lt;=A36,INDEX(Abilities!$C$14:$C$23,4)*CHOOSE(Inputs!$C$13,1,INDEX(Abilities!$J$14:$J$23,4),INDEX(Abilities!$I$14:$I$23,4))*W36/MAX(INDEX(Abilities!$D$14:$D$23,4),2*Inputs!$C$12),0)</f>
        <v/>
      </c>
      <c r="AW36" s="17">
        <f>IF(INDEX(Abilities!$A$14:$A$23,5)&lt;=A36,INDEX(Abilities!$C$14:$C$23,5)*CHOOSE(Inputs!$C$13,1,INDEX(Abilities!$J$14:$J$23,5),INDEX(Abilities!$I$14:$I$23,5))*W36/MAX(INDEX(Abilities!$D$14:$D$23,5),2*Inputs!$C$12),0)</f>
        <v/>
      </c>
      <c r="AX36" s="17">
        <f>IF(INDEX(Abilities!$A$14:$A$23,6)&lt;=A36,INDEX(Abilities!$C$14:$C$23,6)*CHOOSE(Inputs!$C$13,1,INDEX(Abilities!$J$14:$J$23,6),INDEX(Abilities!$I$14:$I$23,6))*W36/MAX(INDEX(Abilities!$D$14:$D$23,6),2*Inputs!$C$12),0)</f>
        <v/>
      </c>
      <c r="AY36" s="17">
        <f>IF(INDEX(Abilities!$A$14:$A$23,7)&lt;=A36,INDEX(Abilities!$C$14:$C$23,7)*CHOOSE(Inputs!$C$13,1,INDEX(Abilities!$J$14:$J$23,7),INDEX(Abilities!$I$14:$I$23,7))*W36/MAX(INDEX(Abilities!$D$14:$D$23,7),2*Inputs!$C$12),0)</f>
        <v/>
      </c>
      <c r="AZ36" s="17">
        <f>IF(INDEX(Abilities!$A$14:$A$23,8)&lt;=A36,INDEX(Abilities!$C$14:$C$23,8)*CHOOSE(Inputs!$C$13,1,INDEX(Abilities!$J$14:$J$23,8),INDEX(Abilities!$I$14:$I$23,8))*W36/MAX(INDEX(Abilities!$D$14:$D$23,8),2*Inputs!$C$12),0)</f>
        <v/>
      </c>
      <c r="BA36" s="17">
        <f>IF(INDEX(Abilities!$A$14:$A$23,9)&lt;=A36,INDEX(Abilities!$C$14:$C$23,9)*CHOOSE(Inputs!$C$13,1,INDEX(Abilities!$J$14:$J$23,9),INDEX(Abilities!$I$14:$I$23,9))*W36/MAX(INDEX(Abilities!$D$14:$D$23,9),2*Inputs!$C$12),0)</f>
        <v/>
      </c>
      <c r="BB36" s="17">
        <f>IF(INDEX(Abilities!$A$14:$A$23,10)&lt;=A36,INDEX(Abilities!$C$14:$C$23,10)*CHOOSE(Inputs!$C$13,1,INDEX(Abilities!$J$14:$J$23,10),INDEX(Abilities!$I$14:$I$23,10))*W36/MAX(INDEX(Abilities!$D$14:$D$23,10),2*Inputs!$C$12),0)</f>
        <v/>
      </c>
      <c r="BC36" s="27">
        <f>MAX(Y36:AH36)</f>
        <v/>
      </c>
      <c r="BD36" s="8">
        <f>MATCH(BC36,Y36:AH36,0)</f>
        <v/>
      </c>
      <c r="BE36" s="15">
        <f>INDEX(Abilities!$B$14:$B$23,BD36)</f>
        <v/>
      </c>
      <c r="BF36" s="16">
        <f>CHOOSE(Inputs!$C$13,1,INDEX(Abilities!$J$14:$J$23,BD36),INDEX(Abilities!$I$14:$I$23,BD36))</f>
        <v/>
      </c>
      <c r="BG36" s="17">
        <f>INDEX(Abilities!$E$14:$E$23,BD36)/MAX(INDEX(Abilities!$D$14:$D$23,BD36),Inputs!$C$12)</f>
        <v/>
      </c>
      <c r="BH36" s="27">
        <f>MAX(AI36:AR36)</f>
        <v/>
      </c>
      <c r="BI36" s="8">
        <f>MATCH(BH36,AI36:AR36,0)</f>
        <v/>
      </c>
      <c r="BJ36" s="15">
        <f>INDEX(Abilities!$B$14:$B$23,BI36)</f>
        <v/>
      </c>
      <c r="BK36" s="14">
        <f>IFERROR(ROUNDUP(C36/(INDEX(Abilities!$C$14:$C$23,BD36)*W36),0),"-")</f>
        <v/>
      </c>
      <c r="BL36" s="9">
        <f>IFERROR(C36*INDEX(Abilities!$E$14:$E$23,BI36)/(INDEX(Abilities!$C$14:$C$23,BI36)*CHOOSE(Inputs!$C$13,1,INDEX(Abilities!$J$14:$J$23,BI36),INDEX(Abilities!$I$14:$I$23,BI36))*W36),"-")</f>
        <v/>
      </c>
      <c r="BM36" s="60">
        <f>IFERROR(P36/BL36,"-")</f>
        <v/>
      </c>
      <c r="BN36" s="17">
        <f>BH36+Inputs!$C$18*V36</f>
        <v/>
      </c>
      <c r="BO36" s="17">
        <f>BC36+Inputs!$C$18*V36</f>
        <v/>
      </c>
      <c r="BP36" s="27">
        <f>LARGE(AS36:BB36,1)+LARGE(AS36:BB36,2)</f>
        <v/>
      </c>
      <c r="BQ36" s="60">
        <f>IFERROR(IF(BG36&lt;=X36,C36/BO36,IF(C36/BO36*(BG36-X36)&lt;=P36,C36/BO36,P36/(BG36-X36)+(C36-BO36*P36/(BG36-X36))/BN36)),"-")</f>
        <v/>
      </c>
      <c r="BR36" s="60">
        <f>BQ36</f>
        <v/>
      </c>
      <c r="BS36" s="9">
        <f>MAX(0,(E36+(B36-A36))*(1-R36)*(1-Q36*'Class Table'!$O$7/Inputs!$C$19)-Q36*'Class Table'!$O$7/25)</f>
        <v/>
      </c>
      <c r="BT36" s="26">
        <f>IFERROR(BS36/F36*BR36,"-")</f>
        <v/>
      </c>
      <c r="BU36" s="28">
        <f>IFERROR(BT36/O36,"-")</f>
        <v/>
      </c>
      <c r="BV36" s="9">
        <f>IFERROR(O36*Inputs!$C$24/Inputs!$C$22*BR36,"-")</f>
        <v/>
      </c>
      <c r="BW36" s="28">
        <f>IFERROR(MAX(0,BT36-BV36)/O36,"-")</f>
        <v/>
      </c>
    </row>
    <row r="37">
      <c r="A37" s="8" t="n">
        <v>34</v>
      </c>
      <c r="B37" s="14">
        <f>'Mob by Level'!B37</f>
        <v/>
      </c>
      <c r="C37" s="9">
        <f>'Mob by Level'!C37</f>
        <v/>
      </c>
      <c r="D37" s="9">
        <f>'Mob by Level'!D37</f>
        <v/>
      </c>
      <c r="E37" s="9">
        <f>'Mob by Level'!E37</f>
        <v/>
      </c>
      <c r="F37" s="16">
        <f>'Mob by Level'!F37</f>
        <v/>
      </c>
      <c r="G37" s="14">
        <f>SUMIFS(Gear!$D$4:$D$603,Gear!$A$4:$A$603,A37,Gear!$B$4:$B$603,"Magus",Gear!$C$4:$C$603,Inputs!$C$5)</f>
        <v/>
      </c>
      <c r="H37" s="14">
        <f>SUMIFS(Gear!$E$4:$E$603,Gear!$A$4:$A$603,A37,Gear!$B$4:$B$603,"Magus",Gear!$C$4:$C$603,Inputs!$C$5)</f>
        <v/>
      </c>
      <c r="I37" s="14">
        <f>SUMIFS(Gear!$F$4:$F$603,Gear!$A$4:$A$603,A37,Gear!$B$4:$B$603,"Magus",Gear!$C$4:$C$603,Inputs!$C$5)+Inputs!$C$17*IFERROR(LOOKUP(A37,Abilities!$A$49:$A$53,Abilities!$C$49:$C$53),0)</f>
        <v/>
      </c>
      <c r="J37" s="13">
        <f>SUMIFS(Gear!$J$4:$J$603,Gear!$A$4:$A$603,A37,Gear!$B$4:$B$603,"Magus",Gear!$C$4:$C$603,Inputs!$C$5)</f>
        <v/>
      </c>
      <c r="K37" s="13">
        <f>SUMIFS(Gear!$K$4:$K$603,Gear!$A$4:$A$603,A37,Gear!$B$4:$B$603,"Magus",Gear!$C$4:$C$603,Inputs!$C$5)</f>
        <v/>
      </c>
      <c r="L37" s="13">
        <f>SUMIFS(Gear!$L$4:$L$603,Gear!$A$4:$A$603,A37,Gear!$B$4:$B$603,"Magus",Gear!$C$4:$C$603,Inputs!$C$5)</f>
        <v/>
      </c>
      <c r="M37" s="13">
        <f>SUMIFS(Gear!$M$4:$M$603,Gear!$A$4:$A$603,A37,Gear!$B$4:$B$603,"Magus",Gear!$C$4:$C$603,Inputs!$C$5)</f>
        <v/>
      </c>
      <c r="N37" s="13">
        <f>SUMIFS(Gear!$N$4:$N$603,Gear!$A$4:$A$603,A37,Gear!$B$4:$B$603,"Magus",Gear!$C$4:$C$603,Inputs!$C$5)</f>
        <v/>
      </c>
      <c r="O37" s="9">
        <f>INDEX('Class Table'!$H$4:$H$53,A37)+SUMIFS(Gear!$G$4:$G$603,Gear!$A$4:$A$603,A37,Gear!$B$4:$B$603,"Magus",Gear!$C$4:$C$603,Inputs!$C$5)</f>
        <v/>
      </c>
      <c r="P37" s="9">
        <f>INDEX('Class Table'!$I$4:$I$53,A37)+SUMIFS(Gear!$H$4:$H$603,Gear!$A$4:$A$603,A37,Gear!$B$4:$B$603,"Magus",Gear!$C$4:$C$603,Inputs!$C$5)</f>
        <v/>
      </c>
      <c r="Q37" s="9">
        <f>INDEX('Class Table'!$J$4:$J$53,A37)+SUMIFS(Gear!$I$4:$I$603,Gear!$A$4:$A$603,A37,Gear!$B$4:$B$603,"Magus",Gear!$C$4:$C$603,Inputs!$C$5)</f>
        <v/>
      </c>
      <c r="R37" s="13">
        <f>SUMIFS(Gear!$O$4:$O$603,Gear!$A$4:$A$603,A37,Gear!$B$4:$B$603,"Magus",Gear!$C$4:$C$603,Inputs!$C$5)</f>
        <v/>
      </c>
      <c r="S37" s="26">
        <f>I37+0+G37+A37+MAX(1,A37/2)+(A37-B37)</f>
        <v/>
      </c>
      <c r="T37" s="9">
        <f>MAX(0,S37*(1+M37)*(1+L37)*Inputs!$C$20*(1-D37/Inputs!$C$19)-D37/25)</f>
        <v/>
      </c>
      <c r="U37" s="16">
        <f>H37/10*(1-MIN(0.95,N37+0))*Inputs!$C$21</f>
        <v/>
      </c>
      <c r="V37" s="27">
        <f>T37/U37</f>
        <v/>
      </c>
      <c r="W37" s="16">
        <f>(1+J37)*(1+K37)*Inputs!$C$20</f>
        <v/>
      </c>
      <c r="X37" s="17">
        <f>P37*Inputs!$C$23/Inputs!$C$22</f>
        <v/>
      </c>
      <c r="Y37" s="17">
        <f>IF(INDEX(Abilities!$A$14:$A$23,1)&lt;=A37,INDEX(Abilities!$C$14:$C$23,1)*CHOOSE(Inputs!$C$13,1,INDEX(Abilities!$J$14:$J$23,1),INDEX(Abilities!$I$14:$I$23,1))*W37/MAX(INDEX(Abilities!$D$14:$D$23,1),Inputs!$C$12),0)</f>
        <v/>
      </c>
      <c r="Z37" s="17">
        <f>IF(INDEX(Abilities!$A$14:$A$23,2)&lt;=A37,INDEX(Abilities!$C$14:$C$23,2)*CHOOSE(Inputs!$C$13,1,INDEX(Abilities!$J$14:$J$23,2),INDEX(Abilities!$I$14:$I$23,2))*W37/MAX(INDEX(Abilities!$D$14:$D$23,2),Inputs!$C$12),0)</f>
        <v/>
      </c>
      <c r="AA37" s="17">
        <f>IF(INDEX(Abilities!$A$14:$A$23,3)&lt;=A37,INDEX(Abilities!$C$14:$C$23,3)*CHOOSE(Inputs!$C$13,1,INDEX(Abilities!$J$14:$J$23,3),INDEX(Abilities!$I$14:$I$23,3))*W37/MAX(INDEX(Abilities!$D$14:$D$23,3),Inputs!$C$12),0)</f>
        <v/>
      </c>
      <c r="AB37" s="17">
        <f>IF(INDEX(Abilities!$A$14:$A$23,4)&lt;=A37,INDEX(Abilities!$C$14:$C$23,4)*CHOOSE(Inputs!$C$13,1,INDEX(Abilities!$J$14:$J$23,4),INDEX(Abilities!$I$14:$I$23,4))*W37/MAX(INDEX(Abilities!$D$14:$D$23,4),Inputs!$C$12),0)</f>
        <v/>
      </c>
      <c r="AC37" s="17">
        <f>IF(INDEX(Abilities!$A$14:$A$23,5)&lt;=A37,INDEX(Abilities!$C$14:$C$23,5)*CHOOSE(Inputs!$C$13,1,INDEX(Abilities!$J$14:$J$23,5),INDEX(Abilities!$I$14:$I$23,5))*W37/MAX(INDEX(Abilities!$D$14:$D$23,5),Inputs!$C$12),0)</f>
        <v/>
      </c>
      <c r="AD37" s="17">
        <f>IF(INDEX(Abilities!$A$14:$A$23,6)&lt;=A37,INDEX(Abilities!$C$14:$C$23,6)*CHOOSE(Inputs!$C$13,1,INDEX(Abilities!$J$14:$J$23,6),INDEX(Abilities!$I$14:$I$23,6))*W37/MAX(INDEX(Abilities!$D$14:$D$23,6),Inputs!$C$12),0)</f>
        <v/>
      </c>
      <c r="AE37" s="17">
        <f>IF(INDEX(Abilities!$A$14:$A$23,7)&lt;=A37,INDEX(Abilities!$C$14:$C$23,7)*CHOOSE(Inputs!$C$13,1,INDEX(Abilities!$J$14:$J$23,7),INDEX(Abilities!$I$14:$I$23,7))*W37/MAX(INDEX(Abilities!$D$14:$D$23,7),Inputs!$C$12),0)</f>
        <v/>
      </c>
      <c r="AF37" s="17">
        <f>IF(INDEX(Abilities!$A$14:$A$23,8)&lt;=A37,INDEX(Abilities!$C$14:$C$23,8)*CHOOSE(Inputs!$C$13,1,INDEX(Abilities!$J$14:$J$23,8),INDEX(Abilities!$I$14:$I$23,8))*W37/MAX(INDEX(Abilities!$D$14:$D$23,8),Inputs!$C$12),0)</f>
        <v/>
      </c>
      <c r="AG37" s="17">
        <f>IF(INDEX(Abilities!$A$14:$A$23,9)&lt;=A37,INDEX(Abilities!$C$14:$C$23,9)*CHOOSE(Inputs!$C$13,1,INDEX(Abilities!$J$14:$J$23,9),INDEX(Abilities!$I$14:$I$23,9))*W37/MAX(INDEX(Abilities!$D$14:$D$23,9),Inputs!$C$12),0)</f>
        <v/>
      </c>
      <c r="AH37" s="17">
        <f>IF(INDEX(Abilities!$A$14:$A$23,10)&lt;=A37,INDEX(Abilities!$C$14:$C$23,10)*CHOOSE(Inputs!$C$13,1,INDEX(Abilities!$J$14:$J$23,10),INDEX(Abilities!$I$14:$I$23,10))*W37/MAX(INDEX(Abilities!$D$14:$D$23,10),Inputs!$C$12),0)</f>
        <v/>
      </c>
      <c r="AI37" s="17">
        <f>IF(INDEX(Abilities!$A$14:$A$23,1)&lt;=A37,MIN(Y37,X37*INDEX(Abilities!$C$14:$C$23,1)*CHOOSE(Inputs!$C$13,1,INDEX(Abilities!$J$14:$J$23,1),INDEX(Abilities!$I$14:$I$23,1))*W37/INDEX(Abilities!$E$14:$E$23,1)),0)</f>
        <v/>
      </c>
      <c r="AJ37" s="17">
        <f>IF(INDEX(Abilities!$A$14:$A$23,2)&lt;=A37,MIN(Z37,X37*INDEX(Abilities!$C$14:$C$23,2)*CHOOSE(Inputs!$C$13,1,INDEX(Abilities!$J$14:$J$23,2),INDEX(Abilities!$I$14:$I$23,2))*W37/INDEX(Abilities!$E$14:$E$23,2)),0)</f>
        <v/>
      </c>
      <c r="AK37" s="17">
        <f>IF(INDEX(Abilities!$A$14:$A$23,3)&lt;=A37,MIN(AA37,X37*INDEX(Abilities!$C$14:$C$23,3)*CHOOSE(Inputs!$C$13,1,INDEX(Abilities!$J$14:$J$23,3),INDEX(Abilities!$I$14:$I$23,3))*W37/INDEX(Abilities!$E$14:$E$23,3)),0)</f>
        <v/>
      </c>
      <c r="AL37" s="17">
        <f>IF(INDEX(Abilities!$A$14:$A$23,4)&lt;=A37,MIN(AB37,X37*INDEX(Abilities!$C$14:$C$23,4)*CHOOSE(Inputs!$C$13,1,INDEX(Abilities!$J$14:$J$23,4),INDEX(Abilities!$I$14:$I$23,4))*W37/INDEX(Abilities!$E$14:$E$23,4)),0)</f>
        <v/>
      </c>
      <c r="AM37" s="17">
        <f>IF(INDEX(Abilities!$A$14:$A$23,5)&lt;=A37,MIN(AC37,X37*INDEX(Abilities!$C$14:$C$23,5)*CHOOSE(Inputs!$C$13,1,INDEX(Abilities!$J$14:$J$23,5),INDEX(Abilities!$I$14:$I$23,5))*W37/INDEX(Abilities!$E$14:$E$23,5)),0)</f>
        <v/>
      </c>
      <c r="AN37" s="17">
        <f>IF(INDEX(Abilities!$A$14:$A$23,6)&lt;=A37,MIN(AD37,X37*INDEX(Abilities!$C$14:$C$23,6)*CHOOSE(Inputs!$C$13,1,INDEX(Abilities!$J$14:$J$23,6),INDEX(Abilities!$I$14:$I$23,6))*W37/INDEX(Abilities!$E$14:$E$23,6)),0)</f>
        <v/>
      </c>
      <c r="AO37" s="17">
        <f>IF(INDEX(Abilities!$A$14:$A$23,7)&lt;=A37,MIN(AE37,X37*INDEX(Abilities!$C$14:$C$23,7)*CHOOSE(Inputs!$C$13,1,INDEX(Abilities!$J$14:$J$23,7),INDEX(Abilities!$I$14:$I$23,7))*W37/INDEX(Abilities!$E$14:$E$23,7)),0)</f>
        <v/>
      </c>
      <c r="AP37" s="17">
        <f>IF(INDEX(Abilities!$A$14:$A$23,8)&lt;=A37,MIN(AF37,X37*INDEX(Abilities!$C$14:$C$23,8)*CHOOSE(Inputs!$C$13,1,INDEX(Abilities!$J$14:$J$23,8),INDEX(Abilities!$I$14:$I$23,8))*W37/INDEX(Abilities!$E$14:$E$23,8)),0)</f>
        <v/>
      </c>
      <c r="AQ37" s="17">
        <f>IF(INDEX(Abilities!$A$14:$A$23,9)&lt;=A37,MIN(AG37,X37*INDEX(Abilities!$C$14:$C$23,9)*CHOOSE(Inputs!$C$13,1,INDEX(Abilities!$J$14:$J$23,9),INDEX(Abilities!$I$14:$I$23,9))*W37/INDEX(Abilities!$E$14:$E$23,9)),0)</f>
        <v/>
      </c>
      <c r="AR37" s="17">
        <f>IF(INDEX(Abilities!$A$14:$A$23,10)&lt;=A37,MIN(AH37,X37*INDEX(Abilities!$C$14:$C$23,10)*CHOOSE(Inputs!$C$13,1,INDEX(Abilities!$J$14:$J$23,10),INDEX(Abilities!$I$14:$I$23,10))*W37/INDEX(Abilities!$E$14:$E$23,10)),0)</f>
        <v/>
      </c>
      <c r="AS37" s="17">
        <f>IF(INDEX(Abilities!$A$14:$A$23,1)&lt;=A37,INDEX(Abilities!$C$14:$C$23,1)*CHOOSE(Inputs!$C$13,1,INDEX(Abilities!$J$14:$J$23,1),INDEX(Abilities!$I$14:$I$23,1))*W37/MAX(INDEX(Abilities!$D$14:$D$23,1),2*Inputs!$C$12),0)</f>
        <v/>
      </c>
      <c r="AT37" s="17">
        <f>IF(INDEX(Abilities!$A$14:$A$23,2)&lt;=A37,INDEX(Abilities!$C$14:$C$23,2)*CHOOSE(Inputs!$C$13,1,INDEX(Abilities!$J$14:$J$23,2),INDEX(Abilities!$I$14:$I$23,2))*W37/MAX(INDEX(Abilities!$D$14:$D$23,2),2*Inputs!$C$12),0)</f>
        <v/>
      </c>
      <c r="AU37" s="17">
        <f>IF(INDEX(Abilities!$A$14:$A$23,3)&lt;=A37,INDEX(Abilities!$C$14:$C$23,3)*CHOOSE(Inputs!$C$13,1,INDEX(Abilities!$J$14:$J$23,3),INDEX(Abilities!$I$14:$I$23,3))*W37/MAX(INDEX(Abilities!$D$14:$D$23,3),2*Inputs!$C$12),0)</f>
        <v/>
      </c>
      <c r="AV37" s="17">
        <f>IF(INDEX(Abilities!$A$14:$A$23,4)&lt;=A37,INDEX(Abilities!$C$14:$C$23,4)*CHOOSE(Inputs!$C$13,1,INDEX(Abilities!$J$14:$J$23,4),INDEX(Abilities!$I$14:$I$23,4))*W37/MAX(INDEX(Abilities!$D$14:$D$23,4),2*Inputs!$C$12),0)</f>
        <v/>
      </c>
      <c r="AW37" s="17">
        <f>IF(INDEX(Abilities!$A$14:$A$23,5)&lt;=A37,INDEX(Abilities!$C$14:$C$23,5)*CHOOSE(Inputs!$C$13,1,INDEX(Abilities!$J$14:$J$23,5),INDEX(Abilities!$I$14:$I$23,5))*W37/MAX(INDEX(Abilities!$D$14:$D$23,5),2*Inputs!$C$12),0)</f>
        <v/>
      </c>
      <c r="AX37" s="17">
        <f>IF(INDEX(Abilities!$A$14:$A$23,6)&lt;=A37,INDEX(Abilities!$C$14:$C$23,6)*CHOOSE(Inputs!$C$13,1,INDEX(Abilities!$J$14:$J$23,6),INDEX(Abilities!$I$14:$I$23,6))*W37/MAX(INDEX(Abilities!$D$14:$D$23,6),2*Inputs!$C$12),0)</f>
        <v/>
      </c>
      <c r="AY37" s="17">
        <f>IF(INDEX(Abilities!$A$14:$A$23,7)&lt;=A37,INDEX(Abilities!$C$14:$C$23,7)*CHOOSE(Inputs!$C$13,1,INDEX(Abilities!$J$14:$J$23,7),INDEX(Abilities!$I$14:$I$23,7))*W37/MAX(INDEX(Abilities!$D$14:$D$23,7),2*Inputs!$C$12),0)</f>
        <v/>
      </c>
      <c r="AZ37" s="17">
        <f>IF(INDEX(Abilities!$A$14:$A$23,8)&lt;=A37,INDEX(Abilities!$C$14:$C$23,8)*CHOOSE(Inputs!$C$13,1,INDEX(Abilities!$J$14:$J$23,8),INDEX(Abilities!$I$14:$I$23,8))*W37/MAX(INDEX(Abilities!$D$14:$D$23,8),2*Inputs!$C$12),0)</f>
        <v/>
      </c>
      <c r="BA37" s="17">
        <f>IF(INDEX(Abilities!$A$14:$A$23,9)&lt;=A37,INDEX(Abilities!$C$14:$C$23,9)*CHOOSE(Inputs!$C$13,1,INDEX(Abilities!$J$14:$J$23,9),INDEX(Abilities!$I$14:$I$23,9))*W37/MAX(INDEX(Abilities!$D$14:$D$23,9),2*Inputs!$C$12),0)</f>
        <v/>
      </c>
      <c r="BB37" s="17">
        <f>IF(INDEX(Abilities!$A$14:$A$23,10)&lt;=A37,INDEX(Abilities!$C$14:$C$23,10)*CHOOSE(Inputs!$C$13,1,INDEX(Abilities!$J$14:$J$23,10),INDEX(Abilities!$I$14:$I$23,10))*W37/MAX(INDEX(Abilities!$D$14:$D$23,10),2*Inputs!$C$12),0)</f>
        <v/>
      </c>
      <c r="BC37" s="27">
        <f>MAX(Y37:AH37)</f>
        <v/>
      </c>
      <c r="BD37" s="8">
        <f>MATCH(BC37,Y37:AH37,0)</f>
        <v/>
      </c>
      <c r="BE37" s="15">
        <f>INDEX(Abilities!$B$14:$B$23,BD37)</f>
        <v/>
      </c>
      <c r="BF37" s="16">
        <f>CHOOSE(Inputs!$C$13,1,INDEX(Abilities!$J$14:$J$23,BD37),INDEX(Abilities!$I$14:$I$23,BD37))</f>
        <v/>
      </c>
      <c r="BG37" s="17">
        <f>INDEX(Abilities!$E$14:$E$23,BD37)/MAX(INDEX(Abilities!$D$14:$D$23,BD37),Inputs!$C$12)</f>
        <v/>
      </c>
      <c r="BH37" s="27">
        <f>MAX(AI37:AR37)</f>
        <v/>
      </c>
      <c r="BI37" s="8">
        <f>MATCH(BH37,AI37:AR37,0)</f>
        <v/>
      </c>
      <c r="BJ37" s="15">
        <f>INDEX(Abilities!$B$14:$B$23,BI37)</f>
        <v/>
      </c>
      <c r="BK37" s="14">
        <f>IFERROR(ROUNDUP(C37/(INDEX(Abilities!$C$14:$C$23,BD37)*W37),0),"-")</f>
        <v/>
      </c>
      <c r="BL37" s="9">
        <f>IFERROR(C37*INDEX(Abilities!$E$14:$E$23,BI37)/(INDEX(Abilities!$C$14:$C$23,BI37)*CHOOSE(Inputs!$C$13,1,INDEX(Abilities!$J$14:$J$23,BI37),INDEX(Abilities!$I$14:$I$23,BI37))*W37),"-")</f>
        <v/>
      </c>
      <c r="BM37" s="60">
        <f>IFERROR(P37/BL37,"-")</f>
        <v/>
      </c>
      <c r="BN37" s="17">
        <f>BH37+Inputs!$C$18*V37</f>
        <v/>
      </c>
      <c r="BO37" s="17">
        <f>BC37+Inputs!$C$18*V37</f>
        <v/>
      </c>
      <c r="BP37" s="27">
        <f>LARGE(AS37:BB37,1)+LARGE(AS37:BB37,2)</f>
        <v/>
      </c>
      <c r="BQ37" s="60">
        <f>IFERROR(IF(BG37&lt;=X37,C37/BO37,IF(C37/BO37*(BG37-X37)&lt;=P37,C37/BO37,P37/(BG37-X37)+(C37-BO37*P37/(BG37-X37))/BN37)),"-")</f>
        <v/>
      </c>
      <c r="BR37" s="60">
        <f>BQ37</f>
        <v/>
      </c>
      <c r="BS37" s="9">
        <f>MAX(0,(E37+(B37-A37))*(1-R37)*(1-Q37*'Class Table'!$O$7/Inputs!$C$19)-Q37*'Class Table'!$O$7/25)</f>
        <v/>
      </c>
      <c r="BT37" s="26">
        <f>IFERROR(BS37/F37*BR37,"-")</f>
        <v/>
      </c>
      <c r="BU37" s="28">
        <f>IFERROR(BT37/O37,"-")</f>
        <v/>
      </c>
      <c r="BV37" s="9">
        <f>IFERROR(O37*Inputs!$C$24/Inputs!$C$22*BR37,"-")</f>
        <v/>
      </c>
      <c r="BW37" s="28">
        <f>IFERROR(MAX(0,BT37-BV37)/O37,"-")</f>
        <v/>
      </c>
    </row>
    <row r="38">
      <c r="A38" s="8" t="n">
        <v>35</v>
      </c>
      <c r="B38" s="14">
        <f>'Mob by Level'!B38</f>
        <v/>
      </c>
      <c r="C38" s="9">
        <f>'Mob by Level'!C38</f>
        <v/>
      </c>
      <c r="D38" s="9">
        <f>'Mob by Level'!D38</f>
        <v/>
      </c>
      <c r="E38" s="9">
        <f>'Mob by Level'!E38</f>
        <v/>
      </c>
      <c r="F38" s="16">
        <f>'Mob by Level'!F38</f>
        <v/>
      </c>
      <c r="G38" s="14">
        <f>SUMIFS(Gear!$D$4:$D$603,Gear!$A$4:$A$603,A38,Gear!$B$4:$B$603,"Magus",Gear!$C$4:$C$603,Inputs!$C$5)</f>
        <v/>
      </c>
      <c r="H38" s="14">
        <f>SUMIFS(Gear!$E$4:$E$603,Gear!$A$4:$A$603,A38,Gear!$B$4:$B$603,"Magus",Gear!$C$4:$C$603,Inputs!$C$5)</f>
        <v/>
      </c>
      <c r="I38" s="14">
        <f>SUMIFS(Gear!$F$4:$F$603,Gear!$A$4:$A$603,A38,Gear!$B$4:$B$603,"Magus",Gear!$C$4:$C$603,Inputs!$C$5)+Inputs!$C$17*IFERROR(LOOKUP(A38,Abilities!$A$49:$A$53,Abilities!$C$49:$C$53),0)</f>
        <v/>
      </c>
      <c r="J38" s="13">
        <f>SUMIFS(Gear!$J$4:$J$603,Gear!$A$4:$A$603,A38,Gear!$B$4:$B$603,"Magus",Gear!$C$4:$C$603,Inputs!$C$5)</f>
        <v/>
      </c>
      <c r="K38" s="13">
        <f>SUMIFS(Gear!$K$4:$K$603,Gear!$A$4:$A$603,A38,Gear!$B$4:$B$603,"Magus",Gear!$C$4:$C$603,Inputs!$C$5)</f>
        <v/>
      </c>
      <c r="L38" s="13">
        <f>SUMIFS(Gear!$L$4:$L$603,Gear!$A$4:$A$603,A38,Gear!$B$4:$B$603,"Magus",Gear!$C$4:$C$603,Inputs!$C$5)</f>
        <v/>
      </c>
      <c r="M38" s="13">
        <f>SUMIFS(Gear!$M$4:$M$603,Gear!$A$4:$A$603,A38,Gear!$B$4:$B$603,"Magus",Gear!$C$4:$C$603,Inputs!$C$5)</f>
        <v/>
      </c>
      <c r="N38" s="13">
        <f>SUMIFS(Gear!$N$4:$N$603,Gear!$A$4:$A$603,A38,Gear!$B$4:$B$603,"Magus",Gear!$C$4:$C$603,Inputs!$C$5)</f>
        <v/>
      </c>
      <c r="O38" s="9">
        <f>INDEX('Class Table'!$H$4:$H$53,A38)+SUMIFS(Gear!$G$4:$G$603,Gear!$A$4:$A$603,A38,Gear!$B$4:$B$603,"Magus",Gear!$C$4:$C$603,Inputs!$C$5)</f>
        <v/>
      </c>
      <c r="P38" s="9">
        <f>INDEX('Class Table'!$I$4:$I$53,A38)+SUMIFS(Gear!$H$4:$H$603,Gear!$A$4:$A$603,A38,Gear!$B$4:$B$603,"Magus",Gear!$C$4:$C$603,Inputs!$C$5)</f>
        <v/>
      </c>
      <c r="Q38" s="9">
        <f>INDEX('Class Table'!$J$4:$J$53,A38)+SUMIFS(Gear!$I$4:$I$603,Gear!$A$4:$A$603,A38,Gear!$B$4:$B$603,"Magus",Gear!$C$4:$C$603,Inputs!$C$5)</f>
        <v/>
      </c>
      <c r="R38" s="13">
        <f>SUMIFS(Gear!$O$4:$O$603,Gear!$A$4:$A$603,A38,Gear!$B$4:$B$603,"Magus",Gear!$C$4:$C$603,Inputs!$C$5)</f>
        <v/>
      </c>
      <c r="S38" s="26">
        <f>I38+0+G38+A38+MAX(1,A38/2)+(A38-B38)</f>
        <v/>
      </c>
      <c r="T38" s="9">
        <f>MAX(0,S38*(1+M38)*(1+L38)*Inputs!$C$20*(1-D38/Inputs!$C$19)-D38/25)</f>
        <v/>
      </c>
      <c r="U38" s="16">
        <f>H38/10*(1-MIN(0.95,N38+0))*Inputs!$C$21</f>
        <v/>
      </c>
      <c r="V38" s="27">
        <f>T38/U38</f>
        <v/>
      </c>
      <c r="W38" s="16">
        <f>(1+J38)*(1+K38)*Inputs!$C$20</f>
        <v/>
      </c>
      <c r="X38" s="17">
        <f>P38*Inputs!$C$23/Inputs!$C$22</f>
        <v/>
      </c>
      <c r="Y38" s="17">
        <f>IF(INDEX(Abilities!$A$14:$A$23,1)&lt;=A38,INDEX(Abilities!$C$14:$C$23,1)*CHOOSE(Inputs!$C$13,1,INDEX(Abilities!$J$14:$J$23,1),INDEX(Abilities!$I$14:$I$23,1))*W38/MAX(INDEX(Abilities!$D$14:$D$23,1),Inputs!$C$12),0)</f>
        <v/>
      </c>
      <c r="Z38" s="17">
        <f>IF(INDEX(Abilities!$A$14:$A$23,2)&lt;=A38,INDEX(Abilities!$C$14:$C$23,2)*CHOOSE(Inputs!$C$13,1,INDEX(Abilities!$J$14:$J$23,2),INDEX(Abilities!$I$14:$I$23,2))*W38/MAX(INDEX(Abilities!$D$14:$D$23,2),Inputs!$C$12),0)</f>
        <v/>
      </c>
      <c r="AA38" s="17">
        <f>IF(INDEX(Abilities!$A$14:$A$23,3)&lt;=A38,INDEX(Abilities!$C$14:$C$23,3)*CHOOSE(Inputs!$C$13,1,INDEX(Abilities!$J$14:$J$23,3),INDEX(Abilities!$I$14:$I$23,3))*W38/MAX(INDEX(Abilities!$D$14:$D$23,3),Inputs!$C$12),0)</f>
        <v/>
      </c>
      <c r="AB38" s="17">
        <f>IF(INDEX(Abilities!$A$14:$A$23,4)&lt;=A38,INDEX(Abilities!$C$14:$C$23,4)*CHOOSE(Inputs!$C$13,1,INDEX(Abilities!$J$14:$J$23,4),INDEX(Abilities!$I$14:$I$23,4))*W38/MAX(INDEX(Abilities!$D$14:$D$23,4),Inputs!$C$12),0)</f>
        <v/>
      </c>
      <c r="AC38" s="17">
        <f>IF(INDEX(Abilities!$A$14:$A$23,5)&lt;=A38,INDEX(Abilities!$C$14:$C$23,5)*CHOOSE(Inputs!$C$13,1,INDEX(Abilities!$J$14:$J$23,5),INDEX(Abilities!$I$14:$I$23,5))*W38/MAX(INDEX(Abilities!$D$14:$D$23,5),Inputs!$C$12),0)</f>
        <v/>
      </c>
      <c r="AD38" s="17">
        <f>IF(INDEX(Abilities!$A$14:$A$23,6)&lt;=A38,INDEX(Abilities!$C$14:$C$23,6)*CHOOSE(Inputs!$C$13,1,INDEX(Abilities!$J$14:$J$23,6),INDEX(Abilities!$I$14:$I$23,6))*W38/MAX(INDEX(Abilities!$D$14:$D$23,6),Inputs!$C$12),0)</f>
        <v/>
      </c>
      <c r="AE38" s="17">
        <f>IF(INDEX(Abilities!$A$14:$A$23,7)&lt;=A38,INDEX(Abilities!$C$14:$C$23,7)*CHOOSE(Inputs!$C$13,1,INDEX(Abilities!$J$14:$J$23,7),INDEX(Abilities!$I$14:$I$23,7))*W38/MAX(INDEX(Abilities!$D$14:$D$23,7),Inputs!$C$12),0)</f>
        <v/>
      </c>
      <c r="AF38" s="17">
        <f>IF(INDEX(Abilities!$A$14:$A$23,8)&lt;=A38,INDEX(Abilities!$C$14:$C$23,8)*CHOOSE(Inputs!$C$13,1,INDEX(Abilities!$J$14:$J$23,8),INDEX(Abilities!$I$14:$I$23,8))*W38/MAX(INDEX(Abilities!$D$14:$D$23,8),Inputs!$C$12),0)</f>
        <v/>
      </c>
      <c r="AG38" s="17">
        <f>IF(INDEX(Abilities!$A$14:$A$23,9)&lt;=A38,INDEX(Abilities!$C$14:$C$23,9)*CHOOSE(Inputs!$C$13,1,INDEX(Abilities!$J$14:$J$23,9),INDEX(Abilities!$I$14:$I$23,9))*W38/MAX(INDEX(Abilities!$D$14:$D$23,9),Inputs!$C$12),0)</f>
        <v/>
      </c>
      <c r="AH38" s="17">
        <f>IF(INDEX(Abilities!$A$14:$A$23,10)&lt;=A38,INDEX(Abilities!$C$14:$C$23,10)*CHOOSE(Inputs!$C$13,1,INDEX(Abilities!$J$14:$J$23,10),INDEX(Abilities!$I$14:$I$23,10))*W38/MAX(INDEX(Abilities!$D$14:$D$23,10),Inputs!$C$12),0)</f>
        <v/>
      </c>
      <c r="AI38" s="17">
        <f>IF(INDEX(Abilities!$A$14:$A$23,1)&lt;=A38,MIN(Y38,X38*INDEX(Abilities!$C$14:$C$23,1)*CHOOSE(Inputs!$C$13,1,INDEX(Abilities!$J$14:$J$23,1),INDEX(Abilities!$I$14:$I$23,1))*W38/INDEX(Abilities!$E$14:$E$23,1)),0)</f>
        <v/>
      </c>
      <c r="AJ38" s="17">
        <f>IF(INDEX(Abilities!$A$14:$A$23,2)&lt;=A38,MIN(Z38,X38*INDEX(Abilities!$C$14:$C$23,2)*CHOOSE(Inputs!$C$13,1,INDEX(Abilities!$J$14:$J$23,2),INDEX(Abilities!$I$14:$I$23,2))*W38/INDEX(Abilities!$E$14:$E$23,2)),0)</f>
        <v/>
      </c>
      <c r="AK38" s="17">
        <f>IF(INDEX(Abilities!$A$14:$A$23,3)&lt;=A38,MIN(AA38,X38*INDEX(Abilities!$C$14:$C$23,3)*CHOOSE(Inputs!$C$13,1,INDEX(Abilities!$J$14:$J$23,3),INDEX(Abilities!$I$14:$I$23,3))*W38/INDEX(Abilities!$E$14:$E$23,3)),0)</f>
        <v/>
      </c>
      <c r="AL38" s="17">
        <f>IF(INDEX(Abilities!$A$14:$A$23,4)&lt;=A38,MIN(AB38,X38*INDEX(Abilities!$C$14:$C$23,4)*CHOOSE(Inputs!$C$13,1,INDEX(Abilities!$J$14:$J$23,4),INDEX(Abilities!$I$14:$I$23,4))*W38/INDEX(Abilities!$E$14:$E$23,4)),0)</f>
        <v/>
      </c>
      <c r="AM38" s="17">
        <f>IF(INDEX(Abilities!$A$14:$A$23,5)&lt;=A38,MIN(AC38,X38*INDEX(Abilities!$C$14:$C$23,5)*CHOOSE(Inputs!$C$13,1,INDEX(Abilities!$J$14:$J$23,5),INDEX(Abilities!$I$14:$I$23,5))*W38/INDEX(Abilities!$E$14:$E$23,5)),0)</f>
        <v/>
      </c>
      <c r="AN38" s="17">
        <f>IF(INDEX(Abilities!$A$14:$A$23,6)&lt;=A38,MIN(AD38,X38*INDEX(Abilities!$C$14:$C$23,6)*CHOOSE(Inputs!$C$13,1,INDEX(Abilities!$J$14:$J$23,6),INDEX(Abilities!$I$14:$I$23,6))*W38/INDEX(Abilities!$E$14:$E$23,6)),0)</f>
        <v/>
      </c>
      <c r="AO38" s="17">
        <f>IF(INDEX(Abilities!$A$14:$A$23,7)&lt;=A38,MIN(AE38,X38*INDEX(Abilities!$C$14:$C$23,7)*CHOOSE(Inputs!$C$13,1,INDEX(Abilities!$J$14:$J$23,7),INDEX(Abilities!$I$14:$I$23,7))*W38/INDEX(Abilities!$E$14:$E$23,7)),0)</f>
        <v/>
      </c>
      <c r="AP38" s="17">
        <f>IF(INDEX(Abilities!$A$14:$A$23,8)&lt;=A38,MIN(AF38,X38*INDEX(Abilities!$C$14:$C$23,8)*CHOOSE(Inputs!$C$13,1,INDEX(Abilities!$J$14:$J$23,8),INDEX(Abilities!$I$14:$I$23,8))*W38/INDEX(Abilities!$E$14:$E$23,8)),0)</f>
        <v/>
      </c>
      <c r="AQ38" s="17">
        <f>IF(INDEX(Abilities!$A$14:$A$23,9)&lt;=A38,MIN(AG38,X38*INDEX(Abilities!$C$14:$C$23,9)*CHOOSE(Inputs!$C$13,1,INDEX(Abilities!$J$14:$J$23,9),INDEX(Abilities!$I$14:$I$23,9))*W38/INDEX(Abilities!$E$14:$E$23,9)),0)</f>
        <v/>
      </c>
      <c r="AR38" s="17">
        <f>IF(INDEX(Abilities!$A$14:$A$23,10)&lt;=A38,MIN(AH38,X38*INDEX(Abilities!$C$14:$C$23,10)*CHOOSE(Inputs!$C$13,1,INDEX(Abilities!$J$14:$J$23,10),INDEX(Abilities!$I$14:$I$23,10))*W38/INDEX(Abilities!$E$14:$E$23,10)),0)</f>
        <v/>
      </c>
      <c r="AS38" s="17">
        <f>IF(INDEX(Abilities!$A$14:$A$23,1)&lt;=A38,INDEX(Abilities!$C$14:$C$23,1)*CHOOSE(Inputs!$C$13,1,INDEX(Abilities!$J$14:$J$23,1),INDEX(Abilities!$I$14:$I$23,1))*W38/MAX(INDEX(Abilities!$D$14:$D$23,1),2*Inputs!$C$12),0)</f>
        <v/>
      </c>
      <c r="AT38" s="17">
        <f>IF(INDEX(Abilities!$A$14:$A$23,2)&lt;=A38,INDEX(Abilities!$C$14:$C$23,2)*CHOOSE(Inputs!$C$13,1,INDEX(Abilities!$J$14:$J$23,2),INDEX(Abilities!$I$14:$I$23,2))*W38/MAX(INDEX(Abilities!$D$14:$D$23,2),2*Inputs!$C$12),0)</f>
        <v/>
      </c>
      <c r="AU38" s="17">
        <f>IF(INDEX(Abilities!$A$14:$A$23,3)&lt;=A38,INDEX(Abilities!$C$14:$C$23,3)*CHOOSE(Inputs!$C$13,1,INDEX(Abilities!$J$14:$J$23,3),INDEX(Abilities!$I$14:$I$23,3))*W38/MAX(INDEX(Abilities!$D$14:$D$23,3),2*Inputs!$C$12),0)</f>
        <v/>
      </c>
      <c r="AV38" s="17">
        <f>IF(INDEX(Abilities!$A$14:$A$23,4)&lt;=A38,INDEX(Abilities!$C$14:$C$23,4)*CHOOSE(Inputs!$C$13,1,INDEX(Abilities!$J$14:$J$23,4),INDEX(Abilities!$I$14:$I$23,4))*W38/MAX(INDEX(Abilities!$D$14:$D$23,4),2*Inputs!$C$12),0)</f>
        <v/>
      </c>
      <c r="AW38" s="17">
        <f>IF(INDEX(Abilities!$A$14:$A$23,5)&lt;=A38,INDEX(Abilities!$C$14:$C$23,5)*CHOOSE(Inputs!$C$13,1,INDEX(Abilities!$J$14:$J$23,5),INDEX(Abilities!$I$14:$I$23,5))*W38/MAX(INDEX(Abilities!$D$14:$D$23,5),2*Inputs!$C$12),0)</f>
        <v/>
      </c>
      <c r="AX38" s="17">
        <f>IF(INDEX(Abilities!$A$14:$A$23,6)&lt;=A38,INDEX(Abilities!$C$14:$C$23,6)*CHOOSE(Inputs!$C$13,1,INDEX(Abilities!$J$14:$J$23,6),INDEX(Abilities!$I$14:$I$23,6))*W38/MAX(INDEX(Abilities!$D$14:$D$23,6),2*Inputs!$C$12),0)</f>
        <v/>
      </c>
      <c r="AY38" s="17">
        <f>IF(INDEX(Abilities!$A$14:$A$23,7)&lt;=A38,INDEX(Abilities!$C$14:$C$23,7)*CHOOSE(Inputs!$C$13,1,INDEX(Abilities!$J$14:$J$23,7),INDEX(Abilities!$I$14:$I$23,7))*W38/MAX(INDEX(Abilities!$D$14:$D$23,7),2*Inputs!$C$12),0)</f>
        <v/>
      </c>
      <c r="AZ38" s="17">
        <f>IF(INDEX(Abilities!$A$14:$A$23,8)&lt;=A38,INDEX(Abilities!$C$14:$C$23,8)*CHOOSE(Inputs!$C$13,1,INDEX(Abilities!$J$14:$J$23,8),INDEX(Abilities!$I$14:$I$23,8))*W38/MAX(INDEX(Abilities!$D$14:$D$23,8),2*Inputs!$C$12),0)</f>
        <v/>
      </c>
      <c r="BA38" s="17">
        <f>IF(INDEX(Abilities!$A$14:$A$23,9)&lt;=A38,INDEX(Abilities!$C$14:$C$23,9)*CHOOSE(Inputs!$C$13,1,INDEX(Abilities!$J$14:$J$23,9),INDEX(Abilities!$I$14:$I$23,9))*W38/MAX(INDEX(Abilities!$D$14:$D$23,9),2*Inputs!$C$12),0)</f>
        <v/>
      </c>
      <c r="BB38" s="17">
        <f>IF(INDEX(Abilities!$A$14:$A$23,10)&lt;=A38,INDEX(Abilities!$C$14:$C$23,10)*CHOOSE(Inputs!$C$13,1,INDEX(Abilities!$J$14:$J$23,10),INDEX(Abilities!$I$14:$I$23,10))*W38/MAX(INDEX(Abilities!$D$14:$D$23,10),2*Inputs!$C$12),0)</f>
        <v/>
      </c>
      <c r="BC38" s="27">
        <f>MAX(Y38:AH38)</f>
        <v/>
      </c>
      <c r="BD38" s="8">
        <f>MATCH(BC38,Y38:AH38,0)</f>
        <v/>
      </c>
      <c r="BE38" s="15">
        <f>INDEX(Abilities!$B$14:$B$23,BD38)</f>
        <v/>
      </c>
      <c r="BF38" s="16">
        <f>CHOOSE(Inputs!$C$13,1,INDEX(Abilities!$J$14:$J$23,BD38),INDEX(Abilities!$I$14:$I$23,BD38))</f>
        <v/>
      </c>
      <c r="BG38" s="17">
        <f>INDEX(Abilities!$E$14:$E$23,BD38)/MAX(INDEX(Abilities!$D$14:$D$23,BD38),Inputs!$C$12)</f>
        <v/>
      </c>
      <c r="BH38" s="27">
        <f>MAX(AI38:AR38)</f>
        <v/>
      </c>
      <c r="BI38" s="8">
        <f>MATCH(BH38,AI38:AR38,0)</f>
        <v/>
      </c>
      <c r="BJ38" s="15">
        <f>INDEX(Abilities!$B$14:$B$23,BI38)</f>
        <v/>
      </c>
      <c r="BK38" s="14">
        <f>IFERROR(ROUNDUP(C38/(INDEX(Abilities!$C$14:$C$23,BD38)*W38),0),"-")</f>
        <v/>
      </c>
      <c r="BL38" s="9">
        <f>IFERROR(C38*INDEX(Abilities!$E$14:$E$23,BI38)/(INDEX(Abilities!$C$14:$C$23,BI38)*CHOOSE(Inputs!$C$13,1,INDEX(Abilities!$J$14:$J$23,BI38),INDEX(Abilities!$I$14:$I$23,BI38))*W38),"-")</f>
        <v/>
      </c>
      <c r="BM38" s="60">
        <f>IFERROR(P38/BL38,"-")</f>
        <v/>
      </c>
      <c r="BN38" s="17">
        <f>BH38+Inputs!$C$18*V38</f>
        <v/>
      </c>
      <c r="BO38" s="17">
        <f>BC38+Inputs!$C$18*V38</f>
        <v/>
      </c>
      <c r="BP38" s="27">
        <f>LARGE(AS38:BB38,1)+LARGE(AS38:BB38,2)</f>
        <v/>
      </c>
      <c r="BQ38" s="60">
        <f>IFERROR(IF(BG38&lt;=X38,C38/BO38,IF(C38/BO38*(BG38-X38)&lt;=P38,C38/BO38,P38/(BG38-X38)+(C38-BO38*P38/(BG38-X38))/BN38)),"-")</f>
        <v/>
      </c>
      <c r="BR38" s="60">
        <f>BQ38</f>
        <v/>
      </c>
      <c r="BS38" s="9">
        <f>MAX(0,(E38+(B38-A38))*(1-R38)*(1-Q38*'Class Table'!$O$7/Inputs!$C$19)-Q38*'Class Table'!$O$7/25)</f>
        <v/>
      </c>
      <c r="BT38" s="26">
        <f>IFERROR(BS38/F38*BR38,"-")</f>
        <v/>
      </c>
      <c r="BU38" s="28">
        <f>IFERROR(BT38/O38,"-")</f>
        <v/>
      </c>
      <c r="BV38" s="9">
        <f>IFERROR(O38*Inputs!$C$24/Inputs!$C$22*BR38,"-")</f>
        <v/>
      </c>
      <c r="BW38" s="28">
        <f>IFERROR(MAX(0,BT38-BV38)/O38,"-")</f>
        <v/>
      </c>
    </row>
    <row r="39">
      <c r="A39" s="8" t="n">
        <v>36</v>
      </c>
      <c r="B39" s="14">
        <f>'Mob by Level'!B39</f>
        <v/>
      </c>
      <c r="C39" s="9">
        <f>'Mob by Level'!C39</f>
        <v/>
      </c>
      <c r="D39" s="9">
        <f>'Mob by Level'!D39</f>
        <v/>
      </c>
      <c r="E39" s="9">
        <f>'Mob by Level'!E39</f>
        <v/>
      </c>
      <c r="F39" s="16">
        <f>'Mob by Level'!F39</f>
        <v/>
      </c>
      <c r="G39" s="14">
        <f>SUMIFS(Gear!$D$4:$D$603,Gear!$A$4:$A$603,A39,Gear!$B$4:$B$603,"Magus",Gear!$C$4:$C$603,Inputs!$C$5)</f>
        <v/>
      </c>
      <c r="H39" s="14">
        <f>SUMIFS(Gear!$E$4:$E$603,Gear!$A$4:$A$603,A39,Gear!$B$4:$B$603,"Magus",Gear!$C$4:$C$603,Inputs!$C$5)</f>
        <v/>
      </c>
      <c r="I39" s="14">
        <f>SUMIFS(Gear!$F$4:$F$603,Gear!$A$4:$A$603,A39,Gear!$B$4:$B$603,"Magus",Gear!$C$4:$C$603,Inputs!$C$5)+Inputs!$C$17*IFERROR(LOOKUP(A39,Abilities!$A$49:$A$53,Abilities!$C$49:$C$53),0)</f>
        <v/>
      </c>
      <c r="J39" s="13">
        <f>SUMIFS(Gear!$J$4:$J$603,Gear!$A$4:$A$603,A39,Gear!$B$4:$B$603,"Magus",Gear!$C$4:$C$603,Inputs!$C$5)</f>
        <v/>
      </c>
      <c r="K39" s="13">
        <f>SUMIFS(Gear!$K$4:$K$603,Gear!$A$4:$A$603,A39,Gear!$B$4:$B$603,"Magus",Gear!$C$4:$C$603,Inputs!$C$5)</f>
        <v/>
      </c>
      <c r="L39" s="13">
        <f>SUMIFS(Gear!$L$4:$L$603,Gear!$A$4:$A$603,A39,Gear!$B$4:$B$603,"Magus",Gear!$C$4:$C$603,Inputs!$C$5)</f>
        <v/>
      </c>
      <c r="M39" s="13">
        <f>SUMIFS(Gear!$M$4:$M$603,Gear!$A$4:$A$603,A39,Gear!$B$4:$B$603,"Magus",Gear!$C$4:$C$603,Inputs!$C$5)</f>
        <v/>
      </c>
      <c r="N39" s="13">
        <f>SUMIFS(Gear!$N$4:$N$603,Gear!$A$4:$A$603,A39,Gear!$B$4:$B$603,"Magus",Gear!$C$4:$C$603,Inputs!$C$5)</f>
        <v/>
      </c>
      <c r="O39" s="9">
        <f>INDEX('Class Table'!$H$4:$H$53,A39)+SUMIFS(Gear!$G$4:$G$603,Gear!$A$4:$A$603,A39,Gear!$B$4:$B$603,"Magus",Gear!$C$4:$C$603,Inputs!$C$5)</f>
        <v/>
      </c>
      <c r="P39" s="9">
        <f>INDEX('Class Table'!$I$4:$I$53,A39)+SUMIFS(Gear!$H$4:$H$603,Gear!$A$4:$A$603,A39,Gear!$B$4:$B$603,"Magus",Gear!$C$4:$C$603,Inputs!$C$5)</f>
        <v/>
      </c>
      <c r="Q39" s="9">
        <f>INDEX('Class Table'!$J$4:$J$53,A39)+SUMIFS(Gear!$I$4:$I$603,Gear!$A$4:$A$603,A39,Gear!$B$4:$B$603,"Magus",Gear!$C$4:$C$603,Inputs!$C$5)</f>
        <v/>
      </c>
      <c r="R39" s="13">
        <f>SUMIFS(Gear!$O$4:$O$603,Gear!$A$4:$A$603,A39,Gear!$B$4:$B$603,"Magus",Gear!$C$4:$C$603,Inputs!$C$5)</f>
        <v/>
      </c>
      <c r="S39" s="26">
        <f>I39+0+G39+A39+MAX(1,A39/2)+(A39-B39)</f>
        <v/>
      </c>
      <c r="T39" s="9">
        <f>MAX(0,S39*(1+M39)*(1+L39)*Inputs!$C$20*(1-D39/Inputs!$C$19)-D39/25)</f>
        <v/>
      </c>
      <c r="U39" s="16">
        <f>H39/10*(1-MIN(0.95,N39+0))*Inputs!$C$21</f>
        <v/>
      </c>
      <c r="V39" s="27">
        <f>T39/U39</f>
        <v/>
      </c>
      <c r="W39" s="16">
        <f>(1+J39)*(1+K39)*Inputs!$C$20</f>
        <v/>
      </c>
      <c r="X39" s="17">
        <f>P39*Inputs!$C$23/Inputs!$C$22</f>
        <v/>
      </c>
      <c r="Y39" s="17">
        <f>IF(INDEX(Abilities!$A$14:$A$23,1)&lt;=A39,INDEX(Abilities!$C$14:$C$23,1)*CHOOSE(Inputs!$C$13,1,INDEX(Abilities!$J$14:$J$23,1),INDEX(Abilities!$I$14:$I$23,1))*W39/MAX(INDEX(Abilities!$D$14:$D$23,1),Inputs!$C$12),0)</f>
        <v/>
      </c>
      <c r="Z39" s="17">
        <f>IF(INDEX(Abilities!$A$14:$A$23,2)&lt;=A39,INDEX(Abilities!$C$14:$C$23,2)*CHOOSE(Inputs!$C$13,1,INDEX(Abilities!$J$14:$J$23,2),INDEX(Abilities!$I$14:$I$23,2))*W39/MAX(INDEX(Abilities!$D$14:$D$23,2),Inputs!$C$12),0)</f>
        <v/>
      </c>
      <c r="AA39" s="17">
        <f>IF(INDEX(Abilities!$A$14:$A$23,3)&lt;=A39,INDEX(Abilities!$C$14:$C$23,3)*CHOOSE(Inputs!$C$13,1,INDEX(Abilities!$J$14:$J$23,3),INDEX(Abilities!$I$14:$I$23,3))*W39/MAX(INDEX(Abilities!$D$14:$D$23,3),Inputs!$C$12),0)</f>
        <v/>
      </c>
      <c r="AB39" s="17">
        <f>IF(INDEX(Abilities!$A$14:$A$23,4)&lt;=A39,INDEX(Abilities!$C$14:$C$23,4)*CHOOSE(Inputs!$C$13,1,INDEX(Abilities!$J$14:$J$23,4),INDEX(Abilities!$I$14:$I$23,4))*W39/MAX(INDEX(Abilities!$D$14:$D$23,4),Inputs!$C$12),0)</f>
        <v/>
      </c>
      <c r="AC39" s="17">
        <f>IF(INDEX(Abilities!$A$14:$A$23,5)&lt;=A39,INDEX(Abilities!$C$14:$C$23,5)*CHOOSE(Inputs!$C$13,1,INDEX(Abilities!$J$14:$J$23,5),INDEX(Abilities!$I$14:$I$23,5))*W39/MAX(INDEX(Abilities!$D$14:$D$23,5),Inputs!$C$12),0)</f>
        <v/>
      </c>
      <c r="AD39" s="17">
        <f>IF(INDEX(Abilities!$A$14:$A$23,6)&lt;=A39,INDEX(Abilities!$C$14:$C$23,6)*CHOOSE(Inputs!$C$13,1,INDEX(Abilities!$J$14:$J$23,6),INDEX(Abilities!$I$14:$I$23,6))*W39/MAX(INDEX(Abilities!$D$14:$D$23,6),Inputs!$C$12),0)</f>
        <v/>
      </c>
      <c r="AE39" s="17">
        <f>IF(INDEX(Abilities!$A$14:$A$23,7)&lt;=A39,INDEX(Abilities!$C$14:$C$23,7)*CHOOSE(Inputs!$C$13,1,INDEX(Abilities!$J$14:$J$23,7),INDEX(Abilities!$I$14:$I$23,7))*W39/MAX(INDEX(Abilities!$D$14:$D$23,7),Inputs!$C$12),0)</f>
        <v/>
      </c>
      <c r="AF39" s="17">
        <f>IF(INDEX(Abilities!$A$14:$A$23,8)&lt;=A39,INDEX(Abilities!$C$14:$C$23,8)*CHOOSE(Inputs!$C$13,1,INDEX(Abilities!$J$14:$J$23,8),INDEX(Abilities!$I$14:$I$23,8))*W39/MAX(INDEX(Abilities!$D$14:$D$23,8),Inputs!$C$12),0)</f>
        <v/>
      </c>
      <c r="AG39" s="17">
        <f>IF(INDEX(Abilities!$A$14:$A$23,9)&lt;=A39,INDEX(Abilities!$C$14:$C$23,9)*CHOOSE(Inputs!$C$13,1,INDEX(Abilities!$J$14:$J$23,9),INDEX(Abilities!$I$14:$I$23,9))*W39/MAX(INDEX(Abilities!$D$14:$D$23,9),Inputs!$C$12),0)</f>
        <v/>
      </c>
      <c r="AH39" s="17">
        <f>IF(INDEX(Abilities!$A$14:$A$23,10)&lt;=A39,INDEX(Abilities!$C$14:$C$23,10)*CHOOSE(Inputs!$C$13,1,INDEX(Abilities!$J$14:$J$23,10),INDEX(Abilities!$I$14:$I$23,10))*W39/MAX(INDEX(Abilities!$D$14:$D$23,10),Inputs!$C$12),0)</f>
        <v/>
      </c>
      <c r="AI39" s="17">
        <f>IF(INDEX(Abilities!$A$14:$A$23,1)&lt;=A39,MIN(Y39,X39*INDEX(Abilities!$C$14:$C$23,1)*CHOOSE(Inputs!$C$13,1,INDEX(Abilities!$J$14:$J$23,1),INDEX(Abilities!$I$14:$I$23,1))*W39/INDEX(Abilities!$E$14:$E$23,1)),0)</f>
        <v/>
      </c>
      <c r="AJ39" s="17">
        <f>IF(INDEX(Abilities!$A$14:$A$23,2)&lt;=A39,MIN(Z39,X39*INDEX(Abilities!$C$14:$C$23,2)*CHOOSE(Inputs!$C$13,1,INDEX(Abilities!$J$14:$J$23,2),INDEX(Abilities!$I$14:$I$23,2))*W39/INDEX(Abilities!$E$14:$E$23,2)),0)</f>
        <v/>
      </c>
      <c r="AK39" s="17">
        <f>IF(INDEX(Abilities!$A$14:$A$23,3)&lt;=A39,MIN(AA39,X39*INDEX(Abilities!$C$14:$C$23,3)*CHOOSE(Inputs!$C$13,1,INDEX(Abilities!$J$14:$J$23,3),INDEX(Abilities!$I$14:$I$23,3))*W39/INDEX(Abilities!$E$14:$E$23,3)),0)</f>
        <v/>
      </c>
      <c r="AL39" s="17">
        <f>IF(INDEX(Abilities!$A$14:$A$23,4)&lt;=A39,MIN(AB39,X39*INDEX(Abilities!$C$14:$C$23,4)*CHOOSE(Inputs!$C$13,1,INDEX(Abilities!$J$14:$J$23,4),INDEX(Abilities!$I$14:$I$23,4))*W39/INDEX(Abilities!$E$14:$E$23,4)),0)</f>
        <v/>
      </c>
      <c r="AM39" s="17">
        <f>IF(INDEX(Abilities!$A$14:$A$23,5)&lt;=A39,MIN(AC39,X39*INDEX(Abilities!$C$14:$C$23,5)*CHOOSE(Inputs!$C$13,1,INDEX(Abilities!$J$14:$J$23,5),INDEX(Abilities!$I$14:$I$23,5))*W39/INDEX(Abilities!$E$14:$E$23,5)),0)</f>
        <v/>
      </c>
      <c r="AN39" s="17">
        <f>IF(INDEX(Abilities!$A$14:$A$23,6)&lt;=A39,MIN(AD39,X39*INDEX(Abilities!$C$14:$C$23,6)*CHOOSE(Inputs!$C$13,1,INDEX(Abilities!$J$14:$J$23,6),INDEX(Abilities!$I$14:$I$23,6))*W39/INDEX(Abilities!$E$14:$E$23,6)),0)</f>
        <v/>
      </c>
      <c r="AO39" s="17">
        <f>IF(INDEX(Abilities!$A$14:$A$23,7)&lt;=A39,MIN(AE39,X39*INDEX(Abilities!$C$14:$C$23,7)*CHOOSE(Inputs!$C$13,1,INDEX(Abilities!$J$14:$J$23,7),INDEX(Abilities!$I$14:$I$23,7))*W39/INDEX(Abilities!$E$14:$E$23,7)),0)</f>
        <v/>
      </c>
      <c r="AP39" s="17">
        <f>IF(INDEX(Abilities!$A$14:$A$23,8)&lt;=A39,MIN(AF39,X39*INDEX(Abilities!$C$14:$C$23,8)*CHOOSE(Inputs!$C$13,1,INDEX(Abilities!$J$14:$J$23,8),INDEX(Abilities!$I$14:$I$23,8))*W39/INDEX(Abilities!$E$14:$E$23,8)),0)</f>
        <v/>
      </c>
      <c r="AQ39" s="17">
        <f>IF(INDEX(Abilities!$A$14:$A$23,9)&lt;=A39,MIN(AG39,X39*INDEX(Abilities!$C$14:$C$23,9)*CHOOSE(Inputs!$C$13,1,INDEX(Abilities!$J$14:$J$23,9),INDEX(Abilities!$I$14:$I$23,9))*W39/INDEX(Abilities!$E$14:$E$23,9)),0)</f>
        <v/>
      </c>
      <c r="AR39" s="17">
        <f>IF(INDEX(Abilities!$A$14:$A$23,10)&lt;=A39,MIN(AH39,X39*INDEX(Abilities!$C$14:$C$23,10)*CHOOSE(Inputs!$C$13,1,INDEX(Abilities!$J$14:$J$23,10),INDEX(Abilities!$I$14:$I$23,10))*W39/INDEX(Abilities!$E$14:$E$23,10)),0)</f>
        <v/>
      </c>
      <c r="AS39" s="17">
        <f>IF(INDEX(Abilities!$A$14:$A$23,1)&lt;=A39,INDEX(Abilities!$C$14:$C$23,1)*CHOOSE(Inputs!$C$13,1,INDEX(Abilities!$J$14:$J$23,1),INDEX(Abilities!$I$14:$I$23,1))*W39/MAX(INDEX(Abilities!$D$14:$D$23,1),2*Inputs!$C$12),0)</f>
        <v/>
      </c>
      <c r="AT39" s="17">
        <f>IF(INDEX(Abilities!$A$14:$A$23,2)&lt;=A39,INDEX(Abilities!$C$14:$C$23,2)*CHOOSE(Inputs!$C$13,1,INDEX(Abilities!$J$14:$J$23,2),INDEX(Abilities!$I$14:$I$23,2))*W39/MAX(INDEX(Abilities!$D$14:$D$23,2),2*Inputs!$C$12),0)</f>
        <v/>
      </c>
      <c r="AU39" s="17">
        <f>IF(INDEX(Abilities!$A$14:$A$23,3)&lt;=A39,INDEX(Abilities!$C$14:$C$23,3)*CHOOSE(Inputs!$C$13,1,INDEX(Abilities!$J$14:$J$23,3),INDEX(Abilities!$I$14:$I$23,3))*W39/MAX(INDEX(Abilities!$D$14:$D$23,3),2*Inputs!$C$12),0)</f>
        <v/>
      </c>
      <c r="AV39" s="17">
        <f>IF(INDEX(Abilities!$A$14:$A$23,4)&lt;=A39,INDEX(Abilities!$C$14:$C$23,4)*CHOOSE(Inputs!$C$13,1,INDEX(Abilities!$J$14:$J$23,4),INDEX(Abilities!$I$14:$I$23,4))*W39/MAX(INDEX(Abilities!$D$14:$D$23,4),2*Inputs!$C$12),0)</f>
        <v/>
      </c>
      <c r="AW39" s="17">
        <f>IF(INDEX(Abilities!$A$14:$A$23,5)&lt;=A39,INDEX(Abilities!$C$14:$C$23,5)*CHOOSE(Inputs!$C$13,1,INDEX(Abilities!$J$14:$J$23,5),INDEX(Abilities!$I$14:$I$23,5))*W39/MAX(INDEX(Abilities!$D$14:$D$23,5),2*Inputs!$C$12),0)</f>
        <v/>
      </c>
      <c r="AX39" s="17">
        <f>IF(INDEX(Abilities!$A$14:$A$23,6)&lt;=A39,INDEX(Abilities!$C$14:$C$23,6)*CHOOSE(Inputs!$C$13,1,INDEX(Abilities!$J$14:$J$23,6),INDEX(Abilities!$I$14:$I$23,6))*W39/MAX(INDEX(Abilities!$D$14:$D$23,6),2*Inputs!$C$12),0)</f>
        <v/>
      </c>
      <c r="AY39" s="17">
        <f>IF(INDEX(Abilities!$A$14:$A$23,7)&lt;=A39,INDEX(Abilities!$C$14:$C$23,7)*CHOOSE(Inputs!$C$13,1,INDEX(Abilities!$J$14:$J$23,7),INDEX(Abilities!$I$14:$I$23,7))*W39/MAX(INDEX(Abilities!$D$14:$D$23,7),2*Inputs!$C$12),0)</f>
        <v/>
      </c>
      <c r="AZ39" s="17">
        <f>IF(INDEX(Abilities!$A$14:$A$23,8)&lt;=A39,INDEX(Abilities!$C$14:$C$23,8)*CHOOSE(Inputs!$C$13,1,INDEX(Abilities!$J$14:$J$23,8),INDEX(Abilities!$I$14:$I$23,8))*W39/MAX(INDEX(Abilities!$D$14:$D$23,8),2*Inputs!$C$12),0)</f>
        <v/>
      </c>
      <c r="BA39" s="17">
        <f>IF(INDEX(Abilities!$A$14:$A$23,9)&lt;=A39,INDEX(Abilities!$C$14:$C$23,9)*CHOOSE(Inputs!$C$13,1,INDEX(Abilities!$J$14:$J$23,9),INDEX(Abilities!$I$14:$I$23,9))*W39/MAX(INDEX(Abilities!$D$14:$D$23,9),2*Inputs!$C$12),0)</f>
        <v/>
      </c>
      <c r="BB39" s="17">
        <f>IF(INDEX(Abilities!$A$14:$A$23,10)&lt;=A39,INDEX(Abilities!$C$14:$C$23,10)*CHOOSE(Inputs!$C$13,1,INDEX(Abilities!$J$14:$J$23,10),INDEX(Abilities!$I$14:$I$23,10))*W39/MAX(INDEX(Abilities!$D$14:$D$23,10),2*Inputs!$C$12),0)</f>
        <v/>
      </c>
      <c r="BC39" s="27">
        <f>MAX(Y39:AH39)</f>
        <v/>
      </c>
      <c r="BD39" s="8">
        <f>MATCH(BC39,Y39:AH39,0)</f>
        <v/>
      </c>
      <c r="BE39" s="15">
        <f>INDEX(Abilities!$B$14:$B$23,BD39)</f>
        <v/>
      </c>
      <c r="BF39" s="16">
        <f>CHOOSE(Inputs!$C$13,1,INDEX(Abilities!$J$14:$J$23,BD39),INDEX(Abilities!$I$14:$I$23,BD39))</f>
        <v/>
      </c>
      <c r="BG39" s="17">
        <f>INDEX(Abilities!$E$14:$E$23,BD39)/MAX(INDEX(Abilities!$D$14:$D$23,BD39),Inputs!$C$12)</f>
        <v/>
      </c>
      <c r="BH39" s="27">
        <f>MAX(AI39:AR39)</f>
        <v/>
      </c>
      <c r="BI39" s="8">
        <f>MATCH(BH39,AI39:AR39,0)</f>
        <v/>
      </c>
      <c r="BJ39" s="15">
        <f>INDEX(Abilities!$B$14:$B$23,BI39)</f>
        <v/>
      </c>
      <c r="BK39" s="14">
        <f>IFERROR(ROUNDUP(C39/(INDEX(Abilities!$C$14:$C$23,BD39)*W39),0),"-")</f>
        <v/>
      </c>
      <c r="BL39" s="9">
        <f>IFERROR(C39*INDEX(Abilities!$E$14:$E$23,BI39)/(INDEX(Abilities!$C$14:$C$23,BI39)*CHOOSE(Inputs!$C$13,1,INDEX(Abilities!$J$14:$J$23,BI39),INDEX(Abilities!$I$14:$I$23,BI39))*W39),"-")</f>
        <v/>
      </c>
      <c r="BM39" s="60">
        <f>IFERROR(P39/BL39,"-")</f>
        <v/>
      </c>
      <c r="BN39" s="17">
        <f>BH39+Inputs!$C$18*V39</f>
        <v/>
      </c>
      <c r="BO39" s="17">
        <f>BC39+Inputs!$C$18*V39</f>
        <v/>
      </c>
      <c r="BP39" s="27">
        <f>LARGE(AS39:BB39,1)+LARGE(AS39:BB39,2)</f>
        <v/>
      </c>
      <c r="BQ39" s="60">
        <f>IFERROR(IF(BG39&lt;=X39,C39/BO39,IF(C39/BO39*(BG39-X39)&lt;=P39,C39/BO39,P39/(BG39-X39)+(C39-BO39*P39/(BG39-X39))/BN39)),"-")</f>
        <v/>
      </c>
      <c r="BR39" s="60">
        <f>BQ39</f>
        <v/>
      </c>
      <c r="BS39" s="9">
        <f>MAX(0,(E39+(B39-A39))*(1-R39)*(1-Q39*'Class Table'!$O$7/Inputs!$C$19)-Q39*'Class Table'!$O$7/25)</f>
        <v/>
      </c>
      <c r="BT39" s="26">
        <f>IFERROR(BS39/F39*BR39,"-")</f>
        <v/>
      </c>
      <c r="BU39" s="28">
        <f>IFERROR(BT39/O39,"-")</f>
        <v/>
      </c>
      <c r="BV39" s="9">
        <f>IFERROR(O39*Inputs!$C$24/Inputs!$C$22*BR39,"-")</f>
        <v/>
      </c>
      <c r="BW39" s="28">
        <f>IFERROR(MAX(0,BT39-BV39)/O39,"-")</f>
        <v/>
      </c>
    </row>
    <row r="40">
      <c r="A40" s="8" t="n">
        <v>37</v>
      </c>
      <c r="B40" s="14">
        <f>'Mob by Level'!B40</f>
        <v/>
      </c>
      <c r="C40" s="9">
        <f>'Mob by Level'!C40</f>
        <v/>
      </c>
      <c r="D40" s="9">
        <f>'Mob by Level'!D40</f>
        <v/>
      </c>
      <c r="E40" s="9">
        <f>'Mob by Level'!E40</f>
        <v/>
      </c>
      <c r="F40" s="16">
        <f>'Mob by Level'!F40</f>
        <v/>
      </c>
      <c r="G40" s="14">
        <f>SUMIFS(Gear!$D$4:$D$603,Gear!$A$4:$A$603,A40,Gear!$B$4:$B$603,"Magus",Gear!$C$4:$C$603,Inputs!$C$5)</f>
        <v/>
      </c>
      <c r="H40" s="14">
        <f>SUMIFS(Gear!$E$4:$E$603,Gear!$A$4:$A$603,A40,Gear!$B$4:$B$603,"Magus",Gear!$C$4:$C$603,Inputs!$C$5)</f>
        <v/>
      </c>
      <c r="I40" s="14">
        <f>SUMIFS(Gear!$F$4:$F$603,Gear!$A$4:$A$603,A40,Gear!$B$4:$B$603,"Magus",Gear!$C$4:$C$603,Inputs!$C$5)+Inputs!$C$17*IFERROR(LOOKUP(A40,Abilities!$A$49:$A$53,Abilities!$C$49:$C$53),0)</f>
        <v/>
      </c>
      <c r="J40" s="13">
        <f>SUMIFS(Gear!$J$4:$J$603,Gear!$A$4:$A$603,A40,Gear!$B$4:$B$603,"Magus",Gear!$C$4:$C$603,Inputs!$C$5)</f>
        <v/>
      </c>
      <c r="K40" s="13">
        <f>SUMIFS(Gear!$K$4:$K$603,Gear!$A$4:$A$603,A40,Gear!$B$4:$B$603,"Magus",Gear!$C$4:$C$603,Inputs!$C$5)</f>
        <v/>
      </c>
      <c r="L40" s="13">
        <f>SUMIFS(Gear!$L$4:$L$603,Gear!$A$4:$A$603,A40,Gear!$B$4:$B$603,"Magus",Gear!$C$4:$C$603,Inputs!$C$5)</f>
        <v/>
      </c>
      <c r="M40" s="13">
        <f>SUMIFS(Gear!$M$4:$M$603,Gear!$A$4:$A$603,A40,Gear!$B$4:$B$603,"Magus",Gear!$C$4:$C$603,Inputs!$C$5)</f>
        <v/>
      </c>
      <c r="N40" s="13">
        <f>SUMIFS(Gear!$N$4:$N$603,Gear!$A$4:$A$603,A40,Gear!$B$4:$B$603,"Magus",Gear!$C$4:$C$603,Inputs!$C$5)</f>
        <v/>
      </c>
      <c r="O40" s="9">
        <f>INDEX('Class Table'!$H$4:$H$53,A40)+SUMIFS(Gear!$G$4:$G$603,Gear!$A$4:$A$603,A40,Gear!$B$4:$B$603,"Magus",Gear!$C$4:$C$603,Inputs!$C$5)</f>
        <v/>
      </c>
      <c r="P40" s="9">
        <f>INDEX('Class Table'!$I$4:$I$53,A40)+SUMIFS(Gear!$H$4:$H$603,Gear!$A$4:$A$603,A40,Gear!$B$4:$B$603,"Magus",Gear!$C$4:$C$603,Inputs!$C$5)</f>
        <v/>
      </c>
      <c r="Q40" s="9">
        <f>INDEX('Class Table'!$J$4:$J$53,A40)+SUMIFS(Gear!$I$4:$I$603,Gear!$A$4:$A$603,A40,Gear!$B$4:$B$603,"Magus",Gear!$C$4:$C$603,Inputs!$C$5)</f>
        <v/>
      </c>
      <c r="R40" s="13">
        <f>SUMIFS(Gear!$O$4:$O$603,Gear!$A$4:$A$603,A40,Gear!$B$4:$B$603,"Magus",Gear!$C$4:$C$603,Inputs!$C$5)</f>
        <v/>
      </c>
      <c r="S40" s="26">
        <f>I40+0+G40+A40+MAX(1,A40/2)+(A40-B40)</f>
        <v/>
      </c>
      <c r="T40" s="9">
        <f>MAX(0,S40*(1+M40)*(1+L40)*Inputs!$C$20*(1-D40/Inputs!$C$19)-D40/25)</f>
        <v/>
      </c>
      <c r="U40" s="16">
        <f>H40/10*(1-MIN(0.95,N40+0))*Inputs!$C$21</f>
        <v/>
      </c>
      <c r="V40" s="27">
        <f>T40/U40</f>
        <v/>
      </c>
      <c r="W40" s="16">
        <f>(1+J40)*(1+K40)*Inputs!$C$20</f>
        <v/>
      </c>
      <c r="X40" s="17">
        <f>P40*Inputs!$C$23/Inputs!$C$22</f>
        <v/>
      </c>
      <c r="Y40" s="17">
        <f>IF(INDEX(Abilities!$A$14:$A$23,1)&lt;=A40,INDEX(Abilities!$C$14:$C$23,1)*CHOOSE(Inputs!$C$13,1,INDEX(Abilities!$J$14:$J$23,1),INDEX(Abilities!$I$14:$I$23,1))*W40/MAX(INDEX(Abilities!$D$14:$D$23,1),Inputs!$C$12),0)</f>
        <v/>
      </c>
      <c r="Z40" s="17">
        <f>IF(INDEX(Abilities!$A$14:$A$23,2)&lt;=A40,INDEX(Abilities!$C$14:$C$23,2)*CHOOSE(Inputs!$C$13,1,INDEX(Abilities!$J$14:$J$23,2),INDEX(Abilities!$I$14:$I$23,2))*W40/MAX(INDEX(Abilities!$D$14:$D$23,2),Inputs!$C$12),0)</f>
        <v/>
      </c>
      <c r="AA40" s="17">
        <f>IF(INDEX(Abilities!$A$14:$A$23,3)&lt;=A40,INDEX(Abilities!$C$14:$C$23,3)*CHOOSE(Inputs!$C$13,1,INDEX(Abilities!$J$14:$J$23,3),INDEX(Abilities!$I$14:$I$23,3))*W40/MAX(INDEX(Abilities!$D$14:$D$23,3),Inputs!$C$12),0)</f>
        <v/>
      </c>
      <c r="AB40" s="17">
        <f>IF(INDEX(Abilities!$A$14:$A$23,4)&lt;=A40,INDEX(Abilities!$C$14:$C$23,4)*CHOOSE(Inputs!$C$13,1,INDEX(Abilities!$J$14:$J$23,4),INDEX(Abilities!$I$14:$I$23,4))*W40/MAX(INDEX(Abilities!$D$14:$D$23,4),Inputs!$C$12),0)</f>
        <v/>
      </c>
      <c r="AC40" s="17">
        <f>IF(INDEX(Abilities!$A$14:$A$23,5)&lt;=A40,INDEX(Abilities!$C$14:$C$23,5)*CHOOSE(Inputs!$C$13,1,INDEX(Abilities!$J$14:$J$23,5),INDEX(Abilities!$I$14:$I$23,5))*W40/MAX(INDEX(Abilities!$D$14:$D$23,5),Inputs!$C$12),0)</f>
        <v/>
      </c>
      <c r="AD40" s="17">
        <f>IF(INDEX(Abilities!$A$14:$A$23,6)&lt;=A40,INDEX(Abilities!$C$14:$C$23,6)*CHOOSE(Inputs!$C$13,1,INDEX(Abilities!$J$14:$J$23,6),INDEX(Abilities!$I$14:$I$23,6))*W40/MAX(INDEX(Abilities!$D$14:$D$23,6),Inputs!$C$12),0)</f>
        <v/>
      </c>
      <c r="AE40" s="17">
        <f>IF(INDEX(Abilities!$A$14:$A$23,7)&lt;=A40,INDEX(Abilities!$C$14:$C$23,7)*CHOOSE(Inputs!$C$13,1,INDEX(Abilities!$J$14:$J$23,7),INDEX(Abilities!$I$14:$I$23,7))*W40/MAX(INDEX(Abilities!$D$14:$D$23,7),Inputs!$C$12),0)</f>
        <v/>
      </c>
      <c r="AF40" s="17">
        <f>IF(INDEX(Abilities!$A$14:$A$23,8)&lt;=A40,INDEX(Abilities!$C$14:$C$23,8)*CHOOSE(Inputs!$C$13,1,INDEX(Abilities!$J$14:$J$23,8),INDEX(Abilities!$I$14:$I$23,8))*W40/MAX(INDEX(Abilities!$D$14:$D$23,8),Inputs!$C$12),0)</f>
        <v/>
      </c>
      <c r="AG40" s="17">
        <f>IF(INDEX(Abilities!$A$14:$A$23,9)&lt;=A40,INDEX(Abilities!$C$14:$C$23,9)*CHOOSE(Inputs!$C$13,1,INDEX(Abilities!$J$14:$J$23,9),INDEX(Abilities!$I$14:$I$23,9))*W40/MAX(INDEX(Abilities!$D$14:$D$23,9),Inputs!$C$12),0)</f>
        <v/>
      </c>
      <c r="AH40" s="17">
        <f>IF(INDEX(Abilities!$A$14:$A$23,10)&lt;=A40,INDEX(Abilities!$C$14:$C$23,10)*CHOOSE(Inputs!$C$13,1,INDEX(Abilities!$J$14:$J$23,10),INDEX(Abilities!$I$14:$I$23,10))*W40/MAX(INDEX(Abilities!$D$14:$D$23,10),Inputs!$C$12),0)</f>
        <v/>
      </c>
      <c r="AI40" s="17">
        <f>IF(INDEX(Abilities!$A$14:$A$23,1)&lt;=A40,MIN(Y40,X40*INDEX(Abilities!$C$14:$C$23,1)*CHOOSE(Inputs!$C$13,1,INDEX(Abilities!$J$14:$J$23,1),INDEX(Abilities!$I$14:$I$23,1))*W40/INDEX(Abilities!$E$14:$E$23,1)),0)</f>
        <v/>
      </c>
      <c r="AJ40" s="17">
        <f>IF(INDEX(Abilities!$A$14:$A$23,2)&lt;=A40,MIN(Z40,X40*INDEX(Abilities!$C$14:$C$23,2)*CHOOSE(Inputs!$C$13,1,INDEX(Abilities!$J$14:$J$23,2),INDEX(Abilities!$I$14:$I$23,2))*W40/INDEX(Abilities!$E$14:$E$23,2)),0)</f>
        <v/>
      </c>
      <c r="AK40" s="17">
        <f>IF(INDEX(Abilities!$A$14:$A$23,3)&lt;=A40,MIN(AA40,X40*INDEX(Abilities!$C$14:$C$23,3)*CHOOSE(Inputs!$C$13,1,INDEX(Abilities!$J$14:$J$23,3),INDEX(Abilities!$I$14:$I$23,3))*W40/INDEX(Abilities!$E$14:$E$23,3)),0)</f>
        <v/>
      </c>
      <c r="AL40" s="17">
        <f>IF(INDEX(Abilities!$A$14:$A$23,4)&lt;=A40,MIN(AB40,X40*INDEX(Abilities!$C$14:$C$23,4)*CHOOSE(Inputs!$C$13,1,INDEX(Abilities!$J$14:$J$23,4),INDEX(Abilities!$I$14:$I$23,4))*W40/INDEX(Abilities!$E$14:$E$23,4)),0)</f>
        <v/>
      </c>
      <c r="AM40" s="17">
        <f>IF(INDEX(Abilities!$A$14:$A$23,5)&lt;=A40,MIN(AC40,X40*INDEX(Abilities!$C$14:$C$23,5)*CHOOSE(Inputs!$C$13,1,INDEX(Abilities!$J$14:$J$23,5),INDEX(Abilities!$I$14:$I$23,5))*W40/INDEX(Abilities!$E$14:$E$23,5)),0)</f>
        <v/>
      </c>
      <c r="AN40" s="17">
        <f>IF(INDEX(Abilities!$A$14:$A$23,6)&lt;=A40,MIN(AD40,X40*INDEX(Abilities!$C$14:$C$23,6)*CHOOSE(Inputs!$C$13,1,INDEX(Abilities!$J$14:$J$23,6),INDEX(Abilities!$I$14:$I$23,6))*W40/INDEX(Abilities!$E$14:$E$23,6)),0)</f>
        <v/>
      </c>
      <c r="AO40" s="17">
        <f>IF(INDEX(Abilities!$A$14:$A$23,7)&lt;=A40,MIN(AE40,X40*INDEX(Abilities!$C$14:$C$23,7)*CHOOSE(Inputs!$C$13,1,INDEX(Abilities!$J$14:$J$23,7),INDEX(Abilities!$I$14:$I$23,7))*W40/INDEX(Abilities!$E$14:$E$23,7)),0)</f>
        <v/>
      </c>
      <c r="AP40" s="17">
        <f>IF(INDEX(Abilities!$A$14:$A$23,8)&lt;=A40,MIN(AF40,X40*INDEX(Abilities!$C$14:$C$23,8)*CHOOSE(Inputs!$C$13,1,INDEX(Abilities!$J$14:$J$23,8),INDEX(Abilities!$I$14:$I$23,8))*W40/INDEX(Abilities!$E$14:$E$23,8)),0)</f>
        <v/>
      </c>
      <c r="AQ40" s="17">
        <f>IF(INDEX(Abilities!$A$14:$A$23,9)&lt;=A40,MIN(AG40,X40*INDEX(Abilities!$C$14:$C$23,9)*CHOOSE(Inputs!$C$13,1,INDEX(Abilities!$J$14:$J$23,9),INDEX(Abilities!$I$14:$I$23,9))*W40/INDEX(Abilities!$E$14:$E$23,9)),0)</f>
        <v/>
      </c>
      <c r="AR40" s="17">
        <f>IF(INDEX(Abilities!$A$14:$A$23,10)&lt;=A40,MIN(AH40,X40*INDEX(Abilities!$C$14:$C$23,10)*CHOOSE(Inputs!$C$13,1,INDEX(Abilities!$J$14:$J$23,10),INDEX(Abilities!$I$14:$I$23,10))*W40/INDEX(Abilities!$E$14:$E$23,10)),0)</f>
        <v/>
      </c>
      <c r="AS40" s="17">
        <f>IF(INDEX(Abilities!$A$14:$A$23,1)&lt;=A40,INDEX(Abilities!$C$14:$C$23,1)*CHOOSE(Inputs!$C$13,1,INDEX(Abilities!$J$14:$J$23,1),INDEX(Abilities!$I$14:$I$23,1))*W40/MAX(INDEX(Abilities!$D$14:$D$23,1),2*Inputs!$C$12),0)</f>
        <v/>
      </c>
      <c r="AT40" s="17">
        <f>IF(INDEX(Abilities!$A$14:$A$23,2)&lt;=A40,INDEX(Abilities!$C$14:$C$23,2)*CHOOSE(Inputs!$C$13,1,INDEX(Abilities!$J$14:$J$23,2),INDEX(Abilities!$I$14:$I$23,2))*W40/MAX(INDEX(Abilities!$D$14:$D$23,2),2*Inputs!$C$12),0)</f>
        <v/>
      </c>
      <c r="AU40" s="17">
        <f>IF(INDEX(Abilities!$A$14:$A$23,3)&lt;=A40,INDEX(Abilities!$C$14:$C$23,3)*CHOOSE(Inputs!$C$13,1,INDEX(Abilities!$J$14:$J$23,3),INDEX(Abilities!$I$14:$I$23,3))*W40/MAX(INDEX(Abilities!$D$14:$D$23,3),2*Inputs!$C$12),0)</f>
        <v/>
      </c>
      <c r="AV40" s="17">
        <f>IF(INDEX(Abilities!$A$14:$A$23,4)&lt;=A40,INDEX(Abilities!$C$14:$C$23,4)*CHOOSE(Inputs!$C$13,1,INDEX(Abilities!$J$14:$J$23,4),INDEX(Abilities!$I$14:$I$23,4))*W40/MAX(INDEX(Abilities!$D$14:$D$23,4),2*Inputs!$C$12),0)</f>
        <v/>
      </c>
      <c r="AW40" s="17">
        <f>IF(INDEX(Abilities!$A$14:$A$23,5)&lt;=A40,INDEX(Abilities!$C$14:$C$23,5)*CHOOSE(Inputs!$C$13,1,INDEX(Abilities!$J$14:$J$23,5),INDEX(Abilities!$I$14:$I$23,5))*W40/MAX(INDEX(Abilities!$D$14:$D$23,5),2*Inputs!$C$12),0)</f>
        <v/>
      </c>
      <c r="AX40" s="17">
        <f>IF(INDEX(Abilities!$A$14:$A$23,6)&lt;=A40,INDEX(Abilities!$C$14:$C$23,6)*CHOOSE(Inputs!$C$13,1,INDEX(Abilities!$J$14:$J$23,6),INDEX(Abilities!$I$14:$I$23,6))*W40/MAX(INDEX(Abilities!$D$14:$D$23,6),2*Inputs!$C$12),0)</f>
        <v/>
      </c>
      <c r="AY40" s="17">
        <f>IF(INDEX(Abilities!$A$14:$A$23,7)&lt;=A40,INDEX(Abilities!$C$14:$C$23,7)*CHOOSE(Inputs!$C$13,1,INDEX(Abilities!$J$14:$J$23,7),INDEX(Abilities!$I$14:$I$23,7))*W40/MAX(INDEX(Abilities!$D$14:$D$23,7),2*Inputs!$C$12),0)</f>
        <v/>
      </c>
      <c r="AZ40" s="17">
        <f>IF(INDEX(Abilities!$A$14:$A$23,8)&lt;=A40,INDEX(Abilities!$C$14:$C$23,8)*CHOOSE(Inputs!$C$13,1,INDEX(Abilities!$J$14:$J$23,8),INDEX(Abilities!$I$14:$I$23,8))*W40/MAX(INDEX(Abilities!$D$14:$D$23,8),2*Inputs!$C$12),0)</f>
        <v/>
      </c>
      <c r="BA40" s="17">
        <f>IF(INDEX(Abilities!$A$14:$A$23,9)&lt;=A40,INDEX(Abilities!$C$14:$C$23,9)*CHOOSE(Inputs!$C$13,1,INDEX(Abilities!$J$14:$J$23,9),INDEX(Abilities!$I$14:$I$23,9))*W40/MAX(INDEX(Abilities!$D$14:$D$23,9),2*Inputs!$C$12),0)</f>
        <v/>
      </c>
      <c r="BB40" s="17">
        <f>IF(INDEX(Abilities!$A$14:$A$23,10)&lt;=A40,INDEX(Abilities!$C$14:$C$23,10)*CHOOSE(Inputs!$C$13,1,INDEX(Abilities!$J$14:$J$23,10),INDEX(Abilities!$I$14:$I$23,10))*W40/MAX(INDEX(Abilities!$D$14:$D$23,10),2*Inputs!$C$12),0)</f>
        <v/>
      </c>
      <c r="BC40" s="27">
        <f>MAX(Y40:AH40)</f>
        <v/>
      </c>
      <c r="BD40" s="8">
        <f>MATCH(BC40,Y40:AH40,0)</f>
        <v/>
      </c>
      <c r="BE40" s="15">
        <f>INDEX(Abilities!$B$14:$B$23,BD40)</f>
        <v/>
      </c>
      <c r="BF40" s="16">
        <f>CHOOSE(Inputs!$C$13,1,INDEX(Abilities!$J$14:$J$23,BD40),INDEX(Abilities!$I$14:$I$23,BD40))</f>
        <v/>
      </c>
      <c r="BG40" s="17">
        <f>INDEX(Abilities!$E$14:$E$23,BD40)/MAX(INDEX(Abilities!$D$14:$D$23,BD40),Inputs!$C$12)</f>
        <v/>
      </c>
      <c r="BH40" s="27">
        <f>MAX(AI40:AR40)</f>
        <v/>
      </c>
      <c r="BI40" s="8">
        <f>MATCH(BH40,AI40:AR40,0)</f>
        <v/>
      </c>
      <c r="BJ40" s="15">
        <f>INDEX(Abilities!$B$14:$B$23,BI40)</f>
        <v/>
      </c>
      <c r="BK40" s="14">
        <f>IFERROR(ROUNDUP(C40/(INDEX(Abilities!$C$14:$C$23,BD40)*W40),0),"-")</f>
        <v/>
      </c>
      <c r="BL40" s="9">
        <f>IFERROR(C40*INDEX(Abilities!$E$14:$E$23,BI40)/(INDEX(Abilities!$C$14:$C$23,BI40)*CHOOSE(Inputs!$C$13,1,INDEX(Abilities!$J$14:$J$23,BI40),INDEX(Abilities!$I$14:$I$23,BI40))*W40),"-")</f>
        <v/>
      </c>
      <c r="BM40" s="60">
        <f>IFERROR(P40/BL40,"-")</f>
        <v/>
      </c>
      <c r="BN40" s="17">
        <f>BH40+Inputs!$C$18*V40</f>
        <v/>
      </c>
      <c r="BO40" s="17">
        <f>BC40+Inputs!$C$18*V40</f>
        <v/>
      </c>
      <c r="BP40" s="27">
        <f>LARGE(AS40:BB40,1)+LARGE(AS40:BB40,2)</f>
        <v/>
      </c>
      <c r="BQ40" s="60">
        <f>IFERROR(IF(BG40&lt;=X40,C40/BO40,IF(C40/BO40*(BG40-X40)&lt;=P40,C40/BO40,P40/(BG40-X40)+(C40-BO40*P40/(BG40-X40))/BN40)),"-")</f>
        <v/>
      </c>
      <c r="BR40" s="60">
        <f>BQ40</f>
        <v/>
      </c>
      <c r="BS40" s="9">
        <f>MAX(0,(E40+(B40-A40))*(1-R40)*(1-Q40*'Class Table'!$O$7/Inputs!$C$19)-Q40*'Class Table'!$O$7/25)</f>
        <v/>
      </c>
      <c r="BT40" s="26">
        <f>IFERROR(BS40/F40*BR40,"-")</f>
        <v/>
      </c>
      <c r="BU40" s="28">
        <f>IFERROR(BT40/O40,"-")</f>
        <v/>
      </c>
      <c r="BV40" s="9">
        <f>IFERROR(O40*Inputs!$C$24/Inputs!$C$22*BR40,"-")</f>
        <v/>
      </c>
      <c r="BW40" s="28">
        <f>IFERROR(MAX(0,BT40-BV40)/O40,"-")</f>
        <v/>
      </c>
    </row>
    <row r="41">
      <c r="A41" s="8" t="n">
        <v>38</v>
      </c>
      <c r="B41" s="14">
        <f>'Mob by Level'!B41</f>
        <v/>
      </c>
      <c r="C41" s="9">
        <f>'Mob by Level'!C41</f>
        <v/>
      </c>
      <c r="D41" s="9">
        <f>'Mob by Level'!D41</f>
        <v/>
      </c>
      <c r="E41" s="9">
        <f>'Mob by Level'!E41</f>
        <v/>
      </c>
      <c r="F41" s="16">
        <f>'Mob by Level'!F41</f>
        <v/>
      </c>
      <c r="G41" s="14">
        <f>SUMIFS(Gear!$D$4:$D$603,Gear!$A$4:$A$603,A41,Gear!$B$4:$B$603,"Magus",Gear!$C$4:$C$603,Inputs!$C$5)</f>
        <v/>
      </c>
      <c r="H41" s="14">
        <f>SUMIFS(Gear!$E$4:$E$603,Gear!$A$4:$A$603,A41,Gear!$B$4:$B$603,"Magus",Gear!$C$4:$C$603,Inputs!$C$5)</f>
        <v/>
      </c>
      <c r="I41" s="14">
        <f>SUMIFS(Gear!$F$4:$F$603,Gear!$A$4:$A$603,A41,Gear!$B$4:$B$603,"Magus",Gear!$C$4:$C$603,Inputs!$C$5)+Inputs!$C$17*IFERROR(LOOKUP(A41,Abilities!$A$49:$A$53,Abilities!$C$49:$C$53),0)</f>
        <v/>
      </c>
      <c r="J41" s="13">
        <f>SUMIFS(Gear!$J$4:$J$603,Gear!$A$4:$A$603,A41,Gear!$B$4:$B$603,"Magus",Gear!$C$4:$C$603,Inputs!$C$5)</f>
        <v/>
      </c>
      <c r="K41" s="13">
        <f>SUMIFS(Gear!$K$4:$K$603,Gear!$A$4:$A$603,A41,Gear!$B$4:$B$603,"Magus",Gear!$C$4:$C$603,Inputs!$C$5)</f>
        <v/>
      </c>
      <c r="L41" s="13">
        <f>SUMIFS(Gear!$L$4:$L$603,Gear!$A$4:$A$603,A41,Gear!$B$4:$B$603,"Magus",Gear!$C$4:$C$603,Inputs!$C$5)</f>
        <v/>
      </c>
      <c r="M41" s="13">
        <f>SUMIFS(Gear!$M$4:$M$603,Gear!$A$4:$A$603,A41,Gear!$B$4:$B$603,"Magus",Gear!$C$4:$C$603,Inputs!$C$5)</f>
        <v/>
      </c>
      <c r="N41" s="13">
        <f>SUMIFS(Gear!$N$4:$N$603,Gear!$A$4:$A$603,A41,Gear!$B$4:$B$603,"Magus",Gear!$C$4:$C$603,Inputs!$C$5)</f>
        <v/>
      </c>
      <c r="O41" s="9">
        <f>INDEX('Class Table'!$H$4:$H$53,A41)+SUMIFS(Gear!$G$4:$G$603,Gear!$A$4:$A$603,A41,Gear!$B$4:$B$603,"Magus",Gear!$C$4:$C$603,Inputs!$C$5)</f>
        <v/>
      </c>
      <c r="P41" s="9">
        <f>INDEX('Class Table'!$I$4:$I$53,A41)+SUMIFS(Gear!$H$4:$H$603,Gear!$A$4:$A$603,A41,Gear!$B$4:$B$603,"Magus",Gear!$C$4:$C$603,Inputs!$C$5)</f>
        <v/>
      </c>
      <c r="Q41" s="9">
        <f>INDEX('Class Table'!$J$4:$J$53,A41)+SUMIFS(Gear!$I$4:$I$603,Gear!$A$4:$A$603,A41,Gear!$B$4:$B$603,"Magus",Gear!$C$4:$C$603,Inputs!$C$5)</f>
        <v/>
      </c>
      <c r="R41" s="13">
        <f>SUMIFS(Gear!$O$4:$O$603,Gear!$A$4:$A$603,A41,Gear!$B$4:$B$603,"Magus",Gear!$C$4:$C$603,Inputs!$C$5)</f>
        <v/>
      </c>
      <c r="S41" s="26">
        <f>I41+0+G41+A41+MAX(1,A41/2)+(A41-B41)</f>
        <v/>
      </c>
      <c r="T41" s="9">
        <f>MAX(0,S41*(1+M41)*(1+L41)*Inputs!$C$20*(1-D41/Inputs!$C$19)-D41/25)</f>
        <v/>
      </c>
      <c r="U41" s="16">
        <f>H41/10*(1-MIN(0.95,N41+0))*Inputs!$C$21</f>
        <v/>
      </c>
      <c r="V41" s="27">
        <f>T41/U41</f>
        <v/>
      </c>
      <c r="W41" s="16">
        <f>(1+J41)*(1+K41)*Inputs!$C$20</f>
        <v/>
      </c>
      <c r="X41" s="17">
        <f>P41*Inputs!$C$23/Inputs!$C$22</f>
        <v/>
      </c>
      <c r="Y41" s="17">
        <f>IF(INDEX(Abilities!$A$14:$A$23,1)&lt;=A41,INDEX(Abilities!$C$14:$C$23,1)*CHOOSE(Inputs!$C$13,1,INDEX(Abilities!$J$14:$J$23,1),INDEX(Abilities!$I$14:$I$23,1))*W41/MAX(INDEX(Abilities!$D$14:$D$23,1),Inputs!$C$12),0)</f>
        <v/>
      </c>
      <c r="Z41" s="17">
        <f>IF(INDEX(Abilities!$A$14:$A$23,2)&lt;=A41,INDEX(Abilities!$C$14:$C$23,2)*CHOOSE(Inputs!$C$13,1,INDEX(Abilities!$J$14:$J$23,2),INDEX(Abilities!$I$14:$I$23,2))*W41/MAX(INDEX(Abilities!$D$14:$D$23,2),Inputs!$C$12),0)</f>
        <v/>
      </c>
      <c r="AA41" s="17">
        <f>IF(INDEX(Abilities!$A$14:$A$23,3)&lt;=A41,INDEX(Abilities!$C$14:$C$23,3)*CHOOSE(Inputs!$C$13,1,INDEX(Abilities!$J$14:$J$23,3),INDEX(Abilities!$I$14:$I$23,3))*W41/MAX(INDEX(Abilities!$D$14:$D$23,3),Inputs!$C$12),0)</f>
        <v/>
      </c>
      <c r="AB41" s="17">
        <f>IF(INDEX(Abilities!$A$14:$A$23,4)&lt;=A41,INDEX(Abilities!$C$14:$C$23,4)*CHOOSE(Inputs!$C$13,1,INDEX(Abilities!$J$14:$J$23,4),INDEX(Abilities!$I$14:$I$23,4))*W41/MAX(INDEX(Abilities!$D$14:$D$23,4),Inputs!$C$12),0)</f>
        <v/>
      </c>
      <c r="AC41" s="17">
        <f>IF(INDEX(Abilities!$A$14:$A$23,5)&lt;=A41,INDEX(Abilities!$C$14:$C$23,5)*CHOOSE(Inputs!$C$13,1,INDEX(Abilities!$J$14:$J$23,5),INDEX(Abilities!$I$14:$I$23,5))*W41/MAX(INDEX(Abilities!$D$14:$D$23,5),Inputs!$C$12),0)</f>
        <v/>
      </c>
      <c r="AD41" s="17">
        <f>IF(INDEX(Abilities!$A$14:$A$23,6)&lt;=A41,INDEX(Abilities!$C$14:$C$23,6)*CHOOSE(Inputs!$C$13,1,INDEX(Abilities!$J$14:$J$23,6),INDEX(Abilities!$I$14:$I$23,6))*W41/MAX(INDEX(Abilities!$D$14:$D$23,6),Inputs!$C$12),0)</f>
        <v/>
      </c>
      <c r="AE41" s="17">
        <f>IF(INDEX(Abilities!$A$14:$A$23,7)&lt;=A41,INDEX(Abilities!$C$14:$C$23,7)*CHOOSE(Inputs!$C$13,1,INDEX(Abilities!$J$14:$J$23,7),INDEX(Abilities!$I$14:$I$23,7))*W41/MAX(INDEX(Abilities!$D$14:$D$23,7),Inputs!$C$12),0)</f>
        <v/>
      </c>
      <c r="AF41" s="17">
        <f>IF(INDEX(Abilities!$A$14:$A$23,8)&lt;=A41,INDEX(Abilities!$C$14:$C$23,8)*CHOOSE(Inputs!$C$13,1,INDEX(Abilities!$J$14:$J$23,8),INDEX(Abilities!$I$14:$I$23,8))*W41/MAX(INDEX(Abilities!$D$14:$D$23,8),Inputs!$C$12),0)</f>
        <v/>
      </c>
      <c r="AG41" s="17">
        <f>IF(INDEX(Abilities!$A$14:$A$23,9)&lt;=A41,INDEX(Abilities!$C$14:$C$23,9)*CHOOSE(Inputs!$C$13,1,INDEX(Abilities!$J$14:$J$23,9),INDEX(Abilities!$I$14:$I$23,9))*W41/MAX(INDEX(Abilities!$D$14:$D$23,9),Inputs!$C$12),0)</f>
        <v/>
      </c>
      <c r="AH41" s="17">
        <f>IF(INDEX(Abilities!$A$14:$A$23,10)&lt;=A41,INDEX(Abilities!$C$14:$C$23,10)*CHOOSE(Inputs!$C$13,1,INDEX(Abilities!$J$14:$J$23,10),INDEX(Abilities!$I$14:$I$23,10))*W41/MAX(INDEX(Abilities!$D$14:$D$23,10),Inputs!$C$12),0)</f>
        <v/>
      </c>
      <c r="AI41" s="17">
        <f>IF(INDEX(Abilities!$A$14:$A$23,1)&lt;=A41,MIN(Y41,X41*INDEX(Abilities!$C$14:$C$23,1)*CHOOSE(Inputs!$C$13,1,INDEX(Abilities!$J$14:$J$23,1),INDEX(Abilities!$I$14:$I$23,1))*W41/INDEX(Abilities!$E$14:$E$23,1)),0)</f>
        <v/>
      </c>
      <c r="AJ41" s="17">
        <f>IF(INDEX(Abilities!$A$14:$A$23,2)&lt;=A41,MIN(Z41,X41*INDEX(Abilities!$C$14:$C$23,2)*CHOOSE(Inputs!$C$13,1,INDEX(Abilities!$J$14:$J$23,2),INDEX(Abilities!$I$14:$I$23,2))*W41/INDEX(Abilities!$E$14:$E$23,2)),0)</f>
        <v/>
      </c>
      <c r="AK41" s="17">
        <f>IF(INDEX(Abilities!$A$14:$A$23,3)&lt;=A41,MIN(AA41,X41*INDEX(Abilities!$C$14:$C$23,3)*CHOOSE(Inputs!$C$13,1,INDEX(Abilities!$J$14:$J$23,3),INDEX(Abilities!$I$14:$I$23,3))*W41/INDEX(Abilities!$E$14:$E$23,3)),0)</f>
        <v/>
      </c>
      <c r="AL41" s="17">
        <f>IF(INDEX(Abilities!$A$14:$A$23,4)&lt;=A41,MIN(AB41,X41*INDEX(Abilities!$C$14:$C$23,4)*CHOOSE(Inputs!$C$13,1,INDEX(Abilities!$J$14:$J$23,4),INDEX(Abilities!$I$14:$I$23,4))*W41/INDEX(Abilities!$E$14:$E$23,4)),0)</f>
        <v/>
      </c>
      <c r="AM41" s="17">
        <f>IF(INDEX(Abilities!$A$14:$A$23,5)&lt;=A41,MIN(AC41,X41*INDEX(Abilities!$C$14:$C$23,5)*CHOOSE(Inputs!$C$13,1,INDEX(Abilities!$J$14:$J$23,5),INDEX(Abilities!$I$14:$I$23,5))*W41/INDEX(Abilities!$E$14:$E$23,5)),0)</f>
        <v/>
      </c>
      <c r="AN41" s="17">
        <f>IF(INDEX(Abilities!$A$14:$A$23,6)&lt;=A41,MIN(AD41,X41*INDEX(Abilities!$C$14:$C$23,6)*CHOOSE(Inputs!$C$13,1,INDEX(Abilities!$J$14:$J$23,6),INDEX(Abilities!$I$14:$I$23,6))*W41/INDEX(Abilities!$E$14:$E$23,6)),0)</f>
        <v/>
      </c>
      <c r="AO41" s="17">
        <f>IF(INDEX(Abilities!$A$14:$A$23,7)&lt;=A41,MIN(AE41,X41*INDEX(Abilities!$C$14:$C$23,7)*CHOOSE(Inputs!$C$13,1,INDEX(Abilities!$J$14:$J$23,7),INDEX(Abilities!$I$14:$I$23,7))*W41/INDEX(Abilities!$E$14:$E$23,7)),0)</f>
        <v/>
      </c>
      <c r="AP41" s="17">
        <f>IF(INDEX(Abilities!$A$14:$A$23,8)&lt;=A41,MIN(AF41,X41*INDEX(Abilities!$C$14:$C$23,8)*CHOOSE(Inputs!$C$13,1,INDEX(Abilities!$J$14:$J$23,8),INDEX(Abilities!$I$14:$I$23,8))*W41/INDEX(Abilities!$E$14:$E$23,8)),0)</f>
        <v/>
      </c>
      <c r="AQ41" s="17">
        <f>IF(INDEX(Abilities!$A$14:$A$23,9)&lt;=A41,MIN(AG41,X41*INDEX(Abilities!$C$14:$C$23,9)*CHOOSE(Inputs!$C$13,1,INDEX(Abilities!$J$14:$J$23,9),INDEX(Abilities!$I$14:$I$23,9))*W41/INDEX(Abilities!$E$14:$E$23,9)),0)</f>
        <v/>
      </c>
      <c r="AR41" s="17">
        <f>IF(INDEX(Abilities!$A$14:$A$23,10)&lt;=A41,MIN(AH41,X41*INDEX(Abilities!$C$14:$C$23,10)*CHOOSE(Inputs!$C$13,1,INDEX(Abilities!$J$14:$J$23,10),INDEX(Abilities!$I$14:$I$23,10))*W41/INDEX(Abilities!$E$14:$E$23,10)),0)</f>
        <v/>
      </c>
      <c r="AS41" s="17">
        <f>IF(INDEX(Abilities!$A$14:$A$23,1)&lt;=A41,INDEX(Abilities!$C$14:$C$23,1)*CHOOSE(Inputs!$C$13,1,INDEX(Abilities!$J$14:$J$23,1),INDEX(Abilities!$I$14:$I$23,1))*W41/MAX(INDEX(Abilities!$D$14:$D$23,1),2*Inputs!$C$12),0)</f>
        <v/>
      </c>
      <c r="AT41" s="17">
        <f>IF(INDEX(Abilities!$A$14:$A$23,2)&lt;=A41,INDEX(Abilities!$C$14:$C$23,2)*CHOOSE(Inputs!$C$13,1,INDEX(Abilities!$J$14:$J$23,2),INDEX(Abilities!$I$14:$I$23,2))*W41/MAX(INDEX(Abilities!$D$14:$D$23,2),2*Inputs!$C$12),0)</f>
        <v/>
      </c>
      <c r="AU41" s="17">
        <f>IF(INDEX(Abilities!$A$14:$A$23,3)&lt;=A41,INDEX(Abilities!$C$14:$C$23,3)*CHOOSE(Inputs!$C$13,1,INDEX(Abilities!$J$14:$J$23,3),INDEX(Abilities!$I$14:$I$23,3))*W41/MAX(INDEX(Abilities!$D$14:$D$23,3),2*Inputs!$C$12),0)</f>
        <v/>
      </c>
      <c r="AV41" s="17">
        <f>IF(INDEX(Abilities!$A$14:$A$23,4)&lt;=A41,INDEX(Abilities!$C$14:$C$23,4)*CHOOSE(Inputs!$C$13,1,INDEX(Abilities!$J$14:$J$23,4),INDEX(Abilities!$I$14:$I$23,4))*W41/MAX(INDEX(Abilities!$D$14:$D$23,4),2*Inputs!$C$12),0)</f>
        <v/>
      </c>
      <c r="AW41" s="17">
        <f>IF(INDEX(Abilities!$A$14:$A$23,5)&lt;=A41,INDEX(Abilities!$C$14:$C$23,5)*CHOOSE(Inputs!$C$13,1,INDEX(Abilities!$J$14:$J$23,5),INDEX(Abilities!$I$14:$I$23,5))*W41/MAX(INDEX(Abilities!$D$14:$D$23,5),2*Inputs!$C$12),0)</f>
        <v/>
      </c>
      <c r="AX41" s="17">
        <f>IF(INDEX(Abilities!$A$14:$A$23,6)&lt;=A41,INDEX(Abilities!$C$14:$C$23,6)*CHOOSE(Inputs!$C$13,1,INDEX(Abilities!$J$14:$J$23,6),INDEX(Abilities!$I$14:$I$23,6))*W41/MAX(INDEX(Abilities!$D$14:$D$23,6),2*Inputs!$C$12),0)</f>
        <v/>
      </c>
      <c r="AY41" s="17">
        <f>IF(INDEX(Abilities!$A$14:$A$23,7)&lt;=A41,INDEX(Abilities!$C$14:$C$23,7)*CHOOSE(Inputs!$C$13,1,INDEX(Abilities!$J$14:$J$23,7),INDEX(Abilities!$I$14:$I$23,7))*W41/MAX(INDEX(Abilities!$D$14:$D$23,7),2*Inputs!$C$12),0)</f>
        <v/>
      </c>
      <c r="AZ41" s="17">
        <f>IF(INDEX(Abilities!$A$14:$A$23,8)&lt;=A41,INDEX(Abilities!$C$14:$C$23,8)*CHOOSE(Inputs!$C$13,1,INDEX(Abilities!$J$14:$J$23,8),INDEX(Abilities!$I$14:$I$23,8))*W41/MAX(INDEX(Abilities!$D$14:$D$23,8),2*Inputs!$C$12),0)</f>
        <v/>
      </c>
      <c r="BA41" s="17">
        <f>IF(INDEX(Abilities!$A$14:$A$23,9)&lt;=A41,INDEX(Abilities!$C$14:$C$23,9)*CHOOSE(Inputs!$C$13,1,INDEX(Abilities!$J$14:$J$23,9),INDEX(Abilities!$I$14:$I$23,9))*W41/MAX(INDEX(Abilities!$D$14:$D$23,9),2*Inputs!$C$12),0)</f>
        <v/>
      </c>
      <c r="BB41" s="17">
        <f>IF(INDEX(Abilities!$A$14:$A$23,10)&lt;=A41,INDEX(Abilities!$C$14:$C$23,10)*CHOOSE(Inputs!$C$13,1,INDEX(Abilities!$J$14:$J$23,10),INDEX(Abilities!$I$14:$I$23,10))*W41/MAX(INDEX(Abilities!$D$14:$D$23,10),2*Inputs!$C$12),0)</f>
        <v/>
      </c>
      <c r="BC41" s="27">
        <f>MAX(Y41:AH41)</f>
        <v/>
      </c>
      <c r="BD41" s="8">
        <f>MATCH(BC41,Y41:AH41,0)</f>
        <v/>
      </c>
      <c r="BE41" s="15">
        <f>INDEX(Abilities!$B$14:$B$23,BD41)</f>
        <v/>
      </c>
      <c r="BF41" s="16">
        <f>CHOOSE(Inputs!$C$13,1,INDEX(Abilities!$J$14:$J$23,BD41),INDEX(Abilities!$I$14:$I$23,BD41))</f>
        <v/>
      </c>
      <c r="BG41" s="17">
        <f>INDEX(Abilities!$E$14:$E$23,BD41)/MAX(INDEX(Abilities!$D$14:$D$23,BD41),Inputs!$C$12)</f>
        <v/>
      </c>
      <c r="BH41" s="27">
        <f>MAX(AI41:AR41)</f>
        <v/>
      </c>
      <c r="BI41" s="8">
        <f>MATCH(BH41,AI41:AR41,0)</f>
        <v/>
      </c>
      <c r="BJ41" s="15">
        <f>INDEX(Abilities!$B$14:$B$23,BI41)</f>
        <v/>
      </c>
      <c r="BK41" s="14">
        <f>IFERROR(ROUNDUP(C41/(INDEX(Abilities!$C$14:$C$23,BD41)*W41),0),"-")</f>
        <v/>
      </c>
      <c r="BL41" s="9">
        <f>IFERROR(C41*INDEX(Abilities!$E$14:$E$23,BI41)/(INDEX(Abilities!$C$14:$C$23,BI41)*CHOOSE(Inputs!$C$13,1,INDEX(Abilities!$J$14:$J$23,BI41),INDEX(Abilities!$I$14:$I$23,BI41))*W41),"-")</f>
        <v/>
      </c>
      <c r="BM41" s="60">
        <f>IFERROR(P41/BL41,"-")</f>
        <v/>
      </c>
      <c r="BN41" s="17">
        <f>BH41+Inputs!$C$18*V41</f>
        <v/>
      </c>
      <c r="BO41" s="17">
        <f>BC41+Inputs!$C$18*V41</f>
        <v/>
      </c>
      <c r="BP41" s="27">
        <f>LARGE(AS41:BB41,1)+LARGE(AS41:BB41,2)</f>
        <v/>
      </c>
      <c r="BQ41" s="60">
        <f>IFERROR(IF(BG41&lt;=X41,C41/BO41,IF(C41/BO41*(BG41-X41)&lt;=P41,C41/BO41,P41/(BG41-X41)+(C41-BO41*P41/(BG41-X41))/BN41)),"-")</f>
        <v/>
      </c>
      <c r="BR41" s="60">
        <f>BQ41</f>
        <v/>
      </c>
      <c r="BS41" s="9">
        <f>MAX(0,(E41+(B41-A41))*(1-R41)*(1-Q41*'Class Table'!$O$7/Inputs!$C$19)-Q41*'Class Table'!$O$7/25)</f>
        <v/>
      </c>
      <c r="BT41" s="26">
        <f>IFERROR(BS41/F41*BR41,"-")</f>
        <v/>
      </c>
      <c r="BU41" s="28">
        <f>IFERROR(BT41/O41,"-")</f>
        <v/>
      </c>
      <c r="BV41" s="9">
        <f>IFERROR(O41*Inputs!$C$24/Inputs!$C$22*BR41,"-")</f>
        <v/>
      </c>
      <c r="BW41" s="28">
        <f>IFERROR(MAX(0,BT41-BV41)/O41,"-")</f>
        <v/>
      </c>
    </row>
    <row r="42">
      <c r="A42" s="8" t="n">
        <v>39</v>
      </c>
      <c r="B42" s="14">
        <f>'Mob by Level'!B42</f>
        <v/>
      </c>
      <c r="C42" s="9">
        <f>'Mob by Level'!C42</f>
        <v/>
      </c>
      <c r="D42" s="9">
        <f>'Mob by Level'!D42</f>
        <v/>
      </c>
      <c r="E42" s="9">
        <f>'Mob by Level'!E42</f>
        <v/>
      </c>
      <c r="F42" s="16">
        <f>'Mob by Level'!F42</f>
        <v/>
      </c>
      <c r="G42" s="14">
        <f>SUMIFS(Gear!$D$4:$D$603,Gear!$A$4:$A$603,A42,Gear!$B$4:$B$603,"Magus",Gear!$C$4:$C$603,Inputs!$C$5)</f>
        <v/>
      </c>
      <c r="H42" s="14">
        <f>SUMIFS(Gear!$E$4:$E$603,Gear!$A$4:$A$603,A42,Gear!$B$4:$B$603,"Magus",Gear!$C$4:$C$603,Inputs!$C$5)</f>
        <v/>
      </c>
      <c r="I42" s="14">
        <f>SUMIFS(Gear!$F$4:$F$603,Gear!$A$4:$A$603,A42,Gear!$B$4:$B$603,"Magus",Gear!$C$4:$C$603,Inputs!$C$5)+Inputs!$C$17*IFERROR(LOOKUP(A42,Abilities!$A$49:$A$53,Abilities!$C$49:$C$53),0)</f>
        <v/>
      </c>
      <c r="J42" s="13">
        <f>SUMIFS(Gear!$J$4:$J$603,Gear!$A$4:$A$603,A42,Gear!$B$4:$B$603,"Magus",Gear!$C$4:$C$603,Inputs!$C$5)</f>
        <v/>
      </c>
      <c r="K42" s="13">
        <f>SUMIFS(Gear!$K$4:$K$603,Gear!$A$4:$A$603,A42,Gear!$B$4:$B$603,"Magus",Gear!$C$4:$C$603,Inputs!$C$5)</f>
        <v/>
      </c>
      <c r="L42" s="13">
        <f>SUMIFS(Gear!$L$4:$L$603,Gear!$A$4:$A$603,A42,Gear!$B$4:$B$603,"Magus",Gear!$C$4:$C$603,Inputs!$C$5)</f>
        <v/>
      </c>
      <c r="M42" s="13">
        <f>SUMIFS(Gear!$M$4:$M$603,Gear!$A$4:$A$603,A42,Gear!$B$4:$B$603,"Magus",Gear!$C$4:$C$603,Inputs!$C$5)</f>
        <v/>
      </c>
      <c r="N42" s="13">
        <f>SUMIFS(Gear!$N$4:$N$603,Gear!$A$4:$A$603,A42,Gear!$B$4:$B$603,"Magus",Gear!$C$4:$C$603,Inputs!$C$5)</f>
        <v/>
      </c>
      <c r="O42" s="9">
        <f>INDEX('Class Table'!$H$4:$H$53,A42)+SUMIFS(Gear!$G$4:$G$603,Gear!$A$4:$A$603,A42,Gear!$B$4:$B$603,"Magus",Gear!$C$4:$C$603,Inputs!$C$5)</f>
        <v/>
      </c>
      <c r="P42" s="9">
        <f>INDEX('Class Table'!$I$4:$I$53,A42)+SUMIFS(Gear!$H$4:$H$603,Gear!$A$4:$A$603,A42,Gear!$B$4:$B$603,"Magus",Gear!$C$4:$C$603,Inputs!$C$5)</f>
        <v/>
      </c>
      <c r="Q42" s="9">
        <f>INDEX('Class Table'!$J$4:$J$53,A42)+SUMIFS(Gear!$I$4:$I$603,Gear!$A$4:$A$603,A42,Gear!$B$4:$B$603,"Magus",Gear!$C$4:$C$603,Inputs!$C$5)</f>
        <v/>
      </c>
      <c r="R42" s="13">
        <f>SUMIFS(Gear!$O$4:$O$603,Gear!$A$4:$A$603,A42,Gear!$B$4:$B$603,"Magus",Gear!$C$4:$C$603,Inputs!$C$5)</f>
        <v/>
      </c>
      <c r="S42" s="26">
        <f>I42+0+G42+A42+MAX(1,A42/2)+(A42-B42)</f>
        <v/>
      </c>
      <c r="T42" s="9">
        <f>MAX(0,S42*(1+M42)*(1+L42)*Inputs!$C$20*(1-D42/Inputs!$C$19)-D42/25)</f>
        <v/>
      </c>
      <c r="U42" s="16">
        <f>H42/10*(1-MIN(0.95,N42+0))*Inputs!$C$21</f>
        <v/>
      </c>
      <c r="V42" s="27">
        <f>T42/U42</f>
        <v/>
      </c>
      <c r="W42" s="16">
        <f>(1+J42)*(1+K42)*Inputs!$C$20</f>
        <v/>
      </c>
      <c r="X42" s="17">
        <f>P42*Inputs!$C$23/Inputs!$C$22</f>
        <v/>
      </c>
      <c r="Y42" s="17">
        <f>IF(INDEX(Abilities!$A$14:$A$23,1)&lt;=A42,INDEX(Abilities!$C$14:$C$23,1)*CHOOSE(Inputs!$C$13,1,INDEX(Abilities!$J$14:$J$23,1),INDEX(Abilities!$I$14:$I$23,1))*W42/MAX(INDEX(Abilities!$D$14:$D$23,1),Inputs!$C$12),0)</f>
        <v/>
      </c>
      <c r="Z42" s="17">
        <f>IF(INDEX(Abilities!$A$14:$A$23,2)&lt;=A42,INDEX(Abilities!$C$14:$C$23,2)*CHOOSE(Inputs!$C$13,1,INDEX(Abilities!$J$14:$J$23,2),INDEX(Abilities!$I$14:$I$23,2))*W42/MAX(INDEX(Abilities!$D$14:$D$23,2),Inputs!$C$12),0)</f>
        <v/>
      </c>
      <c r="AA42" s="17">
        <f>IF(INDEX(Abilities!$A$14:$A$23,3)&lt;=A42,INDEX(Abilities!$C$14:$C$23,3)*CHOOSE(Inputs!$C$13,1,INDEX(Abilities!$J$14:$J$23,3),INDEX(Abilities!$I$14:$I$23,3))*W42/MAX(INDEX(Abilities!$D$14:$D$23,3),Inputs!$C$12),0)</f>
        <v/>
      </c>
      <c r="AB42" s="17">
        <f>IF(INDEX(Abilities!$A$14:$A$23,4)&lt;=A42,INDEX(Abilities!$C$14:$C$23,4)*CHOOSE(Inputs!$C$13,1,INDEX(Abilities!$J$14:$J$23,4),INDEX(Abilities!$I$14:$I$23,4))*W42/MAX(INDEX(Abilities!$D$14:$D$23,4),Inputs!$C$12),0)</f>
        <v/>
      </c>
      <c r="AC42" s="17">
        <f>IF(INDEX(Abilities!$A$14:$A$23,5)&lt;=A42,INDEX(Abilities!$C$14:$C$23,5)*CHOOSE(Inputs!$C$13,1,INDEX(Abilities!$J$14:$J$23,5),INDEX(Abilities!$I$14:$I$23,5))*W42/MAX(INDEX(Abilities!$D$14:$D$23,5),Inputs!$C$12),0)</f>
        <v/>
      </c>
      <c r="AD42" s="17">
        <f>IF(INDEX(Abilities!$A$14:$A$23,6)&lt;=A42,INDEX(Abilities!$C$14:$C$23,6)*CHOOSE(Inputs!$C$13,1,INDEX(Abilities!$J$14:$J$23,6),INDEX(Abilities!$I$14:$I$23,6))*W42/MAX(INDEX(Abilities!$D$14:$D$23,6),Inputs!$C$12),0)</f>
        <v/>
      </c>
      <c r="AE42" s="17">
        <f>IF(INDEX(Abilities!$A$14:$A$23,7)&lt;=A42,INDEX(Abilities!$C$14:$C$23,7)*CHOOSE(Inputs!$C$13,1,INDEX(Abilities!$J$14:$J$23,7),INDEX(Abilities!$I$14:$I$23,7))*W42/MAX(INDEX(Abilities!$D$14:$D$23,7),Inputs!$C$12),0)</f>
        <v/>
      </c>
      <c r="AF42" s="17">
        <f>IF(INDEX(Abilities!$A$14:$A$23,8)&lt;=A42,INDEX(Abilities!$C$14:$C$23,8)*CHOOSE(Inputs!$C$13,1,INDEX(Abilities!$J$14:$J$23,8),INDEX(Abilities!$I$14:$I$23,8))*W42/MAX(INDEX(Abilities!$D$14:$D$23,8),Inputs!$C$12),0)</f>
        <v/>
      </c>
      <c r="AG42" s="17">
        <f>IF(INDEX(Abilities!$A$14:$A$23,9)&lt;=A42,INDEX(Abilities!$C$14:$C$23,9)*CHOOSE(Inputs!$C$13,1,INDEX(Abilities!$J$14:$J$23,9),INDEX(Abilities!$I$14:$I$23,9))*W42/MAX(INDEX(Abilities!$D$14:$D$23,9),Inputs!$C$12),0)</f>
        <v/>
      </c>
      <c r="AH42" s="17">
        <f>IF(INDEX(Abilities!$A$14:$A$23,10)&lt;=A42,INDEX(Abilities!$C$14:$C$23,10)*CHOOSE(Inputs!$C$13,1,INDEX(Abilities!$J$14:$J$23,10),INDEX(Abilities!$I$14:$I$23,10))*W42/MAX(INDEX(Abilities!$D$14:$D$23,10),Inputs!$C$12),0)</f>
        <v/>
      </c>
      <c r="AI42" s="17">
        <f>IF(INDEX(Abilities!$A$14:$A$23,1)&lt;=A42,MIN(Y42,X42*INDEX(Abilities!$C$14:$C$23,1)*CHOOSE(Inputs!$C$13,1,INDEX(Abilities!$J$14:$J$23,1),INDEX(Abilities!$I$14:$I$23,1))*W42/INDEX(Abilities!$E$14:$E$23,1)),0)</f>
        <v/>
      </c>
      <c r="AJ42" s="17">
        <f>IF(INDEX(Abilities!$A$14:$A$23,2)&lt;=A42,MIN(Z42,X42*INDEX(Abilities!$C$14:$C$23,2)*CHOOSE(Inputs!$C$13,1,INDEX(Abilities!$J$14:$J$23,2),INDEX(Abilities!$I$14:$I$23,2))*W42/INDEX(Abilities!$E$14:$E$23,2)),0)</f>
        <v/>
      </c>
      <c r="AK42" s="17">
        <f>IF(INDEX(Abilities!$A$14:$A$23,3)&lt;=A42,MIN(AA42,X42*INDEX(Abilities!$C$14:$C$23,3)*CHOOSE(Inputs!$C$13,1,INDEX(Abilities!$J$14:$J$23,3),INDEX(Abilities!$I$14:$I$23,3))*W42/INDEX(Abilities!$E$14:$E$23,3)),0)</f>
        <v/>
      </c>
      <c r="AL42" s="17">
        <f>IF(INDEX(Abilities!$A$14:$A$23,4)&lt;=A42,MIN(AB42,X42*INDEX(Abilities!$C$14:$C$23,4)*CHOOSE(Inputs!$C$13,1,INDEX(Abilities!$J$14:$J$23,4),INDEX(Abilities!$I$14:$I$23,4))*W42/INDEX(Abilities!$E$14:$E$23,4)),0)</f>
        <v/>
      </c>
      <c r="AM42" s="17">
        <f>IF(INDEX(Abilities!$A$14:$A$23,5)&lt;=A42,MIN(AC42,X42*INDEX(Abilities!$C$14:$C$23,5)*CHOOSE(Inputs!$C$13,1,INDEX(Abilities!$J$14:$J$23,5),INDEX(Abilities!$I$14:$I$23,5))*W42/INDEX(Abilities!$E$14:$E$23,5)),0)</f>
        <v/>
      </c>
      <c r="AN42" s="17">
        <f>IF(INDEX(Abilities!$A$14:$A$23,6)&lt;=A42,MIN(AD42,X42*INDEX(Abilities!$C$14:$C$23,6)*CHOOSE(Inputs!$C$13,1,INDEX(Abilities!$J$14:$J$23,6),INDEX(Abilities!$I$14:$I$23,6))*W42/INDEX(Abilities!$E$14:$E$23,6)),0)</f>
        <v/>
      </c>
      <c r="AO42" s="17">
        <f>IF(INDEX(Abilities!$A$14:$A$23,7)&lt;=A42,MIN(AE42,X42*INDEX(Abilities!$C$14:$C$23,7)*CHOOSE(Inputs!$C$13,1,INDEX(Abilities!$J$14:$J$23,7),INDEX(Abilities!$I$14:$I$23,7))*W42/INDEX(Abilities!$E$14:$E$23,7)),0)</f>
        <v/>
      </c>
      <c r="AP42" s="17">
        <f>IF(INDEX(Abilities!$A$14:$A$23,8)&lt;=A42,MIN(AF42,X42*INDEX(Abilities!$C$14:$C$23,8)*CHOOSE(Inputs!$C$13,1,INDEX(Abilities!$J$14:$J$23,8),INDEX(Abilities!$I$14:$I$23,8))*W42/INDEX(Abilities!$E$14:$E$23,8)),0)</f>
        <v/>
      </c>
      <c r="AQ42" s="17">
        <f>IF(INDEX(Abilities!$A$14:$A$23,9)&lt;=A42,MIN(AG42,X42*INDEX(Abilities!$C$14:$C$23,9)*CHOOSE(Inputs!$C$13,1,INDEX(Abilities!$J$14:$J$23,9),INDEX(Abilities!$I$14:$I$23,9))*W42/INDEX(Abilities!$E$14:$E$23,9)),0)</f>
        <v/>
      </c>
      <c r="AR42" s="17">
        <f>IF(INDEX(Abilities!$A$14:$A$23,10)&lt;=A42,MIN(AH42,X42*INDEX(Abilities!$C$14:$C$23,10)*CHOOSE(Inputs!$C$13,1,INDEX(Abilities!$J$14:$J$23,10),INDEX(Abilities!$I$14:$I$23,10))*W42/INDEX(Abilities!$E$14:$E$23,10)),0)</f>
        <v/>
      </c>
      <c r="AS42" s="17">
        <f>IF(INDEX(Abilities!$A$14:$A$23,1)&lt;=A42,INDEX(Abilities!$C$14:$C$23,1)*CHOOSE(Inputs!$C$13,1,INDEX(Abilities!$J$14:$J$23,1),INDEX(Abilities!$I$14:$I$23,1))*W42/MAX(INDEX(Abilities!$D$14:$D$23,1),2*Inputs!$C$12),0)</f>
        <v/>
      </c>
      <c r="AT42" s="17">
        <f>IF(INDEX(Abilities!$A$14:$A$23,2)&lt;=A42,INDEX(Abilities!$C$14:$C$23,2)*CHOOSE(Inputs!$C$13,1,INDEX(Abilities!$J$14:$J$23,2),INDEX(Abilities!$I$14:$I$23,2))*W42/MAX(INDEX(Abilities!$D$14:$D$23,2),2*Inputs!$C$12),0)</f>
        <v/>
      </c>
      <c r="AU42" s="17">
        <f>IF(INDEX(Abilities!$A$14:$A$23,3)&lt;=A42,INDEX(Abilities!$C$14:$C$23,3)*CHOOSE(Inputs!$C$13,1,INDEX(Abilities!$J$14:$J$23,3),INDEX(Abilities!$I$14:$I$23,3))*W42/MAX(INDEX(Abilities!$D$14:$D$23,3),2*Inputs!$C$12),0)</f>
        <v/>
      </c>
      <c r="AV42" s="17">
        <f>IF(INDEX(Abilities!$A$14:$A$23,4)&lt;=A42,INDEX(Abilities!$C$14:$C$23,4)*CHOOSE(Inputs!$C$13,1,INDEX(Abilities!$J$14:$J$23,4),INDEX(Abilities!$I$14:$I$23,4))*W42/MAX(INDEX(Abilities!$D$14:$D$23,4),2*Inputs!$C$12),0)</f>
        <v/>
      </c>
      <c r="AW42" s="17">
        <f>IF(INDEX(Abilities!$A$14:$A$23,5)&lt;=A42,INDEX(Abilities!$C$14:$C$23,5)*CHOOSE(Inputs!$C$13,1,INDEX(Abilities!$J$14:$J$23,5),INDEX(Abilities!$I$14:$I$23,5))*W42/MAX(INDEX(Abilities!$D$14:$D$23,5),2*Inputs!$C$12),0)</f>
        <v/>
      </c>
      <c r="AX42" s="17">
        <f>IF(INDEX(Abilities!$A$14:$A$23,6)&lt;=A42,INDEX(Abilities!$C$14:$C$23,6)*CHOOSE(Inputs!$C$13,1,INDEX(Abilities!$J$14:$J$23,6),INDEX(Abilities!$I$14:$I$23,6))*W42/MAX(INDEX(Abilities!$D$14:$D$23,6),2*Inputs!$C$12),0)</f>
        <v/>
      </c>
      <c r="AY42" s="17">
        <f>IF(INDEX(Abilities!$A$14:$A$23,7)&lt;=A42,INDEX(Abilities!$C$14:$C$23,7)*CHOOSE(Inputs!$C$13,1,INDEX(Abilities!$J$14:$J$23,7),INDEX(Abilities!$I$14:$I$23,7))*W42/MAX(INDEX(Abilities!$D$14:$D$23,7),2*Inputs!$C$12),0)</f>
        <v/>
      </c>
      <c r="AZ42" s="17">
        <f>IF(INDEX(Abilities!$A$14:$A$23,8)&lt;=A42,INDEX(Abilities!$C$14:$C$23,8)*CHOOSE(Inputs!$C$13,1,INDEX(Abilities!$J$14:$J$23,8),INDEX(Abilities!$I$14:$I$23,8))*W42/MAX(INDEX(Abilities!$D$14:$D$23,8),2*Inputs!$C$12),0)</f>
        <v/>
      </c>
      <c r="BA42" s="17">
        <f>IF(INDEX(Abilities!$A$14:$A$23,9)&lt;=A42,INDEX(Abilities!$C$14:$C$23,9)*CHOOSE(Inputs!$C$13,1,INDEX(Abilities!$J$14:$J$23,9),INDEX(Abilities!$I$14:$I$23,9))*W42/MAX(INDEX(Abilities!$D$14:$D$23,9),2*Inputs!$C$12),0)</f>
        <v/>
      </c>
      <c r="BB42" s="17">
        <f>IF(INDEX(Abilities!$A$14:$A$23,10)&lt;=A42,INDEX(Abilities!$C$14:$C$23,10)*CHOOSE(Inputs!$C$13,1,INDEX(Abilities!$J$14:$J$23,10),INDEX(Abilities!$I$14:$I$23,10))*W42/MAX(INDEX(Abilities!$D$14:$D$23,10),2*Inputs!$C$12),0)</f>
        <v/>
      </c>
      <c r="BC42" s="27">
        <f>MAX(Y42:AH42)</f>
        <v/>
      </c>
      <c r="BD42" s="8">
        <f>MATCH(BC42,Y42:AH42,0)</f>
        <v/>
      </c>
      <c r="BE42" s="15">
        <f>INDEX(Abilities!$B$14:$B$23,BD42)</f>
        <v/>
      </c>
      <c r="BF42" s="16">
        <f>CHOOSE(Inputs!$C$13,1,INDEX(Abilities!$J$14:$J$23,BD42),INDEX(Abilities!$I$14:$I$23,BD42))</f>
        <v/>
      </c>
      <c r="BG42" s="17">
        <f>INDEX(Abilities!$E$14:$E$23,BD42)/MAX(INDEX(Abilities!$D$14:$D$23,BD42),Inputs!$C$12)</f>
        <v/>
      </c>
      <c r="BH42" s="27">
        <f>MAX(AI42:AR42)</f>
        <v/>
      </c>
      <c r="BI42" s="8">
        <f>MATCH(BH42,AI42:AR42,0)</f>
        <v/>
      </c>
      <c r="BJ42" s="15">
        <f>INDEX(Abilities!$B$14:$B$23,BI42)</f>
        <v/>
      </c>
      <c r="BK42" s="14">
        <f>IFERROR(ROUNDUP(C42/(INDEX(Abilities!$C$14:$C$23,BD42)*W42),0),"-")</f>
        <v/>
      </c>
      <c r="BL42" s="9">
        <f>IFERROR(C42*INDEX(Abilities!$E$14:$E$23,BI42)/(INDEX(Abilities!$C$14:$C$23,BI42)*CHOOSE(Inputs!$C$13,1,INDEX(Abilities!$J$14:$J$23,BI42),INDEX(Abilities!$I$14:$I$23,BI42))*W42),"-")</f>
        <v/>
      </c>
      <c r="BM42" s="60">
        <f>IFERROR(P42/BL42,"-")</f>
        <v/>
      </c>
      <c r="BN42" s="17">
        <f>BH42+Inputs!$C$18*V42</f>
        <v/>
      </c>
      <c r="BO42" s="17">
        <f>BC42+Inputs!$C$18*V42</f>
        <v/>
      </c>
      <c r="BP42" s="27">
        <f>LARGE(AS42:BB42,1)+LARGE(AS42:BB42,2)</f>
        <v/>
      </c>
      <c r="BQ42" s="60">
        <f>IFERROR(IF(BG42&lt;=X42,C42/BO42,IF(C42/BO42*(BG42-X42)&lt;=P42,C42/BO42,P42/(BG42-X42)+(C42-BO42*P42/(BG42-X42))/BN42)),"-")</f>
        <v/>
      </c>
      <c r="BR42" s="60">
        <f>BQ42</f>
        <v/>
      </c>
      <c r="BS42" s="9">
        <f>MAX(0,(E42+(B42-A42))*(1-R42)*(1-Q42*'Class Table'!$O$7/Inputs!$C$19)-Q42*'Class Table'!$O$7/25)</f>
        <v/>
      </c>
      <c r="BT42" s="26">
        <f>IFERROR(BS42/F42*BR42,"-")</f>
        <v/>
      </c>
      <c r="BU42" s="28">
        <f>IFERROR(BT42/O42,"-")</f>
        <v/>
      </c>
      <c r="BV42" s="9">
        <f>IFERROR(O42*Inputs!$C$24/Inputs!$C$22*BR42,"-")</f>
        <v/>
      </c>
      <c r="BW42" s="28">
        <f>IFERROR(MAX(0,BT42-BV42)/O42,"-")</f>
        <v/>
      </c>
    </row>
    <row r="43">
      <c r="A43" s="8" t="n">
        <v>40</v>
      </c>
      <c r="B43" s="14">
        <f>'Mob by Level'!B43</f>
        <v/>
      </c>
      <c r="C43" s="9">
        <f>'Mob by Level'!C43</f>
        <v/>
      </c>
      <c r="D43" s="9">
        <f>'Mob by Level'!D43</f>
        <v/>
      </c>
      <c r="E43" s="9">
        <f>'Mob by Level'!E43</f>
        <v/>
      </c>
      <c r="F43" s="16">
        <f>'Mob by Level'!F43</f>
        <v/>
      </c>
      <c r="G43" s="14">
        <f>SUMIFS(Gear!$D$4:$D$603,Gear!$A$4:$A$603,A43,Gear!$B$4:$B$603,"Magus",Gear!$C$4:$C$603,Inputs!$C$5)</f>
        <v/>
      </c>
      <c r="H43" s="14">
        <f>SUMIFS(Gear!$E$4:$E$603,Gear!$A$4:$A$603,A43,Gear!$B$4:$B$603,"Magus",Gear!$C$4:$C$603,Inputs!$C$5)</f>
        <v/>
      </c>
      <c r="I43" s="14">
        <f>SUMIFS(Gear!$F$4:$F$603,Gear!$A$4:$A$603,A43,Gear!$B$4:$B$603,"Magus",Gear!$C$4:$C$603,Inputs!$C$5)+Inputs!$C$17*IFERROR(LOOKUP(A43,Abilities!$A$49:$A$53,Abilities!$C$49:$C$53),0)</f>
        <v/>
      </c>
      <c r="J43" s="13">
        <f>SUMIFS(Gear!$J$4:$J$603,Gear!$A$4:$A$603,A43,Gear!$B$4:$B$603,"Magus",Gear!$C$4:$C$603,Inputs!$C$5)</f>
        <v/>
      </c>
      <c r="K43" s="13">
        <f>SUMIFS(Gear!$K$4:$K$603,Gear!$A$4:$A$603,A43,Gear!$B$4:$B$603,"Magus",Gear!$C$4:$C$603,Inputs!$C$5)</f>
        <v/>
      </c>
      <c r="L43" s="13">
        <f>SUMIFS(Gear!$L$4:$L$603,Gear!$A$4:$A$603,A43,Gear!$B$4:$B$603,"Magus",Gear!$C$4:$C$603,Inputs!$C$5)</f>
        <v/>
      </c>
      <c r="M43" s="13">
        <f>SUMIFS(Gear!$M$4:$M$603,Gear!$A$4:$A$603,A43,Gear!$B$4:$B$603,"Magus",Gear!$C$4:$C$603,Inputs!$C$5)</f>
        <v/>
      </c>
      <c r="N43" s="13">
        <f>SUMIFS(Gear!$N$4:$N$603,Gear!$A$4:$A$603,A43,Gear!$B$4:$B$603,"Magus",Gear!$C$4:$C$603,Inputs!$C$5)</f>
        <v/>
      </c>
      <c r="O43" s="9">
        <f>INDEX('Class Table'!$H$4:$H$53,A43)+SUMIFS(Gear!$G$4:$G$603,Gear!$A$4:$A$603,A43,Gear!$B$4:$B$603,"Magus",Gear!$C$4:$C$603,Inputs!$C$5)</f>
        <v/>
      </c>
      <c r="P43" s="9">
        <f>INDEX('Class Table'!$I$4:$I$53,A43)+SUMIFS(Gear!$H$4:$H$603,Gear!$A$4:$A$603,A43,Gear!$B$4:$B$603,"Magus",Gear!$C$4:$C$603,Inputs!$C$5)</f>
        <v/>
      </c>
      <c r="Q43" s="9">
        <f>INDEX('Class Table'!$J$4:$J$53,A43)+SUMIFS(Gear!$I$4:$I$603,Gear!$A$4:$A$603,A43,Gear!$B$4:$B$603,"Magus",Gear!$C$4:$C$603,Inputs!$C$5)</f>
        <v/>
      </c>
      <c r="R43" s="13">
        <f>SUMIFS(Gear!$O$4:$O$603,Gear!$A$4:$A$603,A43,Gear!$B$4:$B$603,"Magus",Gear!$C$4:$C$603,Inputs!$C$5)</f>
        <v/>
      </c>
      <c r="S43" s="26">
        <f>I43+0+G43+A43+MAX(1,A43/2)+(A43-B43)</f>
        <v/>
      </c>
      <c r="T43" s="9">
        <f>MAX(0,S43*(1+M43)*(1+L43)*Inputs!$C$20*(1-D43/Inputs!$C$19)-D43/25)</f>
        <v/>
      </c>
      <c r="U43" s="16">
        <f>H43/10*(1-MIN(0.95,N43+0))*Inputs!$C$21</f>
        <v/>
      </c>
      <c r="V43" s="27">
        <f>T43/U43</f>
        <v/>
      </c>
      <c r="W43" s="16">
        <f>(1+J43)*(1+K43)*Inputs!$C$20</f>
        <v/>
      </c>
      <c r="X43" s="17">
        <f>P43*Inputs!$C$23/Inputs!$C$22</f>
        <v/>
      </c>
      <c r="Y43" s="17">
        <f>IF(INDEX(Abilities!$A$14:$A$23,1)&lt;=A43,INDEX(Abilities!$C$14:$C$23,1)*CHOOSE(Inputs!$C$13,1,INDEX(Abilities!$J$14:$J$23,1),INDEX(Abilities!$I$14:$I$23,1))*W43/MAX(INDEX(Abilities!$D$14:$D$23,1),Inputs!$C$12),0)</f>
        <v/>
      </c>
      <c r="Z43" s="17">
        <f>IF(INDEX(Abilities!$A$14:$A$23,2)&lt;=A43,INDEX(Abilities!$C$14:$C$23,2)*CHOOSE(Inputs!$C$13,1,INDEX(Abilities!$J$14:$J$23,2),INDEX(Abilities!$I$14:$I$23,2))*W43/MAX(INDEX(Abilities!$D$14:$D$23,2),Inputs!$C$12),0)</f>
        <v/>
      </c>
      <c r="AA43" s="17">
        <f>IF(INDEX(Abilities!$A$14:$A$23,3)&lt;=A43,INDEX(Abilities!$C$14:$C$23,3)*CHOOSE(Inputs!$C$13,1,INDEX(Abilities!$J$14:$J$23,3),INDEX(Abilities!$I$14:$I$23,3))*W43/MAX(INDEX(Abilities!$D$14:$D$23,3),Inputs!$C$12),0)</f>
        <v/>
      </c>
      <c r="AB43" s="17">
        <f>IF(INDEX(Abilities!$A$14:$A$23,4)&lt;=A43,INDEX(Abilities!$C$14:$C$23,4)*CHOOSE(Inputs!$C$13,1,INDEX(Abilities!$J$14:$J$23,4),INDEX(Abilities!$I$14:$I$23,4))*W43/MAX(INDEX(Abilities!$D$14:$D$23,4),Inputs!$C$12),0)</f>
        <v/>
      </c>
      <c r="AC43" s="17">
        <f>IF(INDEX(Abilities!$A$14:$A$23,5)&lt;=A43,INDEX(Abilities!$C$14:$C$23,5)*CHOOSE(Inputs!$C$13,1,INDEX(Abilities!$J$14:$J$23,5),INDEX(Abilities!$I$14:$I$23,5))*W43/MAX(INDEX(Abilities!$D$14:$D$23,5),Inputs!$C$12),0)</f>
        <v/>
      </c>
      <c r="AD43" s="17">
        <f>IF(INDEX(Abilities!$A$14:$A$23,6)&lt;=A43,INDEX(Abilities!$C$14:$C$23,6)*CHOOSE(Inputs!$C$13,1,INDEX(Abilities!$J$14:$J$23,6),INDEX(Abilities!$I$14:$I$23,6))*W43/MAX(INDEX(Abilities!$D$14:$D$23,6),Inputs!$C$12),0)</f>
        <v/>
      </c>
      <c r="AE43" s="17">
        <f>IF(INDEX(Abilities!$A$14:$A$23,7)&lt;=A43,INDEX(Abilities!$C$14:$C$23,7)*CHOOSE(Inputs!$C$13,1,INDEX(Abilities!$J$14:$J$23,7),INDEX(Abilities!$I$14:$I$23,7))*W43/MAX(INDEX(Abilities!$D$14:$D$23,7),Inputs!$C$12),0)</f>
        <v/>
      </c>
      <c r="AF43" s="17">
        <f>IF(INDEX(Abilities!$A$14:$A$23,8)&lt;=A43,INDEX(Abilities!$C$14:$C$23,8)*CHOOSE(Inputs!$C$13,1,INDEX(Abilities!$J$14:$J$23,8),INDEX(Abilities!$I$14:$I$23,8))*W43/MAX(INDEX(Abilities!$D$14:$D$23,8),Inputs!$C$12),0)</f>
        <v/>
      </c>
      <c r="AG43" s="17">
        <f>IF(INDEX(Abilities!$A$14:$A$23,9)&lt;=A43,INDEX(Abilities!$C$14:$C$23,9)*CHOOSE(Inputs!$C$13,1,INDEX(Abilities!$J$14:$J$23,9),INDEX(Abilities!$I$14:$I$23,9))*W43/MAX(INDEX(Abilities!$D$14:$D$23,9),Inputs!$C$12),0)</f>
        <v/>
      </c>
      <c r="AH43" s="17">
        <f>IF(INDEX(Abilities!$A$14:$A$23,10)&lt;=A43,INDEX(Abilities!$C$14:$C$23,10)*CHOOSE(Inputs!$C$13,1,INDEX(Abilities!$J$14:$J$23,10),INDEX(Abilities!$I$14:$I$23,10))*W43/MAX(INDEX(Abilities!$D$14:$D$23,10),Inputs!$C$12),0)</f>
        <v/>
      </c>
      <c r="AI43" s="17">
        <f>IF(INDEX(Abilities!$A$14:$A$23,1)&lt;=A43,MIN(Y43,X43*INDEX(Abilities!$C$14:$C$23,1)*CHOOSE(Inputs!$C$13,1,INDEX(Abilities!$J$14:$J$23,1),INDEX(Abilities!$I$14:$I$23,1))*W43/INDEX(Abilities!$E$14:$E$23,1)),0)</f>
        <v/>
      </c>
      <c r="AJ43" s="17">
        <f>IF(INDEX(Abilities!$A$14:$A$23,2)&lt;=A43,MIN(Z43,X43*INDEX(Abilities!$C$14:$C$23,2)*CHOOSE(Inputs!$C$13,1,INDEX(Abilities!$J$14:$J$23,2),INDEX(Abilities!$I$14:$I$23,2))*W43/INDEX(Abilities!$E$14:$E$23,2)),0)</f>
        <v/>
      </c>
      <c r="AK43" s="17">
        <f>IF(INDEX(Abilities!$A$14:$A$23,3)&lt;=A43,MIN(AA43,X43*INDEX(Abilities!$C$14:$C$23,3)*CHOOSE(Inputs!$C$13,1,INDEX(Abilities!$J$14:$J$23,3),INDEX(Abilities!$I$14:$I$23,3))*W43/INDEX(Abilities!$E$14:$E$23,3)),0)</f>
        <v/>
      </c>
      <c r="AL43" s="17">
        <f>IF(INDEX(Abilities!$A$14:$A$23,4)&lt;=A43,MIN(AB43,X43*INDEX(Abilities!$C$14:$C$23,4)*CHOOSE(Inputs!$C$13,1,INDEX(Abilities!$J$14:$J$23,4),INDEX(Abilities!$I$14:$I$23,4))*W43/INDEX(Abilities!$E$14:$E$23,4)),0)</f>
        <v/>
      </c>
      <c r="AM43" s="17">
        <f>IF(INDEX(Abilities!$A$14:$A$23,5)&lt;=A43,MIN(AC43,X43*INDEX(Abilities!$C$14:$C$23,5)*CHOOSE(Inputs!$C$13,1,INDEX(Abilities!$J$14:$J$23,5),INDEX(Abilities!$I$14:$I$23,5))*W43/INDEX(Abilities!$E$14:$E$23,5)),0)</f>
        <v/>
      </c>
      <c r="AN43" s="17">
        <f>IF(INDEX(Abilities!$A$14:$A$23,6)&lt;=A43,MIN(AD43,X43*INDEX(Abilities!$C$14:$C$23,6)*CHOOSE(Inputs!$C$13,1,INDEX(Abilities!$J$14:$J$23,6),INDEX(Abilities!$I$14:$I$23,6))*W43/INDEX(Abilities!$E$14:$E$23,6)),0)</f>
        <v/>
      </c>
      <c r="AO43" s="17">
        <f>IF(INDEX(Abilities!$A$14:$A$23,7)&lt;=A43,MIN(AE43,X43*INDEX(Abilities!$C$14:$C$23,7)*CHOOSE(Inputs!$C$13,1,INDEX(Abilities!$J$14:$J$23,7),INDEX(Abilities!$I$14:$I$23,7))*W43/INDEX(Abilities!$E$14:$E$23,7)),0)</f>
        <v/>
      </c>
      <c r="AP43" s="17">
        <f>IF(INDEX(Abilities!$A$14:$A$23,8)&lt;=A43,MIN(AF43,X43*INDEX(Abilities!$C$14:$C$23,8)*CHOOSE(Inputs!$C$13,1,INDEX(Abilities!$J$14:$J$23,8),INDEX(Abilities!$I$14:$I$23,8))*W43/INDEX(Abilities!$E$14:$E$23,8)),0)</f>
        <v/>
      </c>
      <c r="AQ43" s="17">
        <f>IF(INDEX(Abilities!$A$14:$A$23,9)&lt;=A43,MIN(AG43,X43*INDEX(Abilities!$C$14:$C$23,9)*CHOOSE(Inputs!$C$13,1,INDEX(Abilities!$J$14:$J$23,9),INDEX(Abilities!$I$14:$I$23,9))*W43/INDEX(Abilities!$E$14:$E$23,9)),0)</f>
        <v/>
      </c>
      <c r="AR43" s="17">
        <f>IF(INDEX(Abilities!$A$14:$A$23,10)&lt;=A43,MIN(AH43,X43*INDEX(Abilities!$C$14:$C$23,10)*CHOOSE(Inputs!$C$13,1,INDEX(Abilities!$J$14:$J$23,10),INDEX(Abilities!$I$14:$I$23,10))*W43/INDEX(Abilities!$E$14:$E$23,10)),0)</f>
        <v/>
      </c>
      <c r="AS43" s="17">
        <f>IF(INDEX(Abilities!$A$14:$A$23,1)&lt;=A43,INDEX(Abilities!$C$14:$C$23,1)*CHOOSE(Inputs!$C$13,1,INDEX(Abilities!$J$14:$J$23,1),INDEX(Abilities!$I$14:$I$23,1))*W43/MAX(INDEX(Abilities!$D$14:$D$23,1),2*Inputs!$C$12),0)</f>
        <v/>
      </c>
      <c r="AT43" s="17">
        <f>IF(INDEX(Abilities!$A$14:$A$23,2)&lt;=A43,INDEX(Abilities!$C$14:$C$23,2)*CHOOSE(Inputs!$C$13,1,INDEX(Abilities!$J$14:$J$23,2),INDEX(Abilities!$I$14:$I$23,2))*W43/MAX(INDEX(Abilities!$D$14:$D$23,2),2*Inputs!$C$12),0)</f>
        <v/>
      </c>
      <c r="AU43" s="17">
        <f>IF(INDEX(Abilities!$A$14:$A$23,3)&lt;=A43,INDEX(Abilities!$C$14:$C$23,3)*CHOOSE(Inputs!$C$13,1,INDEX(Abilities!$J$14:$J$23,3),INDEX(Abilities!$I$14:$I$23,3))*W43/MAX(INDEX(Abilities!$D$14:$D$23,3),2*Inputs!$C$12),0)</f>
        <v/>
      </c>
      <c r="AV43" s="17">
        <f>IF(INDEX(Abilities!$A$14:$A$23,4)&lt;=A43,INDEX(Abilities!$C$14:$C$23,4)*CHOOSE(Inputs!$C$13,1,INDEX(Abilities!$J$14:$J$23,4),INDEX(Abilities!$I$14:$I$23,4))*W43/MAX(INDEX(Abilities!$D$14:$D$23,4),2*Inputs!$C$12),0)</f>
        <v/>
      </c>
      <c r="AW43" s="17">
        <f>IF(INDEX(Abilities!$A$14:$A$23,5)&lt;=A43,INDEX(Abilities!$C$14:$C$23,5)*CHOOSE(Inputs!$C$13,1,INDEX(Abilities!$J$14:$J$23,5),INDEX(Abilities!$I$14:$I$23,5))*W43/MAX(INDEX(Abilities!$D$14:$D$23,5),2*Inputs!$C$12),0)</f>
        <v/>
      </c>
      <c r="AX43" s="17">
        <f>IF(INDEX(Abilities!$A$14:$A$23,6)&lt;=A43,INDEX(Abilities!$C$14:$C$23,6)*CHOOSE(Inputs!$C$13,1,INDEX(Abilities!$J$14:$J$23,6),INDEX(Abilities!$I$14:$I$23,6))*W43/MAX(INDEX(Abilities!$D$14:$D$23,6),2*Inputs!$C$12),0)</f>
        <v/>
      </c>
      <c r="AY43" s="17">
        <f>IF(INDEX(Abilities!$A$14:$A$23,7)&lt;=A43,INDEX(Abilities!$C$14:$C$23,7)*CHOOSE(Inputs!$C$13,1,INDEX(Abilities!$J$14:$J$23,7),INDEX(Abilities!$I$14:$I$23,7))*W43/MAX(INDEX(Abilities!$D$14:$D$23,7),2*Inputs!$C$12),0)</f>
        <v/>
      </c>
      <c r="AZ43" s="17">
        <f>IF(INDEX(Abilities!$A$14:$A$23,8)&lt;=A43,INDEX(Abilities!$C$14:$C$23,8)*CHOOSE(Inputs!$C$13,1,INDEX(Abilities!$J$14:$J$23,8),INDEX(Abilities!$I$14:$I$23,8))*W43/MAX(INDEX(Abilities!$D$14:$D$23,8),2*Inputs!$C$12),0)</f>
        <v/>
      </c>
      <c r="BA43" s="17">
        <f>IF(INDEX(Abilities!$A$14:$A$23,9)&lt;=A43,INDEX(Abilities!$C$14:$C$23,9)*CHOOSE(Inputs!$C$13,1,INDEX(Abilities!$J$14:$J$23,9),INDEX(Abilities!$I$14:$I$23,9))*W43/MAX(INDEX(Abilities!$D$14:$D$23,9),2*Inputs!$C$12),0)</f>
        <v/>
      </c>
      <c r="BB43" s="17">
        <f>IF(INDEX(Abilities!$A$14:$A$23,10)&lt;=A43,INDEX(Abilities!$C$14:$C$23,10)*CHOOSE(Inputs!$C$13,1,INDEX(Abilities!$J$14:$J$23,10),INDEX(Abilities!$I$14:$I$23,10))*W43/MAX(INDEX(Abilities!$D$14:$D$23,10),2*Inputs!$C$12),0)</f>
        <v/>
      </c>
      <c r="BC43" s="27">
        <f>MAX(Y43:AH43)</f>
        <v/>
      </c>
      <c r="BD43" s="8">
        <f>MATCH(BC43,Y43:AH43,0)</f>
        <v/>
      </c>
      <c r="BE43" s="15">
        <f>INDEX(Abilities!$B$14:$B$23,BD43)</f>
        <v/>
      </c>
      <c r="BF43" s="16">
        <f>CHOOSE(Inputs!$C$13,1,INDEX(Abilities!$J$14:$J$23,BD43),INDEX(Abilities!$I$14:$I$23,BD43))</f>
        <v/>
      </c>
      <c r="BG43" s="17">
        <f>INDEX(Abilities!$E$14:$E$23,BD43)/MAX(INDEX(Abilities!$D$14:$D$23,BD43),Inputs!$C$12)</f>
        <v/>
      </c>
      <c r="BH43" s="27">
        <f>MAX(AI43:AR43)</f>
        <v/>
      </c>
      <c r="BI43" s="8">
        <f>MATCH(BH43,AI43:AR43,0)</f>
        <v/>
      </c>
      <c r="BJ43" s="15">
        <f>INDEX(Abilities!$B$14:$B$23,BI43)</f>
        <v/>
      </c>
      <c r="BK43" s="14">
        <f>IFERROR(ROUNDUP(C43/(INDEX(Abilities!$C$14:$C$23,BD43)*W43),0),"-")</f>
        <v/>
      </c>
      <c r="BL43" s="9">
        <f>IFERROR(C43*INDEX(Abilities!$E$14:$E$23,BI43)/(INDEX(Abilities!$C$14:$C$23,BI43)*CHOOSE(Inputs!$C$13,1,INDEX(Abilities!$J$14:$J$23,BI43),INDEX(Abilities!$I$14:$I$23,BI43))*W43),"-")</f>
        <v/>
      </c>
      <c r="BM43" s="60">
        <f>IFERROR(P43/BL43,"-")</f>
        <v/>
      </c>
      <c r="BN43" s="17">
        <f>BH43+Inputs!$C$18*V43</f>
        <v/>
      </c>
      <c r="BO43" s="17">
        <f>BC43+Inputs!$C$18*V43</f>
        <v/>
      </c>
      <c r="BP43" s="27">
        <f>LARGE(AS43:BB43,1)+LARGE(AS43:BB43,2)</f>
        <v/>
      </c>
      <c r="BQ43" s="60">
        <f>IFERROR(IF(BG43&lt;=X43,C43/BO43,IF(C43/BO43*(BG43-X43)&lt;=P43,C43/BO43,P43/(BG43-X43)+(C43-BO43*P43/(BG43-X43))/BN43)),"-")</f>
        <v/>
      </c>
      <c r="BR43" s="60">
        <f>BQ43</f>
        <v/>
      </c>
      <c r="BS43" s="9">
        <f>MAX(0,(E43+(B43-A43))*(1-R43)*(1-Q43*'Class Table'!$O$7/Inputs!$C$19)-Q43*'Class Table'!$O$7/25)</f>
        <v/>
      </c>
      <c r="BT43" s="26">
        <f>IFERROR(BS43/F43*BR43,"-")</f>
        <v/>
      </c>
      <c r="BU43" s="28">
        <f>IFERROR(BT43/O43,"-")</f>
        <v/>
      </c>
      <c r="BV43" s="9">
        <f>IFERROR(O43*Inputs!$C$24/Inputs!$C$22*BR43,"-")</f>
        <v/>
      </c>
      <c r="BW43" s="28">
        <f>IFERROR(MAX(0,BT43-BV43)/O43,"-")</f>
        <v/>
      </c>
    </row>
    <row r="44">
      <c r="A44" s="8" t="n">
        <v>41</v>
      </c>
      <c r="B44" s="14">
        <f>'Mob by Level'!B44</f>
        <v/>
      </c>
      <c r="C44" s="9">
        <f>'Mob by Level'!C44</f>
        <v/>
      </c>
      <c r="D44" s="9">
        <f>'Mob by Level'!D44</f>
        <v/>
      </c>
      <c r="E44" s="9">
        <f>'Mob by Level'!E44</f>
        <v/>
      </c>
      <c r="F44" s="16">
        <f>'Mob by Level'!F44</f>
        <v/>
      </c>
      <c r="G44" s="14">
        <f>SUMIFS(Gear!$D$4:$D$603,Gear!$A$4:$A$603,A44,Gear!$B$4:$B$603,"Magus",Gear!$C$4:$C$603,Inputs!$C$5)</f>
        <v/>
      </c>
      <c r="H44" s="14">
        <f>SUMIFS(Gear!$E$4:$E$603,Gear!$A$4:$A$603,A44,Gear!$B$4:$B$603,"Magus",Gear!$C$4:$C$603,Inputs!$C$5)</f>
        <v/>
      </c>
      <c r="I44" s="14">
        <f>SUMIFS(Gear!$F$4:$F$603,Gear!$A$4:$A$603,A44,Gear!$B$4:$B$603,"Magus",Gear!$C$4:$C$603,Inputs!$C$5)+Inputs!$C$17*IFERROR(LOOKUP(A44,Abilities!$A$49:$A$53,Abilities!$C$49:$C$53),0)</f>
        <v/>
      </c>
      <c r="J44" s="13">
        <f>SUMIFS(Gear!$J$4:$J$603,Gear!$A$4:$A$603,A44,Gear!$B$4:$B$603,"Magus",Gear!$C$4:$C$603,Inputs!$C$5)</f>
        <v/>
      </c>
      <c r="K44" s="13">
        <f>SUMIFS(Gear!$K$4:$K$603,Gear!$A$4:$A$603,A44,Gear!$B$4:$B$603,"Magus",Gear!$C$4:$C$603,Inputs!$C$5)</f>
        <v/>
      </c>
      <c r="L44" s="13">
        <f>SUMIFS(Gear!$L$4:$L$603,Gear!$A$4:$A$603,A44,Gear!$B$4:$B$603,"Magus",Gear!$C$4:$C$603,Inputs!$C$5)</f>
        <v/>
      </c>
      <c r="M44" s="13">
        <f>SUMIFS(Gear!$M$4:$M$603,Gear!$A$4:$A$603,A44,Gear!$B$4:$B$603,"Magus",Gear!$C$4:$C$603,Inputs!$C$5)</f>
        <v/>
      </c>
      <c r="N44" s="13">
        <f>SUMIFS(Gear!$N$4:$N$603,Gear!$A$4:$A$603,A44,Gear!$B$4:$B$603,"Magus",Gear!$C$4:$C$603,Inputs!$C$5)</f>
        <v/>
      </c>
      <c r="O44" s="9">
        <f>INDEX('Class Table'!$H$4:$H$53,A44)+SUMIFS(Gear!$G$4:$G$603,Gear!$A$4:$A$603,A44,Gear!$B$4:$B$603,"Magus",Gear!$C$4:$C$603,Inputs!$C$5)</f>
        <v/>
      </c>
      <c r="P44" s="9">
        <f>INDEX('Class Table'!$I$4:$I$53,A44)+SUMIFS(Gear!$H$4:$H$603,Gear!$A$4:$A$603,A44,Gear!$B$4:$B$603,"Magus",Gear!$C$4:$C$603,Inputs!$C$5)</f>
        <v/>
      </c>
      <c r="Q44" s="9">
        <f>INDEX('Class Table'!$J$4:$J$53,A44)+SUMIFS(Gear!$I$4:$I$603,Gear!$A$4:$A$603,A44,Gear!$B$4:$B$603,"Magus",Gear!$C$4:$C$603,Inputs!$C$5)</f>
        <v/>
      </c>
      <c r="R44" s="13">
        <f>SUMIFS(Gear!$O$4:$O$603,Gear!$A$4:$A$603,A44,Gear!$B$4:$B$603,"Magus",Gear!$C$4:$C$603,Inputs!$C$5)</f>
        <v/>
      </c>
      <c r="S44" s="26">
        <f>I44+0+G44+A44+MAX(1,A44/2)+(A44-B44)</f>
        <v/>
      </c>
      <c r="T44" s="9">
        <f>MAX(0,S44*(1+M44)*(1+L44)*Inputs!$C$20*(1-D44/Inputs!$C$19)-D44/25)</f>
        <v/>
      </c>
      <c r="U44" s="16">
        <f>H44/10*(1-MIN(0.95,N44+0))*Inputs!$C$21</f>
        <v/>
      </c>
      <c r="V44" s="27">
        <f>T44/U44</f>
        <v/>
      </c>
      <c r="W44" s="16">
        <f>(1+J44)*(1+K44)*Inputs!$C$20</f>
        <v/>
      </c>
      <c r="X44" s="17">
        <f>P44*Inputs!$C$23/Inputs!$C$22</f>
        <v/>
      </c>
      <c r="Y44" s="17">
        <f>IF(INDEX(Abilities!$A$14:$A$23,1)&lt;=A44,INDEX(Abilities!$C$14:$C$23,1)*CHOOSE(Inputs!$C$13,1,INDEX(Abilities!$J$14:$J$23,1),INDEX(Abilities!$I$14:$I$23,1))*W44/MAX(INDEX(Abilities!$D$14:$D$23,1),Inputs!$C$12),0)</f>
        <v/>
      </c>
      <c r="Z44" s="17">
        <f>IF(INDEX(Abilities!$A$14:$A$23,2)&lt;=A44,INDEX(Abilities!$C$14:$C$23,2)*CHOOSE(Inputs!$C$13,1,INDEX(Abilities!$J$14:$J$23,2),INDEX(Abilities!$I$14:$I$23,2))*W44/MAX(INDEX(Abilities!$D$14:$D$23,2),Inputs!$C$12),0)</f>
        <v/>
      </c>
      <c r="AA44" s="17">
        <f>IF(INDEX(Abilities!$A$14:$A$23,3)&lt;=A44,INDEX(Abilities!$C$14:$C$23,3)*CHOOSE(Inputs!$C$13,1,INDEX(Abilities!$J$14:$J$23,3),INDEX(Abilities!$I$14:$I$23,3))*W44/MAX(INDEX(Abilities!$D$14:$D$23,3),Inputs!$C$12),0)</f>
        <v/>
      </c>
      <c r="AB44" s="17">
        <f>IF(INDEX(Abilities!$A$14:$A$23,4)&lt;=A44,INDEX(Abilities!$C$14:$C$23,4)*CHOOSE(Inputs!$C$13,1,INDEX(Abilities!$J$14:$J$23,4),INDEX(Abilities!$I$14:$I$23,4))*W44/MAX(INDEX(Abilities!$D$14:$D$23,4),Inputs!$C$12),0)</f>
        <v/>
      </c>
      <c r="AC44" s="17">
        <f>IF(INDEX(Abilities!$A$14:$A$23,5)&lt;=A44,INDEX(Abilities!$C$14:$C$23,5)*CHOOSE(Inputs!$C$13,1,INDEX(Abilities!$J$14:$J$23,5),INDEX(Abilities!$I$14:$I$23,5))*W44/MAX(INDEX(Abilities!$D$14:$D$23,5),Inputs!$C$12),0)</f>
        <v/>
      </c>
      <c r="AD44" s="17">
        <f>IF(INDEX(Abilities!$A$14:$A$23,6)&lt;=A44,INDEX(Abilities!$C$14:$C$23,6)*CHOOSE(Inputs!$C$13,1,INDEX(Abilities!$J$14:$J$23,6),INDEX(Abilities!$I$14:$I$23,6))*W44/MAX(INDEX(Abilities!$D$14:$D$23,6),Inputs!$C$12),0)</f>
        <v/>
      </c>
      <c r="AE44" s="17">
        <f>IF(INDEX(Abilities!$A$14:$A$23,7)&lt;=A44,INDEX(Abilities!$C$14:$C$23,7)*CHOOSE(Inputs!$C$13,1,INDEX(Abilities!$J$14:$J$23,7),INDEX(Abilities!$I$14:$I$23,7))*W44/MAX(INDEX(Abilities!$D$14:$D$23,7),Inputs!$C$12),0)</f>
        <v/>
      </c>
      <c r="AF44" s="17">
        <f>IF(INDEX(Abilities!$A$14:$A$23,8)&lt;=A44,INDEX(Abilities!$C$14:$C$23,8)*CHOOSE(Inputs!$C$13,1,INDEX(Abilities!$J$14:$J$23,8),INDEX(Abilities!$I$14:$I$23,8))*W44/MAX(INDEX(Abilities!$D$14:$D$23,8),Inputs!$C$12),0)</f>
        <v/>
      </c>
      <c r="AG44" s="17">
        <f>IF(INDEX(Abilities!$A$14:$A$23,9)&lt;=A44,INDEX(Abilities!$C$14:$C$23,9)*CHOOSE(Inputs!$C$13,1,INDEX(Abilities!$J$14:$J$23,9),INDEX(Abilities!$I$14:$I$23,9))*W44/MAX(INDEX(Abilities!$D$14:$D$23,9),Inputs!$C$12),0)</f>
        <v/>
      </c>
      <c r="AH44" s="17">
        <f>IF(INDEX(Abilities!$A$14:$A$23,10)&lt;=A44,INDEX(Abilities!$C$14:$C$23,10)*CHOOSE(Inputs!$C$13,1,INDEX(Abilities!$J$14:$J$23,10),INDEX(Abilities!$I$14:$I$23,10))*W44/MAX(INDEX(Abilities!$D$14:$D$23,10),Inputs!$C$12),0)</f>
        <v/>
      </c>
      <c r="AI44" s="17">
        <f>IF(INDEX(Abilities!$A$14:$A$23,1)&lt;=A44,MIN(Y44,X44*INDEX(Abilities!$C$14:$C$23,1)*CHOOSE(Inputs!$C$13,1,INDEX(Abilities!$J$14:$J$23,1),INDEX(Abilities!$I$14:$I$23,1))*W44/INDEX(Abilities!$E$14:$E$23,1)),0)</f>
        <v/>
      </c>
      <c r="AJ44" s="17">
        <f>IF(INDEX(Abilities!$A$14:$A$23,2)&lt;=A44,MIN(Z44,X44*INDEX(Abilities!$C$14:$C$23,2)*CHOOSE(Inputs!$C$13,1,INDEX(Abilities!$J$14:$J$23,2),INDEX(Abilities!$I$14:$I$23,2))*W44/INDEX(Abilities!$E$14:$E$23,2)),0)</f>
        <v/>
      </c>
      <c r="AK44" s="17">
        <f>IF(INDEX(Abilities!$A$14:$A$23,3)&lt;=A44,MIN(AA44,X44*INDEX(Abilities!$C$14:$C$23,3)*CHOOSE(Inputs!$C$13,1,INDEX(Abilities!$J$14:$J$23,3),INDEX(Abilities!$I$14:$I$23,3))*W44/INDEX(Abilities!$E$14:$E$23,3)),0)</f>
        <v/>
      </c>
      <c r="AL44" s="17">
        <f>IF(INDEX(Abilities!$A$14:$A$23,4)&lt;=A44,MIN(AB44,X44*INDEX(Abilities!$C$14:$C$23,4)*CHOOSE(Inputs!$C$13,1,INDEX(Abilities!$J$14:$J$23,4),INDEX(Abilities!$I$14:$I$23,4))*W44/INDEX(Abilities!$E$14:$E$23,4)),0)</f>
        <v/>
      </c>
      <c r="AM44" s="17">
        <f>IF(INDEX(Abilities!$A$14:$A$23,5)&lt;=A44,MIN(AC44,X44*INDEX(Abilities!$C$14:$C$23,5)*CHOOSE(Inputs!$C$13,1,INDEX(Abilities!$J$14:$J$23,5),INDEX(Abilities!$I$14:$I$23,5))*W44/INDEX(Abilities!$E$14:$E$23,5)),0)</f>
        <v/>
      </c>
      <c r="AN44" s="17">
        <f>IF(INDEX(Abilities!$A$14:$A$23,6)&lt;=A44,MIN(AD44,X44*INDEX(Abilities!$C$14:$C$23,6)*CHOOSE(Inputs!$C$13,1,INDEX(Abilities!$J$14:$J$23,6),INDEX(Abilities!$I$14:$I$23,6))*W44/INDEX(Abilities!$E$14:$E$23,6)),0)</f>
        <v/>
      </c>
      <c r="AO44" s="17">
        <f>IF(INDEX(Abilities!$A$14:$A$23,7)&lt;=A44,MIN(AE44,X44*INDEX(Abilities!$C$14:$C$23,7)*CHOOSE(Inputs!$C$13,1,INDEX(Abilities!$J$14:$J$23,7),INDEX(Abilities!$I$14:$I$23,7))*W44/INDEX(Abilities!$E$14:$E$23,7)),0)</f>
        <v/>
      </c>
      <c r="AP44" s="17">
        <f>IF(INDEX(Abilities!$A$14:$A$23,8)&lt;=A44,MIN(AF44,X44*INDEX(Abilities!$C$14:$C$23,8)*CHOOSE(Inputs!$C$13,1,INDEX(Abilities!$J$14:$J$23,8),INDEX(Abilities!$I$14:$I$23,8))*W44/INDEX(Abilities!$E$14:$E$23,8)),0)</f>
        <v/>
      </c>
      <c r="AQ44" s="17">
        <f>IF(INDEX(Abilities!$A$14:$A$23,9)&lt;=A44,MIN(AG44,X44*INDEX(Abilities!$C$14:$C$23,9)*CHOOSE(Inputs!$C$13,1,INDEX(Abilities!$J$14:$J$23,9),INDEX(Abilities!$I$14:$I$23,9))*W44/INDEX(Abilities!$E$14:$E$23,9)),0)</f>
        <v/>
      </c>
      <c r="AR44" s="17">
        <f>IF(INDEX(Abilities!$A$14:$A$23,10)&lt;=A44,MIN(AH44,X44*INDEX(Abilities!$C$14:$C$23,10)*CHOOSE(Inputs!$C$13,1,INDEX(Abilities!$J$14:$J$23,10),INDEX(Abilities!$I$14:$I$23,10))*W44/INDEX(Abilities!$E$14:$E$23,10)),0)</f>
        <v/>
      </c>
      <c r="AS44" s="17">
        <f>IF(INDEX(Abilities!$A$14:$A$23,1)&lt;=A44,INDEX(Abilities!$C$14:$C$23,1)*CHOOSE(Inputs!$C$13,1,INDEX(Abilities!$J$14:$J$23,1),INDEX(Abilities!$I$14:$I$23,1))*W44/MAX(INDEX(Abilities!$D$14:$D$23,1),2*Inputs!$C$12),0)</f>
        <v/>
      </c>
      <c r="AT44" s="17">
        <f>IF(INDEX(Abilities!$A$14:$A$23,2)&lt;=A44,INDEX(Abilities!$C$14:$C$23,2)*CHOOSE(Inputs!$C$13,1,INDEX(Abilities!$J$14:$J$23,2),INDEX(Abilities!$I$14:$I$23,2))*W44/MAX(INDEX(Abilities!$D$14:$D$23,2),2*Inputs!$C$12),0)</f>
        <v/>
      </c>
      <c r="AU44" s="17">
        <f>IF(INDEX(Abilities!$A$14:$A$23,3)&lt;=A44,INDEX(Abilities!$C$14:$C$23,3)*CHOOSE(Inputs!$C$13,1,INDEX(Abilities!$J$14:$J$23,3),INDEX(Abilities!$I$14:$I$23,3))*W44/MAX(INDEX(Abilities!$D$14:$D$23,3),2*Inputs!$C$12),0)</f>
        <v/>
      </c>
      <c r="AV44" s="17">
        <f>IF(INDEX(Abilities!$A$14:$A$23,4)&lt;=A44,INDEX(Abilities!$C$14:$C$23,4)*CHOOSE(Inputs!$C$13,1,INDEX(Abilities!$J$14:$J$23,4),INDEX(Abilities!$I$14:$I$23,4))*W44/MAX(INDEX(Abilities!$D$14:$D$23,4),2*Inputs!$C$12),0)</f>
        <v/>
      </c>
      <c r="AW44" s="17">
        <f>IF(INDEX(Abilities!$A$14:$A$23,5)&lt;=A44,INDEX(Abilities!$C$14:$C$23,5)*CHOOSE(Inputs!$C$13,1,INDEX(Abilities!$J$14:$J$23,5),INDEX(Abilities!$I$14:$I$23,5))*W44/MAX(INDEX(Abilities!$D$14:$D$23,5),2*Inputs!$C$12),0)</f>
        <v/>
      </c>
      <c r="AX44" s="17">
        <f>IF(INDEX(Abilities!$A$14:$A$23,6)&lt;=A44,INDEX(Abilities!$C$14:$C$23,6)*CHOOSE(Inputs!$C$13,1,INDEX(Abilities!$J$14:$J$23,6),INDEX(Abilities!$I$14:$I$23,6))*W44/MAX(INDEX(Abilities!$D$14:$D$23,6),2*Inputs!$C$12),0)</f>
        <v/>
      </c>
      <c r="AY44" s="17">
        <f>IF(INDEX(Abilities!$A$14:$A$23,7)&lt;=A44,INDEX(Abilities!$C$14:$C$23,7)*CHOOSE(Inputs!$C$13,1,INDEX(Abilities!$J$14:$J$23,7),INDEX(Abilities!$I$14:$I$23,7))*W44/MAX(INDEX(Abilities!$D$14:$D$23,7),2*Inputs!$C$12),0)</f>
        <v/>
      </c>
      <c r="AZ44" s="17">
        <f>IF(INDEX(Abilities!$A$14:$A$23,8)&lt;=A44,INDEX(Abilities!$C$14:$C$23,8)*CHOOSE(Inputs!$C$13,1,INDEX(Abilities!$J$14:$J$23,8),INDEX(Abilities!$I$14:$I$23,8))*W44/MAX(INDEX(Abilities!$D$14:$D$23,8),2*Inputs!$C$12),0)</f>
        <v/>
      </c>
      <c r="BA44" s="17">
        <f>IF(INDEX(Abilities!$A$14:$A$23,9)&lt;=A44,INDEX(Abilities!$C$14:$C$23,9)*CHOOSE(Inputs!$C$13,1,INDEX(Abilities!$J$14:$J$23,9),INDEX(Abilities!$I$14:$I$23,9))*W44/MAX(INDEX(Abilities!$D$14:$D$23,9),2*Inputs!$C$12),0)</f>
        <v/>
      </c>
      <c r="BB44" s="17">
        <f>IF(INDEX(Abilities!$A$14:$A$23,10)&lt;=A44,INDEX(Abilities!$C$14:$C$23,10)*CHOOSE(Inputs!$C$13,1,INDEX(Abilities!$J$14:$J$23,10),INDEX(Abilities!$I$14:$I$23,10))*W44/MAX(INDEX(Abilities!$D$14:$D$23,10),2*Inputs!$C$12),0)</f>
        <v/>
      </c>
      <c r="BC44" s="27">
        <f>MAX(Y44:AH44)</f>
        <v/>
      </c>
      <c r="BD44" s="8">
        <f>MATCH(BC44,Y44:AH44,0)</f>
        <v/>
      </c>
      <c r="BE44" s="15">
        <f>INDEX(Abilities!$B$14:$B$23,BD44)</f>
        <v/>
      </c>
      <c r="BF44" s="16">
        <f>CHOOSE(Inputs!$C$13,1,INDEX(Abilities!$J$14:$J$23,BD44),INDEX(Abilities!$I$14:$I$23,BD44))</f>
        <v/>
      </c>
      <c r="BG44" s="17">
        <f>INDEX(Abilities!$E$14:$E$23,BD44)/MAX(INDEX(Abilities!$D$14:$D$23,BD44),Inputs!$C$12)</f>
        <v/>
      </c>
      <c r="BH44" s="27">
        <f>MAX(AI44:AR44)</f>
        <v/>
      </c>
      <c r="BI44" s="8">
        <f>MATCH(BH44,AI44:AR44,0)</f>
        <v/>
      </c>
      <c r="BJ44" s="15">
        <f>INDEX(Abilities!$B$14:$B$23,BI44)</f>
        <v/>
      </c>
      <c r="BK44" s="14">
        <f>IFERROR(ROUNDUP(C44/(INDEX(Abilities!$C$14:$C$23,BD44)*W44),0),"-")</f>
        <v/>
      </c>
      <c r="BL44" s="9">
        <f>IFERROR(C44*INDEX(Abilities!$E$14:$E$23,BI44)/(INDEX(Abilities!$C$14:$C$23,BI44)*CHOOSE(Inputs!$C$13,1,INDEX(Abilities!$J$14:$J$23,BI44),INDEX(Abilities!$I$14:$I$23,BI44))*W44),"-")</f>
        <v/>
      </c>
      <c r="BM44" s="60">
        <f>IFERROR(P44/BL44,"-")</f>
        <v/>
      </c>
      <c r="BN44" s="17">
        <f>BH44+Inputs!$C$18*V44</f>
        <v/>
      </c>
      <c r="BO44" s="17">
        <f>BC44+Inputs!$C$18*V44</f>
        <v/>
      </c>
      <c r="BP44" s="27">
        <f>LARGE(AS44:BB44,1)+LARGE(AS44:BB44,2)</f>
        <v/>
      </c>
      <c r="BQ44" s="60">
        <f>IFERROR(IF(BG44&lt;=X44,C44/BO44,IF(C44/BO44*(BG44-X44)&lt;=P44,C44/BO44,P44/(BG44-X44)+(C44-BO44*P44/(BG44-X44))/BN44)),"-")</f>
        <v/>
      </c>
      <c r="BR44" s="60">
        <f>BQ44</f>
        <v/>
      </c>
      <c r="BS44" s="9">
        <f>MAX(0,(E44+(B44-A44))*(1-R44)*(1-Q44*'Class Table'!$O$7/Inputs!$C$19)-Q44*'Class Table'!$O$7/25)</f>
        <v/>
      </c>
      <c r="BT44" s="26">
        <f>IFERROR(BS44/F44*BR44,"-")</f>
        <v/>
      </c>
      <c r="BU44" s="28">
        <f>IFERROR(BT44/O44,"-")</f>
        <v/>
      </c>
      <c r="BV44" s="9">
        <f>IFERROR(O44*Inputs!$C$24/Inputs!$C$22*BR44,"-")</f>
        <v/>
      </c>
      <c r="BW44" s="28">
        <f>IFERROR(MAX(0,BT44-BV44)/O44,"-")</f>
        <v/>
      </c>
    </row>
    <row r="45">
      <c r="A45" s="8" t="n">
        <v>42</v>
      </c>
      <c r="B45" s="14">
        <f>'Mob by Level'!B45</f>
        <v/>
      </c>
      <c r="C45" s="9">
        <f>'Mob by Level'!C45</f>
        <v/>
      </c>
      <c r="D45" s="9">
        <f>'Mob by Level'!D45</f>
        <v/>
      </c>
      <c r="E45" s="9">
        <f>'Mob by Level'!E45</f>
        <v/>
      </c>
      <c r="F45" s="16">
        <f>'Mob by Level'!F45</f>
        <v/>
      </c>
      <c r="G45" s="14">
        <f>SUMIFS(Gear!$D$4:$D$603,Gear!$A$4:$A$603,A45,Gear!$B$4:$B$603,"Magus",Gear!$C$4:$C$603,Inputs!$C$5)</f>
        <v/>
      </c>
      <c r="H45" s="14">
        <f>SUMIFS(Gear!$E$4:$E$603,Gear!$A$4:$A$603,A45,Gear!$B$4:$B$603,"Magus",Gear!$C$4:$C$603,Inputs!$C$5)</f>
        <v/>
      </c>
      <c r="I45" s="14">
        <f>SUMIFS(Gear!$F$4:$F$603,Gear!$A$4:$A$603,A45,Gear!$B$4:$B$603,"Magus",Gear!$C$4:$C$603,Inputs!$C$5)+Inputs!$C$17*IFERROR(LOOKUP(A45,Abilities!$A$49:$A$53,Abilities!$C$49:$C$53),0)</f>
        <v/>
      </c>
      <c r="J45" s="13">
        <f>SUMIFS(Gear!$J$4:$J$603,Gear!$A$4:$A$603,A45,Gear!$B$4:$B$603,"Magus",Gear!$C$4:$C$603,Inputs!$C$5)</f>
        <v/>
      </c>
      <c r="K45" s="13">
        <f>SUMIFS(Gear!$K$4:$K$603,Gear!$A$4:$A$603,A45,Gear!$B$4:$B$603,"Magus",Gear!$C$4:$C$603,Inputs!$C$5)</f>
        <v/>
      </c>
      <c r="L45" s="13">
        <f>SUMIFS(Gear!$L$4:$L$603,Gear!$A$4:$A$603,A45,Gear!$B$4:$B$603,"Magus",Gear!$C$4:$C$603,Inputs!$C$5)</f>
        <v/>
      </c>
      <c r="M45" s="13">
        <f>SUMIFS(Gear!$M$4:$M$603,Gear!$A$4:$A$603,A45,Gear!$B$4:$B$603,"Magus",Gear!$C$4:$C$603,Inputs!$C$5)</f>
        <v/>
      </c>
      <c r="N45" s="13">
        <f>SUMIFS(Gear!$N$4:$N$603,Gear!$A$4:$A$603,A45,Gear!$B$4:$B$603,"Magus",Gear!$C$4:$C$603,Inputs!$C$5)</f>
        <v/>
      </c>
      <c r="O45" s="9">
        <f>INDEX('Class Table'!$H$4:$H$53,A45)+SUMIFS(Gear!$G$4:$G$603,Gear!$A$4:$A$603,A45,Gear!$B$4:$B$603,"Magus",Gear!$C$4:$C$603,Inputs!$C$5)</f>
        <v/>
      </c>
      <c r="P45" s="9">
        <f>INDEX('Class Table'!$I$4:$I$53,A45)+SUMIFS(Gear!$H$4:$H$603,Gear!$A$4:$A$603,A45,Gear!$B$4:$B$603,"Magus",Gear!$C$4:$C$603,Inputs!$C$5)</f>
        <v/>
      </c>
      <c r="Q45" s="9">
        <f>INDEX('Class Table'!$J$4:$J$53,A45)+SUMIFS(Gear!$I$4:$I$603,Gear!$A$4:$A$603,A45,Gear!$B$4:$B$603,"Magus",Gear!$C$4:$C$603,Inputs!$C$5)</f>
        <v/>
      </c>
      <c r="R45" s="13">
        <f>SUMIFS(Gear!$O$4:$O$603,Gear!$A$4:$A$603,A45,Gear!$B$4:$B$603,"Magus",Gear!$C$4:$C$603,Inputs!$C$5)</f>
        <v/>
      </c>
      <c r="S45" s="26">
        <f>I45+0+G45+A45+MAX(1,A45/2)+(A45-B45)</f>
        <v/>
      </c>
      <c r="T45" s="9">
        <f>MAX(0,S45*(1+M45)*(1+L45)*Inputs!$C$20*(1-D45/Inputs!$C$19)-D45/25)</f>
        <v/>
      </c>
      <c r="U45" s="16">
        <f>H45/10*(1-MIN(0.95,N45+0))*Inputs!$C$21</f>
        <v/>
      </c>
      <c r="V45" s="27">
        <f>T45/U45</f>
        <v/>
      </c>
      <c r="W45" s="16">
        <f>(1+J45)*(1+K45)*Inputs!$C$20</f>
        <v/>
      </c>
      <c r="X45" s="17">
        <f>P45*Inputs!$C$23/Inputs!$C$22</f>
        <v/>
      </c>
      <c r="Y45" s="17">
        <f>IF(INDEX(Abilities!$A$14:$A$23,1)&lt;=A45,INDEX(Abilities!$C$14:$C$23,1)*CHOOSE(Inputs!$C$13,1,INDEX(Abilities!$J$14:$J$23,1),INDEX(Abilities!$I$14:$I$23,1))*W45/MAX(INDEX(Abilities!$D$14:$D$23,1),Inputs!$C$12),0)</f>
        <v/>
      </c>
      <c r="Z45" s="17">
        <f>IF(INDEX(Abilities!$A$14:$A$23,2)&lt;=A45,INDEX(Abilities!$C$14:$C$23,2)*CHOOSE(Inputs!$C$13,1,INDEX(Abilities!$J$14:$J$23,2),INDEX(Abilities!$I$14:$I$23,2))*W45/MAX(INDEX(Abilities!$D$14:$D$23,2),Inputs!$C$12),0)</f>
        <v/>
      </c>
      <c r="AA45" s="17">
        <f>IF(INDEX(Abilities!$A$14:$A$23,3)&lt;=A45,INDEX(Abilities!$C$14:$C$23,3)*CHOOSE(Inputs!$C$13,1,INDEX(Abilities!$J$14:$J$23,3),INDEX(Abilities!$I$14:$I$23,3))*W45/MAX(INDEX(Abilities!$D$14:$D$23,3),Inputs!$C$12),0)</f>
        <v/>
      </c>
      <c r="AB45" s="17">
        <f>IF(INDEX(Abilities!$A$14:$A$23,4)&lt;=A45,INDEX(Abilities!$C$14:$C$23,4)*CHOOSE(Inputs!$C$13,1,INDEX(Abilities!$J$14:$J$23,4),INDEX(Abilities!$I$14:$I$23,4))*W45/MAX(INDEX(Abilities!$D$14:$D$23,4),Inputs!$C$12),0)</f>
        <v/>
      </c>
      <c r="AC45" s="17">
        <f>IF(INDEX(Abilities!$A$14:$A$23,5)&lt;=A45,INDEX(Abilities!$C$14:$C$23,5)*CHOOSE(Inputs!$C$13,1,INDEX(Abilities!$J$14:$J$23,5),INDEX(Abilities!$I$14:$I$23,5))*W45/MAX(INDEX(Abilities!$D$14:$D$23,5),Inputs!$C$12),0)</f>
        <v/>
      </c>
      <c r="AD45" s="17">
        <f>IF(INDEX(Abilities!$A$14:$A$23,6)&lt;=A45,INDEX(Abilities!$C$14:$C$23,6)*CHOOSE(Inputs!$C$13,1,INDEX(Abilities!$J$14:$J$23,6),INDEX(Abilities!$I$14:$I$23,6))*W45/MAX(INDEX(Abilities!$D$14:$D$23,6),Inputs!$C$12),0)</f>
        <v/>
      </c>
      <c r="AE45" s="17">
        <f>IF(INDEX(Abilities!$A$14:$A$23,7)&lt;=A45,INDEX(Abilities!$C$14:$C$23,7)*CHOOSE(Inputs!$C$13,1,INDEX(Abilities!$J$14:$J$23,7),INDEX(Abilities!$I$14:$I$23,7))*W45/MAX(INDEX(Abilities!$D$14:$D$23,7),Inputs!$C$12),0)</f>
        <v/>
      </c>
      <c r="AF45" s="17">
        <f>IF(INDEX(Abilities!$A$14:$A$23,8)&lt;=A45,INDEX(Abilities!$C$14:$C$23,8)*CHOOSE(Inputs!$C$13,1,INDEX(Abilities!$J$14:$J$23,8),INDEX(Abilities!$I$14:$I$23,8))*W45/MAX(INDEX(Abilities!$D$14:$D$23,8),Inputs!$C$12),0)</f>
        <v/>
      </c>
      <c r="AG45" s="17">
        <f>IF(INDEX(Abilities!$A$14:$A$23,9)&lt;=A45,INDEX(Abilities!$C$14:$C$23,9)*CHOOSE(Inputs!$C$13,1,INDEX(Abilities!$J$14:$J$23,9),INDEX(Abilities!$I$14:$I$23,9))*W45/MAX(INDEX(Abilities!$D$14:$D$23,9),Inputs!$C$12),0)</f>
        <v/>
      </c>
      <c r="AH45" s="17">
        <f>IF(INDEX(Abilities!$A$14:$A$23,10)&lt;=A45,INDEX(Abilities!$C$14:$C$23,10)*CHOOSE(Inputs!$C$13,1,INDEX(Abilities!$J$14:$J$23,10),INDEX(Abilities!$I$14:$I$23,10))*W45/MAX(INDEX(Abilities!$D$14:$D$23,10),Inputs!$C$12),0)</f>
        <v/>
      </c>
      <c r="AI45" s="17">
        <f>IF(INDEX(Abilities!$A$14:$A$23,1)&lt;=A45,MIN(Y45,X45*INDEX(Abilities!$C$14:$C$23,1)*CHOOSE(Inputs!$C$13,1,INDEX(Abilities!$J$14:$J$23,1),INDEX(Abilities!$I$14:$I$23,1))*W45/INDEX(Abilities!$E$14:$E$23,1)),0)</f>
        <v/>
      </c>
      <c r="AJ45" s="17">
        <f>IF(INDEX(Abilities!$A$14:$A$23,2)&lt;=A45,MIN(Z45,X45*INDEX(Abilities!$C$14:$C$23,2)*CHOOSE(Inputs!$C$13,1,INDEX(Abilities!$J$14:$J$23,2),INDEX(Abilities!$I$14:$I$23,2))*W45/INDEX(Abilities!$E$14:$E$23,2)),0)</f>
        <v/>
      </c>
      <c r="AK45" s="17">
        <f>IF(INDEX(Abilities!$A$14:$A$23,3)&lt;=A45,MIN(AA45,X45*INDEX(Abilities!$C$14:$C$23,3)*CHOOSE(Inputs!$C$13,1,INDEX(Abilities!$J$14:$J$23,3),INDEX(Abilities!$I$14:$I$23,3))*W45/INDEX(Abilities!$E$14:$E$23,3)),0)</f>
        <v/>
      </c>
      <c r="AL45" s="17">
        <f>IF(INDEX(Abilities!$A$14:$A$23,4)&lt;=A45,MIN(AB45,X45*INDEX(Abilities!$C$14:$C$23,4)*CHOOSE(Inputs!$C$13,1,INDEX(Abilities!$J$14:$J$23,4),INDEX(Abilities!$I$14:$I$23,4))*W45/INDEX(Abilities!$E$14:$E$23,4)),0)</f>
        <v/>
      </c>
      <c r="AM45" s="17">
        <f>IF(INDEX(Abilities!$A$14:$A$23,5)&lt;=A45,MIN(AC45,X45*INDEX(Abilities!$C$14:$C$23,5)*CHOOSE(Inputs!$C$13,1,INDEX(Abilities!$J$14:$J$23,5),INDEX(Abilities!$I$14:$I$23,5))*W45/INDEX(Abilities!$E$14:$E$23,5)),0)</f>
        <v/>
      </c>
      <c r="AN45" s="17">
        <f>IF(INDEX(Abilities!$A$14:$A$23,6)&lt;=A45,MIN(AD45,X45*INDEX(Abilities!$C$14:$C$23,6)*CHOOSE(Inputs!$C$13,1,INDEX(Abilities!$J$14:$J$23,6),INDEX(Abilities!$I$14:$I$23,6))*W45/INDEX(Abilities!$E$14:$E$23,6)),0)</f>
        <v/>
      </c>
      <c r="AO45" s="17">
        <f>IF(INDEX(Abilities!$A$14:$A$23,7)&lt;=A45,MIN(AE45,X45*INDEX(Abilities!$C$14:$C$23,7)*CHOOSE(Inputs!$C$13,1,INDEX(Abilities!$J$14:$J$23,7),INDEX(Abilities!$I$14:$I$23,7))*W45/INDEX(Abilities!$E$14:$E$23,7)),0)</f>
        <v/>
      </c>
      <c r="AP45" s="17">
        <f>IF(INDEX(Abilities!$A$14:$A$23,8)&lt;=A45,MIN(AF45,X45*INDEX(Abilities!$C$14:$C$23,8)*CHOOSE(Inputs!$C$13,1,INDEX(Abilities!$J$14:$J$23,8),INDEX(Abilities!$I$14:$I$23,8))*W45/INDEX(Abilities!$E$14:$E$23,8)),0)</f>
        <v/>
      </c>
      <c r="AQ45" s="17">
        <f>IF(INDEX(Abilities!$A$14:$A$23,9)&lt;=A45,MIN(AG45,X45*INDEX(Abilities!$C$14:$C$23,9)*CHOOSE(Inputs!$C$13,1,INDEX(Abilities!$J$14:$J$23,9),INDEX(Abilities!$I$14:$I$23,9))*W45/INDEX(Abilities!$E$14:$E$23,9)),0)</f>
        <v/>
      </c>
      <c r="AR45" s="17">
        <f>IF(INDEX(Abilities!$A$14:$A$23,10)&lt;=A45,MIN(AH45,X45*INDEX(Abilities!$C$14:$C$23,10)*CHOOSE(Inputs!$C$13,1,INDEX(Abilities!$J$14:$J$23,10),INDEX(Abilities!$I$14:$I$23,10))*W45/INDEX(Abilities!$E$14:$E$23,10)),0)</f>
        <v/>
      </c>
      <c r="AS45" s="17">
        <f>IF(INDEX(Abilities!$A$14:$A$23,1)&lt;=A45,INDEX(Abilities!$C$14:$C$23,1)*CHOOSE(Inputs!$C$13,1,INDEX(Abilities!$J$14:$J$23,1),INDEX(Abilities!$I$14:$I$23,1))*W45/MAX(INDEX(Abilities!$D$14:$D$23,1),2*Inputs!$C$12),0)</f>
        <v/>
      </c>
      <c r="AT45" s="17">
        <f>IF(INDEX(Abilities!$A$14:$A$23,2)&lt;=A45,INDEX(Abilities!$C$14:$C$23,2)*CHOOSE(Inputs!$C$13,1,INDEX(Abilities!$J$14:$J$23,2),INDEX(Abilities!$I$14:$I$23,2))*W45/MAX(INDEX(Abilities!$D$14:$D$23,2),2*Inputs!$C$12),0)</f>
        <v/>
      </c>
      <c r="AU45" s="17">
        <f>IF(INDEX(Abilities!$A$14:$A$23,3)&lt;=A45,INDEX(Abilities!$C$14:$C$23,3)*CHOOSE(Inputs!$C$13,1,INDEX(Abilities!$J$14:$J$23,3),INDEX(Abilities!$I$14:$I$23,3))*W45/MAX(INDEX(Abilities!$D$14:$D$23,3),2*Inputs!$C$12),0)</f>
        <v/>
      </c>
      <c r="AV45" s="17">
        <f>IF(INDEX(Abilities!$A$14:$A$23,4)&lt;=A45,INDEX(Abilities!$C$14:$C$23,4)*CHOOSE(Inputs!$C$13,1,INDEX(Abilities!$J$14:$J$23,4),INDEX(Abilities!$I$14:$I$23,4))*W45/MAX(INDEX(Abilities!$D$14:$D$23,4),2*Inputs!$C$12),0)</f>
        <v/>
      </c>
      <c r="AW45" s="17">
        <f>IF(INDEX(Abilities!$A$14:$A$23,5)&lt;=A45,INDEX(Abilities!$C$14:$C$23,5)*CHOOSE(Inputs!$C$13,1,INDEX(Abilities!$J$14:$J$23,5),INDEX(Abilities!$I$14:$I$23,5))*W45/MAX(INDEX(Abilities!$D$14:$D$23,5),2*Inputs!$C$12),0)</f>
        <v/>
      </c>
      <c r="AX45" s="17">
        <f>IF(INDEX(Abilities!$A$14:$A$23,6)&lt;=A45,INDEX(Abilities!$C$14:$C$23,6)*CHOOSE(Inputs!$C$13,1,INDEX(Abilities!$J$14:$J$23,6),INDEX(Abilities!$I$14:$I$23,6))*W45/MAX(INDEX(Abilities!$D$14:$D$23,6),2*Inputs!$C$12),0)</f>
        <v/>
      </c>
      <c r="AY45" s="17">
        <f>IF(INDEX(Abilities!$A$14:$A$23,7)&lt;=A45,INDEX(Abilities!$C$14:$C$23,7)*CHOOSE(Inputs!$C$13,1,INDEX(Abilities!$J$14:$J$23,7),INDEX(Abilities!$I$14:$I$23,7))*W45/MAX(INDEX(Abilities!$D$14:$D$23,7),2*Inputs!$C$12),0)</f>
        <v/>
      </c>
      <c r="AZ45" s="17">
        <f>IF(INDEX(Abilities!$A$14:$A$23,8)&lt;=A45,INDEX(Abilities!$C$14:$C$23,8)*CHOOSE(Inputs!$C$13,1,INDEX(Abilities!$J$14:$J$23,8),INDEX(Abilities!$I$14:$I$23,8))*W45/MAX(INDEX(Abilities!$D$14:$D$23,8),2*Inputs!$C$12),0)</f>
        <v/>
      </c>
      <c r="BA45" s="17">
        <f>IF(INDEX(Abilities!$A$14:$A$23,9)&lt;=A45,INDEX(Abilities!$C$14:$C$23,9)*CHOOSE(Inputs!$C$13,1,INDEX(Abilities!$J$14:$J$23,9),INDEX(Abilities!$I$14:$I$23,9))*W45/MAX(INDEX(Abilities!$D$14:$D$23,9),2*Inputs!$C$12),0)</f>
        <v/>
      </c>
      <c r="BB45" s="17">
        <f>IF(INDEX(Abilities!$A$14:$A$23,10)&lt;=A45,INDEX(Abilities!$C$14:$C$23,10)*CHOOSE(Inputs!$C$13,1,INDEX(Abilities!$J$14:$J$23,10),INDEX(Abilities!$I$14:$I$23,10))*W45/MAX(INDEX(Abilities!$D$14:$D$23,10),2*Inputs!$C$12),0)</f>
        <v/>
      </c>
      <c r="BC45" s="27">
        <f>MAX(Y45:AH45)</f>
        <v/>
      </c>
      <c r="BD45" s="8">
        <f>MATCH(BC45,Y45:AH45,0)</f>
        <v/>
      </c>
      <c r="BE45" s="15">
        <f>INDEX(Abilities!$B$14:$B$23,BD45)</f>
        <v/>
      </c>
      <c r="BF45" s="16">
        <f>CHOOSE(Inputs!$C$13,1,INDEX(Abilities!$J$14:$J$23,BD45),INDEX(Abilities!$I$14:$I$23,BD45))</f>
        <v/>
      </c>
      <c r="BG45" s="17">
        <f>INDEX(Abilities!$E$14:$E$23,BD45)/MAX(INDEX(Abilities!$D$14:$D$23,BD45),Inputs!$C$12)</f>
        <v/>
      </c>
      <c r="BH45" s="27">
        <f>MAX(AI45:AR45)</f>
        <v/>
      </c>
      <c r="BI45" s="8">
        <f>MATCH(BH45,AI45:AR45,0)</f>
        <v/>
      </c>
      <c r="BJ45" s="15">
        <f>INDEX(Abilities!$B$14:$B$23,BI45)</f>
        <v/>
      </c>
      <c r="BK45" s="14">
        <f>IFERROR(ROUNDUP(C45/(INDEX(Abilities!$C$14:$C$23,BD45)*W45),0),"-")</f>
        <v/>
      </c>
      <c r="BL45" s="9">
        <f>IFERROR(C45*INDEX(Abilities!$E$14:$E$23,BI45)/(INDEX(Abilities!$C$14:$C$23,BI45)*CHOOSE(Inputs!$C$13,1,INDEX(Abilities!$J$14:$J$23,BI45),INDEX(Abilities!$I$14:$I$23,BI45))*W45),"-")</f>
        <v/>
      </c>
      <c r="BM45" s="60">
        <f>IFERROR(P45/BL45,"-")</f>
        <v/>
      </c>
      <c r="BN45" s="17">
        <f>BH45+Inputs!$C$18*V45</f>
        <v/>
      </c>
      <c r="BO45" s="17">
        <f>BC45+Inputs!$C$18*V45</f>
        <v/>
      </c>
      <c r="BP45" s="27">
        <f>LARGE(AS45:BB45,1)+LARGE(AS45:BB45,2)</f>
        <v/>
      </c>
      <c r="BQ45" s="60">
        <f>IFERROR(IF(BG45&lt;=X45,C45/BO45,IF(C45/BO45*(BG45-X45)&lt;=P45,C45/BO45,P45/(BG45-X45)+(C45-BO45*P45/(BG45-X45))/BN45)),"-")</f>
        <v/>
      </c>
      <c r="BR45" s="60">
        <f>BQ45</f>
        <v/>
      </c>
      <c r="BS45" s="9">
        <f>MAX(0,(E45+(B45-A45))*(1-R45)*(1-Q45*'Class Table'!$O$7/Inputs!$C$19)-Q45*'Class Table'!$O$7/25)</f>
        <v/>
      </c>
      <c r="BT45" s="26">
        <f>IFERROR(BS45/F45*BR45,"-")</f>
        <v/>
      </c>
      <c r="BU45" s="28">
        <f>IFERROR(BT45/O45,"-")</f>
        <v/>
      </c>
      <c r="BV45" s="9">
        <f>IFERROR(O45*Inputs!$C$24/Inputs!$C$22*BR45,"-")</f>
        <v/>
      </c>
      <c r="BW45" s="28">
        <f>IFERROR(MAX(0,BT45-BV45)/O45,"-")</f>
        <v/>
      </c>
    </row>
    <row r="46">
      <c r="A46" s="8" t="n">
        <v>43</v>
      </c>
      <c r="B46" s="14">
        <f>'Mob by Level'!B46</f>
        <v/>
      </c>
      <c r="C46" s="9">
        <f>'Mob by Level'!C46</f>
        <v/>
      </c>
      <c r="D46" s="9">
        <f>'Mob by Level'!D46</f>
        <v/>
      </c>
      <c r="E46" s="9">
        <f>'Mob by Level'!E46</f>
        <v/>
      </c>
      <c r="F46" s="16">
        <f>'Mob by Level'!F46</f>
        <v/>
      </c>
      <c r="G46" s="14">
        <f>SUMIFS(Gear!$D$4:$D$603,Gear!$A$4:$A$603,A46,Gear!$B$4:$B$603,"Magus",Gear!$C$4:$C$603,Inputs!$C$5)</f>
        <v/>
      </c>
      <c r="H46" s="14">
        <f>SUMIFS(Gear!$E$4:$E$603,Gear!$A$4:$A$603,A46,Gear!$B$4:$B$603,"Magus",Gear!$C$4:$C$603,Inputs!$C$5)</f>
        <v/>
      </c>
      <c r="I46" s="14">
        <f>SUMIFS(Gear!$F$4:$F$603,Gear!$A$4:$A$603,A46,Gear!$B$4:$B$603,"Magus",Gear!$C$4:$C$603,Inputs!$C$5)+Inputs!$C$17*IFERROR(LOOKUP(A46,Abilities!$A$49:$A$53,Abilities!$C$49:$C$53),0)</f>
        <v/>
      </c>
      <c r="J46" s="13">
        <f>SUMIFS(Gear!$J$4:$J$603,Gear!$A$4:$A$603,A46,Gear!$B$4:$B$603,"Magus",Gear!$C$4:$C$603,Inputs!$C$5)</f>
        <v/>
      </c>
      <c r="K46" s="13">
        <f>SUMIFS(Gear!$K$4:$K$603,Gear!$A$4:$A$603,A46,Gear!$B$4:$B$603,"Magus",Gear!$C$4:$C$603,Inputs!$C$5)</f>
        <v/>
      </c>
      <c r="L46" s="13">
        <f>SUMIFS(Gear!$L$4:$L$603,Gear!$A$4:$A$603,A46,Gear!$B$4:$B$603,"Magus",Gear!$C$4:$C$603,Inputs!$C$5)</f>
        <v/>
      </c>
      <c r="M46" s="13">
        <f>SUMIFS(Gear!$M$4:$M$603,Gear!$A$4:$A$603,A46,Gear!$B$4:$B$603,"Magus",Gear!$C$4:$C$603,Inputs!$C$5)</f>
        <v/>
      </c>
      <c r="N46" s="13">
        <f>SUMIFS(Gear!$N$4:$N$603,Gear!$A$4:$A$603,A46,Gear!$B$4:$B$603,"Magus",Gear!$C$4:$C$603,Inputs!$C$5)</f>
        <v/>
      </c>
      <c r="O46" s="9">
        <f>INDEX('Class Table'!$H$4:$H$53,A46)+SUMIFS(Gear!$G$4:$G$603,Gear!$A$4:$A$603,A46,Gear!$B$4:$B$603,"Magus",Gear!$C$4:$C$603,Inputs!$C$5)</f>
        <v/>
      </c>
      <c r="P46" s="9">
        <f>INDEX('Class Table'!$I$4:$I$53,A46)+SUMIFS(Gear!$H$4:$H$603,Gear!$A$4:$A$603,A46,Gear!$B$4:$B$603,"Magus",Gear!$C$4:$C$603,Inputs!$C$5)</f>
        <v/>
      </c>
      <c r="Q46" s="9">
        <f>INDEX('Class Table'!$J$4:$J$53,A46)+SUMIFS(Gear!$I$4:$I$603,Gear!$A$4:$A$603,A46,Gear!$B$4:$B$603,"Magus",Gear!$C$4:$C$603,Inputs!$C$5)</f>
        <v/>
      </c>
      <c r="R46" s="13">
        <f>SUMIFS(Gear!$O$4:$O$603,Gear!$A$4:$A$603,A46,Gear!$B$4:$B$603,"Magus",Gear!$C$4:$C$603,Inputs!$C$5)</f>
        <v/>
      </c>
      <c r="S46" s="26">
        <f>I46+0+G46+A46+MAX(1,A46/2)+(A46-B46)</f>
        <v/>
      </c>
      <c r="T46" s="9">
        <f>MAX(0,S46*(1+M46)*(1+L46)*Inputs!$C$20*(1-D46/Inputs!$C$19)-D46/25)</f>
        <v/>
      </c>
      <c r="U46" s="16">
        <f>H46/10*(1-MIN(0.95,N46+0))*Inputs!$C$21</f>
        <v/>
      </c>
      <c r="V46" s="27">
        <f>T46/U46</f>
        <v/>
      </c>
      <c r="W46" s="16">
        <f>(1+J46)*(1+K46)*Inputs!$C$20</f>
        <v/>
      </c>
      <c r="X46" s="17">
        <f>P46*Inputs!$C$23/Inputs!$C$22</f>
        <v/>
      </c>
      <c r="Y46" s="17">
        <f>IF(INDEX(Abilities!$A$14:$A$23,1)&lt;=A46,INDEX(Abilities!$C$14:$C$23,1)*CHOOSE(Inputs!$C$13,1,INDEX(Abilities!$J$14:$J$23,1),INDEX(Abilities!$I$14:$I$23,1))*W46/MAX(INDEX(Abilities!$D$14:$D$23,1),Inputs!$C$12),0)</f>
        <v/>
      </c>
      <c r="Z46" s="17">
        <f>IF(INDEX(Abilities!$A$14:$A$23,2)&lt;=A46,INDEX(Abilities!$C$14:$C$23,2)*CHOOSE(Inputs!$C$13,1,INDEX(Abilities!$J$14:$J$23,2),INDEX(Abilities!$I$14:$I$23,2))*W46/MAX(INDEX(Abilities!$D$14:$D$23,2),Inputs!$C$12),0)</f>
        <v/>
      </c>
      <c r="AA46" s="17">
        <f>IF(INDEX(Abilities!$A$14:$A$23,3)&lt;=A46,INDEX(Abilities!$C$14:$C$23,3)*CHOOSE(Inputs!$C$13,1,INDEX(Abilities!$J$14:$J$23,3),INDEX(Abilities!$I$14:$I$23,3))*W46/MAX(INDEX(Abilities!$D$14:$D$23,3),Inputs!$C$12),0)</f>
        <v/>
      </c>
      <c r="AB46" s="17">
        <f>IF(INDEX(Abilities!$A$14:$A$23,4)&lt;=A46,INDEX(Abilities!$C$14:$C$23,4)*CHOOSE(Inputs!$C$13,1,INDEX(Abilities!$J$14:$J$23,4),INDEX(Abilities!$I$14:$I$23,4))*W46/MAX(INDEX(Abilities!$D$14:$D$23,4),Inputs!$C$12),0)</f>
        <v/>
      </c>
      <c r="AC46" s="17">
        <f>IF(INDEX(Abilities!$A$14:$A$23,5)&lt;=A46,INDEX(Abilities!$C$14:$C$23,5)*CHOOSE(Inputs!$C$13,1,INDEX(Abilities!$J$14:$J$23,5),INDEX(Abilities!$I$14:$I$23,5))*W46/MAX(INDEX(Abilities!$D$14:$D$23,5),Inputs!$C$12),0)</f>
        <v/>
      </c>
      <c r="AD46" s="17">
        <f>IF(INDEX(Abilities!$A$14:$A$23,6)&lt;=A46,INDEX(Abilities!$C$14:$C$23,6)*CHOOSE(Inputs!$C$13,1,INDEX(Abilities!$J$14:$J$23,6),INDEX(Abilities!$I$14:$I$23,6))*W46/MAX(INDEX(Abilities!$D$14:$D$23,6),Inputs!$C$12),0)</f>
        <v/>
      </c>
      <c r="AE46" s="17">
        <f>IF(INDEX(Abilities!$A$14:$A$23,7)&lt;=A46,INDEX(Abilities!$C$14:$C$23,7)*CHOOSE(Inputs!$C$13,1,INDEX(Abilities!$J$14:$J$23,7),INDEX(Abilities!$I$14:$I$23,7))*W46/MAX(INDEX(Abilities!$D$14:$D$23,7),Inputs!$C$12),0)</f>
        <v/>
      </c>
      <c r="AF46" s="17">
        <f>IF(INDEX(Abilities!$A$14:$A$23,8)&lt;=A46,INDEX(Abilities!$C$14:$C$23,8)*CHOOSE(Inputs!$C$13,1,INDEX(Abilities!$J$14:$J$23,8),INDEX(Abilities!$I$14:$I$23,8))*W46/MAX(INDEX(Abilities!$D$14:$D$23,8),Inputs!$C$12),0)</f>
        <v/>
      </c>
      <c r="AG46" s="17">
        <f>IF(INDEX(Abilities!$A$14:$A$23,9)&lt;=A46,INDEX(Abilities!$C$14:$C$23,9)*CHOOSE(Inputs!$C$13,1,INDEX(Abilities!$J$14:$J$23,9),INDEX(Abilities!$I$14:$I$23,9))*W46/MAX(INDEX(Abilities!$D$14:$D$23,9),Inputs!$C$12),0)</f>
        <v/>
      </c>
      <c r="AH46" s="17">
        <f>IF(INDEX(Abilities!$A$14:$A$23,10)&lt;=A46,INDEX(Abilities!$C$14:$C$23,10)*CHOOSE(Inputs!$C$13,1,INDEX(Abilities!$J$14:$J$23,10),INDEX(Abilities!$I$14:$I$23,10))*W46/MAX(INDEX(Abilities!$D$14:$D$23,10),Inputs!$C$12),0)</f>
        <v/>
      </c>
      <c r="AI46" s="17">
        <f>IF(INDEX(Abilities!$A$14:$A$23,1)&lt;=A46,MIN(Y46,X46*INDEX(Abilities!$C$14:$C$23,1)*CHOOSE(Inputs!$C$13,1,INDEX(Abilities!$J$14:$J$23,1),INDEX(Abilities!$I$14:$I$23,1))*W46/INDEX(Abilities!$E$14:$E$23,1)),0)</f>
        <v/>
      </c>
      <c r="AJ46" s="17">
        <f>IF(INDEX(Abilities!$A$14:$A$23,2)&lt;=A46,MIN(Z46,X46*INDEX(Abilities!$C$14:$C$23,2)*CHOOSE(Inputs!$C$13,1,INDEX(Abilities!$J$14:$J$23,2),INDEX(Abilities!$I$14:$I$23,2))*W46/INDEX(Abilities!$E$14:$E$23,2)),0)</f>
        <v/>
      </c>
      <c r="AK46" s="17">
        <f>IF(INDEX(Abilities!$A$14:$A$23,3)&lt;=A46,MIN(AA46,X46*INDEX(Abilities!$C$14:$C$23,3)*CHOOSE(Inputs!$C$13,1,INDEX(Abilities!$J$14:$J$23,3),INDEX(Abilities!$I$14:$I$23,3))*W46/INDEX(Abilities!$E$14:$E$23,3)),0)</f>
        <v/>
      </c>
      <c r="AL46" s="17">
        <f>IF(INDEX(Abilities!$A$14:$A$23,4)&lt;=A46,MIN(AB46,X46*INDEX(Abilities!$C$14:$C$23,4)*CHOOSE(Inputs!$C$13,1,INDEX(Abilities!$J$14:$J$23,4),INDEX(Abilities!$I$14:$I$23,4))*W46/INDEX(Abilities!$E$14:$E$23,4)),0)</f>
        <v/>
      </c>
      <c r="AM46" s="17">
        <f>IF(INDEX(Abilities!$A$14:$A$23,5)&lt;=A46,MIN(AC46,X46*INDEX(Abilities!$C$14:$C$23,5)*CHOOSE(Inputs!$C$13,1,INDEX(Abilities!$J$14:$J$23,5),INDEX(Abilities!$I$14:$I$23,5))*W46/INDEX(Abilities!$E$14:$E$23,5)),0)</f>
        <v/>
      </c>
      <c r="AN46" s="17">
        <f>IF(INDEX(Abilities!$A$14:$A$23,6)&lt;=A46,MIN(AD46,X46*INDEX(Abilities!$C$14:$C$23,6)*CHOOSE(Inputs!$C$13,1,INDEX(Abilities!$J$14:$J$23,6),INDEX(Abilities!$I$14:$I$23,6))*W46/INDEX(Abilities!$E$14:$E$23,6)),0)</f>
        <v/>
      </c>
      <c r="AO46" s="17">
        <f>IF(INDEX(Abilities!$A$14:$A$23,7)&lt;=A46,MIN(AE46,X46*INDEX(Abilities!$C$14:$C$23,7)*CHOOSE(Inputs!$C$13,1,INDEX(Abilities!$J$14:$J$23,7),INDEX(Abilities!$I$14:$I$23,7))*W46/INDEX(Abilities!$E$14:$E$23,7)),0)</f>
        <v/>
      </c>
      <c r="AP46" s="17">
        <f>IF(INDEX(Abilities!$A$14:$A$23,8)&lt;=A46,MIN(AF46,X46*INDEX(Abilities!$C$14:$C$23,8)*CHOOSE(Inputs!$C$13,1,INDEX(Abilities!$J$14:$J$23,8),INDEX(Abilities!$I$14:$I$23,8))*W46/INDEX(Abilities!$E$14:$E$23,8)),0)</f>
        <v/>
      </c>
      <c r="AQ46" s="17">
        <f>IF(INDEX(Abilities!$A$14:$A$23,9)&lt;=A46,MIN(AG46,X46*INDEX(Abilities!$C$14:$C$23,9)*CHOOSE(Inputs!$C$13,1,INDEX(Abilities!$J$14:$J$23,9),INDEX(Abilities!$I$14:$I$23,9))*W46/INDEX(Abilities!$E$14:$E$23,9)),0)</f>
        <v/>
      </c>
      <c r="AR46" s="17">
        <f>IF(INDEX(Abilities!$A$14:$A$23,10)&lt;=A46,MIN(AH46,X46*INDEX(Abilities!$C$14:$C$23,10)*CHOOSE(Inputs!$C$13,1,INDEX(Abilities!$J$14:$J$23,10),INDEX(Abilities!$I$14:$I$23,10))*W46/INDEX(Abilities!$E$14:$E$23,10)),0)</f>
        <v/>
      </c>
      <c r="AS46" s="17">
        <f>IF(INDEX(Abilities!$A$14:$A$23,1)&lt;=A46,INDEX(Abilities!$C$14:$C$23,1)*CHOOSE(Inputs!$C$13,1,INDEX(Abilities!$J$14:$J$23,1),INDEX(Abilities!$I$14:$I$23,1))*W46/MAX(INDEX(Abilities!$D$14:$D$23,1),2*Inputs!$C$12),0)</f>
        <v/>
      </c>
      <c r="AT46" s="17">
        <f>IF(INDEX(Abilities!$A$14:$A$23,2)&lt;=A46,INDEX(Abilities!$C$14:$C$23,2)*CHOOSE(Inputs!$C$13,1,INDEX(Abilities!$J$14:$J$23,2),INDEX(Abilities!$I$14:$I$23,2))*W46/MAX(INDEX(Abilities!$D$14:$D$23,2),2*Inputs!$C$12),0)</f>
        <v/>
      </c>
      <c r="AU46" s="17">
        <f>IF(INDEX(Abilities!$A$14:$A$23,3)&lt;=A46,INDEX(Abilities!$C$14:$C$23,3)*CHOOSE(Inputs!$C$13,1,INDEX(Abilities!$J$14:$J$23,3),INDEX(Abilities!$I$14:$I$23,3))*W46/MAX(INDEX(Abilities!$D$14:$D$23,3),2*Inputs!$C$12),0)</f>
        <v/>
      </c>
      <c r="AV46" s="17">
        <f>IF(INDEX(Abilities!$A$14:$A$23,4)&lt;=A46,INDEX(Abilities!$C$14:$C$23,4)*CHOOSE(Inputs!$C$13,1,INDEX(Abilities!$J$14:$J$23,4),INDEX(Abilities!$I$14:$I$23,4))*W46/MAX(INDEX(Abilities!$D$14:$D$23,4),2*Inputs!$C$12),0)</f>
        <v/>
      </c>
      <c r="AW46" s="17">
        <f>IF(INDEX(Abilities!$A$14:$A$23,5)&lt;=A46,INDEX(Abilities!$C$14:$C$23,5)*CHOOSE(Inputs!$C$13,1,INDEX(Abilities!$J$14:$J$23,5),INDEX(Abilities!$I$14:$I$23,5))*W46/MAX(INDEX(Abilities!$D$14:$D$23,5),2*Inputs!$C$12),0)</f>
        <v/>
      </c>
      <c r="AX46" s="17">
        <f>IF(INDEX(Abilities!$A$14:$A$23,6)&lt;=A46,INDEX(Abilities!$C$14:$C$23,6)*CHOOSE(Inputs!$C$13,1,INDEX(Abilities!$J$14:$J$23,6),INDEX(Abilities!$I$14:$I$23,6))*W46/MAX(INDEX(Abilities!$D$14:$D$23,6),2*Inputs!$C$12),0)</f>
        <v/>
      </c>
      <c r="AY46" s="17">
        <f>IF(INDEX(Abilities!$A$14:$A$23,7)&lt;=A46,INDEX(Abilities!$C$14:$C$23,7)*CHOOSE(Inputs!$C$13,1,INDEX(Abilities!$J$14:$J$23,7),INDEX(Abilities!$I$14:$I$23,7))*W46/MAX(INDEX(Abilities!$D$14:$D$23,7),2*Inputs!$C$12),0)</f>
        <v/>
      </c>
      <c r="AZ46" s="17">
        <f>IF(INDEX(Abilities!$A$14:$A$23,8)&lt;=A46,INDEX(Abilities!$C$14:$C$23,8)*CHOOSE(Inputs!$C$13,1,INDEX(Abilities!$J$14:$J$23,8),INDEX(Abilities!$I$14:$I$23,8))*W46/MAX(INDEX(Abilities!$D$14:$D$23,8),2*Inputs!$C$12),0)</f>
        <v/>
      </c>
      <c r="BA46" s="17">
        <f>IF(INDEX(Abilities!$A$14:$A$23,9)&lt;=A46,INDEX(Abilities!$C$14:$C$23,9)*CHOOSE(Inputs!$C$13,1,INDEX(Abilities!$J$14:$J$23,9),INDEX(Abilities!$I$14:$I$23,9))*W46/MAX(INDEX(Abilities!$D$14:$D$23,9),2*Inputs!$C$12),0)</f>
        <v/>
      </c>
      <c r="BB46" s="17">
        <f>IF(INDEX(Abilities!$A$14:$A$23,10)&lt;=A46,INDEX(Abilities!$C$14:$C$23,10)*CHOOSE(Inputs!$C$13,1,INDEX(Abilities!$J$14:$J$23,10),INDEX(Abilities!$I$14:$I$23,10))*W46/MAX(INDEX(Abilities!$D$14:$D$23,10),2*Inputs!$C$12),0)</f>
        <v/>
      </c>
      <c r="BC46" s="27">
        <f>MAX(Y46:AH46)</f>
        <v/>
      </c>
      <c r="BD46" s="8">
        <f>MATCH(BC46,Y46:AH46,0)</f>
        <v/>
      </c>
      <c r="BE46" s="15">
        <f>INDEX(Abilities!$B$14:$B$23,BD46)</f>
        <v/>
      </c>
      <c r="BF46" s="16">
        <f>CHOOSE(Inputs!$C$13,1,INDEX(Abilities!$J$14:$J$23,BD46),INDEX(Abilities!$I$14:$I$23,BD46))</f>
        <v/>
      </c>
      <c r="BG46" s="17">
        <f>INDEX(Abilities!$E$14:$E$23,BD46)/MAX(INDEX(Abilities!$D$14:$D$23,BD46),Inputs!$C$12)</f>
        <v/>
      </c>
      <c r="BH46" s="27">
        <f>MAX(AI46:AR46)</f>
        <v/>
      </c>
      <c r="BI46" s="8">
        <f>MATCH(BH46,AI46:AR46,0)</f>
        <v/>
      </c>
      <c r="BJ46" s="15">
        <f>INDEX(Abilities!$B$14:$B$23,BI46)</f>
        <v/>
      </c>
      <c r="BK46" s="14">
        <f>IFERROR(ROUNDUP(C46/(INDEX(Abilities!$C$14:$C$23,BD46)*W46),0),"-")</f>
        <v/>
      </c>
      <c r="BL46" s="9">
        <f>IFERROR(C46*INDEX(Abilities!$E$14:$E$23,BI46)/(INDEX(Abilities!$C$14:$C$23,BI46)*CHOOSE(Inputs!$C$13,1,INDEX(Abilities!$J$14:$J$23,BI46),INDEX(Abilities!$I$14:$I$23,BI46))*W46),"-")</f>
        <v/>
      </c>
      <c r="BM46" s="60">
        <f>IFERROR(P46/BL46,"-")</f>
        <v/>
      </c>
      <c r="BN46" s="17">
        <f>BH46+Inputs!$C$18*V46</f>
        <v/>
      </c>
      <c r="BO46" s="17">
        <f>BC46+Inputs!$C$18*V46</f>
        <v/>
      </c>
      <c r="BP46" s="27">
        <f>LARGE(AS46:BB46,1)+LARGE(AS46:BB46,2)</f>
        <v/>
      </c>
      <c r="BQ46" s="60">
        <f>IFERROR(IF(BG46&lt;=X46,C46/BO46,IF(C46/BO46*(BG46-X46)&lt;=P46,C46/BO46,P46/(BG46-X46)+(C46-BO46*P46/(BG46-X46))/BN46)),"-")</f>
        <v/>
      </c>
      <c r="BR46" s="60">
        <f>BQ46</f>
        <v/>
      </c>
      <c r="BS46" s="9">
        <f>MAX(0,(E46+(B46-A46))*(1-R46)*(1-Q46*'Class Table'!$O$7/Inputs!$C$19)-Q46*'Class Table'!$O$7/25)</f>
        <v/>
      </c>
      <c r="BT46" s="26">
        <f>IFERROR(BS46/F46*BR46,"-")</f>
        <v/>
      </c>
      <c r="BU46" s="28">
        <f>IFERROR(BT46/O46,"-")</f>
        <v/>
      </c>
      <c r="BV46" s="9">
        <f>IFERROR(O46*Inputs!$C$24/Inputs!$C$22*BR46,"-")</f>
        <v/>
      </c>
      <c r="BW46" s="28">
        <f>IFERROR(MAX(0,BT46-BV46)/O46,"-")</f>
        <v/>
      </c>
    </row>
    <row r="47">
      <c r="A47" s="8" t="n">
        <v>44</v>
      </c>
      <c r="B47" s="14">
        <f>'Mob by Level'!B47</f>
        <v/>
      </c>
      <c r="C47" s="9">
        <f>'Mob by Level'!C47</f>
        <v/>
      </c>
      <c r="D47" s="9">
        <f>'Mob by Level'!D47</f>
        <v/>
      </c>
      <c r="E47" s="9">
        <f>'Mob by Level'!E47</f>
        <v/>
      </c>
      <c r="F47" s="16">
        <f>'Mob by Level'!F47</f>
        <v/>
      </c>
      <c r="G47" s="14">
        <f>SUMIFS(Gear!$D$4:$D$603,Gear!$A$4:$A$603,A47,Gear!$B$4:$B$603,"Magus",Gear!$C$4:$C$603,Inputs!$C$5)</f>
        <v/>
      </c>
      <c r="H47" s="14">
        <f>SUMIFS(Gear!$E$4:$E$603,Gear!$A$4:$A$603,A47,Gear!$B$4:$B$603,"Magus",Gear!$C$4:$C$603,Inputs!$C$5)</f>
        <v/>
      </c>
      <c r="I47" s="14">
        <f>SUMIFS(Gear!$F$4:$F$603,Gear!$A$4:$A$603,A47,Gear!$B$4:$B$603,"Magus",Gear!$C$4:$C$603,Inputs!$C$5)+Inputs!$C$17*IFERROR(LOOKUP(A47,Abilities!$A$49:$A$53,Abilities!$C$49:$C$53),0)</f>
        <v/>
      </c>
      <c r="J47" s="13">
        <f>SUMIFS(Gear!$J$4:$J$603,Gear!$A$4:$A$603,A47,Gear!$B$4:$B$603,"Magus",Gear!$C$4:$C$603,Inputs!$C$5)</f>
        <v/>
      </c>
      <c r="K47" s="13">
        <f>SUMIFS(Gear!$K$4:$K$603,Gear!$A$4:$A$603,A47,Gear!$B$4:$B$603,"Magus",Gear!$C$4:$C$603,Inputs!$C$5)</f>
        <v/>
      </c>
      <c r="L47" s="13">
        <f>SUMIFS(Gear!$L$4:$L$603,Gear!$A$4:$A$603,A47,Gear!$B$4:$B$603,"Magus",Gear!$C$4:$C$603,Inputs!$C$5)</f>
        <v/>
      </c>
      <c r="M47" s="13">
        <f>SUMIFS(Gear!$M$4:$M$603,Gear!$A$4:$A$603,A47,Gear!$B$4:$B$603,"Magus",Gear!$C$4:$C$603,Inputs!$C$5)</f>
        <v/>
      </c>
      <c r="N47" s="13">
        <f>SUMIFS(Gear!$N$4:$N$603,Gear!$A$4:$A$603,A47,Gear!$B$4:$B$603,"Magus",Gear!$C$4:$C$603,Inputs!$C$5)</f>
        <v/>
      </c>
      <c r="O47" s="9">
        <f>INDEX('Class Table'!$H$4:$H$53,A47)+SUMIFS(Gear!$G$4:$G$603,Gear!$A$4:$A$603,A47,Gear!$B$4:$B$603,"Magus",Gear!$C$4:$C$603,Inputs!$C$5)</f>
        <v/>
      </c>
      <c r="P47" s="9">
        <f>INDEX('Class Table'!$I$4:$I$53,A47)+SUMIFS(Gear!$H$4:$H$603,Gear!$A$4:$A$603,A47,Gear!$B$4:$B$603,"Magus",Gear!$C$4:$C$603,Inputs!$C$5)</f>
        <v/>
      </c>
      <c r="Q47" s="9">
        <f>INDEX('Class Table'!$J$4:$J$53,A47)+SUMIFS(Gear!$I$4:$I$603,Gear!$A$4:$A$603,A47,Gear!$B$4:$B$603,"Magus",Gear!$C$4:$C$603,Inputs!$C$5)</f>
        <v/>
      </c>
      <c r="R47" s="13">
        <f>SUMIFS(Gear!$O$4:$O$603,Gear!$A$4:$A$603,A47,Gear!$B$4:$B$603,"Magus",Gear!$C$4:$C$603,Inputs!$C$5)</f>
        <v/>
      </c>
      <c r="S47" s="26">
        <f>I47+0+G47+A47+MAX(1,A47/2)+(A47-B47)</f>
        <v/>
      </c>
      <c r="T47" s="9">
        <f>MAX(0,S47*(1+M47)*(1+L47)*Inputs!$C$20*(1-D47/Inputs!$C$19)-D47/25)</f>
        <v/>
      </c>
      <c r="U47" s="16">
        <f>H47/10*(1-MIN(0.95,N47+0))*Inputs!$C$21</f>
        <v/>
      </c>
      <c r="V47" s="27">
        <f>T47/U47</f>
        <v/>
      </c>
      <c r="W47" s="16">
        <f>(1+J47)*(1+K47)*Inputs!$C$20</f>
        <v/>
      </c>
      <c r="X47" s="17">
        <f>P47*Inputs!$C$23/Inputs!$C$22</f>
        <v/>
      </c>
      <c r="Y47" s="17">
        <f>IF(INDEX(Abilities!$A$14:$A$23,1)&lt;=A47,INDEX(Abilities!$C$14:$C$23,1)*CHOOSE(Inputs!$C$13,1,INDEX(Abilities!$J$14:$J$23,1),INDEX(Abilities!$I$14:$I$23,1))*W47/MAX(INDEX(Abilities!$D$14:$D$23,1),Inputs!$C$12),0)</f>
        <v/>
      </c>
      <c r="Z47" s="17">
        <f>IF(INDEX(Abilities!$A$14:$A$23,2)&lt;=A47,INDEX(Abilities!$C$14:$C$23,2)*CHOOSE(Inputs!$C$13,1,INDEX(Abilities!$J$14:$J$23,2),INDEX(Abilities!$I$14:$I$23,2))*W47/MAX(INDEX(Abilities!$D$14:$D$23,2),Inputs!$C$12),0)</f>
        <v/>
      </c>
      <c r="AA47" s="17">
        <f>IF(INDEX(Abilities!$A$14:$A$23,3)&lt;=A47,INDEX(Abilities!$C$14:$C$23,3)*CHOOSE(Inputs!$C$13,1,INDEX(Abilities!$J$14:$J$23,3),INDEX(Abilities!$I$14:$I$23,3))*W47/MAX(INDEX(Abilities!$D$14:$D$23,3),Inputs!$C$12),0)</f>
        <v/>
      </c>
      <c r="AB47" s="17">
        <f>IF(INDEX(Abilities!$A$14:$A$23,4)&lt;=A47,INDEX(Abilities!$C$14:$C$23,4)*CHOOSE(Inputs!$C$13,1,INDEX(Abilities!$J$14:$J$23,4),INDEX(Abilities!$I$14:$I$23,4))*W47/MAX(INDEX(Abilities!$D$14:$D$23,4),Inputs!$C$12),0)</f>
        <v/>
      </c>
      <c r="AC47" s="17">
        <f>IF(INDEX(Abilities!$A$14:$A$23,5)&lt;=A47,INDEX(Abilities!$C$14:$C$23,5)*CHOOSE(Inputs!$C$13,1,INDEX(Abilities!$J$14:$J$23,5),INDEX(Abilities!$I$14:$I$23,5))*W47/MAX(INDEX(Abilities!$D$14:$D$23,5),Inputs!$C$12),0)</f>
        <v/>
      </c>
      <c r="AD47" s="17">
        <f>IF(INDEX(Abilities!$A$14:$A$23,6)&lt;=A47,INDEX(Abilities!$C$14:$C$23,6)*CHOOSE(Inputs!$C$13,1,INDEX(Abilities!$J$14:$J$23,6),INDEX(Abilities!$I$14:$I$23,6))*W47/MAX(INDEX(Abilities!$D$14:$D$23,6),Inputs!$C$12),0)</f>
        <v/>
      </c>
      <c r="AE47" s="17">
        <f>IF(INDEX(Abilities!$A$14:$A$23,7)&lt;=A47,INDEX(Abilities!$C$14:$C$23,7)*CHOOSE(Inputs!$C$13,1,INDEX(Abilities!$J$14:$J$23,7),INDEX(Abilities!$I$14:$I$23,7))*W47/MAX(INDEX(Abilities!$D$14:$D$23,7),Inputs!$C$12),0)</f>
        <v/>
      </c>
      <c r="AF47" s="17">
        <f>IF(INDEX(Abilities!$A$14:$A$23,8)&lt;=A47,INDEX(Abilities!$C$14:$C$23,8)*CHOOSE(Inputs!$C$13,1,INDEX(Abilities!$J$14:$J$23,8),INDEX(Abilities!$I$14:$I$23,8))*W47/MAX(INDEX(Abilities!$D$14:$D$23,8),Inputs!$C$12),0)</f>
        <v/>
      </c>
      <c r="AG47" s="17">
        <f>IF(INDEX(Abilities!$A$14:$A$23,9)&lt;=A47,INDEX(Abilities!$C$14:$C$23,9)*CHOOSE(Inputs!$C$13,1,INDEX(Abilities!$J$14:$J$23,9),INDEX(Abilities!$I$14:$I$23,9))*W47/MAX(INDEX(Abilities!$D$14:$D$23,9),Inputs!$C$12),0)</f>
        <v/>
      </c>
      <c r="AH47" s="17">
        <f>IF(INDEX(Abilities!$A$14:$A$23,10)&lt;=A47,INDEX(Abilities!$C$14:$C$23,10)*CHOOSE(Inputs!$C$13,1,INDEX(Abilities!$J$14:$J$23,10),INDEX(Abilities!$I$14:$I$23,10))*W47/MAX(INDEX(Abilities!$D$14:$D$23,10),Inputs!$C$12),0)</f>
        <v/>
      </c>
      <c r="AI47" s="17">
        <f>IF(INDEX(Abilities!$A$14:$A$23,1)&lt;=A47,MIN(Y47,X47*INDEX(Abilities!$C$14:$C$23,1)*CHOOSE(Inputs!$C$13,1,INDEX(Abilities!$J$14:$J$23,1),INDEX(Abilities!$I$14:$I$23,1))*W47/INDEX(Abilities!$E$14:$E$23,1)),0)</f>
        <v/>
      </c>
      <c r="AJ47" s="17">
        <f>IF(INDEX(Abilities!$A$14:$A$23,2)&lt;=A47,MIN(Z47,X47*INDEX(Abilities!$C$14:$C$23,2)*CHOOSE(Inputs!$C$13,1,INDEX(Abilities!$J$14:$J$23,2),INDEX(Abilities!$I$14:$I$23,2))*W47/INDEX(Abilities!$E$14:$E$23,2)),0)</f>
        <v/>
      </c>
      <c r="AK47" s="17">
        <f>IF(INDEX(Abilities!$A$14:$A$23,3)&lt;=A47,MIN(AA47,X47*INDEX(Abilities!$C$14:$C$23,3)*CHOOSE(Inputs!$C$13,1,INDEX(Abilities!$J$14:$J$23,3),INDEX(Abilities!$I$14:$I$23,3))*W47/INDEX(Abilities!$E$14:$E$23,3)),0)</f>
        <v/>
      </c>
      <c r="AL47" s="17">
        <f>IF(INDEX(Abilities!$A$14:$A$23,4)&lt;=A47,MIN(AB47,X47*INDEX(Abilities!$C$14:$C$23,4)*CHOOSE(Inputs!$C$13,1,INDEX(Abilities!$J$14:$J$23,4),INDEX(Abilities!$I$14:$I$23,4))*W47/INDEX(Abilities!$E$14:$E$23,4)),0)</f>
        <v/>
      </c>
      <c r="AM47" s="17">
        <f>IF(INDEX(Abilities!$A$14:$A$23,5)&lt;=A47,MIN(AC47,X47*INDEX(Abilities!$C$14:$C$23,5)*CHOOSE(Inputs!$C$13,1,INDEX(Abilities!$J$14:$J$23,5),INDEX(Abilities!$I$14:$I$23,5))*W47/INDEX(Abilities!$E$14:$E$23,5)),0)</f>
        <v/>
      </c>
      <c r="AN47" s="17">
        <f>IF(INDEX(Abilities!$A$14:$A$23,6)&lt;=A47,MIN(AD47,X47*INDEX(Abilities!$C$14:$C$23,6)*CHOOSE(Inputs!$C$13,1,INDEX(Abilities!$J$14:$J$23,6),INDEX(Abilities!$I$14:$I$23,6))*W47/INDEX(Abilities!$E$14:$E$23,6)),0)</f>
        <v/>
      </c>
      <c r="AO47" s="17">
        <f>IF(INDEX(Abilities!$A$14:$A$23,7)&lt;=A47,MIN(AE47,X47*INDEX(Abilities!$C$14:$C$23,7)*CHOOSE(Inputs!$C$13,1,INDEX(Abilities!$J$14:$J$23,7),INDEX(Abilities!$I$14:$I$23,7))*W47/INDEX(Abilities!$E$14:$E$23,7)),0)</f>
        <v/>
      </c>
      <c r="AP47" s="17">
        <f>IF(INDEX(Abilities!$A$14:$A$23,8)&lt;=A47,MIN(AF47,X47*INDEX(Abilities!$C$14:$C$23,8)*CHOOSE(Inputs!$C$13,1,INDEX(Abilities!$J$14:$J$23,8),INDEX(Abilities!$I$14:$I$23,8))*W47/INDEX(Abilities!$E$14:$E$23,8)),0)</f>
        <v/>
      </c>
      <c r="AQ47" s="17">
        <f>IF(INDEX(Abilities!$A$14:$A$23,9)&lt;=A47,MIN(AG47,X47*INDEX(Abilities!$C$14:$C$23,9)*CHOOSE(Inputs!$C$13,1,INDEX(Abilities!$J$14:$J$23,9),INDEX(Abilities!$I$14:$I$23,9))*W47/INDEX(Abilities!$E$14:$E$23,9)),0)</f>
        <v/>
      </c>
      <c r="AR47" s="17">
        <f>IF(INDEX(Abilities!$A$14:$A$23,10)&lt;=A47,MIN(AH47,X47*INDEX(Abilities!$C$14:$C$23,10)*CHOOSE(Inputs!$C$13,1,INDEX(Abilities!$J$14:$J$23,10),INDEX(Abilities!$I$14:$I$23,10))*W47/INDEX(Abilities!$E$14:$E$23,10)),0)</f>
        <v/>
      </c>
      <c r="AS47" s="17">
        <f>IF(INDEX(Abilities!$A$14:$A$23,1)&lt;=A47,INDEX(Abilities!$C$14:$C$23,1)*CHOOSE(Inputs!$C$13,1,INDEX(Abilities!$J$14:$J$23,1),INDEX(Abilities!$I$14:$I$23,1))*W47/MAX(INDEX(Abilities!$D$14:$D$23,1),2*Inputs!$C$12),0)</f>
        <v/>
      </c>
      <c r="AT47" s="17">
        <f>IF(INDEX(Abilities!$A$14:$A$23,2)&lt;=A47,INDEX(Abilities!$C$14:$C$23,2)*CHOOSE(Inputs!$C$13,1,INDEX(Abilities!$J$14:$J$23,2),INDEX(Abilities!$I$14:$I$23,2))*W47/MAX(INDEX(Abilities!$D$14:$D$23,2),2*Inputs!$C$12),0)</f>
        <v/>
      </c>
      <c r="AU47" s="17">
        <f>IF(INDEX(Abilities!$A$14:$A$23,3)&lt;=A47,INDEX(Abilities!$C$14:$C$23,3)*CHOOSE(Inputs!$C$13,1,INDEX(Abilities!$J$14:$J$23,3),INDEX(Abilities!$I$14:$I$23,3))*W47/MAX(INDEX(Abilities!$D$14:$D$23,3),2*Inputs!$C$12),0)</f>
        <v/>
      </c>
      <c r="AV47" s="17">
        <f>IF(INDEX(Abilities!$A$14:$A$23,4)&lt;=A47,INDEX(Abilities!$C$14:$C$23,4)*CHOOSE(Inputs!$C$13,1,INDEX(Abilities!$J$14:$J$23,4),INDEX(Abilities!$I$14:$I$23,4))*W47/MAX(INDEX(Abilities!$D$14:$D$23,4),2*Inputs!$C$12),0)</f>
        <v/>
      </c>
      <c r="AW47" s="17">
        <f>IF(INDEX(Abilities!$A$14:$A$23,5)&lt;=A47,INDEX(Abilities!$C$14:$C$23,5)*CHOOSE(Inputs!$C$13,1,INDEX(Abilities!$J$14:$J$23,5),INDEX(Abilities!$I$14:$I$23,5))*W47/MAX(INDEX(Abilities!$D$14:$D$23,5),2*Inputs!$C$12),0)</f>
        <v/>
      </c>
      <c r="AX47" s="17">
        <f>IF(INDEX(Abilities!$A$14:$A$23,6)&lt;=A47,INDEX(Abilities!$C$14:$C$23,6)*CHOOSE(Inputs!$C$13,1,INDEX(Abilities!$J$14:$J$23,6),INDEX(Abilities!$I$14:$I$23,6))*W47/MAX(INDEX(Abilities!$D$14:$D$23,6),2*Inputs!$C$12),0)</f>
        <v/>
      </c>
      <c r="AY47" s="17">
        <f>IF(INDEX(Abilities!$A$14:$A$23,7)&lt;=A47,INDEX(Abilities!$C$14:$C$23,7)*CHOOSE(Inputs!$C$13,1,INDEX(Abilities!$J$14:$J$23,7),INDEX(Abilities!$I$14:$I$23,7))*W47/MAX(INDEX(Abilities!$D$14:$D$23,7),2*Inputs!$C$12),0)</f>
        <v/>
      </c>
      <c r="AZ47" s="17">
        <f>IF(INDEX(Abilities!$A$14:$A$23,8)&lt;=A47,INDEX(Abilities!$C$14:$C$23,8)*CHOOSE(Inputs!$C$13,1,INDEX(Abilities!$J$14:$J$23,8),INDEX(Abilities!$I$14:$I$23,8))*W47/MAX(INDEX(Abilities!$D$14:$D$23,8),2*Inputs!$C$12),0)</f>
        <v/>
      </c>
      <c r="BA47" s="17">
        <f>IF(INDEX(Abilities!$A$14:$A$23,9)&lt;=A47,INDEX(Abilities!$C$14:$C$23,9)*CHOOSE(Inputs!$C$13,1,INDEX(Abilities!$J$14:$J$23,9),INDEX(Abilities!$I$14:$I$23,9))*W47/MAX(INDEX(Abilities!$D$14:$D$23,9),2*Inputs!$C$12),0)</f>
        <v/>
      </c>
      <c r="BB47" s="17">
        <f>IF(INDEX(Abilities!$A$14:$A$23,10)&lt;=A47,INDEX(Abilities!$C$14:$C$23,10)*CHOOSE(Inputs!$C$13,1,INDEX(Abilities!$J$14:$J$23,10),INDEX(Abilities!$I$14:$I$23,10))*W47/MAX(INDEX(Abilities!$D$14:$D$23,10),2*Inputs!$C$12),0)</f>
        <v/>
      </c>
      <c r="BC47" s="27">
        <f>MAX(Y47:AH47)</f>
        <v/>
      </c>
      <c r="BD47" s="8">
        <f>MATCH(BC47,Y47:AH47,0)</f>
        <v/>
      </c>
      <c r="BE47" s="15">
        <f>INDEX(Abilities!$B$14:$B$23,BD47)</f>
        <v/>
      </c>
      <c r="BF47" s="16">
        <f>CHOOSE(Inputs!$C$13,1,INDEX(Abilities!$J$14:$J$23,BD47),INDEX(Abilities!$I$14:$I$23,BD47))</f>
        <v/>
      </c>
      <c r="BG47" s="17">
        <f>INDEX(Abilities!$E$14:$E$23,BD47)/MAX(INDEX(Abilities!$D$14:$D$23,BD47),Inputs!$C$12)</f>
        <v/>
      </c>
      <c r="BH47" s="27">
        <f>MAX(AI47:AR47)</f>
        <v/>
      </c>
      <c r="BI47" s="8">
        <f>MATCH(BH47,AI47:AR47,0)</f>
        <v/>
      </c>
      <c r="BJ47" s="15">
        <f>INDEX(Abilities!$B$14:$B$23,BI47)</f>
        <v/>
      </c>
      <c r="BK47" s="14">
        <f>IFERROR(ROUNDUP(C47/(INDEX(Abilities!$C$14:$C$23,BD47)*W47),0),"-")</f>
        <v/>
      </c>
      <c r="BL47" s="9">
        <f>IFERROR(C47*INDEX(Abilities!$E$14:$E$23,BI47)/(INDEX(Abilities!$C$14:$C$23,BI47)*CHOOSE(Inputs!$C$13,1,INDEX(Abilities!$J$14:$J$23,BI47),INDEX(Abilities!$I$14:$I$23,BI47))*W47),"-")</f>
        <v/>
      </c>
      <c r="BM47" s="60">
        <f>IFERROR(P47/BL47,"-")</f>
        <v/>
      </c>
      <c r="BN47" s="17">
        <f>BH47+Inputs!$C$18*V47</f>
        <v/>
      </c>
      <c r="BO47" s="17">
        <f>BC47+Inputs!$C$18*V47</f>
        <v/>
      </c>
      <c r="BP47" s="27">
        <f>LARGE(AS47:BB47,1)+LARGE(AS47:BB47,2)</f>
        <v/>
      </c>
      <c r="BQ47" s="60">
        <f>IFERROR(IF(BG47&lt;=X47,C47/BO47,IF(C47/BO47*(BG47-X47)&lt;=P47,C47/BO47,P47/(BG47-X47)+(C47-BO47*P47/(BG47-X47))/BN47)),"-")</f>
        <v/>
      </c>
      <c r="BR47" s="60">
        <f>BQ47</f>
        <v/>
      </c>
      <c r="BS47" s="9">
        <f>MAX(0,(E47+(B47-A47))*(1-R47)*(1-Q47*'Class Table'!$O$7/Inputs!$C$19)-Q47*'Class Table'!$O$7/25)</f>
        <v/>
      </c>
      <c r="BT47" s="26">
        <f>IFERROR(BS47/F47*BR47,"-")</f>
        <v/>
      </c>
      <c r="BU47" s="28">
        <f>IFERROR(BT47/O47,"-")</f>
        <v/>
      </c>
      <c r="BV47" s="9">
        <f>IFERROR(O47*Inputs!$C$24/Inputs!$C$22*BR47,"-")</f>
        <v/>
      </c>
      <c r="BW47" s="28">
        <f>IFERROR(MAX(0,BT47-BV47)/O47,"-")</f>
        <v/>
      </c>
    </row>
    <row r="48">
      <c r="A48" s="8" t="n">
        <v>45</v>
      </c>
      <c r="B48" s="14">
        <f>'Mob by Level'!B48</f>
        <v/>
      </c>
      <c r="C48" s="9">
        <f>'Mob by Level'!C48</f>
        <v/>
      </c>
      <c r="D48" s="9">
        <f>'Mob by Level'!D48</f>
        <v/>
      </c>
      <c r="E48" s="9">
        <f>'Mob by Level'!E48</f>
        <v/>
      </c>
      <c r="F48" s="16">
        <f>'Mob by Level'!F48</f>
        <v/>
      </c>
      <c r="G48" s="14">
        <f>SUMIFS(Gear!$D$4:$D$603,Gear!$A$4:$A$603,A48,Gear!$B$4:$B$603,"Magus",Gear!$C$4:$C$603,Inputs!$C$5)</f>
        <v/>
      </c>
      <c r="H48" s="14">
        <f>SUMIFS(Gear!$E$4:$E$603,Gear!$A$4:$A$603,A48,Gear!$B$4:$B$603,"Magus",Gear!$C$4:$C$603,Inputs!$C$5)</f>
        <v/>
      </c>
      <c r="I48" s="14">
        <f>SUMIFS(Gear!$F$4:$F$603,Gear!$A$4:$A$603,A48,Gear!$B$4:$B$603,"Magus",Gear!$C$4:$C$603,Inputs!$C$5)+Inputs!$C$17*IFERROR(LOOKUP(A48,Abilities!$A$49:$A$53,Abilities!$C$49:$C$53),0)</f>
        <v/>
      </c>
      <c r="J48" s="13">
        <f>SUMIFS(Gear!$J$4:$J$603,Gear!$A$4:$A$603,A48,Gear!$B$4:$B$603,"Magus",Gear!$C$4:$C$603,Inputs!$C$5)</f>
        <v/>
      </c>
      <c r="K48" s="13">
        <f>SUMIFS(Gear!$K$4:$K$603,Gear!$A$4:$A$603,A48,Gear!$B$4:$B$603,"Magus",Gear!$C$4:$C$603,Inputs!$C$5)</f>
        <v/>
      </c>
      <c r="L48" s="13">
        <f>SUMIFS(Gear!$L$4:$L$603,Gear!$A$4:$A$603,A48,Gear!$B$4:$B$603,"Magus",Gear!$C$4:$C$603,Inputs!$C$5)</f>
        <v/>
      </c>
      <c r="M48" s="13">
        <f>SUMIFS(Gear!$M$4:$M$603,Gear!$A$4:$A$603,A48,Gear!$B$4:$B$603,"Magus",Gear!$C$4:$C$603,Inputs!$C$5)</f>
        <v/>
      </c>
      <c r="N48" s="13">
        <f>SUMIFS(Gear!$N$4:$N$603,Gear!$A$4:$A$603,A48,Gear!$B$4:$B$603,"Magus",Gear!$C$4:$C$603,Inputs!$C$5)</f>
        <v/>
      </c>
      <c r="O48" s="9">
        <f>INDEX('Class Table'!$H$4:$H$53,A48)+SUMIFS(Gear!$G$4:$G$603,Gear!$A$4:$A$603,A48,Gear!$B$4:$B$603,"Magus",Gear!$C$4:$C$603,Inputs!$C$5)</f>
        <v/>
      </c>
      <c r="P48" s="9">
        <f>INDEX('Class Table'!$I$4:$I$53,A48)+SUMIFS(Gear!$H$4:$H$603,Gear!$A$4:$A$603,A48,Gear!$B$4:$B$603,"Magus",Gear!$C$4:$C$603,Inputs!$C$5)</f>
        <v/>
      </c>
      <c r="Q48" s="9">
        <f>INDEX('Class Table'!$J$4:$J$53,A48)+SUMIFS(Gear!$I$4:$I$603,Gear!$A$4:$A$603,A48,Gear!$B$4:$B$603,"Magus",Gear!$C$4:$C$603,Inputs!$C$5)</f>
        <v/>
      </c>
      <c r="R48" s="13">
        <f>SUMIFS(Gear!$O$4:$O$603,Gear!$A$4:$A$603,A48,Gear!$B$4:$B$603,"Magus",Gear!$C$4:$C$603,Inputs!$C$5)</f>
        <v/>
      </c>
      <c r="S48" s="26">
        <f>I48+0+G48+A48+MAX(1,A48/2)+(A48-B48)</f>
        <v/>
      </c>
      <c r="T48" s="9">
        <f>MAX(0,S48*(1+M48)*(1+L48)*Inputs!$C$20*(1-D48/Inputs!$C$19)-D48/25)</f>
        <v/>
      </c>
      <c r="U48" s="16">
        <f>H48/10*(1-MIN(0.95,N48+0))*Inputs!$C$21</f>
        <v/>
      </c>
      <c r="V48" s="27">
        <f>T48/U48</f>
        <v/>
      </c>
      <c r="W48" s="16">
        <f>(1+J48)*(1+K48)*Inputs!$C$20</f>
        <v/>
      </c>
      <c r="X48" s="17">
        <f>P48*Inputs!$C$23/Inputs!$C$22</f>
        <v/>
      </c>
      <c r="Y48" s="17">
        <f>IF(INDEX(Abilities!$A$14:$A$23,1)&lt;=A48,INDEX(Abilities!$C$14:$C$23,1)*CHOOSE(Inputs!$C$13,1,INDEX(Abilities!$J$14:$J$23,1),INDEX(Abilities!$I$14:$I$23,1))*W48/MAX(INDEX(Abilities!$D$14:$D$23,1),Inputs!$C$12),0)</f>
        <v/>
      </c>
      <c r="Z48" s="17">
        <f>IF(INDEX(Abilities!$A$14:$A$23,2)&lt;=A48,INDEX(Abilities!$C$14:$C$23,2)*CHOOSE(Inputs!$C$13,1,INDEX(Abilities!$J$14:$J$23,2),INDEX(Abilities!$I$14:$I$23,2))*W48/MAX(INDEX(Abilities!$D$14:$D$23,2),Inputs!$C$12),0)</f>
        <v/>
      </c>
      <c r="AA48" s="17">
        <f>IF(INDEX(Abilities!$A$14:$A$23,3)&lt;=A48,INDEX(Abilities!$C$14:$C$23,3)*CHOOSE(Inputs!$C$13,1,INDEX(Abilities!$J$14:$J$23,3),INDEX(Abilities!$I$14:$I$23,3))*W48/MAX(INDEX(Abilities!$D$14:$D$23,3),Inputs!$C$12),0)</f>
        <v/>
      </c>
      <c r="AB48" s="17">
        <f>IF(INDEX(Abilities!$A$14:$A$23,4)&lt;=A48,INDEX(Abilities!$C$14:$C$23,4)*CHOOSE(Inputs!$C$13,1,INDEX(Abilities!$J$14:$J$23,4),INDEX(Abilities!$I$14:$I$23,4))*W48/MAX(INDEX(Abilities!$D$14:$D$23,4),Inputs!$C$12),0)</f>
        <v/>
      </c>
      <c r="AC48" s="17">
        <f>IF(INDEX(Abilities!$A$14:$A$23,5)&lt;=A48,INDEX(Abilities!$C$14:$C$23,5)*CHOOSE(Inputs!$C$13,1,INDEX(Abilities!$J$14:$J$23,5),INDEX(Abilities!$I$14:$I$23,5))*W48/MAX(INDEX(Abilities!$D$14:$D$23,5),Inputs!$C$12),0)</f>
        <v/>
      </c>
      <c r="AD48" s="17">
        <f>IF(INDEX(Abilities!$A$14:$A$23,6)&lt;=A48,INDEX(Abilities!$C$14:$C$23,6)*CHOOSE(Inputs!$C$13,1,INDEX(Abilities!$J$14:$J$23,6),INDEX(Abilities!$I$14:$I$23,6))*W48/MAX(INDEX(Abilities!$D$14:$D$23,6),Inputs!$C$12),0)</f>
        <v/>
      </c>
      <c r="AE48" s="17">
        <f>IF(INDEX(Abilities!$A$14:$A$23,7)&lt;=A48,INDEX(Abilities!$C$14:$C$23,7)*CHOOSE(Inputs!$C$13,1,INDEX(Abilities!$J$14:$J$23,7),INDEX(Abilities!$I$14:$I$23,7))*W48/MAX(INDEX(Abilities!$D$14:$D$23,7),Inputs!$C$12),0)</f>
        <v/>
      </c>
      <c r="AF48" s="17">
        <f>IF(INDEX(Abilities!$A$14:$A$23,8)&lt;=A48,INDEX(Abilities!$C$14:$C$23,8)*CHOOSE(Inputs!$C$13,1,INDEX(Abilities!$J$14:$J$23,8),INDEX(Abilities!$I$14:$I$23,8))*W48/MAX(INDEX(Abilities!$D$14:$D$23,8),Inputs!$C$12),0)</f>
        <v/>
      </c>
      <c r="AG48" s="17">
        <f>IF(INDEX(Abilities!$A$14:$A$23,9)&lt;=A48,INDEX(Abilities!$C$14:$C$23,9)*CHOOSE(Inputs!$C$13,1,INDEX(Abilities!$J$14:$J$23,9),INDEX(Abilities!$I$14:$I$23,9))*W48/MAX(INDEX(Abilities!$D$14:$D$23,9),Inputs!$C$12),0)</f>
        <v/>
      </c>
      <c r="AH48" s="17">
        <f>IF(INDEX(Abilities!$A$14:$A$23,10)&lt;=A48,INDEX(Abilities!$C$14:$C$23,10)*CHOOSE(Inputs!$C$13,1,INDEX(Abilities!$J$14:$J$23,10),INDEX(Abilities!$I$14:$I$23,10))*W48/MAX(INDEX(Abilities!$D$14:$D$23,10),Inputs!$C$12),0)</f>
        <v/>
      </c>
      <c r="AI48" s="17">
        <f>IF(INDEX(Abilities!$A$14:$A$23,1)&lt;=A48,MIN(Y48,X48*INDEX(Abilities!$C$14:$C$23,1)*CHOOSE(Inputs!$C$13,1,INDEX(Abilities!$J$14:$J$23,1),INDEX(Abilities!$I$14:$I$23,1))*W48/INDEX(Abilities!$E$14:$E$23,1)),0)</f>
        <v/>
      </c>
      <c r="AJ48" s="17">
        <f>IF(INDEX(Abilities!$A$14:$A$23,2)&lt;=A48,MIN(Z48,X48*INDEX(Abilities!$C$14:$C$23,2)*CHOOSE(Inputs!$C$13,1,INDEX(Abilities!$J$14:$J$23,2),INDEX(Abilities!$I$14:$I$23,2))*W48/INDEX(Abilities!$E$14:$E$23,2)),0)</f>
        <v/>
      </c>
      <c r="AK48" s="17">
        <f>IF(INDEX(Abilities!$A$14:$A$23,3)&lt;=A48,MIN(AA48,X48*INDEX(Abilities!$C$14:$C$23,3)*CHOOSE(Inputs!$C$13,1,INDEX(Abilities!$J$14:$J$23,3),INDEX(Abilities!$I$14:$I$23,3))*W48/INDEX(Abilities!$E$14:$E$23,3)),0)</f>
        <v/>
      </c>
      <c r="AL48" s="17">
        <f>IF(INDEX(Abilities!$A$14:$A$23,4)&lt;=A48,MIN(AB48,X48*INDEX(Abilities!$C$14:$C$23,4)*CHOOSE(Inputs!$C$13,1,INDEX(Abilities!$J$14:$J$23,4),INDEX(Abilities!$I$14:$I$23,4))*W48/INDEX(Abilities!$E$14:$E$23,4)),0)</f>
        <v/>
      </c>
      <c r="AM48" s="17">
        <f>IF(INDEX(Abilities!$A$14:$A$23,5)&lt;=A48,MIN(AC48,X48*INDEX(Abilities!$C$14:$C$23,5)*CHOOSE(Inputs!$C$13,1,INDEX(Abilities!$J$14:$J$23,5),INDEX(Abilities!$I$14:$I$23,5))*W48/INDEX(Abilities!$E$14:$E$23,5)),0)</f>
        <v/>
      </c>
      <c r="AN48" s="17">
        <f>IF(INDEX(Abilities!$A$14:$A$23,6)&lt;=A48,MIN(AD48,X48*INDEX(Abilities!$C$14:$C$23,6)*CHOOSE(Inputs!$C$13,1,INDEX(Abilities!$J$14:$J$23,6),INDEX(Abilities!$I$14:$I$23,6))*W48/INDEX(Abilities!$E$14:$E$23,6)),0)</f>
        <v/>
      </c>
      <c r="AO48" s="17">
        <f>IF(INDEX(Abilities!$A$14:$A$23,7)&lt;=A48,MIN(AE48,X48*INDEX(Abilities!$C$14:$C$23,7)*CHOOSE(Inputs!$C$13,1,INDEX(Abilities!$J$14:$J$23,7),INDEX(Abilities!$I$14:$I$23,7))*W48/INDEX(Abilities!$E$14:$E$23,7)),0)</f>
        <v/>
      </c>
      <c r="AP48" s="17">
        <f>IF(INDEX(Abilities!$A$14:$A$23,8)&lt;=A48,MIN(AF48,X48*INDEX(Abilities!$C$14:$C$23,8)*CHOOSE(Inputs!$C$13,1,INDEX(Abilities!$J$14:$J$23,8),INDEX(Abilities!$I$14:$I$23,8))*W48/INDEX(Abilities!$E$14:$E$23,8)),0)</f>
        <v/>
      </c>
      <c r="AQ48" s="17">
        <f>IF(INDEX(Abilities!$A$14:$A$23,9)&lt;=A48,MIN(AG48,X48*INDEX(Abilities!$C$14:$C$23,9)*CHOOSE(Inputs!$C$13,1,INDEX(Abilities!$J$14:$J$23,9),INDEX(Abilities!$I$14:$I$23,9))*W48/INDEX(Abilities!$E$14:$E$23,9)),0)</f>
        <v/>
      </c>
      <c r="AR48" s="17">
        <f>IF(INDEX(Abilities!$A$14:$A$23,10)&lt;=A48,MIN(AH48,X48*INDEX(Abilities!$C$14:$C$23,10)*CHOOSE(Inputs!$C$13,1,INDEX(Abilities!$J$14:$J$23,10),INDEX(Abilities!$I$14:$I$23,10))*W48/INDEX(Abilities!$E$14:$E$23,10)),0)</f>
        <v/>
      </c>
      <c r="AS48" s="17">
        <f>IF(INDEX(Abilities!$A$14:$A$23,1)&lt;=A48,INDEX(Abilities!$C$14:$C$23,1)*CHOOSE(Inputs!$C$13,1,INDEX(Abilities!$J$14:$J$23,1),INDEX(Abilities!$I$14:$I$23,1))*W48/MAX(INDEX(Abilities!$D$14:$D$23,1),2*Inputs!$C$12),0)</f>
        <v/>
      </c>
      <c r="AT48" s="17">
        <f>IF(INDEX(Abilities!$A$14:$A$23,2)&lt;=A48,INDEX(Abilities!$C$14:$C$23,2)*CHOOSE(Inputs!$C$13,1,INDEX(Abilities!$J$14:$J$23,2),INDEX(Abilities!$I$14:$I$23,2))*W48/MAX(INDEX(Abilities!$D$14:$D$23,2),2*Inputs!$C$12),0)</f>
        <v/>
      </c>
      <c r="AU48" s="17">
        <f>IF(INDEX(Abilities!$A$14:$A$23,3)&lt;=A48,INDEX(Abilities!$C$14:$C$23,3)*CHOOSE(Inputs!$C$13,1,INDEX(Abilities!$J$14:$J$23,3),INDEX(Abilities!$I$14:$I$23,3))*W48/MAX(INDEX(Abilities!$D$14:$D$23,3),2*Inputs!$C$12),0)</f>
        <v/>
      </c>
      <c r="AV48" s="17">
        <f>IF(INDEX(Abilities!$A$14:$A$23,4)&lt;=A48,INDEX(Abilities!$C$14:$C$23,4)*CHOOSE(Inputs!$C$13,1,INDEX(Abilities!$J$14:$J$23,4),INDEX(Abilities!$I$14:$I$23,4))*W48/MAX(INDEX(Abilities!$D$14:$D$23,4),2*Inputs!$C$12),0)</f>
        <v/>
      </c>
      <c r="AW48" s="17">
        <f>IF(INDEX(Abilities!$A$14:$A$23,5)&lt;=A48,INDEX(Abilities!$C$14:$C$23,5)*CHOOSE(Inputs!$C$13,1,INDEX(Abilities!$J$14:$J$23,5),INDEX(Abilities!$I$14:$I$23,5))*W48/MAX(INDEX(Abilities!$D$14:$D$23,5),2*Inputs!$C$12),0)</f>
        <v/>
      </c>
      <c r="AX48" s="17">
        <f>IF(INDEX(Abilities!$A$14:$A$23,6)&lt;=A48,INDEX(Abilities!$C$14:$C$23,6)*CHOOSE(Inputs!$C$13,1,INDEX(Abilities!$J$14:$J$23,6),INDEX(Abilities!$I$14:$I$23,6))*W48/MAX(INDEX(Abilities!$D$14:$D$23,6),2*Inputs!$C$12),0)</f>
        <v/>
      </c>
      <c r="AY48" s="17">
        <f>IF(INDEX(Abilities!$A$14:$A$23,7)&lt;=A48,INDEX(Abilities!$C$14:$C$23,7)*CHOOSE(Inputs!$C$13,1,INDEX(Abilities!$J$14:$J$23,7),INDEX(Abilities!$I$14:$I$23,7))*W48/MAX(INDEX(Abilities!$D$14:$D$23,7),2*Inputs!$C$12),0)</f>
        <v/>
      </c>
      <c r="AZ48" s="17">
        <f>IF(INDEX(Abilities!$A$14:$A$23,8)&lt;=A48,INDEX(Abilities!$C$14:$C$23,8)*CHOOSE(Inputs!$C$13,1,INDEX(Abilities!$J$14:$J$23,8),INDEX(Abilities!$I$14:$I$23,8))*W48/MAX(INDEX(Abilities!$D$14:$D$23,8),2*Inputs!$C$12),0)</f>
        <v/>
      </c>
      <c r="BA48" s="17">
        <f>IF(INDEX(Abilities!$A$14:$A$23,9)&lt;=A48,INDEX(Abilities!$C$14:$C$23,9)*CHOOSE(Inputs!$C$13,1,INDEX(Abilities!$J$14:$J$23,9),INDEX(Abilities!$I$14:$I$23,9))*W48/MAX(INDEX(Abilities!$D$14:$D$23,9),2*Inputs!$C$12),0)</f>
        <v/>
      </c>
      <c r="BB48" s="17">
        <f>IF(INDEX(Abilities!$A$14:$A$23,10)&lt;=A48,INDEX(Abilities!$C$14:$C$23,10)*CHOOSE(Inputs!$C$13,1,INDEX(Abilities!$J$14:$J$23,10),INDEX(Abilities!$I$14:$I$23,10))*W48/MAX(INDEX(Abilities!$D$14:$D$23,10),2*Inputs!$C$12),0)</f>
        <v/>
      </c>
      <c r="BC48" s="27">
        <f>MAX(Y48:AH48)</f>
        <v/>
      </c>
      <c r="BD48" s="8">
        <f>MATCH(BC48,Y48:AH48,0)</f>
        <v/>
      </c>
      <c r="BE48" s="15">
        <f>INDEX(Abilities!$B$14:$B$23,BD48)</f>
        <v/>
      </c>
      <c r="BF48" s="16">
        <f>CHOOSE(Inputs!$C$13,1,INDEX(Abilities!$J$14:$J$23,BD48),INDEX(Abilities!$I$14:$I$23,BD48))</f>
        <v/>
      </c>
      <c r="BG48" s="17">
        <f>INDEX(Abilities!$E$14:$E$23,BD48)/MAX(INDEX(Abilities!$D$14:$D$23,BD48),Inputs!$C$12)</f>
        <v/>
      </c>
      <c r="BH48" s="27">
        <f>MAX(AI48:AR48)</f>
        <v/>
      </c>
      <c r="BI48" s="8">
        <f>MATCH(BH48,AI48:AR48,0)</f>
        <v/>
      </c>
      <c r="BJ48" s="15">
        <f>INDEX(Abilities!$B$14:$B$23,BI48)</f>
        <v/>
      </c>
      <c r="BK48" s="14">
        <f>IFERROR(ROUNDUP(C48/(INDEX(Abilities!$C$14:$C$23,BD48)*W48),0),"-")</f>
        <v/>
      </c>
      <c r="BL48" s="9">
        <f>IFERROR(C48*INDEX(Abilities!$E$14:$E$23,BI48)/(INDEX(Abilities!$C$14:$C$23,BI48)*CHOOSE(Inputs!$C$13,1,INDEX(Abilities!$J$14:$J$23,BI48),INDEX(Abilities!$I$14:$I$23,BI48))*W48),"-")</f>
        <v/>
      </c>
      <c r="BM48" s="60">
        <f>IFERROR(P48/BL48,"-")</f>
        <v/>
      </c>
      <c r="BN48" s="17">
        <f>BH48+Inputs!$C$18*V48</f>
        <v/>
      </c>
      <c r="BO48" s="17">
        <f>BC48+Inputs!$C$18*V48</f>
        <v/>
      </c>
      <c r="BP48" s="27">
        <f>LARGE(AS48:BB48,1)+LARGE(AS48:BB48,2)</f>
        <v/>
      </c>
      <c r="BQ48" s="60">
        <f>IFERROR(IF(BG48&lt;=X48,C48/BO48,IF(C48/BO48*(BG48-X48)&lt;=P48,C48/BO48,P48/(BG48-X48)+(C48-BO48*P48/(BG48-X48))/BN48)),"-")</f>
        <v/>
      </c>
      <c r="BR48" s="60">
        <f>BQ48</f>
        <v/>
      </c>
      <c r="BS48" s="9">
        <f>MAX(0,(E48+(B48-A48))*(1-R48)*(1-Q48*'Class Table'!$O$7/Inputs!$C$19)-Q48*'Class Table'!$O$7/25)</f>
        <v/>
      </c>
      <c r="BT48" s="26">
        <f>IFERROR(BS48/F48*BR48,"-")</f>
        <v/>
      </c>
      <c r="BU48" s="28">
        <f>IFERROR(BT48/O48,"-")</f>
        <v/>
      </c>
      <c r="BV48" s="9">
        <f>IFERROR(O48*Inputs!$C$24/Inputs!$C$22*BR48,"-")</f>
        <v/>
      </c>
      <c r="BW48" s="28">
        <f>IFERROR(MAX(0,BT48-BV48)/O48,"-")</f>
        <v/>
      </c>
    </row>
    <row r="49">
      <c r="A49" s="8" t="n">
        <v>46</v>
      </c>
      <c r="B49" s="14">
        <f>'Mob by Level'!B49</f>
        <v/>
      </c>
      <c r="C49" s="9">
        <f>'Mob by Level'!C49</f>
        <v/>
      </c>
      <c r="D49" s="9">
        <f>'Mob by Level'!D49</f>
        <v/>
      </c>
      <c r="E49" s="9">
        <f>'Mob by Level'!E49</f>
        <v/>
      </c>
      <c r="F49" s="16">
        <f>'Mob by Level'!F49</f>
        <v/>
      </c>
      <c r="G49" s="14">
        <f>SUMIFS(Gear!$D$4:$D$603,Gear!$A$4:$A$603,A49,Gear!$B$4:$B$603,"Magus",Gear!$C$4:$C$603,Inputs!$C$5)</f>
        <v/>
      </c>
      <c r="H49" s="14">
        <f>SUMIFS(Gear!$E$4:$E$603,Gear!$A$4:$A$603,A49,Gear!$B$4:$B$603,"Magus",Gear!$C$4:$C$603,Inputs!$C$5)</f>
        <v/>
      </c>
      <c r="I49" s="14">
        <f>SUMIFS(Gear!$F$4:$F$603,Gear!$A$4:$A$603,A49,Gear!$B$4:$B$603,"Magus",Gear!$C$4:$C$603,Inputs!$C$5)+Inputs!$C$17*IFERROR(LOOKUP(A49,Abilities!$A$49:$A$53,Abilities!$C$49:$C$53),0)</f>
        <v/>
      </c>
      <c r="J49" s="13">
        <f>SUMIFS(Gear!$J$4:$J$603,Gear!$A$4:$A$603,A49,Gear!$B$4:$B$603,"Magus",Gear!$C$4:$C$603,Inputs!$C$5)</f>
        <v/>
      </c>
      <c r="K49" s="13">
        <f>SUMIFS(Gear!$K$4:$K$603,Gear!$A$4:$A$603,A49,Gear!$B$4:$B$603,"Magus",Gear!$C$4:$C$603,Inputs!$C$5)</f>
        <v/>
      </c>
      <c r="L49" s="13">
        <f>SUMIFS(Gear!$L$4:$L$603,Gear!$A$4:$A$603,A49,Gear!$B$4:$B$603,"Magus",Gear!$C$4:$C$603,Inputs!$C$5)</f>
        <v/>
      </c>
      <c r="M49" s="13">
        <f>SUMIFS(Gear!$M$4:$M$603,Gear!$A$4:$A$603,A49,Gear!$B$4:$B$603,"Magus",Gear!$C$4:$C$603,Inputs!$C$5)</f>
        <v/>
      </c>
      <c r="N49" s="13">
        <f>SUMIFS(Gear!$N$4:$N$603,Gear!$A$4:$A$603,A49,Gear!$B$4:$B$603,"Magus",Gear!$C$4:$C$603,Inputs!$C$5)</f>
        <v/>
      </c>
      <c r="O49" s="9">
        <f>INDEX('Class Table'!$H$4:$H$53,A49)+SUMIFS(Gear!$G$4:$G$603,Gear!$A$4:$A$603,A49,Gear!$B$4:$B$603,"Magus",Gear!$C$4:$C$603,Inputs!$C$5)</f>
        <v/>
      </c>
      <c r="P49" s="9">
        <f>INDEX('Class Table'!$I$4:$I$53,A49)+SUMIFS(Gear!$H$4:$H$603,Gear!$A$4:$A$603,A49,Gear!$B$4:$B$603,"Magus",Gear!$C$4:$C$603,Inputs!$C$5)</f>
        <v/>
      </c>
      <c r="Q49" s="9">
        <f>INDEX('Class Table'!$J$4:$J$53,A49)+SUMIFS(Gear!$I$4:$I$603,Gear!$A$4:$A$603,A49,Gear!$B$4:$B$603,"Magus",Gear!$C$4:$C$603,Inputs!$C$5)</f>
        <v/>
      </c>
      <c r="R49" s="13">
        <f>SUMIFS(Gear!$O$4:$O$603,Gear!$A$4:$A$603,A49,Gear!$B$4:$B$603,"Magus",Gear!$C$4:$C$603,Inputs!$C$5)</f>
        <v/>
      </c>
      <c r="S49" s="26">
        <f>I49+0+G49+A49+MAX(1,A49/2)+(A49-B49)</f>
        <v/>
      </c>
      <c r="T49" s="9">
        <f>MAX(0,S49*(1+M49)*(1+L49)*Inputs!$C$20*(1-D49/Inputs!$C$19)-D49/25)</f>
        <v/>
      </c>
      <c r="U49" s="16">
        <f>H49/10*(1-MIN(0.95,N49+0))*Inputs!$C$21</f>
        <v/>
      </c>
      <c r="V49" s="27">
        <f>T49/U49</f>
        <v/>
      </c>
      <c r="W49" s="16">
        <f>(1+J49)*(1+K49)*Inputs!$C$20</f>
        <v/>
      </c>
      <c r="X49" s="17">
        <f>P49*Inputs!$C$23/Inputs!$C$22</f>
        <v/>
      </c>
      <c r="Y49" s="17">
        <f>IF(INDEX(Abilities!$A$14:$A$23,1)&lt;=A49,INDEX(Abilities!$C$14:$C$23,1)*CHOOSE(Inputs!$C$13,1,INDEX(Abilities!$J$14:$J$23,1),INDEX(Abilities!$I$14:$I$23,1))*W49/MAX(INDEX(Abilities!$D$14:$D$23,1),Inputs!$C$12),0)</f>
        <v/>
      </c>
      <c r="Z49" s="17">
        <f>IF(INDEX(Abilities!$A$14:$A$23,2)&lt;=A49,INDEX(Abilities!$C$14:$C$23,2)*CHOOSE(Inputs!$C$13,1,INDEX(Abilities!$J$14:$J$23,2),INDEX(Abilities!$I$14:$I$23,2))*W49/MAX(INDEX(Abilities!$D$14:$D$23,2),Inputs!$C$12),0)</f>
        <v/>
      </c>
      <c r="AA49" s="17">
        <f>IF(INDEX(Abilities!$A$14:$A$23,3)&lt;=A49,INDEX(Abilities!$C$14:$C$23,3)*CHOOSE(Inputs!$C$13,1,INDEX(Abilities!$J$14:$J$23,3),INDEX(Abilities!$I$14:$I$23,3))*W49/MAX(INDEX(Abilities!$D$14:$D$23,3),Inputs!$C$12),0)</f>
        <v/>
      </c>
      <c r="AB49" s="17">
        <f>IF(INDEX(Abilities!$A$14:$A$23,4)&lt;=A49,INDEX(Abilities!$C$14:$C$23,4)*CHOOSE(Inputs!$C$13,1,INDEX(Abilities!$J$14:$J$23,4),INDEX(Abilities!$I$14:$I$23,4))*W49/MAX(INDEX(Abilities!$D$14:$D$23,4),Inputs!$C$12),0)</f>
        <v/>
      </c>
      <c r="AC49" s="17">
        <f>IF(INDEX(Abilities!$A$14:$A$23,5)&lt;=A49,INDEX(Abilities!$C$14:$C$23,5)*CHOOSE(Inputs!$C$13,1,INDEX(Abilities!$J$14:$J$23,5),INDEX(Abilities!$I$14:$I$23,5))*W49/MAX(INDEX(Abilities!$D$14:$D$23,5),Inputs!$C$12),0)</f>
        <v/>
      </c>
      <c r="AD49" s="17">
        <f>IF(INDEX(Abilities!$A$14:$A$23,6)&lt;=A49,INDEX(Abilities!$C$14:$C$23,6)*CHOOSE(Inputs!$C$13,1,INDEX(Abilities!$J$14:$J$23,6),INDEX(Abilities!$I$14:$I$23,6))*W49/MAX(INDEX(Abilities!$D$14:$D$23,6),Inputs!$C$12),0)</f>
        <v/>
      </c>
      <c r="AE49" s="17">
        <f>IF(INDEX(Abilities!$A$14:$A$23,7)&lt;=A49,INDEX(Abilities!$C$14:$C$23,7)*CHOOSE(Inputs!$C$13,1,INDEX(Abilities!$J$14:$J$23,7),INDEX(Abilities!$I$14:$I$23,7))*W49/MAX(INDEX(Abilities!$D$14:$D$23,7),Inputs!$C$12),0)</f>
        <v/>
      </c>
      <c r="AF49" s="17">
        <f>IF(INDEX(Abilities!$A$14:$A$23,8)&lt;=A49,INDEX(Abilities!$C$14:$C$23,8)*CHOOSE(Inputs!$C$13,1,INDEX(Abilities!$J$14:$J$23,8),INDEX(Abilities!$I$14:$I$23,8))*W49/MAX(INDEX(Abilities!$D$14:$D$23,8),Inputs!$C$12),0)</f>
        <v/>
      </c>
      <c r="AG49" s="17">
        <f>IF(INDEX(Abilities!$A$14:$A$23,9)&lt;=A49,INDEX(Abilities!$C$14:$C$23,9)*CHOOSE(Inputs!$C$13,1,INDEX(Abilities!$J$14:$J$23,9),INDEX(Abilities!$I$14:$I$23,9))*W49/MAX(INDEX(Abilities!$D$14:$D$23,9),Inputs!$C$12),0)</f>
        <v/>
      </c>
      <c r="AH49" s="17">
        <f>IF(INDEX(Abilities!$A$14:$A$23,10)&lt;=A49,INDEX(Abilities!$C$14:$C$23,10)*CHOOSE(Inputs!$C$13,1,INDEX(Abilities!$J$14:$J$23,10),INDEX(Abilities!$I$14:$I$23,10))*W49/MAX(INDEX(Abilities!$D$14:$D$23,10),Inputs!$C$12),0)</f>
        <v/>
      </c>
      <c r="AI49" s="17">
        <f>IF(INDEX(Abilities!$A$14:$A$23,1)&lt;=A49,MIN(Y49,X49*INDEX(Abilities!$C$14:$C$23,1)*CHOOSE(Inputs!$C$13,1,INDEX(Abilities!$J$14:$J$23,1),INDEX(Abilities!$I$14:$I$23,1))*W49/INDEX(Abilities!$E$14:$E$23,1)),0)</f>
        <v/>
      </c>
      <c r="AJ49" s="17">
        <f>IF(INDEX(Abilities!$A$14:$A$23,2)&lt;=A49,MIN(Z49,X49*INDEX(Abilities!$C$14:$C$23,2)*CHOOSE(Inputs!$C$13,1,INDEX(Abilities!$J$14:$J$23,2),INDEX(Abilities!$I$14:$I$23,2))*W49/INDEX(Abilities!$E$14:$E$23,2)),0)</f>
        <v/>
      </c>
      <c r="AK49" s="17">
        <f>IF(INDEX(Abilities!$A$14:$A$23,3)&lt;=A49,MIN(AA49,X49*INDEX(Abilities!$C$14:$C$23,3)*CHOOSE(Inputs!$C$13,1,INDEX(Abilities!$J$14:$J$23,3),INDEX(Abilities!$I$14:$I$23,3))*W49/INDEX(Abilities!$E$14:$E$23,3)),0)</f>
        <v/>
      </c>
      <c r="AL49" s="17">
        <f>IF(INDEX(Abilities!$A$14:$A$23,4)&lt;=A49,MIN(AB49,X49*INDEX(Abilities!$C$14:$C$23,4)*CHOOSE(Inputs!$C$13,1,INDEX(Abilities!$J$14:$J$23,4),INDEX(Abilities!$I$14:$I$23,4))*W49/INDEX(Abilities!$E$14:$E$23,4)),0)</f>
        <v/>
      </c>
      <c r="AM49" s="17">
        <f>IF(INDEX(Abilities!$A$14:$A$23,5)&lt;=A49,MIN(AC49,X49*INDEX(Abilities!$C$14:$C$23,5)*CHOOSE(Inputs!$C$13,1,INDEX(Abilities!$J$14:$J$23,5),INDEX(Abilities!$I$14:$I$23,5))*W49/INDEX(Abilities!$E$14:$E$23,5)),0)</f>
        <v/>
      </c>
      <c r="AN49" s="17">
        <f>IF(INDEX(Abilities!$A$14:$A$23,6)&lt;=A49,MIN(AD49,X49*INDEX(Abilities!$C$14:$C$23,6)*CHOOSE(Inputs!$C$13,1,INDEX(Abilities!$J$14:$J$23,6),INDEX(Abilities!$I$14:$I$23,6))*W49/INDEX(Abilities!$E$14:$E$23,6)),0)</f>
        <v/>
      </c>
      <c r="AO49" s="17">
        <f>IF(INDEX(Abilities!$A$14:$A$23,7)&lt;=A49,MIN(AE49,X49*INDEX(Abilities!$C$14:$C$23,7)*CHOOSE(Inputs!$C$13,1,INDEX(Abilities!$J$14:$J$23,7),INDEX(Abilities!$I$14:$I$23,7))*W49/INDEX(Abilities!$E$14:$E$23,7)),0)</f>
        <v/>
      </c>
      <c r="AP49" s="17">
        <f>IF(INDEX(Abilities!$A$14:$A$23,8)&lt;=A49,MIN(AF49,X49*INDEX(Abilities!$C$14:$C$23,8)*CHOOSE(Inputs!$C$13,1,INDEX(Abilities!$J$14:$J$23,8),INDEX(Abilities!$I$14:$I$23,8))*W49/INDEX(Abilities!$E$14:$E$23,8)),0)</f>
        <v/>
      </c>
      <c r="AQ49" s="17">
        <f>IF(INDEX(Abilities!$A$14:$A$23,9)&lt;=A49,MIN(AG49,X49*INDEX(Abilities!$C$14:$C$23,9)*CHOOSE(Inputs!$C$13,1,INDEX(Abilities!$J$14:$J$23,9),INDEX(Abilities!$I$14:$I$23,9))*W49/INDEX(Abilities!$E$14:$E$23,9)),0)</f>
        <v/>
      </c>
      <c r="AR49" s="17">
        <f>IF(INDEX(Abilities!$A$14:$A$23,10)&lt;=A49,MIN(AH49,X49*INDEX(Abilities!$C$14:$C$23,10)*CHOOSE(Inputs!$C$13,1,INDEX(Abilities!$J$14:$J$23,10),INDEX(Abilities!$I$14:$I$23,10))*W49/INDEX(Abilities!$E$14:$E$23,10)),0)</f>
        <v/>
      </c>
      <c r="AS49" s="17">
        <f>IF(INDEX(Abilities!$A$14:$A$23,1)&lt;=A49,INDEX(Abilities!$C$14:$C$23,1)*CHOOSE(Inputs!$C$13,1,INDEX(Abilities!$J$14:$J$23,1),INDEX(Abilities!$I$14:$I$23,1))*W49/MAX(INDEX(Abilities!$D$14:$D$23,1),2*Inputs!$C$12),0)</f>
        <v/>
      </c>
      <c r="AT49" s="17">
        <f>IF(INDEX(Abilities!$A$14:$A$23,2)&lt;=A49,INDEX(Abilities!$C$14:$C$23,2)*CHOOSE(Inputs!$C$13,1,INDEX(Abilities!$J$14:$J$23,2),INDEX(Abilities!$I$14:$I$23,2))*W49/MAX(INDEX(Abilities!$D$14:$D$23,2),2*Inputs!$C$12),0)</f>
        <v/>
      </c>
      <c r="AU49" s="17">
        <f>IF(INDEX(Abilities!$A$14:$A$23,3)&lt;=A49,INDEX(Abilities!$C$14:$C$23,3)*CHOOSE(Inputs!$C$13,1,INDEX(Abilities!$J$14:$J$23,3),INDEX(Abilities!$I$14:$I$23,3))*W49/MAX(INDEX(Abilities!$D$14:$D$23,3),2*Inputs!$C$12),0)</f>
        <v/>
      </c>
      <c r="AV49" s="17">
        <f>IF(INDEX(Abilities!$A$14:$A$23,4)&lt;=A49,INDEX(Abilities!$C$14:$C$23,4)*CHOOSE(Inputs!$C$13,1,INDEX(Abilities!$J$14:$J$23,4),INDEX(Abilities!$I$14:$I$23,4))*W49/MAX(INDEX(Abilities!$D$14:$D$23,4),2*Inputs!$C$12),0)</f>
        <v/>
      </c>
      <c r="AW49" s="17">
        <f>IF(INDEX(Abilities!$A$14:$A$23,5)&lt;=A49,INDEX(Abilities!$C$14:$C$23,5)*CHOOSE(Inputs!$C$13,1,INDEX(Abilities!$J$14:$J$23,5),INDEX(Abilities!$I$14:$I$23,5))*W49/MAX(INDEX(Abilities!$D$14:$D$23,5),2*Inputs!$C$12),0)</f>
        <v/>
      </c>
      <c r="AX49" s="17">
        <f>IF(INDEX(Abilities!$A$14:$A$23,6)&lt;=A49,INDEX(Abilities!$C$14:$C$23,6)*CHOOSE(Inputs!$C$13,1,INDEX(Abilities!$J$14:$J$23,6),INDEX(Abilities!$I$14:$I$23,6))*W49/MAX(INDEX(Abilities!$D$14:$D$23,6),2*Inputs!$C$12),0)</f>
        <v/>
      </c>
      <c r="AY49" s="17">
        <f>IF(INDEX(Abilities!$A$14:$A$23,7)&lt;=A49,INDEX(Abilities!$C$14:$C$23,7)*CHOOSE(Inputs!$C$13,1,INDEX(Abilities!$J$14:$J$23,7),INDEX(Abilities!$I$14:$I$23,7))*W49/MAX(INDEX(Abilities!$D$14:$D$23,7),2*Inputs!$C$12),0)</f>
        <v/>
      </c>
      <c r="AZ49" s="17">
        <f>IF(INDEX(Abilities!$A$14:$A$23,8)&lt;=A49,INDEX(Abilities!$C$14:$C$23,8)*CHOOSE(Inputs!$C$13,1,INDEX(Abilities!$J$14:$J$23,8),INDEX(Abilities!$I$14:$I$23,8))*W49/MAX(INDEX(Abilities!$D$14:$D$23,8),2*Inputs!$C$12),0)</f>
        <v/>
      </c>
      <c r="BA49" s="17">
        <f>IF(INDEX(Abilities!$A$14:$A$23,9)&lt;=A49,INDEX(Abilities!$C$14:$C$23,9)*CHOOSE(Inputs!$C$13,1,INDEX(Abilities!$J$14:$J$23,9),INDEX(Abilities!$I$14:$I$23,9))*W49/MAX(INDEX(Abilities!$D$14:$D$23,9),2*Inputs!$C$12),0)</f>
        <v/>
      </c>
      <c r="BB49" s="17">
        <f>IF(INDEX(Abilities!$A$14:$A$23,10)&lt;=A49,INDEX(Abilities!$C$14:$C$23,10)*CHOOSE(Inputs!$C$13,1,INDEX(Abilities!$J$14:$J$23,10),INDEX(Abilities!$I$14:$I$23,10))*W49/MAX(INDEX(Abilities!$D$14:$D$23,10),2*Inputs!$C$12),0)</f>
        <v/>
      </c>
      <c r="BC49" s="27">
        <f>MAX(Y49:AH49)</f>
        <v/>
      </c>
      <c r="BD49" s="8">
        <f>MATCH(BC49,Y49:AH49,0)</f>
        <v/>
      </c>
      <c r="BE49" s="15">
        <f>INDEX(Abilities!$B$14:$B$23,BD49)</f>
        <v/>
      </c>
      <c r="BF49" s="16">
        <f>CHOOSE(Inputs!$C$13,1,INDEX(Abilities!$J$14:$J$23,BD49),INDEX(Abilities!$I$14:$I$23,BD49))</f>
        <v/>
      </c>
      <c r="BG49" s="17">
        <f>INDEX(Abilities!$E$14:$E$23,BD49)/MAX(INDEX(Abilities!$D$14:$D$23,BD49),Inputs!$C$12)</f>
        <v/>
      </c>
      <c r="BH49" s="27">
        <f>MAX(AI49:AR49)</f>
        <v/>
      </c>
      <c r="BI49" s="8">
        <f>MATCH(BH49,AI49:AR49,0)</f>
        <v/>
      </c>
      <c r="BJ49" s="15">
        <f>INDEX(Abilities!$B$14:$B$23,BI49)</f>
        <v/>
      </c>
      <c r="BK49" s="14">
        <f>IFERROR(ROUNDUP(C49/(INDEX(Abilities!$C$14:$C$23,BD49)*W49),0),"-")</f>
        <v/>
      </c>
      <c r="BL49" s="9">
        <f>IFERROR(C49*INDEX(Abilities!$E$14:$E$23,BI49)/(INDEX(Abilities!$C$14:$C$23,BI49)*CHOOSE(Inputs!$C$13,1,INDEX(Abilities!$J$14:$J$23,BI49),INDEX(Abilities!$I$14:$I$23,BI49))*W49),"-")</f>
        <v/>
      </c>
      <c r="BM49" s="60">
        <f>IFERROR(P49/BL49,"-")</f>
        <v/>
      </c>
      <c r="BN49" s="17">
        <f>BH49+Inputs!$C$18*V49</f>
        <v/>
      </c>
      <c r="BO49" s="17">
        <f>BC49+Inputs!$C$18*V49</f>
        <v/>
      </c>
      <c r="BP49" s="27">
        <f>LARGE(AS49:BB49,1)+LARGE(AS49:BB49,2)</f>
        <v/>
      </c>
      <c r="BQ49" s="60">
        <f>IFERROR(IF(BG49&lt;=X49,C49/BO49,IF(C49/BO49*(BG49-X49)&lt;=P49,C49/BO49,P49/(BG49-X49)+(C49-BO49*P49/(BG49-X49))/BN49)),"-")</f>
        <v/>
      </c>
      <c r="BR49" s="60">
        <f>BQ49</f>
        <v/>
      </c>
      <c r="BS49" s="9">
        <f>MAX(0,(E49+(B49-A49))*(1-R49)*(1-Q49*'Class Table'!$O$7/Inputs!$C$19)-Q49*'Class Table'!$O$7/25)</f>
        <v/>
      </c>
      <c r="BT49" s="26">
        <f>IFERROR(BS49/F49*BR49,"-")</f>
        <v/>
      </c>
      <c r="BU49" s="28">
        <f>IFERROR(BT49/O49,"-")</f>
        <v/>
      </c>
      <c r="BV49" s="9">
        <f>IFERROR(O49*Inputs!$C$24/Inputs!$C$22*BR49,"-")</f>
        <v/>
      </c>
      <c r="BW49" s="28">
        <f>IFERROR(MAX(0,BT49-BV49)/O49,"-")</f>
        <v/>
      </c>
    </row>
    <row r="50">
      <c r="A50" s="8" t="n">
        <v>47</v>
      </c>
      <c r="B50" s="14">
        <f>'Mob by Level'!B50</f>
        <v/>
      </c>
      <c r="C50" s="9">
        <f>'Mob by Level'!C50</f>
        <v/>
      </c>
      <c r="D50" s="9">
        <f>'Mob by Level'!D50</f>
        <v/>
      </c>
      <c r="E50" s="9">
        <f>'Mob by Level'!E50</f>
        <v/>
      </c>
      <c r="F50" s="16">
        <f>'Mob by Level'!F50</f>
        <v/>
      </c>
      <c r="G50" s="14">
        <f>SUMIFS(Gear!$D$4:$D$603,Gear!$A$4:$A$603,A50,Gear!$B$4:$B$603,"Magus",Gear!$C$4:$C$603,Inputs!$C$5)</f>
        <v/>
      </c>
      <c r="H50" s="14">
        <f>SUMIFS(Gear!$E$4:$E$603,Gear!$A$4:$A$603,A50,Gear!$B$4:$B$603,"Magus",Gear!$C$4:$C$603,Inputs!$C$5)</f>
        <v/>
      </c>
      <c r="I50" s="14">
        <f>SUMIFS(Gear!$F$4:$F$603,Gear!$A$4:$A$603,A50,Gear!$B$4:$B$603,"Magus",Gear!$C$4:$C$603,Inputs!$C$5)+Inputs!$C$17*IFERROR(LOOKUP(A50,Abilities!$A$49:$A$53,Abilities!$C$49:$C$53),0)</f>
        <v/>
      </c>
      <c r="J50" s="13">
        <f>SUMIFS(Gear!$J$4:$J$603,Gear!$A$4:$A$603,A50,Gear!$B$4:$B$603,"Magus",Gear!$C$4:$C$603,Inputs!$C$5)</f>
        <v/>
      </c>
      <c r="K50" s="13">
        <f>SUMIFS(Gear!$K$4:$K$603,Gear!$A$4:$A$603,A50,Gear!$B$4:$B$603,"Magus",Gear!$C$4:$C$603,Inputs!$C$5)</f>
        <v/>
      </c>
      <c r="L50" s="13">
        <f>SUMIFS(Gear!$L$4:$L$603,Gear!$A$4:$A$603,A50,Gear!$B$4:$B$603,"Magus",Gear!$C$4:$C$603,Inputs!$C$5)</f>
        <v/>
      </c>
      <c r="M50" s="13">
        <f>SUMIFS(Gear!$M$4:$M$603,Gear!$A$4:$A$603,A50,Gear!$B$4:$B$603,"Magus",Gear!$C$4:$C$603,Inputs!$C$5)</f>
        <v/>
      </c>
      <c r="N50" s="13">
        <f>SUMIFS(Gear!$N$4:$N$603,Gear!$A$4:$A$603,A50,Gear!$B$4:$B$603,"Magus",Gear!$C$4:$C$603,Inputs!$C$5)</f>
        <v/>
      </c>
      <c r="O50" s="9">
        <f>INDEX('Class Table'!$H$4:$H$53,A50)+SUMIFS(Gear!$G$4:$G$603,Gear!$A$4:$A$603,A50,Gear!$B$4:$B$603,"Magus",Gear!$C$4:$C$603,Inputs!$C$5)</f>
        <v/>
      </c>
      <c r="P50" s="9">
        <f>INDEX('Class Table'!$I$4:$I$53,A50)+SUMIFS(Gear!$H$4:$H$603,Gear!$A$4:$A$603,A50,Gear!$B$4:$B$603,"Magus",Gear!$C$4:$C$603,Inputs!$C$5)</f>
        <v/>
      </c>
      <c r="Q50" s="9">
        <f>INDEX('Class Table'!$J$4:$J$53,A50)+SUMIFS(Gear!$I$4:$I$603,Gear!$A$4:$A$603,A50,Gear!$B$4:$B$603,"Magus",Gear!$C$4:$C$603,Inputs!$C$5)</f>
        <v/>
      </c>
      <c r="R50" s="13">
        <f>SUMIFS(Gear!$O$4:$O$603,Gear!$A$4:$A$603,A50,Gear!$B$4:$B$603,"Magus",Gear!$C$4:$C$603,Inputs!$C$5)</f>
        <v/>
      </c>
      <c r="S50" s="26">
        <f>I50+0+G50+A50+MAX(1,A50/2)+(A50-B50)</f>
        <v/>
      </c>
      <c r="T50" s="9">
        <f>MAX(0,S50*(1+M50)*(1+L50)*Inputs!$C$20*(1-D50/Inputs!$C$19)-D50/25)</f>
        <v/>
      </c>
      <c r="U50" s="16">
        <f>H50/10*(1-MIN(0.95,N50+0))*Inputs!$C$21</f>
        <v/>
      </c>
      <c r="V50" s="27">
        <f>T50/U50</f>
        <v/>
      </c>
      <c r="W50" s="16">
        <f>(1+J50)*(1+K50)*Inputs!$C$20</f>
        <v/>
      </c>
      <c r="X50" s="17">
        <f>P50*Inputs!$C$23/Inputs!$C$22</f>
        <v/>
      </c>
      <c r="Y50" s="17">
        <f>IF(INDEX(Abilities!$A$14:$A$23,1)&lt;=A50,INDEX(Abilities!$C$14:$C$23,1)*CHOOSE(Inputs!$C$13,1,INDEX(Abilities!$J$14:$J$23,1),INDEX(Abilities!$I$14:$I$23,1))*W50/MAX(INDEX(Abilities!$D$14:$D$23,1),Inputs!$C$12),0)</f>
        <v/>
      </c>
      <c r="Z50" s="17">
        <f>IF(INDEX(Abilities!$A$14:$A$23,2)&lt;=A50,INDEX(Abilities!$C$14:$C$23,2)*CHOOSE(Inputs!$C$13,1,INDEX(Abilities!$J$14:$J$23,2),INDEX(Abilities!$I$14:$I$23,2))*W50/MAX(INDEX(Abilities!$D$14:$D$23,2),Inputs!$C$12),0)</f>
        <v/>
      </c>
      <c r="AA50" s="17">
        <f>IF(INDEX(Abilities!$A$14:$A$23,3)&lt;=A50,INDEX(Abilities!$C$14:$C$23,3)*CHOOSE(Inputs!$C$13,1,INDEX(Abilities!$J$14:$J$23,3),INDEX(Abilities!$I$14:$I$23,3))*W50/MAX(INDEX(Abilities!$D$14:$D$23,3),Inputs!$C$12),0)</f>
        <v/>
      </c>
      <c r="AB50" s="17">
        <f>IF(INDEX(Abilities!$A$14:$A$23,4)&lt;=A50,INDEX(Abilities!$C$14:$C$23,4)*CHOOSE(Inputs!$C$13,1,INDEX(Abilities!$J$14:$J$23,4),INDEX(Abilities!$I$14:$I$23,4))*W50/MAX(INDEX(Abilities!$D$14:$D$23,4),Inputs!$C$12),0)</f>
        <v/>
      </c>
      <c r="AC50" s="17">
        <f>IF(INDEX(Abilities!$A$14:$A$23,5)&lt;=A50,INDEX(Abilities!$C$14:$C$23,5)*CHOOSE(Inputs!$C$13,1,INDEX(Abilities!$J$14:$J$23,5),INDEX(Abilities!$I$14:$I$23,5))*W50/MAX(INDEX(Abilities!$D$14:$D$23,5),Inputs!$C$12),0)</f>
        <v/>
      </c>
      <c r="AD50" s="17">
        <f>IF(INDEX(Abilities!$A$14:$A$23,6)&lt;=A50,INDEX(Abilities!$C$14:$C$23,6)*CHOOSE(Inputs!$C$13,1,INDEX(Abilities!$J$14:$J$23,6),INDEX(Abilities!$I$14:$I$23,6))*W50/MAX(INDEX(Abilities!$D$14:$D$23,6),Inputs!$C$12),0)</f>
        <v/>
      </c>
      <c r="AE50" s="17">
        <f>IF(INDEX(Abilities!$A$14:$A$23,7)&lt;=A50,INDEX(Abilities!$C$14:$C$23,7)*CHOOSE(Inputs!$C$13,1,INDEX(Abilities!$J$14:$J$23,7),INDEX(Abilities!$I$14:$I$23,7))*W50/MAX(INDEX(Abilities!$D$14:$D$23,7),Inputs!$C$12),0)</f>
        <v/>
      </c>
      <c r="AF50" s="17">
        <f>IF(INDEX(Abilities!$A$14:$A$23,8)&lt;=A50,INDEX(Abilities!$C$14:$C$23,8)*CHOOSE(Inputs!$C$13,1,INDEX(Abilities!$J$14:$J$23,8),INDEX(Abilities!$I$14:$I$23,8))*W50/MAX(INDEX(Abilities!$D$14:$D$23,8),Inputs!$C$12),0)</f>
        <v/>
      </c>
      <c r="AG50" s="17">
        <f>IF(INDEX(Abilities!$A$14:$A$23,9)&lt;=A50,INDEX(Abilities!$C$14:$C$23,9)*CHOOSE(Inputs!$C$13,1,INDEX(Abilities!$J$14:$J$23,9),INDEX(Abilities!$I$14:$I$23,9))*W50/MAX(INDEX(Abilities!$D$14:$D$23,9),Inputs!$C$12),0)</f>
        <v/>
      </c>
      <c r="AH50" s="17">
        <f>IF(INDEX(Abilities!$A$14:$A$23,10)&lt;=A50,INDEX(Abilities!$C$14:$C$23,10)*CHOOSE(Inputs!$C$13,1,INDEX(Abilities!$J$14:$J$23,10),INDEX(Abilities!$I$14:$I$23,10))*W50/MAX(INDEX(Abilities!$D$14:$D$23,10),Inputs!$C$12),0)</f>
        <v/>
      </c>
      <c r="AI50" s="17">
        <f>IF(INDEX(Abilities!$A$14:$A$23,1)&lt;=A50,MIN(Y50,X50*INDEX(Abilities!$C$14:$C$23,1)*CHOOSE(Inputs!$C$13,1,INDEX(Abilities!$J$14:$J$23,1),INDEX(Abilities!$I$14:$I$23,1))*W50/INDEX(Abilities!$E$14:$E$23,1)),0)</f>
        <v/>
      </c>
      <c r="AJ50" s="17">
        <f>IF(INDEX(Abilities!$A$14:$A$23,2)&lt;=A50,MIN(Z50,X50*INDEX(Abilities!$C$14:$C$23,2)*CHOOSE(Inputs!$C$13,1,INDEX(Abilities!$J$14:$J$23,2),INDEX(Abilities!$I$14:$I$23,2))*W50/INDEX(Abilities!$E$14:$E$23,2)),0)</f>
        <v/>
      </c>
      <c r="AK50" s="17">
        <f>IF(INDEX(Abilities!$A$14:$A$23,3)&lt;=A50,MIN(AA50,X50*INDEX(Abilities!$C$14:$C$23,3)*CHOOSE(Inputs!$C$13,1,INDEX(Abilities!$J$14:$J$23,3),INDEX(Abilities!$I$14:$I$23,3))*W50/INDEX(Abilities!$E$14:$E$23,3)),0)</f>
        <v/>
      </c>
      <c r="AL50" s="17">
        <f>IF(INDEX(Abilities!$A$14:$A$23,4)&lt;=A50,MIN(AB50,X50*INDEX(Abilities!$C$14:$C$23,4)*CHOOSE(Inputs!$C$13,1,INDEX(Abilities!$J$14:$J$23,4),INDEX(Abilities!$I$14:$I$23,4))*W50/INDEX(Abilities!$E$14:$E$23,4)),0)</f>
        <v/>
      </c>
      <c r="AM50" s="17">
        <f>IF(INDEX(Abilities!$A$14:$A$23,5)&lt;=A50,MIN(AC50,X50*INDEX(Abilities!$C$14:$C$23,5)*CHOOSE(Inputs!$C$13,1,INDEX(Abilities!$J$14:$J$23,5),INDEX(Abilities!$I$14:$I$23,5))*W50/INDEX(Abilities!$E$14:$E$23,5)),0)</f>
        <v/>
      </c>
      <c r="AN50" s="17">
        <f>IF(INDEX(Abilities!$A$14:$A$23,6)&lt;=A50,MIN(AD50,X50*INDEX(Abilities!$C$14:$C$23,6)*CHOOSE(Inputs!$C$13,1,INDEX(Abilities!$J$14:$J$23,6),INDEX(Abilities!$I$14:$I$23,6))*W50/INDEX(Abilities!$E$14:$E$23,6)),0)</f>
        <v/>
      </c>
      <c r="AO50" s="17">
        <f>IF(INDEX(Abilities!$A$14:$A$23,7)&lt;=A50,MIN(AE50,X50*INDEX(Abilities!$C$14:$C$23,7)*CHOOSE(Inputs!$C$13,1,INDEX(Abilities!$J$14:$J$23,7),INDEX(Abilities!$I$14:$I$23,7))*W50/INDEX(Abilities!$E$14:$E$23,7)),0)</f>
        <v/>
      </c>
      <c r="AP50" s="17">
        <f>IF(INDEX(Abilities!$A$14:$A$23,8)&lt;=A50,MIN(AF50,X50*INDEX(Abilities!$C$14:$C$23,8)*CHOOSE(Inputs!$C$13,1,INDEX(Abilities!$J$14:$J$23,8),INDEX(Abilities!$I$14:$I$23,8))*W50/INDEX(Abilities!$E$14:$E$23,8)),0)</f>
        <v/>
      </c>
      <c r="AQ50" s="17">
        <f>IF(INDEX(Abilities!$A$14:$A$23,9)&lt;=A50,MIN(AG50,X50*INDEX(Abilities!$C$14:$C$23,9)*CHOOSE(Inputs!$C$13,1,INDEX(Abilities!$J$14:$J$23,9),INDEX(Abilities!$I$14:$I$23,9))*W50/INDEX(Abilities!$E$14:$E$23,9)),0)</f>
        <v/>
      </c>
      <c r="AR50" s="17">
        <f>IF(INDEX(Abilities!$A$14:$A$23,10)&lt;=A50,MIN(AH50,X50*INDEX(Abilities!$C$14:$C$23,10)*CHOOSE(Inputs!$C$13,1,INDEX(Abilities!$J$14:$J$23,10),INDEX(Abilities!$I$14:$I$23,10))*W50/INDEX(Abilities!$E$14:$E$23,10)),0)</f>
        <v/>
      </c>
      <c r="AS50" s="17">
        <f>IF(INDEX(Abilities!$A$14:$A$23,1)&lt;=A50,INDEX(Abilities!$C$14:$C$23,1)*CHOOSE(Inputs!$C$13,1,INDEX(Abilities!$J$14:$J$23,1),INDEX(Abilities!$I$14:$I$23,1))*W50/MAX(INDEX(Abilities!$D$14:$D$23,1),2*Inputs!$C$12),0)</f>
        <v/>
      </c>
      <c r="AT50" s="17">
        <f>IF(INDEX(Abilities!$A$14:$A$23,2)&lt;=A50,INDEX(Abilities!$C$14:$C$23,2)*CHOOSE(Inputs!$C$13,1,INDEX(Abilities!$J$14:$J$23,2),INDEX(Abilities!$I$14:$I$23,2))*W50/MAX(INDEX(Abilities!$D$14:$D$23,2),2*Inputs!$C$12),0)</f>
        <v/>
      </c>
      <c r="AU50" s="17">
        <f>IF(INDEX(Abilities!$A$14:$A$23,3)&lt;=A50,INDEX(Abilities!$C$14:$C$23,3)*CHOOSE(Inputs!$C$13,1,INDEX(Abilities!$J$14:$J$23,3),INDEX(Abilities!$I$14:$I$23,3))*W50/MAX(INDEX(Abilities!$D$14:$D$23,3),2*Inputs!$C$12),0)</f>
        <v/>
      </c>
      <c r="AV50" s="17">
        <f>IF(INDEX(Abilities!$A$14:$A$23,4)&lt;=A50,INDEX(Abilities!$C$14:$C$23,4)*CHOOSE(Inputs!$C$13,1,INDEX(Abilities!$J$14:$J$23,4),INDEX(Abilities!$I$14:$I$23,4))*W50/MAX(INDEX(Abilities!$D$14:$D$23,4),2*Inputs!$C$12),0)</f>
        <v/>
      </c>
      <c r="AW50" s="17">
        <f>IF(INDEX(Abilities!$A$14:$A$23,5)&lt;=A50,INDEX(Abilities!$C$14:$C$23,5)*CHOOSE(Inputs!$C$13,1,INDEX(Abilities!$J$14:$J$23,5),INDEX(Abilities!$I$14:$I$23,5))*W50/MAX(INDEX(Abilities!$D$14:$D$23,5),2*Inputs!$C$12),0)</f>
        <v/>
      </c>
      <c r="AX50" s="17">
        <f>IF(INDEX(Abilities!$A$14:$A$23,6)&lt;=A50,INDEX(Abilities!$C$14:$C$23,6)*CHOOSE(Inputs!$C$13,1,INDEX(Abilities!$J$14:$J$23,6),INDEX(Abilities!$I$14:$I$23,6))*W50/MAX(INDEX(Abilities!$D$14:$D$23,6),2*Inputs!$C$12),0)</f>
        <v/>
      </c>
      <c r="AY50" s="17">
        <f>IF(INDEX(Abilities!$A$14:$A$23,7)&lt;=A50,INDEX(Abilities!$C$14:$C$23,7)*CHOOSE(Inputs!$C$13,1,INDEX(Abilities!$J$14:$J$23,7),INDEX(Abilities!$I$14:$I$23,7))*W50/MAX(INDEX(Abilities!$D$14:$D$23,7),2*Inputs!$C$12),0)</f>
        <v/>
      </c>
      <c r="AZ50" s="17">
        <f>IF(INDEX(Abilities!$A$14:$A$23,8)&lt;=A50,INDEX(Abilities!$C$14:$C$23,8)*CHOOSE(Inputs!$C$13,1,INDEX(Abilities!$J$14:$J$23,8),INDEX(Abilities!$I$14:$I$23,8))*W50/MAX(INDEX(Abilities!$D$14:$D$23,8),2*Inputs!$C$12),0)</f>
        <v/>
      </c>
      <c r="BA50" s="17">
        <f>IF(INDEX(Abilities!$A$14:$A$23,9)&lt;=A50,INDEX(Abilities!$C$14:$C$23,9)*CHOOSE(Inputs!$C$13,1,INDEX(Abilities!$J$14:$J$23,9),INDEX(Abilities!$I$14:$I$23,9))*W50/MAX(INDEX(Abilities!$D$14:$D$23,9),2*Inputs!$C$12),0)</f>
        <v/>
      </c>
      <c r="BB50" s="17">
        <f>IF(INDEX(Abilities!$A$14:$A$23,10)&lt;=A50,INDEX(Abilities!$C$14:$C$23,10)*CHOOSE(Inputs!$C$13,1,INDEX(Abilities!$J$14:$J$23,10),INDEX(Abilities!$I$14:$I$23,10))*W50/MAX(INDEX(Abilities!$D$14:$D$23,10),2*Inputs!$C$12),0)</f>
        <v/>
      </c>
      <c r="BC50" s="27">
        <f>MAX(Y50:AH50)</f>
        <v/>
      </c>
      <c r="BD50" s="8">
        <f>MATCH(BC50,Y50:AH50,0)</f>
        <v/>
      </c>
      <c r="BE50" s="15">
        <f>INDEX(Abilities!$B$14:$B$23,BD50)</f>
        <v/>
      </c>
      <c r="BF50" s="16">
        <f>CHOOSE(Inputs!$C$13,1,INDEX(Abilities!$J$14:$J$23,BD50),INDEX(Abilities!$I$14:$I$23,BD50))</f>
        <v/>
      </c>
      <c r="BG50" s="17">
        <f>INDEX(Abilities!$E$14:$E$23,BD50)/MAX(INDEX(Abilities!$D$14:$D$23,BD50),Inputs!$C$12)</f>
        <v/>
      </c>
      <c r="BH50" s="27">
        <f>MAX(AI50:AR50)</f>
        <v/>
      </c>
      <c r="BI50" s="8">
        <f>MATCH(BH50,AI50:AR50,0)</f>
        <v/>
      </c>
      <c r="BJ50" s="15">
        <f>INDEX(Abilities!$B$14:$B$23,BI50)</f>
        <v/>
      </c>
      <c r="BK50" s="14">
        <f>IFERROR(ROUNDUP(C50/(INDEX(Abilities!$C$14:$C$23,BD50)*W50),0),"-")</f>
        <v/>
      </c>
      <c r="BL50" s="9">
        <f>IFERROR(C50*INDEX(Abilities!$E$14:$E$23,BI50)/(INDEX(Abilities!$C$14:$C$23,BI50)*CHOOSE(Inputs!$C$13,1,INDEX(Abilities!$J$14:$J$23,BI50),INDEX(Abilities!$I$14:$I$23,BI50))*W50),"-")</f>
        <v/>
      </c>
      <c r="BM50" s="60">
        <f>IFERROR(P50/BL50,"-")</f>
        <v/>
      </c>
      <c r="BN50" s="17">
        <f>BH50+Inputs!$C$18*V50</f>
        <v/>
      </c>
      <c r="BO50" s="17">
        <f>BC50+Inputs!$C$18*V50</f>
        <v/>
      </c>
      <c r="BP50" s="27">
        <f>LARGE(AS50:BB50,1)+LARGE(AS50:BB50,2)</f>
        <v/>
      </c>
      <c r="BQ50" s="60">
        <f>IFERROR(IF(BG50&lt;=X50,C50/BO50,IF(C50/BO50*(BG50-X50)&lt;=P50,C50/BO50,P50/(BG50-X50)+(C50-BO50*P50/(BG50-X50))/BN50)),"-")</f>
        <v/>
      </c>
      <c r="BR50" s="60">
        <f>BQ50</f>
        <v/>
      </c>
      <c r="BS50" s="9">
        <f>MAX(0,(E50+(B50-A50))*(1-R50)*(1-Q50*'Class Table'!$O$7/Inputs!$C$19)-Q50*'Class Table'!$O$7/25)</f>
        <v/>
      </c>
      <c r="BT50" s="26">
        <f>IFERROR(BS50/F50*BR50,"-")</f>
        <v/>
      </c>
      <c r="BU50" s="28">
        <f>IFERROR(BT50/O50,"-")</f>
        <v/>
      </c>
      <c r="BV50" s="9">
        <f>IFERROR(O50*Inputs!$C$24/Inputs!$C$22*BR50,"-")</f>
        <v/>
      </c>
      <c r="BW50" s="28">
        <f>IFERROR(MAX(0,BT50-BV50)/O50,"-")</f>
        <v/>
      </c>
    </row>
    <row r="51">
      <c r="A51" s="8" t="n">
        <v>48</v>
      </c>
      <c r="B51" s="14">
        <f>'Mob by Level'!B51</f>
        <v/>
      </c>
      <c r="C51" s="9">
        <f>'Mob by Level'!C51</f>
        <v/>
      </c>
      <c r="D51" s="9">
        <f>'Mob by Level'!D51</f>
        <v/>
      </c>
      <c r="E51" s="9">
        <f>'Mob by Level'!E51</f>
        <v/>
      </c>
      <c r="F51" s="16">
        <f>'Mob by Level'!F51</f>
        <v/>
      </c>
      <c r="G51" s="14">
        <f>SUMIFS(Gear!$D$4:$D$603,Gear!$A$4:$A$603,A51,Gear!$B$4:$B$603,"Magus",Gear!$C$4:$C$603,Inputs!$C$5)</f>
        <v/>
      </c>
      <c r="H51" s="14">
        <f>SUMIFS(Gear!$E$4:$E$603,Gear!$A$4:$A$603,A51,Gear!$B$4:$B$603,"Magus",Gear!$C$4:$C$603,Inputs!$C$5)</f>
        <v/>
      </c>
      <c r="I51" s="14">
        <f>SUMIFS(Gear!$F$4:$F$603,Gear!$A$4:$A$603,A51,Gear!$B$4:$B$603,"Magus",Gear!$C$4:$C$603,Inputs!$C$5)+Inputs!$C$17*IFERROR(LOOKUP(A51,Abilities!$A$49:$A$53,Abilities!$C$49:$C$53),0)</f>
        <v/>
      </c>
      <c r="J51" s="13">
        <f>SUMIFS(Gear!$J$4:$J$603,Gear!$A$4:$A$603,A51,Gear!$B$4:$B$603,"Magus",Gear!$C$4:$C$603,Inputs!$C$5)</f>
        <v/>
      </c>
      <c r="K51" s="13">
        <f>SUMIFS(Gear!$K$4:$K$603,Gear!$A$4:$A$603,A51,Gear!$B$4:$B$603,"Magus",Gear!$C$4:$C$603,Inputs!$C$5)</f>
        <v/>
      </c>
      <c r="L51" s="13">
        <f>SUMIFS(Gear!$L$4:$L$603,Gear!$A$4:$A$603,A51,Gear!$B$4:$B$603,"Magus",Gear!$C$4:$C$603,Inputs!$C$5)</f>
        <v/>
      </c>
      <c r="M51" s="13">
        <f>SUMIFS(Gear!$M$4:$M$603,Gear!$A$4:$A$603,A51,Gear!$B$4:$B$603,"Magus",Gear!$C$4:$C$603,Inputs!$C$5)</f>
        <v/>
      </c>
      <c r="N51" s="13">
        <f>SUMIFS(Gear!$N$4:$N$603,Gear!$A$4:$A$603,A51,Gear!$B$4:$B$603,"Magus",Gear!$C$4:$C$603,Inputs!$C$5)</f>
        <v/>
      </c>
      <c r="O51" s="9">
        <f>INDEX('Class Table'!$H$4:$H$53,A51)+SUMIFS(Gear!$G$4:$G$603,Gear!$A$4:$A$603,A51,Gear!$B$4:$B$603,"Magus",Gear!$C$4:$C$603,Inputs!$C$5)</f>
        <v/>
      </c>
      <c r="P51" s="9">
        <f>INDEX('Class Table'!$I$4:$I$53,A51)+SUMIFS(Gear!$H$4:$H$603,Gear!$A$4:$A$603,A51,Gear!$B$4:$B$603,"Magus",Gear!$C$4:$C$603,Inputs!$C$5)</f>
        <v/>
      </c>
      <c r="Q51" s="9">
        <f>INDEX('Class Table'!$J$4:$J$53,A51)+SUMIFS(Gear!$I$4:$I$603,Gear!$A$4:$A$603,A51,Gear!$B$4:$B$603,"Magus",Gear!$C$4:$C$603,Inputs!$C$5)</f>
        <v/>
      </c>
      <c r="R51" s="13">
        <f>SUMIFS(Gear!$O$4:$O$603,Gear!$A$4:$A$603,A51,Gear!$B$4:$B$603,"Magus",Gear!$C$4:$C$603,Inputs!$C$5)</f>
        <v/>
      </c>
      <c r="S51" s="26">
        <f>I51+0+G51+A51+MAX(1,A51/2)+(A51-B51)</f>
        <v/>
      </c>
      <c r="T51" s="9">
        <f>MAX(0,S51*(1+M51)*(1+L51)*Inputs!$C$20*(1-D51/Inputs!$C$19)-D51/25)</f>
        <v/>
      </c>
      <c r="U51" s="16">
        <f>H51/10*(1-MIN(0.95,N51+0))*Inputs!$C$21</f>
        <v/>
      </c>
      <c r="V51" s="27">
        <f>T51/U51</f>
        <v/>
      </c>
      <c r="W51" s="16">
        <f>(1+J51)*(1+K51)*Inputs!$C$20</f>
        <v/>
      </c>
      <c r="X51" s="17">
        <f>P51*Inputs!$C$23/Inputs!$C$22</f>
        <v/>
      </c>
      <c r="Y51" s="17">
        <f>IF(INDEX(Abilities!$A$14:$A$23,1)&lt;=A51,INDEX(Abilities!$C$14:$C$23,1)*CHOOSE(Inputs!$C$13,1,INDEX(Abilities!$J$14:$J$23,1),INDEX(Abilities!$I$14:$I$23,1))*W51/MAX(INDEX(Abilities!$D$14:$D$23,1),Inputs!$C$12),0)</f>
        <v/>
      </c>
      <c r="Z51" s="17">
        <f>IF(INDEX(Abilities!$A$14:$A$23,2)&lt;=A51,INDEX(Abilities!$C$14:$C$23,2)*CHOOSE(Inputs!$C$13,1,INDEX(Abilities!$J$14:$J$23,2),INDEX(Abilities!$I$14:$I$23,2))*W51/MAX(INDEX(Abilities!$D$14:$D$23,2),Inputs!$C$12),0)</f>
        <v/>
      </c>
      <c r="AA51" s="17">
        <f>IF(INDEX(Abilities!$A$14:$A$23,3)&lt;=A51,INDEX(Abilities!$C$14:$C$23,3)*CHOOSE(Inputs!$C$13,1,INDEX(Abilities!$J$14:$J$23,3),INDEX(Abilities!$I$14:$I$23,3))*W51/MAX(INDEX(Abilities!$D$14:$D$23,3),Inputs!$C$12),0)</f>
        <v/>
      </c>
      <c r="AB51" s="17">
        <f>IF(INDEX(Abilities!$A$14:$A$23,4)&lt;=A51,INDEX(Abilities!$C$14:$C$23,4)*CHOOSE(Inputs!$C$13,1,INDEX(Abilities!$J$14:$J$23,4),INDEX(Abilities!$I$14:$I$23,4))*W51/MAX(INDEX(Abilities!$D$14:$D$23,4),Inputs!$C$12),0)</f>
        <v/>
      </c>
      <c r="AC51" s="17">
        <f>IF(INDEX(Abilities!$A$14:$A$23,5)&lt;=A51,INDEX(Abilities!$C$14:$C$23,5)*CHOOSE(Inputs!$C$13,1,INDEX(Abilities!$J$14:$J$23,5),INDEX(Abilities!$I$14:$I$23,5))*W51/MAX(INDEX(Abilities!$D$14:$D$23,5),Inputs!$C$12),0)</f>
        <v/>
      </c>
      <c r="AD51" s="17">
        <f>IF(INDEX(Abilities!$A$14:$A$23,6)&lt;=A51,INDEX(Abilities!$C$14:$C$23,6)*CHOOSE(Inputs!$C$13,1,INDEX(Abilities!$J$14:$J$23,6),INDEX(Abilities!$I$14:$I$23,6))*W51/MAX(INDEX(Abilities!$D$14:$D$23,6),Inputs!$C$12),0)</f>
        <v/>
      </c>
      <c r="AE51" s="17">
        <f>IF(INDEX(Abilities!$A$14:$A$23,7)&lt;=A51,INDEX(Abilities!$C$14:$C$23,7)*CHOOSE(Inputs!$C$13,1,INDEX(Abilities!$J$14:$J$23,7),INDEX(Abilities!$I$14:$I$23,7))*W51/MAX(INDEX(Abilities!$D$14:$D$23,7),Inputs!$C$12),0)</f>
        <v/>
      </c>
      <c r="AF51" s="17">
        <f>IF(INDEX(Abilities!$A$14:$A$23,8)&lt;=A51,INDEX(Abilities!$C$14:$C$23,8)*CHOOSE(Inputs!$C$13,1,INDEX(Abilities!$J$14:$J$23,8),INDEX(Abilities!$I$14:$I$23,8))*W51/MAX(INDEX(Abilities!$D$14:$D$23,8),Inputs!$C$12),0)</f>
        <v/>
      </c>
      <c r="AG51" s="17">
        <f>IF(INDEX(Abilities!$A$14:$A$23,9)&lt;=A51,INDEX(Abilities!$C$14:$C$23,9)*CHOOSE(Inputs!$C$13,1,INDEX(Abilities!$J$14:$J$23,9),INDEX(Abilities!$I$14:$I$23,9))*W51/MAX(INDEX(Abilities!$D$14:$D$23,9),Inputs!$C$12),0)</f>
        <v/>
      </c>
      <c r="AH51" s="17">
        <f>IF(INDEX(Abilities!$A$14:$A$23,10)&lt;=A51,INDEX(Abilities!$C$14:$C$23,10)*CHOOSE(Inputs!$C$13,1,INDEX(Abilities!$J$14:$J$23,10),INDEX(Abilities!$I$14:$I$23,10))*W51/MAX(INDEX(Abilities!$D$14:$D$23,10),Inputs!$C$12),0)</f>
        <v/>
      </c>
      <c r="AI51" s="17">
        <f>IF(INDEX(Abilities!$A$14:$A$23,1)&lt;=A51,MIN(Y51,X51*INDEX(Abilities!$C$14:$C$23,1)*CHOOSE(Inputs!$C$13,1,INDEX(Abilities!$J$14:$J$23,1),INDEX(Abilities!$I$14:$I$23,1))*W51/INDEX(Abilities!$E$14:$E$23,1)),0)</f>
        <v/>
      </c>
      <c r="AJ51" s="17">
        <f>IF(INDEX(Abilities!$A$14:$A$23,2)&lt;=A51,MIN(Z51,X51*INDEX(Abilities!$C$14:$C$23,2)*CHOOSE(Inputs!$C$13,1,INDEX(Abilities!$J$14:$J$23,2),INDEX(Abilities!$I$14:$I$23,2))*W51/INDEX(Abilities!$E$14:$E$23,2)),0)</f>
        <v/>
      </c>
      <c r="AK51" s="17">
        <f>IF(INDEX(Abilities!$A$14:$A$23,3)&lt;=A51,MIN(AA51,X51*INDEX(Abilities!$C$14:$C$23,3)*CHOOSE(Inputs!$C$13,1,INDEX(Abilities!$J$14:$J$23,3),INDEX(Abilities!$I$14:$I$23,3))*W51/INDEX(Abilities!$E$14:$E$23,3)),0)</f>
        <v/>
      </c>
      <c r="AL51" s="17">
        <f>IF(INDEX(Abilities!$A$14:$A$23,4)&lt;=A51,MIN(AB51,X51*INDEX(Abilities!$C$14:$C$23,4)*CHOOSE(Inputs!$C$13,1,INDEX(Abilities!$J$14:$J$23,4),INDEX(Abilities!$I$14:$I$23,4))*W51/INDEX(Abilities!$E$14:$E$23,4)),0)</f>
        <v/>
      </c>
      <c r="AM51" s="17">
        <f>IF(INDEX(Abilities!$A$14:$A$23,5)&lt;=A51,MIN(AC51,X51*INDEX(Abilities!$C$14:$C$23,5)*CHOOSE(Inputs!$C$13,1,INDEX(Abilities!$J$14:$J$23,5),INDEX(Abilities!$I$14:$I$23,5))*W51/INDEX(Abilities!$E$14:$E$23,5)),0)</f>
        <v/>
      </c>
      <c r="AN51" s="17">
        <f>IF(INDEX(Abilities!$A$14:$A$23,6)&lt;=A51,MIN(AD51,X51*INDEX(Abilities!$C$14:$C$23,6)*CHOOSE(Inputs!$C$13,1,INDEX(Abilities!$J$14:$J$23,6),INDEX(Abilities!$I$14:$I$23,6))*W51/INDEX(Abilities!$E$14:$E$23,6)),0)</f>
        <v/>
      </c>
      <c r="AO51" s="17">
        <f>IF(INDEX(Abilities!$A$14:$A$23,7)&lt;=A51,MIN(AE51,X51*INDEX(Abilities!$C$14:$C$23,7)*CHOOSE(Inputs!$C$13,1,INDEX(Abilities!$J$14:$J$23,7),INDEX(Abilities!$I$14:$I$23,7))*W51/INDEX(Abilities!$E$14:$E$23,7)),0)</f>
        <v/>
      </c>
      <c r="AP51" s="17">
        <f>IF(INDEX(Abilities!$A$14:$A$23,8)&lt;=A51,MIN(AF51,X51*INDEX(Abilities!$C$14:$C$23,8)*CHOOSE(Inputs!$C$13,1,INDEX(Abilities!$J$14:$J$23,8),INDEX(Abilities!$I$14:$I$23,8))*W51/INDEX(Abilities!$E$14:$E$23,8)),0)</f>
        <v/>
      </c>
      <c r="AQ51" s="17">
        <f>IF(INDEX(Abilities!$A$14:$A$23,9)&lt;=A51,MIN(AG51,X51*INDEX(Abilities!$C$14:$C$23,9)*CHOOSE(Inputs!$C$13,1,INDEX(Abilities!$J$14:$J$23,9),INDEX(Abilities!$I$14:$I$23,9))*W51/INDEX(Abilities!$E$14:$E$23,9)),0)</f>
        <v/>
      </c>
      <c r="AR51" s="17">
        <f>IF(INDEX(Abilities!$A$14:$A$23,10)&lt;=A51,MIN(AH51,X51*INDEX(Abilities!$C$14:$C$23,10)*CHOOSE(Inputs!$C$13,1,INDEX(Abilities!$J$14:$J$23,10),INDEX(Abilities!$I$14:$I$23,10))*W51/INDEX(Abilities!$E$14:$E$23,10)),0)</f>
        <v/>
      </c>
      <c r="AS51" s="17">
        <f>IF(INDEX(Abilities!$A$14:$A$23,1)&lt;=A51,INDEX(Abilities!$C$14:$C$23,1)*CHOOSE(Inputs!$C$13,1,INDEX(Abilities!$J$14:$J$23,1),INDEX(Abilities!$I$14:$I$23,1))*W51/MAX(INDEX(Abilities!$D$14:$D$23,1),2*Inputs!$C$12),0)</f>
        <v/>
      </c>
      <c r="AT51" s="17">
        <f>IF(INDEX(Abilities!$A$14:$A$23,2)&lt;=A51,INDEX(Abilities!$C$14:$C$23,2)*CHOOSE(Inputs!$C$13,1,INDEX(Abilities!$J$14:$J$23,2),INDEX(Abilities!$I$14:$I$23,2))*W51/MAX(INDEX(Abilities!$D$14:$D$23,2),2*Inputs!$C$12),0)</f>
        <v/>
      </c>
      <c r="AU51" s="17">
        <f>IF(INDEX(Abilities!$A$14:$A$23,3)&lt;=A51,INDEX(Abilities!$C$14:$C$23,3)*CHOOSE(Inputs!$C$13,1,INDEX(Abilities!$J$14:$J$23,3),INDEX(Abilities!$I$14:$I$23,3))*W51/MAX(INDEX(Abilities!$D$14:$D$23,3),2*Inputs!$C$12),0)</f>
        <v/>
      </c>
      <c r="AV51" s="17">
        <f>IF(INDEX(Abilities!$A$14:$A$23,4)&lt;=A51,INDEX(Abilities!$C$14:$C$23,4)*CHOOSE(Inputs!$C$13,1,INDEX(Abilities!$J$14:$J$23,4),INDEX(Abilities!$I$14:$I$23,4))*W51/MAX(INDEX(Abilities!$D$14:$D$23,4),2*Inputs!$C$12),0)</f>
        <v/>
      </c>
      <c r="AW51" s="17">
        <f>IF(INDEX(Abilities!$A$14:$A$23,5)&lt;=A51,INDEX(Abilities!$C$14:$C$23,5)*CHOOSE(Inputs!$C$13,1,INDEX(Abilities!$J$14:$J$23,5),INDEX(Abilities!$I$14:$I$23,5))*W51/MAX(INDEX(Abilities!$D$14:$D$23,5),2*Inputs!$C$12),0)</f>
        <v/>
      </c>
      <c r="AX51" s="17">
        <f>IF(INDEX(Abilities!$A$14:$A$23,6)&lt;=A51,INDEX(Abilities!$C$14:$C$23,6)*CHOOSE(Inputs!$C$13,1,INDEX(Abilities!$J$14:$J$23,6),INDEX(Abilities!$I$14:$I$23,6))*W51/MAX(INDEX(Abilities!$D$14:$D$23,6),2*Inputs!$C$12),0)</f>
        <v/>
      </c>
      <c r="AY51" s="17">
        <f>IF(INDEX(Abilities!$A$14:$A$23,7)&lt;=A51,INDEX(Abilities!$C$14:$C$23,7)*CHOOSE(Inputs!$C$13,1,INDEX(Abilities!$J$14:$J$23,7),INDEX(Abilities!$I$14:$I$23,7))*W51/MAX(INDEX(Abilities!$D$14:$D$23,7),2*Inputs!$C$12),0)</f>
        <v/>
      </c>
      <c r="AZ51" s="17">
        <f>IF(INDEX(Abilities!$A$14:$A$23,8)&lt;=A51,INDEX(Abilities!$C$14:$C$23,8)*CHOOSE(Inputs!$C$13,1,INDEX(Abilities!$J$14:$J$23,8),INDEX(Abilities!$I$14:$I$23,8))*W51/MAX(INDEX(Abilities!$D$14:$D$23,8),2*Inputs!$C$12),0)</f>
        <v/>
      </c>
      <c r="BA51" s="17">
        <f>IF(INDEX(Abilities!$A$14:$A$23,9)&lt;=A51,INDEX(Abilities!$C$14:$C$23,9)*CHOOSE(Inputs!$C$13,1,INDEX(Abilities!$J$14:$J$23,9),INDEX(Abilities!$I$14:$I$23,9))*W51/MAX(INDEX(Abilities!$D$14:$D$23,9),2*Inputs!$C$12),0)</f>
        <v/>
      </c>
      <c r="BB51" s="17">
        <f>IF(INDEX(Abilities!$A$14:$A$23,10)&lt;=A51,INDEX(Abilities!$C$14:$C$23,10)*CHOOSE(Inputs!$C$13,1,INDEX(Abilities!$J$14:$J$23,10),INDEX(Abilities!$I$14:$I$23,10))*W51/MAX(INDEX(Abilities!$D$14:$D$23,10),2*Inputs!$C$12),0)</f>
        <v/>
      </c>
      <c r="BC51" s="27">
        <f>MAX(Y51:AH51)</f>
        <v/>
      </c>
      <c r="BD51" s="8">
        <f>MATCH(BC51,Y51:AH51,0)</f>
        <v/>
      </c>
      <c r="BE51" s="15">
        <f>INDEX(Abilities!$B$14:$B$23,BD51)</f>
        <v/>
      </c>
      <c r="BF51" s="16">
        <f>CHOOSE(Inputs!$C$13,1,INDEX(Abilities!$J$14:$J$23,BD51),INDEX(Abilities!$I$14:$I$23,BD51))</f>
        <v/>
      </c>
      <c r="BG51" s="17">
        <f>INDEX(Abilities!$E$14:$E$23,BD51)/MAX(INDEX(Abilities!$D$14:$D$23,BD51),Inputs!$C$12)</f>
        <v/>
      </c>
      <c r="BH51" s="27">
        <f>MAX(AI51:AR51)</f>
        <v/>
      </c>
      <c r="BI51" s="8">
        <f>MATCH(BH51,AI51:AR51,0)</f>
        <v/>
      </c>
      <c r="BJ51" s="15">
        <f>INDEX(Abilities!$B$14:$B$23,BI51)</f>
        <v/>
      </c>
      <c r="BK51" s="14">
        <f>IFERROR(ROUNDUP(C51/(INDEX(Abilities!$C$14:$C$23,BD51)*W51),0),"-")</f>
        <v/>
      </c>
      <c r="BL51" s="9">
        <f>IFERROR(C51*INDEX(Abilities!$E$14:$E$23,BI51)/(INDEX(Abilities!$C$14:$C$23,BI51)*CHOOSE(Inputs!$C$13,1,INDEX(Abilities!$J$14:$J$23,BI51),INDEX(Abilities!$I$14:$I$23,BI51))*W51),"-")</f>
        <v/>
      </c>
      <c r="BM51" s="60">
        <f>IFERROR(P51/BL51,"-")</f>
        <v/>
      </c>
      <c r="BN51" s="17">
        <f>BH51+Inputs!$C$18*V51</f>
        <v/>
      </c>
      <c r="BO51" s="17">
        <f>BC51+Inputs!$C$18*V51</f>
        <v/>
      </c>
      <c r="BP51" s="27">
        <f>LARGE(AS51:BB51,1)+LARGE(AS51:BB51,2)</f>
        <v/>
      </c>
      <c r="BQ51" s="60">
        <f>IFERROR(IF(BG51&lt;=X51,C51/BO51,IF(C51/BO51*(BG51-X51)&lt;=P51,C51/BO51,P51/(BG51-X51)+(C51-BO51*P51/(BG51-X51))/BN51)),"-")</f>
        <v/>
      </c>
      <c r="BR51" s="60">
        <f>BQ51</f>
        <v/>
      </c>
      <c r="BS51" s="9">
        <f>MAX(0,(E51+(B51-A51))*(1-R51)*(1-Q51*'Class Table'!$O$7/Inputs!$C$19)-Q51*'Class Table'!$O$7/25)</f>
        <v/>
      </c>
      <c r="BT51" s="26">
        <f>IFERROR(BS51/F51*BR51,"-")</f>
        <v/>
      </c>
      <c r="BU51" s="28">
        <f>IFERROR(BT51/O51,"-")</f>
        <v/>
      </c>
      <c r="BV51" s="9">
        <f>IFERROR(O51*Inputs!$C$24/Inputs!$C$22*BR51,"-")</f>
        <v/>
      </c>
      <c r="BW51" s="28">
        <f>IFERROR(MAX(0,BT51-BV51)/O51,"-")</f>
        <v/>
      </c>
    </row>
    <row r="52">
      <c r="A52" s="8" t="n">
        <v>49</v>
      </c>
      <c r="B52" s="14">
        <f>'Mob by Level'!B52</f>
        <v/>
      </c>
      <c r="C52" s="9">
        <f>'Mob by Level'!C52</f>
        <v/>
      </c>
      <c r="D52" s="9">
        <f>'Mob by Level'!D52</f>
        <v/>
      </c>
      <c r="E52" s="9">
        <f>'Mob by Level'!E52</f>
        <v/>
      </c>
      <c r="F52" s="16">
        <f>'Mob by Level'!F52</f>
        <v/>
      </c>
      <c r="G52" s="14">
        <f>SUMIFS(Gear!$D$4:$D$603,Gear!$A$4:$A$603,A52,Gear!$B$4:$B$603,"Magus",Gear!$C$4:$C$603,Inputs!$C$5)</f>
        <v/>
      </c>
      <c r="H52" s="14">
        <f>SUMIFS(Gear!$E$4:$E$603,Gear!$A$4:$A$603,A52,Gear!$B$4:$B$603,"Magus",Gear!$C$4:$C$603,Inputs!$C$5)</f>
        <v/>
      </c>
      <c r="I52" s="14">
        <f>SUMIFS(Gear!$F$4:$F$603,Gear!$A$4:$A$603,A52,Gear!$B$4:$B$603,"Magus",Gear!$C$4:$C$603,Inputs!$C$5)+Inputs!$C$17*IFERROR(LOOKUP(A52,Abilities!$A$49:$A$53,Abilities!$C$49:$C$53),0)</f>
        <v/>
      </c>
      <c r="J52" s="13">
        <f>SUMIFS(Gear!$J$4:$J$603,Gear!$A$4:$A$603,A52,Gear!$B$4:$B$603,"Magus",Gear!$C$4:$C$603,Inputs!$C$5)</f>
        <v/>
      </c>
      <c r="K52" s="13">
        <f>SUMIFS(Gear!$K$4:$K$603,Gear!$A$4:$A$603,A52,Gear!$B$4:$B$603,"Magus",Gear!$C$4:$C$603,Inputs!$C$5)</f>
        <v/>
      </c>
      <c r="L52" s="13">
        <f>SUMIFS(Gear!$L$4:$L$603,Gear!$A$4:$A$603,A52,Gear!$B$4:$B$603,"Magus",Gear!$C$4:$C$603,Inputs!$C$5)</f>
        <v/>
      </c>
      <c r="M52" s="13">
        <f>SUMIFS(Gear!$M$4:$M$603,Gear!$A$4:$A$603,A52,Gear!$B$4:$B$603,"Magus",Gear!$C$4:$C$603,Inputs!$C$5)</f>
        <v/>
      </c>
      <c r="N52" s="13">
        <f>SUMIFS(Gear!$N$4:$N$603,Gear!$A$4:$A$603,A52,Gear!$B$4:$B$603,"Magus",Gear!$C$4:$C$603,Inputs!$C$5)</f>
        <v/>
      </c>
      <c r="O52" s="9">
        <f>INDEX('Class Table'!$H$4:$H$53,A52)+SUMIFS(Gear!$G$4:$G$603,Gear!$A$4:$A$603,A52,Gear!$B$4:$B$603,"Magus",Gear!$C$4:$C$603,Inputs!$C$5)</f>
        <v/>
      </c>
      <c r="P52" s="9">
        <f>INDEX('Class Table'!$I$4:$I$53,A52)+SUMIFS(Gear!$H$4:$H$603,Gear!$A$4:$A$603,A52,Gear!$B$4:$B$603,"Magus",Gear!$C$4:$C$603,Inputs!$C$5)</f>
        <v/>
      </c>
      <c r="Q52" s="9">
        <f>INDEX('Class Table'!$J$4:$J$53,A52)+SUMIFS(Gear!$I$4:$I$603,Gear!$A$4:$A$603,A52,Gear!$B$4:$B$603,"Magus",Gear!$C$4:$C$603,Inputs!$C$5)</f>
        <v/>
      </c>
      <c r="R52" s="13">
        <f>SUMIFS(Gear!$O$4:$O$603,Gear!$A$4:$A$603,A52,Gear!$B$4:$B$603,"Magus",Gear!$C$4:$C$603,Inputs!$C$5)</f>
        <v/>
      </c>
      <c r="S52" s="26">
        <f>I52+0+G52+A52+MAX(1,A52/2)+(A52-B52)</f>
        <v/>
      </c>
      <c r="T52" s="9">
        <f>MAX(0,S52*(1+M52)*(1+L52)*Inputs!$C$20*(1-D52/Inputs!$C$19)-D52/25)</f>
        <v/>
      </c>
      <c r="U52" s="16">
        <f>H52/10*(1-MIN(0.95,N52+0))*Inputs!$C$21</f>
        <v/>
      </c>
      <c r="V52" s="27">
        <f>T52/U52</f>
        <v/>
      </c>
      <c r="W52" s="16">
        <f>(1+J52)*(1+K52)*Inputs!$C$20</f>
        <v/>
      </c>
      <c r="X52" s="17">
        <f>P52*Inputs!$C$23/Inputs!$C$22</f>
        <v/>
      </c>
      <c r="Y52" s="17">
        <f>IF(INDEX(Abilities!$A$14:$A$23,1)&lt;=A52,INDEX(Abilities!$C$14:$C$23,1)*CHOOSE(Inputs!$C$13,1,INDEX(Abilities!$J$14:$J$23,1),INDEX(Abilities!$I$14:$I$23,1))*W52/MAX(INDEX(Abilities!$D$14:$D$23,1),Inputs!$C$12),0)</f>
        <v/>
      </c>
      <c r="Z52" s="17">
        <f>IF(INDEX(Abilities!$A$14:$A$23,2)&lt;=A52,INDEX(Abilities!$C$14:$C$23,2)*CHOOSE(Inputs!$C$13,1,INDEX(Abilities!$J$14:$J$23,2),INDEX(Abilities!$I$14:$I$23,2))*W52/MAX(INDEX(Abilities!$D$14:$D$23,2),Inputs!$C$12),0)</f>
        <v/>
      </c>
      <c r="AA52" s="17">
        <f>IF(INDEX(Abilities!$A$14:$A$23,3)&lt;=A52,INDEX(Abilities!$C$14:$C$23,3)*CHOOSE(Inputs!$C$13,1,INDEX(Abilities!$J$14:$J$23,3),INDEX(Abilities!$I$14:$I$23,3))*W52/MAX(INDEX(Abilities!$D$14:$D$23,3),Inputs!$C$12),0)</f>
        <v/>
      </c>
      <c r="AB52" s="17">
        <f>IF(INDEX(Abilities!$A$14:$A$23,4)&lt;=A52,INDEX(Abilities!$C$14:$C$23,4)*CHOOSE(Inputs!$C$13,1,INDEX(Abilities!$J$14:$J$23,4),INDEX(Abilities!$I$14:$I$23,4))*W52/MAX(INDEX(Abilities!$D$14:$D$23,4),Inputs!$C$12),0)</f>
        <v/>
      </c>
      <c r="AC52" s="17">
        <f>IF(INDEX(Abilities!$A$14:$A$23,5)&lt;=A52,INDEX(Abilities!$C$14:$C$23,5)*CHOOSE(Inputs!$C$13,1,INDEX(Abilities!$J$14:$J$23,5),INDEX(Abilities!$I$14:$I$23,5))*W52/MAX(INDEX(Abilities!$D$14:$D$23,5),Inputs!$C$12),0)</f>
        <v/>
      </c>
      <c r="AD52" s="17">
        <f>IF(INDEX(Abilities!$A$14:$A$23,6)&lt;=A52,INDEX(Abilities!$C$14:$C$23,6)*CHOOSE(Inputs!$C$13,1,INDEX(Abilities!$J$14:$J$23,6),INDEX(Abilities!$I$14:$I$23,6))*W52/MAX(INDEX(Abilities!$D$14:$D$23,6),Inputs!$C$12),0)</f>
        <v/>
      </c>
      <c r="AE52" s="17">
        <f>IF(INDEX(Abilities!$A$14:$A$23,7)&lt;=A52,INDEX(Abilities!$C$14:$C$23,7)*CHOOSE(Inputs!$C$13,1,INDEX(Abilities!$J$14:$J$23,7),INDEX(Abilities!$I$14:$I$23,7))*W52/MAX(INDEX(Abilities!$D$14:$D$23,7),Inputs!$C$12),0)</f>
        <v/>
      </c>
      <c r="AF52" s="17">
        <f>IF(INDEX(Abilities!$A$14:$A$23,8)&lt;=A52,INDEX(Abilities!$C$14:$C$23,8)*CHOOSE(Inputs!$C$13,1,INDEX(Abilities!$J$14:$J$23,8),INDEX(Abilities!$I$14:$I$23,8))*W52/MAX(INDEX(Abilities!$D$14:$D$23,8),Inputs!$C$12),0)</f>
        <v/>
      </c>
      <c r="AG52" s="17">
        <f>IF(INDEX(Abilities!$A$14:$A$23,9)&lt;=A52,INDEX(Abilities!$C$14:$C$23,9)*CHOOSE(Inputs!$C$13,1,INDEX(Abilities!$J$14:$J$23,9),INDEX(Abilities!$I$14:$I$23,9))*W52/MAX(INDEX(Abilities!$D$14:$D$23,9),Inputs!$C$12),0)</f>
        <v/>
      </c>
      <c r="AH52" s="17">
        <f>IF(INDEX(Abilities!$A$14:$A$23,10)&lt;=A52,INDEX(Abilities!$C$14:$C$23,10)*CHOOSE(Inputs!$C$13,1,INDEX(Abilities!$J$14:$J$23,10),INDEX(Abilities!$I$14:$I$23,10))*W52/MAX(INDEX(Abilities!$D$14:$D$23,10),Inputs!$C$12),0)</f>
        <v/>
      </c>
      <c r="AI52" s="17">
        <f>IF(INDEX(Abilities!$A$14:$A$23,1)&lt;=A52,MIN(Y52,X52*INDEX(Abilities!$C$14:$C$23,1)*CHOOSE(Inputs!$C$13,1,INDEX(Abilities!$J$14:$J$23,1),INDEX(Abilities!$I$14:$I$23,1))*W52/INDEX(Abilities!$E$14:$E$23,1)),0)</f>
        <v/>
      </c>
      <c r="AJ52" s="17">
        <f>IF(INDEX(Abilities!$A$14:$A$23,2)&lt;=A52,MIN(Z52,X52*INDEX(Abilities!$C$14:$C$23,2)*CHOOSE(Inputs!$C$13,1,INDEX(Abilities!$J$14:$J$23,2),INDEX(Abilities!$I$14:$I$23,2))*W52/INDEX(Abilities!$E$14:$E$23,2)),0)</f>
        <v/>
      </c>
      <c r="AK52" s="17">
        <f>IF(INDEX(Abilities!$A$14:$A$23,3)&lt;=A52,MIN(AA52,X52*INDEX(Abilities!$C$14:$C$23,3)*CHOOSE(Inputs!$C$13,1,INDEX(Abilities!$J$14:$J$23,3),INDEX(Abilities!$I$14:$I$23,3))*W52/INDEX(Abilities!$E$14:$E$23,3)),0)</f>
        <v/>
      </c>
      <c r="AL52" s="17">
        <f>IF(INDEX(Abilities!$A$14:$A$23,4)&lt;=A52,MIN(AB52,X52*INDEX(Abilities!$C$14:$C$23,4)*CHOOSE(Inputs!$C$13,1,INDEX(Abilities!$J$14:$J$23,4),INDEX(Abilities!$I$14:$I$23,4))*W52/INDEX(Abilities!$E$14:$E$23,4)),0)</f>
        <v/>
      </c>
      <c r="AM52" s="17">
        <f>IF(INDEX(Abilities!$A$14:$A$23,5)&lt;=A52,MIN(AC52,X52*INDEX(Abilities!$C$14:$C$23,5)*CHOOSE(Inputs!$C$13,1,INDEX(Abilities!$J$14:$J$23,5),INDEX(Abilities!$I$14:$I$23,5))*W52/INDEX(Abilities!$E$14:$E$23,5)),0)</f>
        <v/>
      </c>
      <c r="AN52" s="17">
        <f>IF(INDEX(Abilities!$A$14:$A$23,6)&lt;=A52,MIN(AD52,X52*INDEX(Abilities!$C$14:$C$23,6)*CHOOSE(Inputs!$C$13,1,INDEX(Abilities!$J$14:$J$23,6),INDEX(Abilities!$I$14:$I$23,6))*W52/INDEX(Abilities!$E$14:$E$23,6)),0)</f>
        <v/>
      </c>
      <c r="AO52" s="17">
        <f>IF(INDEX(Abilities!$A$14:$A$23,7)&lt;=A52,MIN(AE52,X52*INDEX(Abilities!$C$14:$C$23,7)*CHOOSE(Inputs!$C$13,1,INDEX(Abilities!$J$14:$J$23,7),INDEX(Abilities!$I$14:$I$23,7))*W52/INDEX(Abilities!$E$14:$E$23,7)),0)</f>
        <v/>
      </c>
      <c r="AP52" s="17">
        <f>IF(INDEX(Abilities!$A$14:$A$23,8)&lt;=A52,MIN(AF52,X52*INDEX(Abilities!$C$14:$C$23,8)*CHOOSE(Inputs!$C$13,1,INDEX(Abilities!$J$14:$J$23,8),INDEX(Abilities!$I$14:$I$23,8))*W52/INDEX(Abilities!$E$14:$E$23,8)),0)</f>
        <v/>
      </c>
      <c r="AQ52" s="17">
        <f>IF(INDEX(Abilities!$A$14:$A$23,9)&lt;=A52,MIN(AG52,X52*INDEX(Abilities!$C$14:$C$23,9)*CHOOSE(Inputs!$C$13,1,INDEX(Abilities!$J$14:$J$23,9),INDEX(Abilities!$I$14:$I$23,9))*W52/INDEX(Abilities!$E$14:$E$23,9)),0)</f>
        <v/>
      </c>
      <c r="AR52" s="17">
        <f>IF(INDEX(Abilities!$A$14:$A$23,10)&lt;=A52,MIN(AH52,X52*INDEX(Abilities!$C$14:$C$23,10)*CHOOSE(Inputs!$C$13,1,INDEX(Abilities!$J$14:$J$23,10),INDEX(Abilities!$I$14:$I$23,10))*W52/INDEX(Abilities!$E$14:$E$23,10)),0)</f>
        <v/>
      </c>
      <c r="AS52" s="17">
        <f>IF(INDEX(Abilities!$A$14:$A$23,1)&lt;=A52,INDEX(Abilities!$C$14:$C$23,1)*CHOOSE(Inputs!$C$13,1,INDEX(Abilities!$J$14:$J$23,1),INDEX(Abilities!$I$14:$I$23,1))*W52/MAX(INDEX(Abilities!$D$14:$D$23,1),2*Inputs!$C$12),0)</f>
        <v/>
      </c>
      <c r="AT52" s="17">
        <f>IF(INDEX(Abilities!$A$14:$A$23,2)&lt;=A52,INDEX(Abilities!$C$14:$C$23,2)*CHOOSE(Inputs!$C$13,1,INDEX(Abilities!$J$14:$J$23,2),INDEX(Abilities!$I$14:$I$23,2))*W52/MAX(INDEX(Abilities!$D$14:$D$23,2),2*Inputs!$C$12),0)</f>
        <v/>
      </c>
      <c r="AU52" s="17">
        <f>IF(INDEX(Abilities!$A$14:$A$23,3)&lt;=A52,INDEX(Abilities!$C$14:$C$23,3)*CHOOSE(Inputs!$C$13,1,INDEX(Abilities!$J$14:$J$23,3),INDEX(Abilities!$I$14:$I$23,3))*W52/MAX(INDEX(Abilities!$D$14:$D$23,3),2*Inputs!$C$12),0)</f>
        <v/>
      </c>
      <c r="AV52" s="17">
        <f>IF(INDEX(Abilities!$A$14:$A$23,4)&lt;=A52,INDEX(Abilities!$C$14:$C$23,4)*CHOOSE(Inputs!$C$13,1,INDEX(Abilities!$J$14:$J$23,4),INDEX(Abilities!$I$14:$I$23,4))*W52/MAX(INDEX(Abilities!$D$14:$D$23,4),2*Inputs!$C$12),0)</f>
        <v/>
      </c>
      <c r="AW52" s="17">
        <f>IF(INDEX(Abilities!$A$14:$A$23,5)&lt;=A52,INDEX(Abilities!$C$14:$C$23,5)*CHOOSE(Inputs!$C$13,1,INDEX(Abilities!$J$14:$J$23,5),INDEX(Abilities!$I$14:$I$23,5))*W52/MAX(INDEX(Abilities!$D$14:$D$23,5),2*Inputs!$C$12),0)</f>
        <v/>
      </c>
      <c r="AX52" s="17">
        <f>IF(INDEX(Abilities!$A$14:$A$23,6)&lt;=A52,INDEX(Abilities!$C$14:$C$23,6)*CHOOSE(Inputs!$C$13,1,INDEX(Abilities!$J$14:$J$23,6),INDEX(Abilities!$I$14:$I$23,6))*W52/MAX(INDEX(Abilities!$D$14:$D$23,6),2*Inputs!$C$12),0)</f>
        <v/>
      </c>
      <c r="AY52" s="17">
        <f>IF(INDEX(Abilities!$A$14:$A$23,7)&lt;=A52,INDEX(Abilities!$C$14:$C$23,7)*CHOOSE(Inputs!$C$13,1,INDEX(Abilities!$J$14:$J$23,7),INDEX(Abilities!$I$14:$I$23,7))*W52/MAX(INDEX(Abilities!$D$14:$D$23,7),2*Inputs!$C$12),0)</f>
        <v/>
      </c>
      <c r="AZ52" s="17">
        <f>IF(INDEX(Abilities!$A$14:$A$23,8)&lt;=A52,INDEX(Abilities!$C$14:$C$23,8)*CHOOSE(Inputs!$C$13,1,INDEX(Abilities!$J$14:$J$23,8),INDEX(Abilities!$I$14:$I$23,8))*W52/MAX(INDEX(Abilities!$D$14:$D$23,8),2*Inputs!$C$12),0)</f>
        <v/>
      </c>
      <c r="BA52" s="17">
        <f>IF(INDEX(Abilities!$A$14:$A$23,9)&lt;=A52,INDEX(Abilities!$C$14:$C$23,9)*CHOOSE(Inputs!$C$13,1,INDEX(Abilities!$J$14:$J$23,9),INDEX(Abilities!$I$14:$I$23,9))*W52/MAX(INDEX(Abilities!$D$14:$D$23,9),2*Inputs!$C$12),0)</f>
        <v/>
      </c>
      <c r="BB52" s="17">
        <f>IF(INDEX(Abilities!$A$14:$A$23,10)&lt;=A52,INDEX(Abilities!$C$14:$C$23,10)*CHOOSE(Inputs!$C$13,1,INDEX(Abilities!$J$14:$J$23,10),INDEX(Abilities!$I$14:$I$23,10))*W52/MAX(INDEX(Abilities!$D$14:$D$23,10),2*Inputs!$C$12),0)</f>
        <v/>
      </c>
      <c r="BC52" s="27">
        <f>MAX(Y52:AH52)</f>
        <v/>
      </c>
      <c r="BD52" s="8">
        <f>MATCH(BC52,Y52:AH52,0)</f>
        <v/>
      </c>
      <c r="BE52" s="15">
        <f>INDEX(Abilities!$B$14:$B$23,BD52)</f>
        <v/>
      </c>
      <c r="BF52" s="16">
        <f>CHOOSE(Inputs!$C$13,1,INDEX(Abilities!$J$14:$J$23,BD52),INDEX(Abilities!$I$14:$I$23,BD52))</f>
        <v/>
      </c>
      <c r="BG52" s="17">
        <f>INDEX(Abilities!$E$14:$E$23,BD52)/MAX(INDEX(Abilities!$D$14:$D$23,BD52),Inputs!$C$12)</f>
        <v/>
      </c>
      <c r="BH52" s="27">
        <f>MAX(AI52:AR52)</f>
        <v/>
      </c>
      <c r="BI52" s="8">
        <f>MATCH(BH52,AI52:AR52,0)</f>
        <v/>
      </c>
      <c r="BJ52" s="15">
        <f>INDEX(Abilities!$B$14:$B$23,BI52)</f>
        <v/>
      </c>
      <c r="BK52" s="14">
        <f>IFERROR(ROUNDUP(C52/(INDEX(Abilities!$C$14:$C$23,BD52)*W52),0),"-")</f>
        <v/>
      </c>
      <c r="BL52" s="9">
        <f>IFERROR(C52*INDEX(Abilities!$E$14:$E$23,BI52)/(INDEX(Abilities!$C$14:$C$23,BI52)*CHOOSE(Inputs!$C$13,1,INDEX(Abilities!$J$14:$J$23,BI52),INDEX(Abilities!$I$14:$I$23,BI52))*W52),"-")</f>
        <v/>
      </c>
      <c r="BM52" s="60">
        <f>IFERROR(P52/BL52,"-")</f>
        <v/>
      </c>
      <c r="BN52" s="17">
        <f>BH52+Inputs!$C$18*V52</f>
        <v/>
      </c>
      <c r="BO52" s="17">
        <f>BC52+Inputs!$C$18*V52</f>
        <v/>
      </c>
      <c r="BP52" s="27">
        <f>LARGE(AS52:BB52,1)+LARGE(AS52:BB52,2)</f>
        <v/>
      </c>
      <c r="BQ52" s="60">
        <f>IFERROR(IF(BG52&lt;=X52,C52/BO52,IF(C52/BO52*(BG52-X52)&lt;=P52,C52/BO52,P52/(BG52-X52)+(C52-BO52*P52/(BG52-X52))/BN52)),"-")</f>
        <v/>
      </c>
      <c r="BR52" s="60">
        <f>BQ52</f>
        <v/>
      </c>
      <c r="BS52" s="9">
        <f>MAX(0,(E52+(B52-A52))*(1-R52)*(1-Q52*'Class Table'!$O$7/Inputs!$C$19)-Q52*'Class Table'!$O$7/25)</f>
        <v/>
      </c>
      <c r="BT52" s="26">
        <f>IFERROR(BS52/F52*BR52,"-")</f>
        <v/>
      </c>
      <c r="BU52" s="28">
        <f>IFERROR(BT52/O52,"-")</f>
        <v/>
      </c>
      <c r="BV52" s="9">
        <f>IFERROR(O52*Inputs!$C$24/Inputs!$C$22*BR52,"-")</f>
        <v/>
      </c>
      <c r="BW52" s="28">
        <f>IFERROR(MAX(0,BT52-BV52)/O52,"-")</f>
        <v/>
      </c>
    </row>
  </sheetData>
  <mergeCells count="10">
    <mergeCell ref="W2:X2"/>
    <mergeCell ref="G2:R2"/>
    <mergeCell ref="B2:F2"/>
    <mergeCell ref="BR2:BW2"/>
    <mergeCell ref="BN2:BQ2"/>
    <mergeCell ref="S2:V2"/>
    <mergeCell ref="AS2:BB2"/>
    <mergeCell ref="BC2:BM2"/>
    <mergeCell ref="AI2:AR2"/>
    <mergeCell ref="Y2:AH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5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1.5"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 width="11.5" customWidth="1" min="19" max="19"/>
    <col width="11.5" customWidth="1" min="20" max="20"/>
    <col width="11.5" customWidth="1" min="21" max="21"/>
    <col width="11.5" customWidth="1" min="22" max="22"/>
    <col width="11.5" customWidth="1" min="23" max="23"/>
    <col width="11.5" customWidth="1" min="24" max="24"/>
    <col width="11.5" customWidth="1" min="25" max="25"/>
    <col width="11.5" customWidth="1" min="26" max="26"/>
    <col width="11.5" customWidth="1" min="27" max="27"/>
    <col width="11.5" customWidth="1" min="28" max="28"/>
    <col width="11.5" customWidth="1" min="29" max="29"/>
    <col width="11.5" customWidth="1" min="30" max="30"/>
  </cols>
  <sheetData>
    <row r="1">
      <c r="A1" s="1" t="inlineStr">
        <is>
          <t>Priest - expected damage by level</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row>
    <row r="2">
      <c r="A2" s="42" t="inlineStr">
        <is>
          <t>Melee only, with own Strength buff always on. Priests have no damage spells before level 50.</t>
        </is>
      </c>
      <c r="B2" s="6" t="inlineStr">
        <is>
          <t>Opponent</t>
        </is>
      </c>
      <c r="G2" s="6" t="inlineStr">
        <is>
          <t>Gear / class</t>
        </is>
      </c>
      <c r="S2" s="6" t="inlineStr">
        <is>
          <t>Melee</t>
        </is>
      </c>
      <c r="W2" s="6" t="inlineStr">
        <is>
          <t>Result</t>
        </is>
      </c>
      <c r="Y2" s="6" t="inlineStr">
        <is>
          <t>Survival</t>
        </is>
      </c>
    </row>
    <row r="3" ht="45" customHeight="1">
      <c r="A3" s="7" t="inlineStr">
        <is>
          <t>Level</t>
        </is>
      </c>
      <c r="B3" s="7" t="inlineStr">
        <is>
          <t>Mob level</t>
        </is>
      </c>
      <c r="C3" s="7" t="inlineStr">
        <is>
          <t>Mob HP</t>
        </is>
      </c>
      <c r="D3" s="7" t="inlineStr">
        <is>
          <t>Mob eff. AC</t>
        </is>
      </c>
      <c r="E3" s="7" t="inlineStr">
        <is>
          <t>Mob base hit</t>
        </is>
      </c>
      <c r="F3" s="7" t="inlineStr">
        <is>
          <t>Mob atk s</t>
        </is>
      </c>
      <c r="G3" s="7" t="inlineStr">
        <is>
          <t>Weapon dmg</t>
        </is>
      </c>
      <c r="H3" s="7" t="inlineStr">
        <is>
          <t>Weapon delay</t>
        </is>
      </c>
      <c r="I3" s="7" t="inlineStr">
        <is>
          <t>STR (gear + priest buff)</t>
        </is>
      </c>
      <c r="J3" s="7" t="inlineStr">
        <is>
          <t>Spell dmg %</t>
        </is>
      </c>
      <c r="K3" s="7" t="inlineStr">
        <is>
          <t>Spell crit %</t>
        </is>
      </c>
      <c r="L3" s="7" t="inlineStr">
        <is>
          <t>Melee dmg %</t>
        </is>
      </c>
      <c r="M3" s="7" t="inlineStr">
        <is>
          <t>Melee crit %</t>
        </is>
      </c>
      <c r="N3" s="7" t="inlineStr">
        <is>
          <t>Haste %</t>
        </is>
      </c>
      <c r="O3" s="7" t="inlineStr">
        <is>
          <t>Player max HP</t>
        </is>
      </c>
      <c r="P3" s="7" t="inlineStr">
        <is>
          <t>Player max MP</t>
        </is>
      </c>
      <c r="Q3" s="7" t="inlineStr">
        <is>
          <t>Player AC</t>
        </is>
      </c>
      <c r="R3" s="7" t="inlineStr">
        <is>
          <t>Dmg reduce %</t>
        </is>
      </c>
      <c r="S3" s="7" t="inlineStr">
        <is>
          <t>Raw melee hit</t>
        </is>
      </c>
      <c r="T3" s="7" t="inlineStr">
        <is>
          <t>Melee hit vs mob</t>
        </is>
      </c>
      <c r="U3" s="7" t="inlineStr">
        <is>
          <t>Swing s</t>
        </is>
      </c>
      <c r="V3" s="7" t="inlineStr">
        <is>
          <t>Melee DPS</t>
        </is>
      </c>
      <c r="W3" s="7" t="inlineStr">
        <is>
          <t>SUSTAINED DPS</t>
        </is>
      </c>
      <c r="X3" s="7" t="inlineStr">
        <is>
          <t>Swings to kill</t>
        </is>
      </c>
      <c r="Y3" s="7" t="inlineStr">
        <is>
          <t>Time to kill s</t>
        </is>
      </c>
      <c r="Z3" s="7" t="inlineStr">
        <is>
          <t>Mob hit on player</t>
        </is>
      </c>
      <c r="AA3" s="7" t="inlineStr">
        <is>
          <t>Dmg taken per kill</t>
        </is>
      </c>
      <c r="AB3" s="7" t="inlineStr">
        <is>
          <t>% HP lost per kill</t>
        </is>
      </c>
      <c r="AC3" s="7" t="inlineStr">
        <is>
          <t>HP regen per kill</t>
        </is>
      </c>
      <c r="AD3" s="7" t="inlineStr">
        <is>
          <t>Net % HP per kill (after regen)</t>
        </is>
      </c>
    </row>
    <row r="4">
      <c r="A4" s="8" t="n">
        <v>1</v>
      </c>
      <c r="B4" s="14">
        <f>'Mob by Level'!B4</f>
        <v/>
      </c>
      <c r="C4" s="9">
        <f>'Mob by Level'!C4</f>
        <v/>
      </c>
      <c r="D4" s="9">
        <f>'Mob by Level'!D4</f>
        <v/>
      </c>
      <c r="E4" s="9">
        <f>'Mob by Level'!E4</f>
        <v/>
      </c>
      <c r="F4" s="16">
        <f>'Mob by Level'!F4</f>
        <v/>
      </c>
      <c r="G4" s="14">
        <f>SUMIFS(Gear!$D$4:$D$603,Gear!$A$4:$A$603,A4,Gear!$B$4:$B$603,"Priest",Gear!$C$4:$C$603,Inputs!$C$5)</f>
        <v/>
      </c>
      <c r="H4" s="14">
        <f>SUMIFS(Gear!$E$4:$E$603,Gear!$A$4:$A$603,A4,Gear!$B$4:$B$603,"Priest",Gear!$C$4:$C$603,Inputs!$C$5)</f>
        <v/>
      </c>
      <c r="I4" s="14">
        <f>SUMIFS(Gear!$F$4:$F$603,Gear!$A$4:$A$603,A4,Gear!$B$4:$B$603,"Priest",Gear!$C$4:$C$603,Inputs!$C$5)+IFERROR(LOOKUP(A4,Abilities!$A$49:$A$53,Abilities!$C$49:$C$53),0)</f>
        <v/>
      </c>
      <c r="J4" s="13">
        <f>SUMIFS(Gear!$J$4:$J$603,Gear!$A$4:$A$603,A4,Gear!$B$4:$B$603,"Priest",Gear!$C$4:$C$603,Inputs!$C$5)</f>
        <v/>
      </c>
      <c r="K4" s="13">
        <f>SUMIFS(Gear!$K$4:$K$603,Gear!$A$4:$A$603,A4,Gear!$B$4:$B$603,"Priest",Gear!$C$4:$C$603,Inputs!$C$5)</f>
        <v/>
      </c>
      <c r="L4" s="13">
        <f>SUMIFS(Gear!$L$4:$L$603,Gear!$A$4:$A$603,A4,Gear!$B$4:$B$603,"Priest",Gear!$C$4:$C$603,Inputs!$C$5)</f>
        <v/>
      </c>
      <c r="M4" s="13">
        <f>SUMIFS(Gear!$M$4:$M$603,Gear!$A$4:$A$603,A4,Gear!$B$4:$B$603,"Priest",Gear!$C$4:$C$603,Inputs!$C$5)</f>
        <v/>
      </c>
      <c r="N4" s="13">
        <f>SUMIFS(Gear!$N$4:$N$603,Gear!$A$4:$A$603,A4,Gear!$B$4:$B$603,"Priest",Gear!$C$4:$C$603,Inputs!$C$5)</f>
        <v/>
      </c>
      <c r="O4" s="9">
        <f>INDEX('Class Table'!$K$4:$K$53,A4)+SUMIFS(Gear!$G$4:$G$603,Gear!$A$4:$A$603,A4,Gear!$B$4:$B$603,"Priest",Gear!$C$4:$C$603,Inputs!$C$5)</f>
        <v/>
      </c>
      <c r="P4" s="9">
        <f>INDEX('Class Table'!$L$4:$L$53,A4)+SUMIFS(Gear!$H$4:$H$603,Gear!$A$4:$A$603,A4,Gear!$B$4:$B$603,"Priest",Gear!$C$4:$C$603,Inputs!$C$5)</f>
        <v/>
      </c>
      <c r="Q4" s="9">
        <f>INDEX('Class Table'!$M$4:$M$53,A4)+SUMIFS(Gear!$I$4:$I$603,Gear!$A$4:$A$603,A4,Gear!$B$4:$B$603,"Priest",Gear!$C$4:$C$603,Inputs!$C$5)</f>
        <v/>
      </c>
      <c r="R4" s="13">
        <f>SUMIFS(Gear!$O$4:$O$603,Gear!$A$4:$A$603,A4,Gear!$B$4:$B$603,"Priest",Gear!$C$4:$C$603,Inputs!$C$5)</f>
        <v/>
      </c>
      <c r="S4" s="26">
        <f>I4+0+G4+A4+MAX(1,A4/2)+(A4-B4)</f>
        <v/>
      </c>
      <c r="T4" s="9">
        <f>MAX(0,S4*(1+M4)*(1+L4)*Inputs!$C$20*(1-D4/Inputs!$C$19)-D4/25)</f>
        <v/>
      </c>
      <c r="U4" s="16">
        <f>H4/10*(1-MIN(0.95,N4+0))*Inputs!$C$21</f>
        <v/>
      </c>
      <c r="V4" s="27">
        <f>T4/U4</f>
        <v/>
      </c>
      <c r="W4" s="27">
        <f>V4</f>
        <v/>
      </c>
      <c r="X4" s="8">
        <f>IFERROR(ROUNDUP(C4/T4,0),"-")</f>
        <v/>
      </c>
      <c r="Y4" s="60">
        <f>IFERROR(C4/W4,"-")</f>
        <v/>
      </c>
      <c r="Z4" s="9">
        <f>MAX(0,(E4+(B4-A4))*(1-R4)*(1-Q4*'Class Table'!$O$8/Inputs!$C$19)-Q4*'Class Table'!$O$8/25)</f>
        <v/>
      </c>
      <c r="AA4" s="26">
        <f>IFERROR(Z4/F4*Y4,"-")</f>
        <v/>
      </c>
      <c r="AB4" s="28">
        <f>IFERROR(AA4/O4,"-")</f>
        <v/>
      </c>
      <c r="AC4" s="9">
        <f>IFERROR(O4*Inputs!$C$24/Inputs!$C$22*Y4,"-")</f>
        <v/>
      </c>
      <c r="AD4" s="28">
        <f>IFERROR(MAX(0,AA4-AC4)/O4,"-")</f>
        <v/>
      </c>
    </row>
    <row r="5">
      <c r="A5" s="8" t="n">
        <v>2</v>
      </c>
      <c r="B5" s="14">
        <f>'Mob by Level'!B5</f>
        <v/>
      </c>
      <c r="C5" s="9">
        <f>'Mob by Level'!C5</f>
        <v/>
      </c>
      <c r="D5" s="9">
        <f>'Mob by Level'!D5</f>
        <v/>
      </c>
      <c r="E5" s="9">
        <f>'Mob by Level'!E5</f>
        <v/>
      </c>
      <c r="F5" s="16">
        <f>'Mob by Level'!F5</f>
        <v/>
      </c>
      <c r="G5" s="14">
        <f>SUMIFS(Gear!$D$4:$D$603,Gear!$A$4:$A$603,A5,Gear!$B$4:$B$603,"Priest",Gear!$C$4:$C$603,Inputs!$C$5)</f>
        <v/>
      </c>
      <c r="H5" s="14">
        <f>SUMIFS(Gear!$E$4:$E$603,Gear!$A$4:$A$603,A5,Gear!$B$4:$B$603,"Priest",Gear!$C$4:$C$603,Inputs!$C$5)</f>
        <v/>
      </c>
      <c r="I5" s="14">
        <f>SUMIFS(Gear!$F$4:$F$603,Gear!$A$4:$A$603,A5,Gear!$B$4:$B$603,"Priest",Gear!$C$4:$C$603,Inputs!$C$5)+IFERROR(LOOKUP(A5,Abilities!$A$49:$A$53,Abilities!$C$49:$C$53),0)</f>
        <v/>
      </c>
      <c r="J5" s="13">
        <f>SUMIFS(Gear!$J$4:$J$603,Gear!$A$4:$A$603,A5,Gear!$B$4:$B$603,"Priest",Gear!$C$4:$C$603,Inputs!$C$5)</f>
        <v/>
      </c>
      <c r="K5" s="13">
        <f>SUMIFS(Gear!$K$4:$K$603,Gear!$A$4:$A$603,A5,Gear!$B$4:$B$603,"Priest",Gear!$C$4:$C$603,Inputs!$C$5)</f>
        <v/>
      </c>
      <c r="L5" s="13">
        <f>SUMIFS(Gear!$L$4:$L$603,Gear!$A$4:$A$603,A5,Gear!$B$4:$B$603,"Priest",Gear!$C$4:$C$603,Inputs!$C$5)</f>
        <v/>
      </c>
      <c r="M5" s="13">
        <f>SUMIFS(Gear!$M$4:$M$603,Gear!$A$4:$A$603,A5,Gear!$B$4:$B$603,"Priest",Gear!$C$4:$C$603,Inputs!$C$5)</f>
        <v/>
      </c>
      <c r="N5" s="13">
        <f>SUMIFS(Gear!$N$4:$N$603,Gear!$A$4:$A$603,A5,Gear!$B$4:$B$603,"Priest",Gear!$C$4:$C$603,Inputs!$C$5)</f>
        <v/>
      </c>
      <c r="O5" s="9">
        <f>INDEX('Class Table'!$K$4:$K$53,A5)+SUMIFS(Gear!$G$4:$G$603,Gear!$A$4:$A$603,A5,Gear!$B$4:$B$603,"Priest",Gear!$C$4:$C$603,Inputs!$C$5)</f>
        <v/>
      </c>
      <c r="P5" s="9">
        <f>INDEX('Class Table'!$L$4:$L$53,A5)+SUMIFS(Gear!$H$4:$H$603,Gear!$A$4:$A$603,A5,Gear!$B$4:$B$603,"Priest",Gear!$C$4:$C$603,Inputs!$C$5)</f>
        <v/>
      </c>
      <c r="Q5" s="9">
        <f>INDEX('Class Table'!$M$4:$M$53,A5)+SUMIFS(Gear!$I$4:$I$603,Gear!$A$4:$A$603,A5,Gear!$B$4:$B$603,"Priest",Gear!$C$4:$C$603,Inputs!$C$5)</f>
        <v/>
      </c>
      <c r="R5" s="13">
        <f>SUMIFS(Gear!$O$4:$O$603,Gear!$A$4:$A$603,A5,Gear!$B$4:$B$603,"Priest",Gear!$C$4:$C$603,Inputs!$C$5)</f>
        <v/>
      </c>
      <c r="S5" s="26">
        <f>I5+0+G5+A5+MAX(1,A5/2)+(A5-B5)</f>
        <v/>
      </c>
      <c r="T5" s="9">
        <f>MAX(0,S5*(1+M5)*(1+L5)*Inputs!$C$20*(1-D5/Inputs!$C$19)-D5/25)</f>
        <v/>
      </c>
      <c r="U5" s="16">
        <f>H5/10*(1-MIN(0.95,N5+0))*Inputs!$C$21</f>
        <v/>
      </c>
      <c r="V5" s="27">
        <f>T5/U5</f>
        <v/>
      </c>
      <c r="W5" s="27">
        <f>V5</f>
        <v/>
      </c>
      <c r="X5" s="8">
        <f>IFERROR(ROUNDUP(C5/T5,0),"-")</f>
        <v/>
      </c>
      <c r="Y5" s="60">
        <f>IFERROR(C5/W5,"-")</f>
        <v/>
      </c>
      <c r="Z5" s="9">
        <f>MAX(0,(E5+(B5-A5))*(1-R5)*(1-Q5*'Class Table'!$O$8/Inputs!$C$19)-Q5*'Class Table'!$O$8/25)</f>
        <v/>
      </c>
      <c r="AA5" s="26">
        <f>IFERROR(Z5/F5*Y5,"-")</f>
        <v/>
      </c>
      <c r="AB5" s="28">
        <f>IFERROR(AA5/O5,"-")</f>
        <v/>
      </c>
      <c r="AC5" s="9">
        <f>IFERROR(O5*Inputs!$C$24/Inputs!$C$22*Y5,"-")</f>
        <v/>
      </c>
      <c r="AD5" s="28">
        <f>IFERROR(MAX(0,AA5-AC5)/O5,"-")</f>
        <v/>
      </c>
    </row>
    <row r="6">
      <c r="A6" s="8" t="n">
        <v>3</v>
      </c>
      <c r="B6" s="14">
        <f>'Mob by Level'!B6</f>
        <v/>
      </c>
      <c r="C6" s="9">
        <f>'Mob by Level'!C6</f>
        <v/>
      </c>
      <c r="D6" s="9">
        <f>'Mob by Level'!D6</f>
        <v/>
      </c>
      <c r="E6" s="9">
        <f>'Mob by Level'!E6</f>
        <v/>
      </c>
      <c r="F6" s="16">
        <f>'Mob by Level'!F6</f>
        <v/>
      </c>
      <c r="G6" s="14">
        <f>SUMIFS(Gear!$D$4:$D$603,Gear!$A$4:$A$603,A6,Gear!$B$4:$B$603,"Priest",Gear!$C$4:$C$603,Inputs!$C$5)</f>
        <v/>
      </c>
      <c r="H6" s="14">
        <f>SUMIFS(Gear!$E$4:$E$603,Gear!$A$4:$A$603,A6,Gear!$B$4:$B$603,"Priest",Gear!$C$4:$C$603,Inputs!$C$5)</f>
        <v/>
      </c>
      <c r="I6" s="14">
        <f>SUMIFS(Gear!$F$4:$F$603,Gear!$A$4:$A$603,A6,Gear!$B$4:$B$603,"Priest",Gear!$C$4:$C$603,Inputs!$C$5)+IFERROR(LOOKUP(A6,Abilities!$A$49:$A$53,Abilities!$C$49:$C$53),0)</f>
        <v/>
      </c>
      <c r="J6" s="13">
        <f>SUMIFS(Gear!$J$4:$J$603,Gear!$A$4:$A$603,A6,Gear!$B$4:$B$603,"Priest",Gear!$C$4:$C$603,Inputs!$C$5)</f>
        <v/>
      </c>
      <c r="K6" s="13">
        <f>SUMIFS(Gear!$K$4:$K$603,Gear!$A$4:$A$603,A6,Gear!$B$4:$B$603,"Priest",Gear!$C$4:$C$603,Inputs!$C$5)</f>
        <v/>
      </c>
      <c r="L6" s="13">
        <f>SUMIFS(Gear!$L$4:$L$603,Gear!$A$4:$A$603,A6,Gear!$B$4:$B$603,"Priest",Gear!$C$4:$C$603,Inputs!$C$5)</f>
        <v/>
      </c>
      <c r="M6" s="13">
        <f>SUMIFS(Gear!$M$4:$M$603,Gear!$A$4:$A$603,A6,Gear!$B$4:$B$603,"Priest",Gear!$C$4:$C$603,Inputs!$C$5)</f>
        <v/>
      </c>
      <c r="N6" s="13">
        <f>SUMIFS(Gear!$N$4:$N$603,Gear!$A$4:$A$603,A6,Gear!$B$4:$B$603,"Priest",Gear!$C$4:$C$603,Inputs!$C$5)</f>
        <v/>
      </c>
      <c r="O6" s="9">
        <f>INDEX('Class Table'!$K$4:$K$53,A6)+SUMIFS(Gear!$G$4:$G$603,Gear!$A$4:$A$603,A6,Gear!$B$4:$B$603,"Priest",Gear!$C$4:$C$603,Inputs!$C$5)</f>
        <v/>
      </c>
      <c r="P6" s="9">
        <f>INDEX('Class Table'!$L$4:$L$53,A6)+SUMIFS(Gear!$H$4:$H$603,Gear!$A$4:$A$603,A6,Gear!$B$4:$B$603,"Priest",Gear!$C$4:$C$603,Inputs!$C$5)</f>
        <v/>
      </c>
      <c r="Q6" s="9">
        <f>INDEX('Class Table'!$M$4:$M$53,A6)+SUMIFS(Gear!$I$4:$I$603,Gear!$A$4:$A$603,A6,Gear!$B$4:$B$603,"Priest",Gear!$C$4:$C$603,Inputs!$C$5)</f>
        <v/>
      </c>
      <c r="R6" s="13">
        <f>SUMIFS(Gear!$O$4:$O$603,Gear!$A$4:$A$603,A6,Gear!$B$4:$B$603,"Priest",Gear!$C$4:$C$603,Inputs!$C$5)</f>
        <v/>
      </c>
      <c r="S6" s="26">
        <f>I6+0+G6+A6+MAX(1,A6/2)+(A6-B6)</f>
        <v/>
      </c>
      <c r="T6" s="9">
        <f>MAX(0,S6*(1+M6)*(1+L6)*Inputs!$C$20*(1-D6/Inputs!$C$19)-D6/25)</f>
        <v/>
      </c>
      <c r="U6" s="16">
        <f>H6/10*(1-MIN(0.95,N6+0))*Inputs!$C$21</f>
        <v/>
      </c>
      <c r="V6" s="27">
        <f>T6/U6</f>
        <v/>
      </c>
      <c r="W6" s="27">
        <f>V6</f>
        <v/>
      </c>
      <c r="X6" s="8">
        <f>IFERROR(ROUNDUP(C6/T6,0),"-")</f>
        <v/>
      </c>
      <c r="Y6" s="60">
        <f>IFERROR(C6/W6,"-")</f>
        <v/>
      </c>
      <c r="Z6" s="9">
        <f>MAX(0,(E6+(B6-A6))*(1-R6)*(1-Q6*'Class Table'!$O$8/Inputs!$C$19)-Q6*'Class Table'!$O$8/25)</f>
        <v/>
      </c>
      <c r="AA6" s="26">
        <f>IFERROR(Z6/F6*Y6,"-")</f>
        <v/>
      </c>
      <c r="AB6" s="28">
        <f>IFERROR(AA6/O6,"-")</f>
        <v/>
      </c>
      <c r="AC6" s="9">
        <f>IFERROR(O6*Inputs!$C$24/Inputs!$C$22*Y6,"-")</f>
        <v/>
      </c>
      <c r="AD6" s="28">
        <f>IFERROR(MAX(0,AA6-AC6)/O6,"-")</f>
        <v/>
      </c>
    </row>
    <row r="7">
      <c r="A7" s="8" t="n">
        <v>4</v>
      </c>
      <c r="B7" s="14">
        <f>'Mob by Level'!B7</f>
        <v/>
      </c>
      <c r="C7" s="9">
        <f>'Mob by Level'!C7</f>
        <v/>
      </c>
      <c r="D7" s="9">
        <f>'Mob by Level'!D7</f>
        <v/>
      </c>
      <c r="E7" s="9">
        <f>'Mob by Level'!E7</f>
        <v/>
      </c>
      <c r="F7" s="16">
        <f>'Mob by Level'!F7</f>
        <v/>
      </c>
      <c r="G7" s="14">
        <f>SUMIFS(Gear!$D$4:$D$603,Gear!$A$4:$A$603,A7,Gear!$B$4:$B$603,"Priest",Gear!$C$4:$C$603,Inputs!$C$5)</f>
        <v/>
      </c>
      <c r="H7" s="14">
        <f>SUMIFS(Gear!$E$4:$E$603,Gear!$A$4:$A$603,A7,Gear!$B$4:$B$603,"Priest",Gear!$C$4:$C$603,Inputs!$C$5)</f>
        <v/>
      </c>
      <c r="I7" s="14">
        <f>SUMIFS(Gear!$F$4:$F$603,Gear!$A$4:$A$603,A7,Gear!$B$4:$B$603,"Priest",Gear!$C$4:$C$603,Inputs!$C$5)+IFERROR(LOOKUP(A7,Abilities!$A$49:$A$53,Abilities!$C$49:$C$53),0)</f>
        <v/>
      </c>
      <c r="J7" s="13">
        <f>SUMIFS(Gear!$J$4:$J$603,Gear!$A$4:$A$603,A7,Gear!$B$4:$B$603,"Priest",Gear!$C$4:$C$603,Inputs!$C$5)</f>
        <v/>
      </c>
      <c r="K7" s="13">
        <f>SUMIFS(Gear!$K$4:$K$603,Gear!$A$4:$A$603,A7,Gear!$B$4:$B$603,"Priest",Gear!$C$4:$C$603,Inputs!$C$5)</f>
        <v/>
      </c>
      <c r="L7" s="13">
        <f>SUMIFS(Gear!$L$4:$L$603,Gear!$A$4:$A$603,A7,Gear!$B$4:$B$603,"Priest",Gear!$C$4:$C$603,Inputs!$C$5)</f>
        <v/>
      </c>
      <c r="M7" s="13">
        <f>SUMIFS(Gear!$M$4:$M$603,Gear!$A$4:$A$603,A7,Gear!$B$4:$B$603,"Priest",Gear!$C$4:$C$603,Inputs!$C$5)</f>
        <v/>
      </c>
      <c r="N7" s="13">
        <f>SUMIFS(Gear!$N$4:$N$603,Gear!$A$4:$A$603,A7,Gear!$B$4:$B$603,"Priest",Gear!$C$4:$C$603,Inputs!$C$5)</f>
        <v/>
      </c>
      <c r="O7" s="9">
        <f>INDEX('Class Table'!$K$4:$K$53,A7)+SUMIFS(Gear!$G$4:$G$603,Gear!$A$4:$A$603,A7,Gear!$B$4:$B$603,"Priest",Gear!$C$4:$C$603,Inputs!$C$5)</f>
        <v/>
      </c>
      <c r="P7" s="9">
        <f>INDEX('Class Table'!$L$4:$L$53,A7)+SUMIFS(Gear!$H$4:$H$603,Gear!$A$4:$A$603,A7,Gear!$B$4:$B$603,"Priest",Gear!$C$4:$C$603,Inputs!$C$5)</f>
        <v/>
      </c>
      <c r="Q7" s="9">
        <f>INDEX('Class Table'!$M$4:$M$53,A7)+SUMIFS(Gear!$I$4:$I$603,Gear!$A$4:$A$603,A7,Gear!$B$4:$B$603,"Priest",Gear!$C$4:$C$603,Inputs!$C$5)</f>
        <v/>
      </c>
      <c r="R7" s="13">
        <f>SUMIFS(Gear!$O$4:$O$603,Gear!$A$4:$A$603,A7,Gear!$B$4:$B$603,"Priest",Gear!$C$4:$C$603,Inputs!$C$5)</f>
        <v/>
      </c>
      <c r="S7" s="26">
        <f>I7+0+G7+A7+MAX(1,A7/2)+(A7-B7)</f>
        <v/>
      </c>
      <c r="T7" s="9">
        <f>MAX(0,S7*(1+M7)*(1+L7)*Inputs!$C$20*(1-D7/Inputs!$C$19)-D7/25)</f>
        <v/>
      </c>
      <c r="U7" s="16">
        <f>H7/10*(1-MIN(0.95,N7+0))*Inputs!$C$21</f>
        <v/>
      </c>
      <c r="V7" s="27">
        <f>T7/U7</f>
        <v/>
      </c>
      <c r="W7" s="27">
        <f>V7</f>
        <v/>
      </c>
      <c r="X7" s="8">
        <f>IFERROR(ROUNDUP(C7/T7,0),"-")</f>
        <v/>
      </c>
      <c r="Y7" s="60">
        <f>IFERROR(C7/W7,"-")</f>
        <v/>
      </c>
      <c r="Z7" s="9">
        <f>MAX(0,(E7+(B7-A7))*(1-R7)*(1-Q7*'Class Table'!$O$8/Inputs!$C$19)-Q7*'Class Table'!$O$8/25)</f>
        <v/>
      </c>
      <c r="AA7" s="26">
        <f>IFERROR(Z7/F7*Y7,"-")</f>
        <v/>
      </c>
      <c r="AB7" s="28">
        <f>IFERROR(AA7/O7,"-")</f>
        <v/>
      </c>
      <c r="AC7" s="9">
        <f>IFERROR(O7*Inputs!$C$24/Inputs!$C$22*Y7,"-")</f>
        <v/>
      </c>
      <c r="AD7" s="28">
        <f>IFERROR(MAX(0,AA7-AC7)/O7,"-")</f>
        <v/>
      </c>
    </row>
    <row r="8">
      <c r="A8" s="8" t="n">
        <v>5</v>
      </c>
      <c r="B8" s="14">
        <f>'Mob by Level'!B8</f>
        <v/>
      </c>
      <c r="C8" s="9">
        <f>'Mob by Level'!C8</f>
        <v/>
      </c>
      <c r="D8" s="9">
        <f>'Mob by Level'!D8</f>
        <v/>
      </c>
      <c r="E8" s="9">
        <f>'Mob by Level'!E8</f>
        <v/>
      </c>
      <c r="F8" s="16">
        <f>'Mob by Level'!F8</f>
        <v/>
      </c>
      <c r="G8" s="14">
        <f>SUMIFS(Gear!$D$4:$D$603,Gear!$A$4:$A$603,A8,Gear!$B$4:$B$603,"Priest",Gear!$C$4:$C$603,Inputs!$C$5)</f>
        <v/>
      </c>
      <c r="H8" s="14">
        <f>SUMIFS(Gear!$E$4:$E$603,Gear!$A$4:$A$603,A8,Gear!$B$4:$B$603,"Priest",Gear!$C$4:$C$603,Inputs!$C$5)</f>
        <v/>
      </c>
      <c r="I8" s="14">
        <f>SUMIFS(Gear!$F$4:$F$603,Gear!$A$4:$A$603,A8,Gear!$B$4:$B$603,"Priest",Gear!$C$4:$C$603,Inputs!$C$5)+IFERROR(LOOKUP(A8,Abilities!$A$49:$A$53,Abilities!$C$49:$C$53),0)</f>
        <v/>
      </c>
      <c r="J8" s="13">
        <f>SUMIFS(Gear!$J$4:$J$603,Gear!$A$4:$A$603,A8,Gear!$B$4:$B$603,"Priest",Gear!$C$4:$C$603,Inputs!$C$5)</f>
        <v/>
      </c>
      <c r="K8" s="13">
        <f>SUMIFS(Gear!$K$4:$K$603,Gear!$A$4:$A$603,A8,Gear!$B$4:$B$603,"Priest",Gear!$C$4:$C$603,Inputs!$C$5)</f>
        <v/>
      </c>
      <c r="L8" s="13">
        <f>SUMIFS(Gear!$L$4:$L$603,Gear!$A$4:$A$603,A8,Gear!$B$4:$B$603,"Priest",Gear!$C$4:$C$603,Inputs!$C$5)</f>
        <v/>
      </c>
      <c r="M8" s="13">
        <f>SUMIFS(Gear!$M$4:$M$603,Gear!$A$4:$A$603,A8,Gear!$B$4:$B$603,"Priest",Gear!$C$4:$C$603,Inputs!$C$5)</f>
        <v/>
      </c>
      <c r="N8" s="13">
        <f>SUMIFS(Gear!$N$4:$N$603,Gear!$A$4:$A$603,A8,Gear!$B$4:$B$603,"Priest",Gear!$C$4:$C$603,Inputs!$C$5)</f>
        <v/>
      </c>
      <c r="O8" s="9">
        <f>INDEX('Class Table'!$K$4:$K$53,A8)+SUMIFS(Gear!$G$4:$G$603,Gear!$A$4:$A$603,A8,Gear!$B$4:$B$603,"Priest",Gear!$C$4:$C$603,Inputs!$C$5)</f>
        <v/>
      </c>
      <c r="P8" s="9">
        <f>INDEX('Class Table'!$L$4:$L$53,A8)+SUMIFS(Gear!$H$4:$H$603,Gear!$A$4:$A$603,A8,Gear!$B$4:$B$603,"Priest",Gear!$C$4:$C$603,Inputs!$C$5)</f>
        <v/>
      </c>
      <c r="Q8" s="9">
        <f>INDEX('Class Table'!$M$4:$M$53,A8)+SUMIFS(Gear!$I$4:$I$603,Gear!$A$4:$A$603,A8,Gear!$B$4:$B$603,"Priest",Gear!$C$4:$C$603,Inputs!$C$5)</f>
        <v/>
      </c>
      <c r="R8" s="13">
        <f>SUMIFS(Gear!$O$4:$O$603,Gear!$A$4:$A$603,A8,Gear!$B$4:$B$603,"Priest",Gear!$C$4:$C$603,Inputs!$C$5)</f>
        <v/>
      </c>
      <c r="S8" s="26">
        <f>I8+0+G8+A8+MAX(1,A8/2)+(A8-B8)</f>
        <v/>
      </c>
      <c r="T8" s="9">
        <f>MAX(0,S8*(1+M8)*(1+L8)*Inputs!$C$20*(1-D8/Inputs!$C$19)-D8/25)</f>
        <v/>
      </c>
      <c r="U8" s="16">
        <f>H8/10*(1-MIN(0.95,N8+0))*Inputs!$C$21</f>
        <v/>
      </c>
      <c r="V8" s="27">
        <f>T8/U8</f>
        <v/>
      </c>
      <c r="W8" s="27">
        <f>V8</f>
        <v/>
      </c>
      <c r="X8" s="8">
        <f>IFERROR(ROUNDUP(C8/T8,0),"-")</f>
        <v/>
      </c>
      <c r="Y8" s="60">
        <f>IFERROR(C8/W8,"-")</f>
        <v/>
      </c>
      <c r="Z8" s="9">
        <f>MAX(0,(E8+(B8-A8))*(1-R8)*(1-Q8*'Class Table'!$O$8/Inputs!$C$19)-Q8*'Class Table'!$O$8/25)</f>
        <v/>
      </c>
      <c r="AA8" s="26">
        <f>IFERROR(Z8/F8*Y8,"-")</f>
        <v/>
      </c>
      <c r="AB8" s="28">
        <f>IFERROR(AA8/O8,"-")</f>
        <v/>
      </c>
      <c r="AC8" s="9">
        <f>IFERROR(O8*Inputs!$C$24/Inputs!$C$22*Y8,"-")</f>
        <v/>
      </c>
      <c r="AD8" s="28">
        <f>IFERROR(MAX(0,AA8-AC8)/O8,"-")</f>
        <v/>
      </c>
    </row>
    <row r="9">
      <c r="A9" s="8" t="n">
        <v>6</v>
      </c>
      <c r="B9" s="14">
        <f>'Mob by Level'!B9</f>
        <v/>
      </c>
      <c r="C9" s="9">
        <f>'Mob by Level'!C9</f>
        <v/>
      </c>
      <c r="D9" s="9">
        <f>'Mob by Level'!D9</f>
        <v/>
      </c>
      <c r="E9" s="9">
        <f>'Mob by Level'!E9</f>
        <v/>
      </c>
      <c r="F9" s="16">
        <f>'Mob by Level'!F9</f>
        <v/>
      </c>
      <c r="G9" s="14">
        <f>SUMIFS(Gear!$D$4:$D$603,Gear!$A$4:$A$603,A9,Gear!$B$4:$B$603,"Priest",Gear!$C$4:$C$603,Inputs!$C$5)</f>
        <v/>
      </c>
      <c r="H9" s="14">
        <f>SUMIFS(Gear!$E$4:$E$603,Gear!$A$4:$A$603,A9,Gear!$B$4:$B$603,"Priest",Gear!$C$4:$C$603,Inputs!$C$5)</f>
        <v/>
      </c>
      <c r="I9" s="14">
        <f>SUMIFS(Gear!$F$4:$F$603,Gear!$A$4:$A$603,A9,Gear!$B$4:$B$603,"Priest",Gear!$C$4:$C$603,Inputs!$C$5)+IFERROR(LOOKUP(A9,Abilities!$A$49:$A$53,Abilities!$C$49:$C$53),0)</f>
        <v/>
      </c>
      <c r="J9" s="13">
        <f>SUMIFS(Gear!$J$4:$J$603,Gear!$A$4:$A$603,A9,Gear!$B$4:$B$603,"Priest",Gear!$C$4:$C$603,Inputs!$C$5)</f>
        <v/>
      </c>
      <c r="K9" s="13">
        <f>SUMIFS(Gear!$K$4:$K$603,Gear!$A$4:$A$603,A9,Gear!$B$4:$B$603,"Priest",Gear!$C$4:$C$603,Inputs!$C$5)</f>
        <v/>
      </c>
      <c r="L9" s="13">
        <f>SUMIFS(Gear!$L$4:$L$603,Gear!$A$4:$A$603,A9,Gear!$B$4:$B$603,"Priest",Gear!$C$4:$C$603,Inputs!$C$5)</f>
        <v/>
      </c>
      <c r="M9" s="13">
        <f>SUMIFS(Gear!$M$4:$M$603,Gear!$A$4:$A$603,A9,Gear!$B$4:$B$603,"Priest",Gear!$C$4:$C$603,Inputs!$C$5)</f>
        <v/>
      </c>
      <c r="N9" s="13">
        <f>SUMIFS(Gear!$N$4:$N$603,Gear!$A$4:$A$603,A9,Gear!$B$4:$B$603,"Priest",Gear!$C$4:$C$603,Inputs!$C$5)</f>
        <v/>
      </c>
      <c r="O9" s="9">
        <f>INDEX('Class Table'!$K$4:$K$53,A9)+SUMIFS(Gear!$G$4:$G$603,Gear!$A$4:$A$603,A9,Gear!$B$4:$B$603,"Priest",Gear!$C$4:$C$603,Inputs!$C$5)</f>
        <v/>
      </c>
      <c r="P9" s="9">
        <f>INDEX('Class Table'!$L$4:$L$53,A9)+SUMIFS(Gear!$H$4:$H$603,Gear!$A$4:$A$603,A9,Gear!$B$4:$B$603,"Priest",Gear!$C$4:$C$603,Inputs!$C$5)</f>
        <v/>
      </c>
      <c r="Q9" s="9">
        <f>INDEX('Class Table'!$M$4:$M$53,A9)+SUMIFS(Gear!$I$4:$I$603,Gear!$A$4:$A$603,A9,Gear!$B$4:$B$603,"Priest",Gear!$C$4:$C$603,Inputs!$C$5)</f>
        <v/>
      </c>
      <c r="R9" s="13">
        <f>SUMIFS(Gear!$O$4:$O$603,Gear!$A$4:$A$603,A9,Gear!$B$4:$B$603,"Priest",Gear!$C$4:$C$603,Inputs!$C$5)</f>
        <v/>
      </c>
      <c r="S9" s="26">
        <f>I9+0+G9+A9+MAX(1,A9/2)+(A9-B9)</f>
        <v/>
      </c>
      <c r="T9" s="9">
        <f>MAX(0,S9*(1+M9)*(1+L9)*Inputs!$C$20*(1-D9/Inputs!$C$19)-D9/25)</f>
        <v/>
      </c>
      <c r="U9" s="16">
        <f>H9/10*(1-MIN(0.95,N9+0))*Inputs!$C$21</f>
        <v/>
      </c>
      <c r="V9" s="27">
        <f>T9/U9</f>
        <v/>
      </c>
      <c r="W9" s="27">
        <f>V9</f>
        <v/>
      </c>
      <c r="X9" s="8">
        <f>IFERROR(ROUNDUP(C9/T9,0),"-")</f>
        <v/>
      </c>
      <c r="Y9" s="60">
        <f>IFERROR(C9/W9,"-")</f>
        <v/>
      </c>
      <c r="Z9" s="9">
        <f>MAX(0,(E9+(B9-A9))*(1-R9)*(1-Q9*'Class Table'!$O$8/Inputs!$C$19)-Q9*'Class Table'!$O$8/25)</f>
        <v/>
      </c>
      <c r="AA9" s="26">
        <f>IFERROR(Z9/F9*Y9,"-")</f>
        <v/>
      </c>
      <c r="AB9" s="28">
        <f>IFERROR(AA9/O9,"-")</f>
        <v/>
      </c>
      <c r="AC9" s="9">
        <f>IFERROR(O9*Inputs!$C$24/Inputs!$C$22*Y9,"-")</f>
        <v/>
      </c>
      <c r="AD9" s="28">
        <f>IFERROR(MAX(0,AA9-AC9)/O9,"-")</f>
        <v/>
      </c>
    </row>
    <row r="10">
      <c r="A10" s="8" t="n">
        <v>7</v>
      </c>
      <c r="B10" s="14">
        <f>'Mob by Level'!B10</f>
        <v/>
      </c>
      <c r="C10" s="9">
        <f>'Mob by Level'!C10</f>
        <v/>
      </c>
      <c r="D10" s="9">
        <f>'Mob by Level'!D10</f>
        <v/>
      </c>
      <c r="E10" s="9">
        <f>'Mob by Level'!E10</f>
        <v/>
      </c>
      <c r="F10" s="16">
        <f>'Mob by Level'!F10</f>
        <v/>
      </c>
      <c r="G10" s="14">
        <f>SUMIFS(Gear!$D$4:$D$603,Gear!$A$4:$A$603,A10,Gear!$B$4:$B$603,"Priest",Gear!$C$4:$C$603,Inputs!$C$5)</f>
        <v/>
      </c>
      <c r="H10" s="14">
        <f>SUMIFS(Gear!$E$4:$E$603,Gear!$A$4:$A$603,A10,Gear!$B$4:$B$603,"Priest",Gear!$C$4:$C$603,Inputs!$C$5)</f>
        <v/>
      </c>
      <c r="I10" s="14">
        <f>SUMIFS(Gear!$F$4:$F$603,Gear!$A$4:$A$603,A10,Gear!$B$4:$B$603,"Priest",Gear!$C$4:$C$603,Inputs!$C$5)+IFERROR(LOOKUP(A10,Abilities!$A$49:$A$53,Abilities!$C$49:$C$53),0)</f>
        <v/>
      </c>
      <c r="J10" s="13">
        <f>SUMIFS(Gear!$J$4:$J$603,Gear!$A$4:$A$603,A10,Gear!$B$4:$B$603,"Priest",Gear!$C$4:$C$603,Inputs!$C$5)</f>
        <v/>
      </c>
      <c r="K10" s="13">
        <f>SUMIFS(Gear!$K$4:$K$603,Gear!$A$4:$A$603,A10,Gear!$B$4:$B$603,"Priest",Gear!$C$4:$C$603,Inputs!$C$5)</f>
        <v/>
      </c>
      <c r="L10" s="13">
        <f>SUMIFS(Gear!$L$4:$L$603,Gear!$A$4:$A$603,A10,Gear!$B$4:$B$603,"Priest",Gear!$C$4:$C$603,Inputs!$C$5)</f>
        <v/>
      </c>
      <c r="M10" s="13">
        <f>SUMIFS(Gear!$M$4:$M$603,Gear!$A$4:$A$603,A10,Gear!$B$4:$B$603,"Priest",Gear!$C$4:$C$603,Inputs!$C$5)</f>
        <v/>
      </c>
      <c r="N10" s="13">
        <f>SUMIFS(Gear!$N$4:$N$603,Gear!$A$4:$A$603,A10,Gear!$B$4:$B$603,"Priest",Gear!$C$4:$C$603,Inputs!$C$5)</f>
        <v/>
      </c>
      <c r="O10" s="9">
        <f>INDEX('Class Table'!$K$4:$K$53,A10)+SUMIFS(Gear!$G$4:$G$603,Gear!$A$4:$A$603,A10,Gear!$B$4:$B$603,"Priest",Gear!$C$4:$C$603,Inputs!$C$5)</f>
        <v/>
      </c>
      <c r="P10" s="9">
        <f>INDEX('Class Table'!$L$4:$L$53,A10)+SUMIFS(Gear!$H$4:$H$603,Gear!$A$4:$A$603,A10,Gear!$B$4:$B$603,"Priest",Gear!$C$4:$C$603,Inputs!$C$5)</f>
        <v/>
      </c>
      <c r="Q10" s="9">
        <f>INDEX('Class Table'!$M$4:$M$53,A10)+SUMIFS(Gear!$I$4:$I$603,Gear!$A$4:$A$603,A10,Gear!$B$4:$B$603,"Priest",Gear!$C$4:$C$603,Inputs!$C$5)</f>
        <v/>
      </c>
      <c r="R10" s="13">
        <f>SUMIFS(Gear!$O$4:$O$603,Gear!$A$4:$A$603,A10,Gear!$B$4:$B$603,"Priest",Gear!$C$4:$C$603,Inputs!$C$5)</f>
        <v/>
      </c>
      <c r="S10" s="26">
        <f>I10+0+G10+A10+MAX(1,A10/2)+(A10-B10)</f>
        <v/>
      </c>
      <c r="T10" s="9">
        <f>MAX(0,S10*(1+M10)*(1+L10)*Inputs!$C$20*(1-D10/Inputs!$C$19)-D10/25)</f>
        <v/>
      </c>
      <c r="U10" s="16">
        <f>H10/10*(1-MIN(0.95,N10+0))*Inputs!$C$21</f>
        <v/>
      </c>
      <c r="V10" s="27">
        <f>T10/U10</f>
        <v/>
      </c>
      <c r="W10" s="27">
        <f>V10</f>
        <v/>
      </c>
      <c r="X10" s="8">
        <f>IFERROR(ROUNDUP(C10/T10,0),"-")</f>
        <v/>
      </c>
      <c r="Y10" s="60">
        <f>IFERROR(C10/W10,"-")</f>
        <v/>
      </c>
      <c r="Z10" s="9">
        <f>MAX(0,(E10+(B10-A10))*(1-R10)*(1-Q10*'Class Table'!$O$8/Inputs!$C$19)-Q10*'Class Table'!$O$8/25)</f>
        <v/>
      </c>
      <c r="AA10" s="26">
        <f>IFERROR(Z10/F10*Y10,"-")</f>
        <v/>
      </c>
      <c r="AB10" s="28">
        <f>IFERROR(AA10/O10,"-")</f>
        <v/>
      </c>
      <c r="AC10" s="9">
        <f>IFERROR(O10*Inputs!$C$24/Inputs!$C$22*Y10,"-")</f>
        <v/>
      </c>
      <c r="AD10" s="28">
        <f>IFERROR(MAX(0,AA10-AC10)/O10,"-")</f>
        <v/>
      </c>
    </row>
    <row r="11">
      <c r="A11" s="8" t="n">
        <v>8</v>
      </c>
      <c r="B11" s="14">
        <f>'Mob by Level'!B11</f>
        <v/>
      </c>
      <c r="C11" s="9">
        <f>'Mob by Level'!C11</f>
        <v/>
      </c>
      <c r="D11" s="9">
        <f>'Mob by Level'!D11</f>
        <v/>
      </c>
      <c r="E11" s="9">
        <f>'Mob by Level'!E11</f>
        <v/>
      </c>
      <c r="F11" s="16">
        <f>'Mob by Level'!F11</f>
        <v/>
      </c>
      <c r="G11" s="14">
        <f>SUMIFS(Gear!$D$4:$D$603,Gear!$A$4:$A$603,A11,Gear!$B$4:$B$603,"Priest",Gear!$C$4:$C$603,Inputs!$C$5)</f>
        <v/>
      </c>
      <c r="H11" s="14">
        <f>SUMIFS(Gear!$E$4:$E$603,Gear!$A$4:$A$603,A11,Gear!$B$4:$B$603,"Priest",Gear!$C$4:$C$603,Inputs!$C$5)</f>
        <v/>
      </c>
      <c r="I11" s="14">
        <f>SUMIFS(Gear!$F$4:$F$603,Gear!$A$4:$A$603,A11,Gear!$B$4:$B$603,"Priest",Gear!$C$4:$C$603,Inputs!$C$5)+IFERROR(LOOKUP(A11,Abilities!$A$49:$A$53,Abilities!$C$49:$C$53),0)</f>
        <v/>
      </c>
      <c r="J11" s="13">
        <f>SUMIFS(Gear!$J$4:$J$603,Gear!$A$4:$A$603,A11,Gear!$B$4:$B$603,"Priest",Gear!$C$4:$C$603,Inputs!$C$5)</f>
        <v/>
      </c>
      <c r="K11" s="13">
        <f>SUMIFS(Gear!$K$4:$K$603,Gear!$A$4:$A$603,A11,Gear!$B$4:$B$603,"Priest",Gear!$C$4:$C$603,Inputs!$C$5)</f>
        <v/>
      </c>
      <c r="L11" s="13">
        <f>SUMIFS(Gear!$L$4:$L$603,Gear!$A$4:$A$603,A11,Gear!$B$4:$B$603,"Priest",Gear!$C$4:$C$603,Inputs!$C$5)</f>
        <v/>
      </c>
      <c r="M11" s="13">
        <f>SUMIFS(Gear!$M$4:$M$603,Gear!$A$4:$A$603,A11,Gear!$B$4:$B$603,"Priest",Gear!$C$4:$C$603,Inputs!$C$5)</f>
        <v/>
      </c>
      <c r="N11" s="13">
        <f>SUMIFS(Gear!$N$4:$N$603,Gear!$A$4:$A$603,A11,Gear!$B$4:$B$603,"Priest",Gear!$C$4:$C$603,Inputs!$C$5)</f>
        <v/>
      </c>
      <c r="O11" s="9">
        <f>INDEX('Class Table'!$K$4:$K$53,A11)+SUMIFS(Gear!$G$4:$G$603,Gear!$A$4:$A$603,A11,Gear!$B$4:$B$603,"Priest",Gear!$C$4:$C$603,Inputs!$C$5)</f>
        <v/>
      </c>
      <c r="P11" s="9">
        <f>INDEX('Class Table'!$L$4:$L$53,A11)+SUMIFS(Gear!$H$4:$H$603,Gear!$A$4:$A$603,A11,Gear!$B$4:$B$603,"Priest",Gear!$C$4:$C$603,Inputs!$C$5)</f>
        <v/>
      </c>
      <c r="Q11" s="9">
        <f>INDEX('Class Table'!$M$4:$M$53,A11)+SUMIFS(Gear!$I$4:$I$603,Gear!$A$4:$A$603,A11,Gear!$B$4:$B$603,"Priest",Gear!$C$4:$C$603,Inputs!$C$5)</f>
        <v/>
      </c>
      <c r="R11" s="13">
        <f>SUMIFS(Gear!$O$4:$O$603,Gear!$A$4:$A$603,A11,Gear!$B$4:$B$603,"Priest",Gear!$C$4:$C$603,Inputs!$C$5)</f>
        <v/>
      </c>
      <c r="S11" s="26">
        <f>I11+0+G11+A11+MAX(1,A11/2)+(A11-B11)</f>
        <v/>
      </c>
      <c r="T11" s="9">
        <f>MAX(0,S11*(1+M11)*(1+L11)*Inputs!$C$20*(1-D11/Inputs!$C$19)-D11/25)</f>
        <v/>
      </c>
      <c r="U11" s="16">
        <f>H11/10*(1-MIN(0.95,N11+0))*Inputs!$C$21</f>
        <v/>
      </c>
      <c r="V11" s="27">
        <f>T11/U11</f>
        <v/>
      </c>
      <c r="W11" s="27">
        <f>V11</f>
        <v/>
      </c>
      <c r="X11" s="8">
        <f>IFERROR(ROUNDUP(C11/T11,0),"-")</f>
        <v/>
      </c>
      <c r="Y11" s="60">
        <f>IFERROR(C11/W11,"-")</f>
        <v/>
      </c>
      <c r="Z11" s="9">
        <f>MAX(0,(E11+(B11-A11))*(1-R11)*(1-Q11*'Class Table'!$O$8/Inputs!$C$19)-Q11*'Class Table'!$O$8/25)</f>
        <v/>
      </c>
      <c r="AA11" s="26">
        <f>IFERROR(Z11/F11*Y11,"-")</f>
        <v/>
      </c>
      <c r="AB11" s="28">
        <f>IFERROR(AA11/O11,"-")</f>
        <v/>
      </c>
      <c r="AC11" s="9">
        <f>IFERROR(O11*Inputs!$C$24/Inputs!$C$22*Y11,"-")</f>
        <v/>
      </c>
      <c r="AD11" s="28">
        <f>IFERROR(MAX(0,AA11-AC11)/O11,"-")</f>
        <v/>
      </c>
    </row>
    <row r="12">
      <c r="A12" s="8" t="n">
        <v>9</v>
      </c>
      <c r="B12" s="14">
        <f>'Mob by Level'!B12</f>
        <v/>
      </c>
      <c r="C12" s="9">
        <f>'Mob by Level'!C12</f>
        <v/>
      </c>
      <c r="D12" s="9">
        <f>'Mob by Level'!D12</f>
        <v/>
      </c>
      <c r="E12" s="9">
        <f>'Mob by Level'!E12</f>
        <v/>
      </c>
      <c r="F12" s="16">
        <f>'Mob by Level'!F12</f>
        <v/>
      </c>
      <c r="G12" s="14">
        <f>SUMIFS(Gear!$D$4:$D$603,Gear!$A$4:$A$603,A12,Gear!$B$4:$B$603,"Priest",Gear!$C$4:$C$603,Inputs!$C$5)</f>
        <v/>
      </c>
      <c r="H12" s="14">
        <f>SUMIFS(Gear!$E$4:$E$603,Gear!$A$4:$A$603,A12,Gear!$B$4:$B$603,"Priest",Gear!$C$4:$C$603,Inputs!$C$5)</f>
        <v/>
      </c>
      <c r="I12" s="14">
        <f>SUMIFS(Gear!$F$4:$F$603,Gear!$A$4:$A$603,A12,Gear!$B$4:$B$603,"Priest",Gear!$C$4:$C$603,Inputs!$C$5)+IFERROR(LOOKUP(A12,Abilities!$A$49:$A$53,Abilities!$C$49:$C$53),0)</f>
        <v/>
      </c>
      <c r="J12" s="13">
        <f>SUMIFS(Gear!$J$4:$J$603,Gear!$A$4:$A$603,A12,Gear!$B$4:$B$603,"Priest",Gear!$C$4:$C$603,Inputs!$C$5)</f>
        <v/>
      </c>
      <c r="K12" s="13">
        <f>SUMIFS(Gear!$K$4:$K$603,Gear!$A$4:$A$603,A12,Gear!$B$4:$B$603,"Priest",Gear!$C$4:$C$603,Inputs!$C$5)</f>
        <v/>
      </c>
      <c r="L12" s="13">
        <f>SUMIFS(Gear!$L$4:$L$603,Gear!$A$4:$A$603,A12,Gear!$B$4:$B$603,"Priest",Gear!$C$4:$C$603,Inputs!$C$5)</f>
        <v/>
      </c>
      <c r="M12" s="13">
        <f>SUMIFS(Gear!$M$4:$M$603,Gear!$A$4:$A$603,A12,Gear!$B$4:$B$603,"Priest",Gear!$C$4:$C$603,Inputs!$C$5)</f>
        <v/>
      </c>
      <c r="N12" s="13">
        <f>SUMIFS(Gear!$N$4:$N$603,Gear!$A$4:$A$603,A12,Gear!$B$4:$B$603,"Priest",Gear!$C$4:$C$603,Inputs!$C$5)</f>
        <v/>
      </c>
      <c r="O12" s="9">
        <f>INDEX('Class Table'!$K$4:$K$53,A12)+SUMIFS(Gear!$G$4:$G$603,Gear!$A$4:$A$603,A12,Gear!$B$4:$B$603,"Priest",Gear!$C$4:$C$603,Inputs!$C$5)</f>
        <v/>
      </c>
      <c r="P12" s="9">
        <f>INDEX('Class Table'!$L$4:$L$53,A12)+SUMIFS(Gear!$H$4:$H$603,Gear!$A$4:$A$603,A12,Gear!$B$4:$B$603,"Priest",Gear!$C$4:$C$603,Inputs!$C$5)</f>
        <v/>
      </c>
      <c r="Q12" s="9">
        <f>INDEX('Class Table'!$M$4:$M$53,A12)+SUMIFS(Gear!$I$4:$I$603,Gear!$A$4:$A$603,A12,Gear!$B$4:$B$603,"Priest",Gear!$C$4:$C$603,Inputs!$C$5)</f>
        <v/>
      </c>
      <c r="R12" s="13">
        <f>SUMIFS(Gear!$O$4:$O$603,Gear!$A$4:$A$603,A12,Gear!$B$4:$B$603,"Priest",Gear!$C$4:$C$603,Inputs!$C$5)</f>
        <v/>
      </c>
      <c r="S12" s="26">
        <f>I12+0+G12+A12+MAX(1,A12/2)+(A12-B12)</f>
        <v/>
      </c>
      <c r="T12" s="9">
        <f>MAX(0,S12*(1+M12)*(1+L12)*Inputs!$C$20*(1-D12/Inputs!$C$19)-D12/25)</f>
        <v/>
      </c>
      <c r="U12" s="16">
        <f>H12/10*(1-MIN(0.95,N12+0))*Inputs!$C$21</f>
        <v/>
      </c>
      <c r="V12" s="27">
        <f>T12/U12</f>
        <v/>
      </c>
      <c r="W12" s="27">
        <f>V12</f>
        <v/>
      </c>
      <c r="X12" s="8">
        <f>IFERROR(ROUNDUP(C12/T12,0),"-")</f>
        <v/>
      </c>
      <c r="Y12" s="60">
        <f>IFERROR(C12/W12,"-")</f>
        <v/>
      </c>
      <c r="Z12" s="9">
        <f>MAX(0,(E12+(B12-A12))*(1-R12)*(1-Q12*'Class Table'!$O$8/Inputs!$C$19)-Q12*'Class Table'!$O$8/25)</f>
        <v/>
      </c>
      <c r="AA12" s="26">
        <f>IFERROR(Z12/F12*Y12,"-")</f>
        <v/>
      </c>
      <c r="AB12" s="28">
        <f>IFERROR(AA12/O12,"-")</f>
        <v/>
      </c>
      <c r="AC12" s="9">
        <f>IFERROR(O12*Inputs!$C$24/Inputs!$C$22*Y12,"-")</f>
        <v/>
      </c>
      <c r="AD12" s="28">
        <f>IFERROR(MAX(0,AA12-AC12)/O12,"-")</f>
        <v/>
      </c>
    </row>
    <row r="13">
      <c r="A13" s="8" t="n">
        <v>10</v>
      </c>
      <c r="B13" s="14">
        <f>'Mob by Level'!B13</f>
        <v/>
      </c>
      <c r="C13" s="9">
        <f>'Mob by Level'!C13</f>
        <v/>
      </c>
      <c r="D13" s="9">
        <f>'Mob by Level'!D13</f>
        <v/>
      </c>
      <c r="E13" s="9">
        <f>'Mob by Level'!E13</f>
        <v/>
      </c>
      <c r="F13" s="16">
        <f>'Mob by Level'!F13</f>
        <v/>
      </c>
      <c r="G13" s="14">
        <f>SUMIFS(Gear!$D$4:$D$603,Gear!$A$4:$A$603,A13,Gear!$B$4:$B$603,"Priest",Gear!$C$4:$C$603,Inputs!$C$5)</f>
        <v/>
      </c>
      <c r="H13" s="14">
        <f>SUMIFS(Gear!$E$4:$E$603,Gear!$A$4:$A$603,A13,Gear!$B$4:$B$603,"Priest",Gear!$C$4:$C$603,Inputs!$C$5)</f>
        <v/>
      </c>
      <c r="I13" s="14">
        <f>SUMIFS(Gear!$F$4:$F$603,Gear!$A$4:$A$603,A13,Gear!$B$4:$B$603,"Priest",Gear!$C$4:$C$603,Inputs!$C$5)+IFERROR(LOOKUP(A13,Abilities!$A$49:$A$53,Abilities!$C$49:$C$53),0)</f>
        <v/>
      </c>
      <c r="J13" s="13">
        <f>SUMIFS(Gear!$J$4:$J$603,Gear!$A$4:$A$603,A13,Gear!$B$4:$B$603,"Priest",Gear!$C$4:$C$603,Inputs!$C$5)</f>
        <v/>
      </c>
      <c r="K13" s="13">
        <f>SUMIFS(Gear!$K$4:$K$603,Gear!$A$4:$A$603,A13,Gear!$B$4:$B$603,"Priest",Gear!$C$4:$C$603,Inputs!$C$5)</f>
        <v/>
      </c>
      <c r="L13" s="13">
        <f>SUMIFS(Gear!$L$4:$L$603,Gear!$A$4:$A$603,A13,Gear!$B$4:$B$603,"Priest",Gear!$C$4:$C$603,Inputs!$C$5)</f>
        <v/>
      </c>
      <c r="M13" s="13">
        <f>SUMIFS(Gear!$M$4:$M$603,Gear!$A$4:$A$603,A13,Gear!$B$4:$B$603,"Priest",Gear!$C$4:$C$603,Inputs!$C$5)</f>
        <v/>
      </c>
      <c r="N13" s="13">
        <f>SUMIFS(Gear!$N$4:$N$603,Gear!$A$4:$A$603,A13,Gear!$B$4:$B$603,"Priest",Gear!$C$4:$C$603,Inputs!$C$5)</f>
        <v/>
      </c>
      <c r="O13" s="9">
        <f>INDEX('Class Table'!$K$4:$K$53,A13)+SUMIFS(Gear!$G$4:$G$603,Gear!$A$4:$A$603,A13,Gear!$B$4:$B$603,"Priest",Gear!$C$4:$C$603,Inputs!$C$5)</f>
        <v/>
      </c>
      <c r="P13" s="9">
        <f>INDEX('Class Table'!$L$4:$L$53,A13)+SUMIFS(Gear!$H$4:$H$603,Gear!$A$4:$A$603,A13,Gear!$B$4:$B$603,"Priest",Gear!$C$4:$C$603,Inputs!$C$5)</f>
        <v/>
      </c>
      <c r="Q13" s="9">
        <f>INDEX('Class Table'!$M$4:$M$53,A13)+SUMIFS(Gear!$I$4:$I$603,Gear!$A$4:$A$603,A13,Gear!$B$4:$B$603,"Priest",Gear!$C$4:$C$603,Inputs!$C$5)</f>
        <v/>
      </c>
      <c r="R13" s="13">
        <f>SUMIFS(Gear!$O$4:$O$603,Gear!$A$4:$A$603,A13,Gear!$B$4:$B$603,"Priest",Gear!$C$4:$C$603,Inputs!$C$5)</f>
        <v/>
      </c>
      <c r="S13" s="26">
        <f>I13+0+G13+A13+MAX(1,A13/2)+(A13-B13)</f>
        <v/>
      </c>
      <c r="T13" s="9">
        <f>MAX(0,S13*(1+M13)*(1+L13)*Inputs!$C$20*(1-D13/Inputs!$C$19)-D13/25)</f>
        <v/>
      </c>
      <c r="U13" s="16">
        <f>H13/10*(1-MIN(0.95,N13+0))*Inputs!$C$21</f>
        <v/>
      </c>
      <c r="V13" s="27">
        <f>T13/U13</f>
        <v/>
      </c>
      <c r="W13" s="27">
        <f>V13</f>
        <v/>
      </c>
      <c r="X13" s="8">
        <f>IFERROR(ROUNDUP(C13/T13,0),"-")</f>
        <v/>
      </c>
      <c r="Y13" s="60">
        <f>IFERROR(C13/W13,"-")</f>
        <v/>
      </c>
      <c r="Z13" s="9">
        <f>MAX(0,(E13+(B13-A13))*(1-R13)*(1-Q13*'Class Table'!$O$8/Inputs!$C$19)-Q13*'Class Table'!$O$8/25)</f>
        <v/>
      </c>
      <c r="AA13" s="26">
        <f>IFERROR(Z13/F13*Y13,"-")</f>
        <v/>
      </c>
      <c r="AB13" s="28">
        <f>IFERROR(AA13/O13,"-")</f>
        <v/>
      </c>
      <c r="AC13" s="9">
        <f>IFERROR(O13*Inputs!$C$24/Inputs!$C$22*Y13,"-")</f>
        <v/>
      </c>
      <c r="AD13" s="28">
        <f>IFERROR(MAX(0,AA13-AC13)/O13,"-")</f>
        <v/>
      </c>
    </row>
    <row r="14">
      <c r="A14" s="8" t="n">
        <v>11</v>
      </c>
      <c r="B14" s="14">
        <f>'Mob by Level'!B14</f>
        <v/>
      </c>
      <c r="C14" s="9">
        <f>'Mob by Level'!C14</f>
        <v/>
      </c>
      <c r="D14" s="9">
        <f>'Mob by Level'!D14</f>
        <v/>
      </c>
      <c r="E14" s="9">
        <f>'Mob by Level'!E14</f>
        <v/>
      </c>
      <c r="F14" s="16">
        <f>'Mob by Level'!F14</f>
        <v/>
      </c>
      <c r="G14" s="14">
        <f>SUMIFS(Gear!$D$4:$D$603,Gear!$A$4:$A$603,A14,Gear!$B$4:$B$603,"Priest",Gear!$C$4:$C$603,Inputs!$C$5)</f>
        <v/>
      </c>
      <c r="H14" s="14">
        <f>SUMIFS(Gear!$E$4:$E$603,Gear!$A$4:$A$603,A14,Gear!$B$4:$B$603,"Priest",Gear!$C$4:$C$603,Inputs!$C$5)</f>
        <v/>
      </c>
      <c r="I14" s="14">
        <f>SUMIFS(Gear!$F$4:$F$603,Gear!$A$4:$A$603,A14,Gear!$B$4:$B$603,"Priest",Gear!$C$4:$C$603,Inputs!$C$5)+IFERROR(LOOKUP(A14,Abilities!$A$49:$A$53,Abilities!$C$49:$C$53),0)</f>
        <v/>
      </c>
      <c r="J14" s="13">
        <f>SUMIFS(Gear!$J$4:$J$603,Gear!$A$4:$A$603,A14,Gear!$B$4:$B$603,"Priest",Gear!$C$4:$C$603,Inputs!$C$5)</f>
        <v/>
      </c>
      <c r="K14" s="13">
        <f>SUMIFS(Gear!$K$4:$K$603,Gear!$A$4:$A$603,A14,Gear!$B$4:$B$603,"Priest",Gear!$C$4:$C$603,Inputs!$C$5)</f>
        <v/>
      </c>
      <c r="L14" s="13">
        <f>SUMIFS(Gear!$L$4:$L$603,Gear!$A$4:$A$603,A14,Gear!$B$4:$B$603,"Priest",Gear!$C$4:$C$603,Inputs!$C$5)</f>
        <v/>
      </c>
      <c r="M14" s="13">
        <f>SUMIFS(Gear!$M$4:$M$603,Gear!$A$4:$A$603,A14,Gear!$B$4:$B$603,"Priest",Gear!$C$4:$C$603,Inputs!$C$5)</f>
        <v/>
      </c>
      <c r="N14" s="13">
        <f>SUMIFS(Gear!$N$4:$N$603,Gear!$A$4:$A$603,A14,Gear!$B$4:$B$603,"Priest",Gear!$C$4:$C$603,Inputs!$C$5)</f>
        <v/>
      </c>
      <c r="O14" s="9">
        <f>INDEX('Class Table'!$K$4:$K$53,A14)+SUMIFS(Gear!$G$4:$G$603,Gear!$A$4:$A$603,A14,Gear!$B$4:$B$603,"Priest",Gear!$C$4:$C$603,Inputs!$C$5)</f>
        <v/>
      </c>
      <c r="P14" s="9">
        <f>INDEX('Class Table'!$L$4:$L$53,A14)+SUMIFS(Gear!$H$4:$H$603,Gear!$A$4:$A$603,A14,Gear!$B$4:$B$603,"Priest",Gear!$C$4:$C$603,Inputs!$C$5)</f>
        <v/>
      </c>
      <c r="Q14" s="9">
        <f>INDEX('Class Table'!$M$4:$M$53,A14)+SUMIFS(Gear!$I$4:$I$603,Gear!$A$4:$A$603,A14,Gear!$B$4:$B$603,"Priest",Gear!$C$4:$C$603,Inputs!$C$5)</f>
        <v/>
      </c>
      <c r="R14" s="13">
        <f>SUMIFS(Gear!$O$4:$O$603,Gear!$A$4:$A$603,A14,Gear!$B$4:$B$603,"Priest",Gear!$C$4:$C$603,Inputs!$C$5)</f>
        <v/>
      </c>
      <c r="S14" s="26">
        <f>I14+0+G14+A14+MAX(1,A14/2)+(A14-B14)</f>
        <v/>
      </c>
      <c r="T14" s="9">
        <f>MAX(0,S14*(1+M14)*(1+L14)*Inputs!$C$20*(1-D14/Inputs!$C$19)-D14/25)</f>
        <v/>
      </c>
      <c r="U14" s="16">
        <f>H14/10*(1-MIN(0.95,N14+0))*Inputs!$C$21</f>
        <v/>
      </c>
      <c r="V14" s="27">
        <f>T14/U14</f>
        <v/>
      </c>
      <c r="W14" s="27">
        <f>V14</f>
        <v/>
      </c>
      <c r="X14" s="8">
        <f>IFERROR(ROUNDUP(C14/T14,0),"-")</f>
        <v/>
      </c>
      <c r="Y14" s="60">
        <f>IFERROR(C14/W14,"-")</f>
        <v/>
      </c>
      <c r="Z14" s="9">
        <f>MAX(0,(E14+(B14-A14))*(1-R14)*(1-Q14*'Class Table'!$O$8/Inputs!$C$19)-Q14*'Class Table'!$O$8/25)</f>
        <v/>
      </c>
      <c r="AA14" s="26">
        <f>IFERROR(Z14/F14*Y14,"-")</f>
        <v/>
      </c>
      <c r="AB14" s="28">
        <f>IFERROR(AA14/O14,"-")</f>
        <v/>
      </c>
      <c r="AC14" s="9">
        <f>IFERROR(O14*Inputs!$C$24/Inputs!$C$22*Y14,"-")</f>
        <v/>
      </c>
      <c r="AD14" s="28">
        <f>IFERROR(MAX(0,AA14-AC14)/O14,"-")</f>
        <v/>
      </c>
    </row>
    <row r="15">
      <c r="A15" s="8" t="n">
        <v>12</v>
      </c>
      <c r="B15" s="14">
        <f>'Mob by Level'!B15</f>
        <v/>
      </c>
      <c r="C15" s="9">
        <f>'Mob by Level'!C15</f>
        <v/>
      </c>
      <c r="D15" s="9">
        <f>'Mob by Level'!D15</f>
        <v/>
      </c>
      <c r="E15" s="9">
        <f>'Mob by Level'!E15</f>
        <v/>
      </c>
      <c r="F15" s="16">
        <f>'Mob by Level'!F15</f>
        <v/>
      </c>
      <c r="G15" s="14">
        <f>SUMIFS(Gear!$D$4:$D$603,Gear!$A$4:$A$603,A15,Gear!$B$4:$B$603,"Priest",Gear!$C$4:$C$603,Inputs!$C$5)</f>
        <v/>
      </c>
      <c r="H15" s="14">
        <f>SUMIFS(Gear!$E$4:$E$603,Gear!$A$4:$A$603,A15,Gear!$B$4:$B$603,"Priest",Gear!$C$4:$C$603,Inputs!$C$5)</f>
        <v/>
      </c>
      <c r="I15" s="14">
        <f>SUMIFS(Gear!$F$4:$F$603,Gear!$A$4:$A$603,A15,Gear!$B$4:$B$603,"Priest",Gear!$C$4:$C$603,Inputs!$C$5)+IFERROR(LOOKUP(A15,Abilities!$A$49:$A$53,Abilities!$C$49:$C$53),0)</f>
        <v/>
      </c>
      <c r="J15" s="13">
        <f>SUMIFS(Gear!$J$4:$J$603,Gear!$A$4:$A$603,A15,Gear!$B$4:$B$603,"Priest",Gear!$C$4:$C$603,Inputs!$C$5)</f>
        <v/>
      </c>
      <c r="K15" s="13">
        <f>SUMIFS(Gear!$K$4:$K$603,Gear!$A$4:$A$603,A15,Gear!$B$4:$B$603,"Priest",Gear!$C$4:$C$603,Inputs!$C$5)</f>
        <v/>
      </c>
      <c r="L15" s="13">
        <f>SUMIFS(Gear!$L$4:$L$603,Gear!$A$4:$A$603,A15,Gear!$B$4:$B$603,"Priest",Gear!$C$4:$C$603,Inputs!$C$5)</f>
        <v/>
      </c>
      <c r="M15" s="13">
        <f>SUMIFS(Gear!$M$4:$M$603,Gear!$A$4:$A$603,A15,Gear!$B$4:$B$603,"Priest",Gear!$C$4:$C$603,Inputs!$C$5)</f>
        <v/>
      </c>
      <c r="N15" s="13">
        <f>SUMIFS(Gear!$N$4:$N$603,Gear!$A$4:$A$603,A15,Gear!$B$4:$B$603,"Priest",Gear!$C$4:$C$603,Inputs!$C$5)</f>
        <v/>
      </c>
      <c r="O15" s="9">
        <f>INDEX('Class Table'!$K$4:$K$53,A15)+SUMIFS(Gear!$G$4:$G$603,Gear!$A$4:$A$603,A15,Gear!$B$4:$B$603,"Priest",Gear!$C$4:$C$603,Inputs!$C$5)</f>
        <v/>
      </c>
      <c r="P15" s="9">
        <f>INDEX('Class Table'!$L$4:$L$53,A15)+SUMIFS(Gear!$H$4:$H$603,Gear!$A$4:$A$603,A15,Gear!$B$4:$B$603,"Priest",Gear!$C$4:$C$603,Inputs!$C$5)</f>
        <v/>
      </c>
      <c r="Q15" s="9">
        <f>INDEX('Class Table'!$M$4:$M$53,A15)+SUMIFS(Gear!$I$4:$I$603,Gear!$A$4:$A$603,A15,Gear!$B$4:$B$603,"Priest",Gear!$C$4:$C$603,Inputs!$C$5)</f>
        <v/>
      </c>
      <c r="R15" s="13">
        <f>SUMIFS(Gear!$O$4:$O$603,Gear!$A$4:$A$603,A15,Gear!$B$4:$B$603,"Priest",Gear!$C$4:$C$603,Inputs!$C$5)</f>
        <v/>
      </c>
      <c r="S15" s="26">
        <f>I15+0+G15+A15+MAX(1,A15/2)+(A15-B15)</f>
        <v/>
      </c>
      <c r="T15" s="9">
        <f>MAX(0,S15*(1+M15)*(1+L15)*Inputs!$C$20*(1-D15/Inputs!$C$19)-D15/25)</f>
        <v/>
      </c>
      <c r="U15" s="16">
        <f>H15/10*(1-MIN(0.95,N15+0))*Inputs!$C$21</f>
        <v/>
      </c>
      <c r="V15" s="27">
        <f>T15/U15</f>
        <v/>
      </c>
      <c r="W15" s="27">
        <f>V15</f>
        <v/>
      </c>
      <c r="X15" s="8">
        <f>IFERROR(ROUNDUP(C15/T15,0),"-")</f>
        <v/>
      </c>
      <c r="Y15" s="60">
        <f>IFERROR(C15/W15,"-")</f>
        <v/>
      </c>
      <c r="Z15" s="9">
        <f>MAX(0,(E15+(B15-A15))*(1-R15)*(1-Q15*'Class Table'!$O$8/Inputs!$C$19)-Q15*'Class Table'!$O$8/25)</f>
        <v/>
      </c>
      <c r="AA15" s="26">
        <f>IFERROR(Z15/F15*Y15,"-")</f>
        <v/>
      </c>
      <c r="AB15" s="28">
        <f>IFERROR(AA15/O15,"-")</f>
        <v/>
      </c>
      <c r="AC15" s="9">
        <f>IFERROR(O15*Inputs!$C$24/Inputs!$C$22*Y15,"-")</f>
        <v/>
      </c>
      <c r="AD15" s="28">
        <f>IFERROR(MAX(0,AA15-AC15)/O15,"-")</f>
        <v/>
      </c>
    </row>
    <row r="16">
      <c r="A16" s="8" t="n">
        <v>13</v>
      </c>
      <c r="B16" s="14">
        <f>'Mob by Level'!B16</f>
        <v/>
      </c>
      <c r="C16" s="9">
        <f>'Mob by Level'!C16</f>
        <v/>
      </c>
      <c r="D16" s="9">
        <f>'Mob by Level'!D16</f>
        <v/>
      </c>
      <c r="E16" s="9">
        <f>'Mob by Level'!E16</f>
        <v/>
      </c>
      <c r="F16" s="16">
        <f>'Mob by Level'!F16</f>
        <v/>
      </c>
      <c r="G16" s="14">
        <f>SUMIFS(Gear!$D$4:$D$603,Gear!$A$4:$A$603,A16,Gear!$B$4:$B$603,"Priest",Gear!$C$4:$C$603,Inputs!$C$5)</f>
        <v/>
      </c>
      <c r="H16" s="14">
        <f>SUMIFS(Gear!$E$4:$E$603,Gear!$A$4:$A$603,A16,Gear!$B$4:$B$603,"Priest",Gear!$C$4:$C$603,Inputs!$C$5)</f>
        <v/>
      </c>
      <c r="I16" s="14">
        <f>SUMIFS(Gear!$F$4:$F$603,Gear!$A$4:$A$603,A16,Gear!$B$4:$B$603,"Priest",Gear!$C$4:$C$603,Inputs!$C$5)+IFERROR(LOOKUP(A16,Abilities!$A$49:$A$53,Abilities!$C$49:$C$53),0)</f>
        <v/>
      </c>
      <c r="J16" s="13">
        <f>SUMIFS(Gear!$J$4:$J$603,Gear!$A$4:$A$603,A16,Gear!$B$4:$B$603,"Priest",Gear!$C$4:$C$603,Inputs!$C$5)</f>
        <v/>
      </c>
      <c r="K16" s="13">
        <f>SUMIFS(Gear!$K$4:$K$603,Gear!$A$4:$A$603,A16,Gear!$B$4:$B$603,"Priest",Gear!$C$4:$C$603,Inputs!$C$5)</f>
        <v/>
      </c>
      <c r="L16" s="13">
        <f>SUMIFS(Gear!$L$4:$L$603,Gear!$A$4:$A$603,A16,Gear!$B$4:$B$603,"Priest",Gear!$C$4:$C$603,Inputs!$C$5)</f>
        <v/>
      </c>
      <c r="M16" s="13">
        <f>SUMIFS(Gear!$M$4:$M$603,Gear!$A$4:$A$603,A16,Gear!$B$4:$B$603,"Priest",Gear!$C$4:$C$603,Inputs!$C$5)</f>
        <v/>
      </c>
      <c r="N16" s="13">
        <f>SUMIFS(Gear!$N$4:$N$603,Gear!$A$4:$A$603,A16,Gear!$B$4:$B$603,"Priest",Gear!$C$4:$C$603,Inputs!$C$5)</f>
        <v/>
      </c>
      <c r="O16" s="9">
        <f>INDEX('Class Table'!$K$4:$K$53,A16)+SUMIFS(Gear!$G$4:$G$603,Gear!$A$4:$A$603,A16,Gear!$B$4:$B$603,"Priest",Gear!$C$4:$C$603,Inputs!$C$5)</f>
        <v/>
      </c>
      <c r="P16" s="9">
        <f>INDEX('Class Table'!$L$4:$L$53,A16)+SUMIFS(Gear!$H$4:$H$603,Gear!$A$4:$A$603,A16,Gear!$B$4:$B$603,"Priest",Gear!$C$4:$C$603,Inputs!$C$5)</f>
        <v/>
      </c>
      <c r="Q16" s="9">
        <f>INDEX('Class Table'!$M$4:$M$53,A16)+SUMIFS(Gear!$I$4:$I$603,Gear!$A$4:$A$603,A16,Gear!$B$4:$B$603,"Priest",Gear!$C$4:$C$603,Inputs!$C$5)</f>
        <v/>
      </c>
      <c r="R16" s="13">
        <f>SUMIFS(Gear!$O$4:$O$603,Gear!$A$4:$A$603,A16,Gear!$B$4:$B$603,"Priest",Gear!$C$4:$C$603,Inputs!$C$5)</f>
        <v/>
      </c>
      <c r="S16" s="26">
        <f>I16+0+G16+A16+MAX(1,A16/2)+(A16-B16)</f>
        <v/>
      </c>
      <c r="T16" s="9">
        <f>MAX(0,S16*(1+M16)*(1+L16)*Inputs!$C$20*(1-D16/Inputs!$C$19)-D16/25)</f>
        <v/>
      </c>
      <c r="U16" s="16">
        <f>H16/10*(1-MIN(0.95,N16+0))*Inputs!$C$21</f>
        <v/>
      </c>
      <c r="V16" s="27">
        <f>T16/U16</f>
        <v/>
      </c>
      <c r="W16" s="27">
        <f>V16</f>
        <v/>
      </c>
      <c r="X16" s="8">
        <f>IFERROR(ROUNDUP(C16/T16,0),"-")</f>
        <v/>
      </c>
      <c r="Y16" s="60">
        <f>IFERROR(C16/W16,"-")</f>
        <v/>
      </c>
      <c r="Z16" s="9">
        <f>MAX(0,(E16+(B16-A16))*(1-R16)*(1-Q16*'Class Table'!$O$8/Inputs!$C$19)-Q16*'Class Table'!$O$8/25)</f>
        <v/>
      </c>
      <c r="AA16" s="26">
        <f>IFERROR(Z16/F16*Y16,"-")</f>
        <v/>
      </c>
      <c r="AB16" s="28">
        <f>IFERROR(AA16/O16,"-")</f>
        <v/>
      </c>
      <c r="AC16" s="9">
        <f>IFERROR(O16*Inputs!$C$24/Inputs!$C$22*Y16,"-")</f>
        <v/>
      </c>
      <c r="AD16" s="28">
        <f>IFERROR(MAX(0,AA16-AC16)/O16,"-")</f>
        <v/>
      </c>
    </row>
    <row r="17">
      <c r="A17" s="8" t="n">
        <v>14</v>
      </c>
      <c r="B17" s="14">
        <f>'Mob by Level'!B17</f>
        <v/>
      </c>
      <c r="C17" s="9">
        <f>'Mob by Level'!C17</f>
        <v/>
      </c>
      <c r="D17" s="9">
        <f>'Mob by Level'!D17</f>
        <v/>
      </c>
      <c r="E17" s="9">
        <f>'Mob by Level'!E17</f>
        <v/>
      </c>
      <c r="F17" s="16">
        <f>'Mob by Level'!F17</f>
        <v/>
      </c>
      <c r="G17" s="14">
        <f>SUMIFS(Gear!$D$4:$D$603,Gear!$A$4:$A$603,A17,Gear!$B$4:$B$603,"Priest",Gear!$C$4:$C$603,Inputs!$C$5)</f>
        <v/>
      </c>
      <c r="H17" s="14">
        <f>SUMIFS(Gear!$E$4:$E$603,Gear!$A$4:$A$603,A17,Gear!$B$4:$B$603,"Priest",Gear!$C$4:$C$603,Inputs!$C$5)</f>
        <v/>
      </c>
      <c r="I17" s="14">
        <f>SUMIFS(Gear!$F$4:$F$603,Gear!$A$4:$A$603,A17,Gear!$B$4:$B$603,"Priest",Gear!$C$4:$C$603,Inputs!$C$5)+IFERROR(LOOKUP(A17,Abilities!$A$49:$A$53,Abilities!$C$49:$C$53),0)</f>
        <v/>
      </c>
      <c r="J17" s="13">
        <f>SUMIFS(Gear!$J$4:$J$603,Gear!$A$4:$A$603,A17,Gear!$B$4:$B$603,"Priest",Gear!$C$4:$C$603,Inputs!$C$5)</f>
        <v/>
      </c>
      <c r="K17" s="13">
        <f>SUMIFS(Gear!$K$4:$K$603,Gear!$A$4:$A$603,A17,Gear!$B$4:$B$603,"Priest",Gear!$C$4:$C$603,Inputs!$C$5)</f>
        <v/>
      </c>
      <c r="L17" s="13">
        <f>SUMIFS(Gear!$L$4:$L$603,Gear!$A$4:$A$603,A17,Gear!$B$4:$B$603,"Priest",Gear!$C$4:$C$603,Inputs!$C$5)</f>
        <v/>
      </c>
      <c r="M17" s="13">
        <f>SUMIFS(Gear!$M$4:$M$603,Gear!$A$4:$A$603,A17,Gear!$B$4:$B$603,"Priest",Gear!$C$4:$C$603,Inputs!$C$5)</f>
        <v/>
      </c>
      <c r="N17" s="13">
        <f>SUMIFS(Gear!$N$4:$N$603,Gear!$A$4:$A$603,A17,Gear!$B$4:$B$603,"Priest",Gear!$C$4:$C$603,Inputs!$C$5)</f>
        <v/>
      </c>
      <c r="O17" s="9">
        <f>INDEX('Class Table'!$K$4:$K$53,A17)+SUMIFS(Gear!$G$4:$G$603,Gear!$A$4:$A$603,A17,Gear!$B$4:$B$603,"Priest",Gear!$C$4:$C$603,Inputs!$C$5)</f>
        <v/>
      </c>
      <c r="P17" s="9">
        <f>INDEX('Class Table'!$L$4:$L$53,A17)+SUMIFS(Gear!$H$4:$H$603,Gear!$A$4:$A$603,A17,Gear!$B$4:$B$603,"Priest",Gear!$C$4:$C$603,Inputs!$C$5)</f>
        <v/>
      </c>
      <c r="Q17" s="9">
        <f>INDEX('Class Table'!$M$4:$M$53,A17)+SUMIFS(Gear!$I$4:$I$603,Gear!$A$4:$A$603,A17,Gear!$B$4:$B$603,"Priest",Gear!$C$4:$C$603,Inputs!$C$5)</f>
        <v/>
      </c>
      <c r="R17" s="13">
        <f>SUMIFS(Gear!$O$4:$O$603,Gear!$A$4:$A$603,A17,Gear!$B$4:$B$603,"Priest",Gear!$C$4:$C$603,Inputs!$C$5)</f>
        <v/>
      </c>
      <c r="S17" s="26">
        <f>I17+0+G17+A17+MAX(1,A17/2)+(A17-B17)</f>
        <v/>
      </c>
      <c r="T17" s="9">
        <f>MAX(0,S17*(1+M17)*(1+L17)*Inputs!$C$20*(1-D17/Inputs!$C$19)-D17/25)</f>
        <v/>
      </c>
      <c r="U17" s="16">
        <f>H17/10*(1-MIN(0.95,N17+0))*Inputs!$C$21</f>
        <v/>
      </c>
      <c r="V17" s="27">
        <f>T17/U17</f>
        <v/>
      </c>
      <c r="W17" s="27">
        <f>V17</f>
        <v/>
      </c>
      <c r="X17" s="8">
        <f>IFERROR(ROUNDUP(C17/T17,0),"-")</f>
        <v/>
      </c>
      <c r="Y17" s="60">
        <f>IFERROR(C17/W17,"-")</f>
        <v/>
      </c>
      <c r="Z17" s="9">
        <f>MAX(0,(E17+(B17-A17))*(1-R17)*(1-Q17*'Class Table'!$O$8/Inputs!$C$19)-Q17*'Class Table'!$O$8/25)</f>
        <v/>
      </c>
      <c r="AA17" s="26">
        <f>IFERROR(Z17/F17*Y17,"-")</f>
        <v/>
      </c>
      <c r="AB17" s="28">
        <f>IFERROR(AA17/O17,"-")</f>
        <v/>
      </c>
      <c r="AC17" s="9">
        <f>IFERROR(O17*Inputs!$C$24/Inputs!$C$22*Y17,"-")</f>
        <v/>
      </c>
      <c r="AD17" s="28">
        <f>IFERROR(MAX(0,AA17-AC17)/O17,"-")</f>
        <v/>
      </c>
    </row>
    <row r="18">
      <c r="A18" s="8" t="n">
        <v>15</v>
      </c>
      <c r="B18" s="14">
        <f>'Mob by Level'!B18</f>
        <v/>
      </c>
      <c r="C18" s="9">
        <f>'Mob by Level'!C18</f>
        <v/>
      </c>
      <c r="D18" s="9">
        <f>'Mob by Level'!D18</f>
        <v/>
      </c>
      <c r="E18" s="9">
        <f>'Mob by Level'!E18</f>
        <v/>
      </c>
      <c r="F18" s="16">
        <f>'Mob by Level'!F18</f>
        <v/>
      </c>
      <c r="G18" s="14">
        <f>SUMIFS(Gear!$D$4:$D$603,Gear!$A$4:$A$603,A18,Gear!$B$4:$B$603,"Priest",Gear!$C$4:$C$603,Inputs!$C$5)</f>
        <v/>
      </c>
      <c r="H18" s="14">
        <f>SUMIFS(Gear!$E$4:$E$603,Gear!$A$4:$A$603,A18,Gear!$B$4:$B$603,"Priest",Gear!$C$4:$C$603,Inputs!$C$5)</f>
        <v/>
      </c>
      <c r="I18" s="14">
        <f>SUMIFS(Gear!$F$4:$F$603,Gear!$A$4:$A$603,A18,Gear!$B$4:$B$603,"Priest",Gear!$C$4:$C$603,Inputs!$C$5)+IFERROR(LOOKUP(A18,Abilities!$A$49:$A$53,Abilities!$C$49:$C$53),0)</f>
        <v/>
      </c>
      <c r="J18" s="13">
        <f>SUMIFS(Gear!$J$4:$J$603,Gear!$A$4:$A$603,A18,Gear!$B$4:$B$603,"Priest",Gear!$C$4:$C$603,Inputs!$C$5)</f>
        <v/>
      </c>
      <c r="K18" s="13">
        <f>SUMIFS(Gear!$K$4:$K$603,Gear!$A$4:$A$603,A18,Gear!$B$4:$B$603,"Priest",Gear!$C$4:$C$603,Inputs!$C$5)</f>
        <v/>
      </c>
      <c r="L18" s="13">
        <f>SUMIFS(Gear!$L$4:$L$603,Gear!$A$4:$A$603,A18,Gear!$B$4:$B$603,"Priest",Gear!$C$4:$C$603,Inputs!$C$5)</f>
        <v/>
      </c>
      <c r="M18" s="13">
        <f>SUMIFS(Gear!$M$4:$M$603,Gear!$A$4:$A$603,A18,Gear!$B$4:$B$603,"Priest",Gear!$C$4:$C$603,Inputs!$C$5)</f>
        <v/>
      </c>
      <c r="N18" s="13">
        <f>SUMIFS(Gear!$N$4:$N$603,Gear!$A$4:$A$603,A18,Gear!$B$4:$B$603,"Priest",Gear!$C$4:$C$603,Inputs!$C$5)</f>
        <v/>
      </c>
      <c r="O18" s="9">
        <f>INDEX('Class Table'!$K$4:$K$53,A18)+SUMIFS(Gear!$G$4:$G$603,Gear!$A$4:$A$603,A18,Gear!$B$4:$B$603,"Priest",Gear!$C$4:$C$603,Inputs!$C$5)</f>
        <v/>
      </c>
      <c r="P18" s="9">
        <f>INDEX('Class Table'!$L$4:$L$53,A18)+SUMIFS(Gear!$H$4:$H$603,Gear!$A$4:$A$603,A18,Gear!$B$4:$B$603,"Priest",Gear!$C$4:$C$603,Inputs!$C$5)</f>
        <v/>
      </c>
      <c r="Q18" s="9">
        <f>INDEX('Class Table'!$M$4:$M$53,A18)+SUMIFS(Gear!$I$4:$I$603,Gear!$A$4:$A$603,A18,Gear!$B$4:$B$603,"Priest",Gear!$C$4:$C$603,Inputs!$C$5)</f>
        <v/>
      </c>
      <c r="R18" s="13">
        <f>SUMIFS(Gear!$O$4:$O$603,Gear!$A$4:$A$603,A18,Gear!$B$4:$B$603,"Priest",Gear!$C$4:$C$603,Inputs!$C$5)</f>
        <v/>
      </c>
      <c r="S18" s="26">
        <f>I18+0+G18+A18+MAX(1,A18/2)+(A18-B18)</f>
        <v/>
      </c>
      <c r="T18" s="9">
        <f>MAX(0,S18*(1+M18)*(1+L18)*Inputs!$C$20*(1-D18/Inputs!$C$19)-D18/25)</f>
        <v/>
      </c>
      <c r="U18" s="16">
        <f>H18/10*(1-MIN(0.95,N18+0))*Inputs!$C$21</f>
        <v/>
      </c>
      <c r="V18" s="27">
        <f>T18/U18</f>
        <v/>
      </c>
      <c r="W18" s="27">
        <f>V18</f>
        <v/>
      </c>
      <c r="X18" s="8">
        <f>IFERROR(ROUNDUP(C18/T18,0),"-")</f>
        <v/>
      </c>
      <c r="Y18" s="60">
        <f>IFERROR(C18/W18,"-")</f>
        <v/>
      </c>
      <c r="Z18" s="9">
        <f>MAX(0,(E18+(B18-A18))*(1-R18)*(1-Q18*'Class Table'!$O$8/Inputs!$C$19)-Q18*'Class Table'!$O$8/25)</f>
        <v/>
      </c>
      <c r="AA18" s="26">
        <f>IFERROR(Z18/F18*Y18,"-")</f>
        <v/>
      </c>
      <c r="AB18" s="28">
        <f>IFERROR(AA18/O18,"-")</f>
        <v/>
      </c>
      <c r="AC18" s="9">
        <f>IFERROR(O18*Inputs!$C$24/Inputs!$C$22*Y18,"-")</f>
        <v/>
      </c>
      <c r="AD18" s="28">
        <f>IFERROR(MAX(0,AA18-AC18)/O18,"-")</f>
        <v/>
      </c>
    </row>
    <row r="19">
      <c r="A19" s="8" t="n">
        <v>16</v>
      </c>
      <c r="B19" s="14">
        <f>'Mob by Level'!B19</f>
        <v/>
      </c>
      <c r="C19" s="9">
        <f>'Mob by Level'!C19</f>
        <v/>
      </c>
      <c r="D19" s="9">
        <f>'Mob by Level'!D19</f>
        <v/>
      </c>
      <c r="E19" s="9">
        <f>'Mob by Level'!E19</f>
        <v/>
      </c>
      <c r="F19" s="16">
        <f>'Mob by Level'!F19</f>
        <v/>
      </c>
      <c r="G19" s="14">
        <f>SUMIFS(Gear!$D$4:$D$603,Gear!$A$4:$A$603,A19,Gear!$B$4:$B$603,"Priest",Gear!$C$4:$C$603,Inputs!$C$5)</f>
        <v/>
      </c>
      <c r="H19" s="14">
        <f>SUMIFS(Gear!$E$4:$E$603,Gear!$A$4:$A$603,A19,Gear!$B$4:$B$603,"Priest",Gear!$C$4:$C$603,Inputs!$C$5)</f>
        <v/>
      </c>
      <c r="I19" s="14">
        <f>SUMIFS(Gear!$F$4:$F$603,Gear!$A$4:$A$603,A19,Gear!$B$4:$B$603,"Priest",Gear!$C$4:$C$603,Inputs!$C$5)+IFERROR(LOOKUP(A19,Abilities!$A$49:$A$53,Abilities!$C$49:$C$53),0)</f>
        <v/>
      </c>
      <c r="J19" s="13">
        <f>SUMIFS(Gear!$J$4:$J$603,Gear!$A$4:$A$603,A19,Gear!$B$4:$B$603,"Priest",Gear!$C$4:$C$603,Inputs!$C$5)</f>
        <v/>
      </c>
      <c r="K19" s="13">
        <f>SUMIFS(Gear!$K$4:$K$603,Gear!$A$4:$A$603,A19,Gear!$B$4:$B$603,"Priest",Gear!$C$4:$C$603,Inputs!$C$5)</f>
        <v/>
      </c>
      <c r="L19" s="13">
        <f>SUMIFS(Gear!$L$4:$L$603,Gear!$A$4:$A$603,A19,Gear!$B$4:$B$603,"Priest",Gear!$C$4:$C$603,Inputs!$C$5)</f>
        <v/>
      </c>
      <c r="M19" s="13">
        <f>SUMIFS(Gear!$M$4:$M$603,Gear!$A$4:$A$603,A19,Gear!$B$4:$B$603,"Priest",Gear!$C$4:$C$603,Inputs!$C$5)</f>
        <v/>
      </c>
      <c r="N19" s="13">
        <f>SUMIFS(Gear!$N$4:$N$603,Gear!$A$4:$A$603,A19,Gear!$B$4:$B$603,"Priest",Gear!$C$4:$C$603,Inputs!$C$5)</f>
        <v/>
      </c>
      <c r="O19" s="9">
        <f>INDEX('Class Table'!$K$4:$K$53,A19)+SUMIFS(Gear!$G$4:$G$603,Gear!$A$4:$A$603,A19,Gear!$B$4:$B$603,"Priest",Gear!$C$4:$C$603,Inputs!$C$5)</f>
        <v/>
      </c>
      <c r="P19" s="9">
        <f>INDEX('Class Table'!$L$4:$L$53,A19)+SUMIFS(Gear!$H$4:$H$603,Gear!$A$4:$A$603,A19,Gear!$B$4:$B$603,"Priest",Gear!$C$4:$C$603,Inputs!$C$5)</f>
        <v/>
      </c>
      <c r="Q19" s="9">
        <f>INDEX('Class Table'!$M$4:$M$53,A19)+SUMIFS(Gear!$I$4:$I$603,Gear!$A$4:$A$603,A19,Gear!$B$4:$B$603,"Priest",Gear!$C$4:$C$603,Inputs!$C$5)</f>
        <v/>
      </c>
      <c r="R19" s="13">
        <f>SUMIFS(Gear!$O$4:$O$603,Gear!$A$4:$A$603,A19,Gear!$B$4:$B$603,"Priest",Gear!$C$4:$C$603,Inputs!$C$5)</f>
        <v/>
      </c>
      <c r="S19" s="26">
        <f>I19+0+G19+A19+MAX(1,A19/2)+(A19-B19)</f>
        <v/>
      </c>
      <c r="T19" s="9">
        <f>MAX(0,S19*(1+M19)*(1+L19)*Inputs!$C$20*(1-D19/Inputs!$C$19)-D19/25)</f>
        <v/>
      </c>
      <c r="U19" s="16">
        <f>H19/10*(1-MIN(0.95,N19+0))*Inputs!$C$21</f>
        <v/>
      </c>
      <c r="V19" s="27">
        <f>T19/U19</f>
        <v/>
      </c>
      <c r="W19" s="27">
        <f>V19</f>
        <v/>
      </c>
      <c r="X19" s="8">
        <f>IFERROR(ROUNDUP(C19/T19,0),"-")</f>
        <v/>
      </c>
      <c r="Y19" s="60">
        <f>IFERROR(C19/W19,"-")</f>
        <v/>
      </c>
      <c r="Z19" s="9">
        <f>MAX(0,(E19+(B19-A19))*(1-R19)*(1-Q19*'Class Table'!$O$8/Inputs!$C$19)-Q19*'Class Table'!$O$8/25)</f>
        <v/>
      </c>
      <c r="AA19" s="26">
        <f>IFERROR(Z19/F19*Y19,"-")</f>
        <v/>
      </c>
      <c r="AB19" s="28">
        <f>IFERROR(AA19/O19,"-")</f>
        <v/>
      </c>
      <c r="AC19" s="9">
        <f>IFERROR(O19*Inputs!$C$24/Inputs!$C$22*Y19,"-")</f>
        <v/>
      </c>
      <c r="AD19" s="28">
        <f>IFERROR(MAX(0,AA19-AC19)/O19,"-")</f>
        <v/>
      </c>
    </row>
    <row r="20">
      <c r="A20" s="8" t="n">
        <v>17</v>
      </c>
      <c r="B20" s="14">
        <f>'Mob by Level'!B20</f>
        <v/>
      </c>
      <c r="C20" s="9">
        <f>'Mob by Level'!C20</f>
        <v/>
      </c>
      <c r="D20" s="9">
        <f>'Mob by Level'!D20</f>
        <v/>
      </c>
      <c r="E20" s="9">
        <f>'Mob by Level'!E20</f>
        <v/>
      </c>
      <c r="F20" s="16">
        <f>'Mob by Level'!F20</f>
        <v/>
      </c>
      <c r="G20" s="14">
        <f>SUMIFS(Gear!$D$4:$D$603,Gear!$A$4:$A$603,A20,Gear!$B$4:$B$603,"Priest",Gear!$C$4:$C$603,Inputs!$C$5)</f>
        <v/>
      </c>
      <c r="H20" s="14">
        <f>SUMIFS(Gear!$E$4:$E$603,Gear!$A$4:$A$603,A20,Gear!$B$4:$B$603,"Priest",Gear!$C$4:$C$603,Inputs!$C$5)</f>
        <v/>
      </c>
      <c r="I20" s="14">
        <f>SUMIFS(Gear!$F$4:$F$603,Gear!$A$4:$A$603,A20,Gear!$B$4:$B$603,"Priest",Gear!$C$4:$C$603,Inputs!$C$5)+IFERROR(LOOKUP(A20,Abilities!$A$49:$A$53,Abilities!$C$49:$C$53),0)</f>
        <v/>
      </c>
      <c r="J20" s="13">
        <f>SUMIFS(Gear!$J$4:$J$603,Gear!$A$4:$A$603,A20,Gear!$B$4:$B$603,"Priest",Gear!$C$4:$C$603,Inputs!$C$5)</f>
        <v/>
      </c>
      <c r="K20" s="13">
        <f>SUMIFS(Gear!$K$4:$K$603,Gear!$A$4:$A$603,A20,Gear!$B$4:$B$603,"Priest",Gear!$C$4:$C$603,Inputs!$C$5)</f>
        <v/>
      </c>
      <c r="L20" s="13">
        <f>SUMIFS(Gear!$L$4:$L$603,Gear!$A$4:$A$603,A20,Gear!$B$4:$B$603,"Priest",Gear!$C$4:$C$603,Inputs!$C$5)</f>
        <v/>
      </c>
      <c r="M20" s="13">
        <f>SUMIFS(Gear!$M$4:$M$603,Gear!$A$4:$A$603,A20,Gear!$B$4:$B$603,"Priest",Gear!$C$4:$C$603,Inputs!$C$5)</f>
        <v/>
      </c>
      <c r="N20" s="13">
        <f>SUMIFS(Gear!$N$4:$N$603,Gear!$A$4:$A$603,A20,Gear!$B$4:$B$603,"Priest",Gear!$C$4:$C$603,Inputs!$C$5)</f>
        <v/>
      </c>
      <c r="O20" s="9">
        <f>INDEX('Class Table'!$K$4:$K$53,A20)+SUMIFS(Gear!$G$4:$G$603,Gear!$A$4:$A$603,A20,Gear!$B$4:$B$603,"Priest",Gear!$C$4:$C$603,Inputs!$C$5)</f>
        <v/>
      </c>
      <c r="P20" s="9">
        <f>INDEX('Class Table'!$L$4:$L$53,A20)+SUMIFS(Gear!$H$4:$H$603,Gear!$A$4:$A$603,A20,Gear!$B$4:$B$603,"Priest",Gear!$C$4:$C$603,Inputs!$C$5)</f>
        <v/>
      </c>
      <c r="Q20" s="9">
        <f>INDEX('Class Table'!$M$4:$M$53,A20)+SUMIFS(Gear!$I$4:$I$603,Gear!$A$4:$A$603,A20,Gear!$B$4:$B$603,"Priest",Gear!$C$4:$C$603,Inputs!$C$5)</f>
        <v/>
      </c>
      <c r="R20" s="13">
        <f>SUMIFS(Gear!$O$4:$O$603,Gear!$A$4:$A$603,A20,Gear!$B$4:$B$603,"Priest",Gear!$C$4:$C$603,Inputs!$C$5)</f>
        <v/>
      </c>
      <c r="S20" s="26">
        <f>I20+0+G20+A20+MAX(1,A20/2)+(A20-B20)</f>
        <v/>
      </c>
      <c r="T20" s="9">
        <f>MAX(0,S20*(1+M20)*(1+L20)*Inputs!$C$20*(1-D20/Inputs!$C$19)-D20/25)</f>
        <v/>
      </c>
      <c r="U20" s="16">
        <f>H20/10*(1-MIN(0.95,N20+0))*Inputs!$C$21</f>
        <v/>
      </c>
      <c r="V20" s="27">
        <f>T20/U20</f>
        <v/>
      </c>
      <c r="W20" s="27">
        <f>V20</f>
        <v/>
      </c>
      <c r="X20" s="8">
        <f>IFERROR(ROUNDUP(C20/T20,0),"-")</f>
        <v/>
      </c>
      <c r="Y20" s="60">
        <f>IFERROR(C20/W20,"-")</f>
        <v/>
      </c>
      <c r="Z20" s="9">
        <f>MAX(0,(E20+(B20-A20))*(1-R20)*(1-Q20*'Class Table'!$O$8/Inputs!$C$19)-Q20*'Class Table'!$O$8/25)</f>
        <v/>
      </c>
      <c r="AA20" s="26">
        <f>IFERROR(Z20/F20*Y20,"-")</f>
        <v/>
      </c>
      <c r="AB20" s="28">
        <f>IFERROR(AA20/O20,"-")</f>
        <v/>
      </c>
      <c r="AC20" s="9">
        <f>IFERROR(O20*Inputs!$C$24/Inputs!$C$22*Y20,"-")</f>
        <v/>
      </c>
      <c r="AD20" s="28">
        <f>IFERROR(MAX(0,AA20-AC20)/O20,"-")</f>
        <v/>
      </c>
    </row>
    <row r="21">
      <c r="A21" s="8" t="n">
        <v>18</v>
      </c>
      <c r="B21" s="14">
        <f>'Mob by Level'!B21</f>
        <v/>
      </c>
      <c r="C21" s="9">
        <f>'Mob by Level'!C21</f>
        <v/>
      </c>
      <c r="D21" s="9">
        <f>'Mob by Level'!D21</f>
        <v/>
      </c>
      <c r="E21" s="9">
        <f>'Mob by Level'!E21</f>
        <v/>
      </c>
      <c r="F21" s="16">
        <f>'Mob by Level'!F21</f>
        <v/>
      </c>
      <c r="G21" s="14">
        <f>SUMIFS(Gear!$D$4:$D$603,Gear!$A$4:$A$603,A21,Gear!$B$4:$B$603,"Priest",Gear!$C$4:$C$603,Inputs!$C$5)</f>
        <v/>
      </c>
      <c r="H21" s="14">
        <f>SUMIFS(Gear!$E$4:$E$603,Gear!$A$4:$A$603,A21,Gear!$B$4:$B$603,"Priest",Gear!$C$4:$C$603,Inputs!$C$5)</f>
        <v/>
      </c>
      <c r="I21" s="14">
        <f>SUMIFS(Gear!$F$4:$F$603,Gear!$A$4:$A$603,A21,Gear!$B$4:$B$603,"Priest",Gear!$C$4:$C$603,Inputs!$C$5)+IFERROR(LOOKUP(A21,Abilities!$A$49:$A$53,Abilities!$C$49:$C$53),0)</f>
        <v/>
      </c>
      <c r="J21" s="13">
        <f>SUMIFS(Gear!$J$4:$J$603,Gear!$A$4:$A$603,A21,Gear!$B$4:$B$603,"Priest",Gear!$C$4:$C$603,Inputs!$C$5)</f>
        <v/>
      </c>
      <c r="K21" s="13">
        <f>SUMIFS(Gear!$K$4:$K$603,Gear!$A$4:$A$603,A21,Gear!$B$4:$B$603,"Priest",Gear!$C$4:$C$603,Inputs!$C$5)</f>
        <v/>
      </c>
      <c r="L21" s="13">
        <f>SUMIFS(Gear!$L$4:$L$603,Gear!$A$4:$A$603,A21,Gear!$B$4:$B$603,"Priest",Gear!$C$4:$C$603,Inputs!$C$5)</f>
        <v/>
      </c>
      <c r="M21" s="13">
        <f>SUMIFS(Gear!$M$4:$M$603,Gear!$A$4:$A$603,A21,Gear!$B$4:$B$603,"Priest",Gear!$C$4:$C$603,Inputs!$C$5)</f>
        <v/>
      </c>
      <c r="N21" s="13">
        <f>SUMIFS(Gear!$N$4:$N$603,Gear!$A$4:$A$603,A21,Gear!$B$4:$B$603,"Priest",Gear!$C$4:$C$603,Inputs!$C$5)</f>
        <v/>
      </c>
      <c r="O21" s="9">
        <f>INDEX('Class Table'!$K$4:$K$53,A21)+SUMIFS(Gear!$G$4:$G$603,Gear!$A$4:$A$603,A21,Gear!$B$4:$B$603,"Priest",Gear!$C$4:$C$603,Inputs!$C$5)</f>
        <v/>
      </c>
      <c r="P21" s="9">
        <f>INDEX('Class Table'!$L$4:$L$53,A21)+SUMIFS(Gear!$H$4:$H$603,Gear!$A$4:$A$603,A21,Gear!$B$4:$B$603,"Priest",Gear!$C$4:$C$603,Inputs!$C$5)</f>
        <v/>
      </c>
      <c r="Q21" s="9">
        <f>INDEX('Class Table'!$M$4:$M$53,A21)+SUMIFS(Gear!$I$4:$I$603,Gear!$A$4:$A$603,A21,Gear!$B$4:$B$603,"Priest",Gear!$C$4:$C$603,Inputs!$C$5)</f>
        <v/>
      </c>
      <c r="R21" s="13">
        <f>SUMIFS(Gear!$O$4:$O$603,Gear!$A$4:$A$603,A21,Gear!$B$4:$B$603,"Priest",Gear!$C$4:$C$603,Inputs!$C$5)</f>
        <v/>
      </c>
      <c r="S21" s="26">
        <f>I21+0+G21+A21+MAX(1,A21/2)+(A21-B21)</f>
        <v/>
      </c>
      <c r="T21" s="9">
        <f>MAX(0,S21*(1+M21)*(1+L21)*Inputs!$C$20*(1-D21/Inputs!$C$19)-D21/25)</f>
        <v/>
      </c>
      <c r="U21" s="16">
        <f>H21/10*(1-MIN(0.95,N21+0))*Inputs!$C$21</f>
        <v/>
      </c>
      <c r="V21" s="27">
        <f>T21/U21</f>
        <v/>
      </c>
      <c r="W21" s="27">
        <f>V21</f>
        <v/>
      </c>
      <c r="X21" s="8">
        <f>IFERROR(ROUNDUP(C21/T21,0),"-")</f>
        <v/>
      </c>
      <c r="Y21" s="60">
        <f>IFERROR(C21/W21,"-")</f>
        <v/>
      </c>
      <c r="Z21" s="9">
        <f>MAX(0,(E21+(B21-A21))*(1-R21)*(1-Q21*'Class Table'!$O$8/Inputs!$C$19)-Q21*'Class Table'!$O$8/25)</f>
        <v/>
      </c>
      <c r="AA21" s="26">
        <f>IFERROR(Z21/F21*Y21,"-")</f>
        <v/>
      </c>
      <c r="AB21" s="28">
        <f>IFERROR(AA21/O21,"-")</f>
        <v/>
      </c>
      <c r="AC21" s="9">
        <f>IFERROR(O21*Inputs!$C$24/Inputs!$C$22*Y21,"-")</f>
        <v/>
      </c>
      <c r="AD21" s="28">
        <f>IFERROR(MAX(0,AA21-AC21)/O21,"-")</f>
        <v/>
      </c>
    </row>
    <row r="22">
      <c r="A22" s="8" t="n">
        <v>19</v>
      </c>
      <c r="B22" s="14">
        <f>'Mob by Level'!B22</f>
        <v/>
      </c>
      <c r="C22" s="9">
        <f>'Mob by Level'!C22</f>
        <v/>
      </c>
      <c r="D22" s="9">
        <f>'Mob by Level'!D22</f>
        <v/>
      </c>
      <c r="E22" s="9">
        <f>'Mob by Level'!E22</f>
        <v/>
      </c>
      <c r="F22" s="16">
        <f>'Mob by Level'!F22</f>
        <v/>
      </c>
      <c r="G22" s="14">
        <f>SUMIFS(Gear!$D$4:$D$603,Gear!$A$4:$A$603,A22,Gear!$B$4:$B$603,"Priest",Gear!$C$4:$C$603,Inputs!$C$5)</f>
        <v/>
      </c>
      <c r="H22" s="14">
        <f>SUMIFS(Gear!$E$4:$E$603,Gear!$A$4:$A$603,A22,Gear!$B$4:$B$603,"Priest",Gear!$C$4:$C$603,Inputs!$C$5)</f>
        <v/>
      </c>
      <c r="I22" s="14">
        <f>SUMIFS(Gear!$F$4:$F$603,Gear!$A$4:$A$603,A22,Gear!$B$4:$B$603,"Priest",Gear!$C$4:$C$603,Inputs!$C$5)+IFERROR(LOOKUP(A22,Abilities!$A$49:$A$53,Abilities!$C$49:$C$53),0)</f>
        <v/>
      </c>
      <c r="J22" s="13">
        <f>SUMIFS(Gear!$J$4:$J$603,Gear!$A$4:$A$603,A22,Gear!$B$4:$B$603,"Priest",Gear!$C$4:$C$603,Inputs!$C$5)</f>
        <v/>
      </c>
      <c r="K22" s="13">
        <f>SUMIFS(Gear!$K$4:$K$603,Gear!$A$4:$A$603,A22,Gear!$B$4:$B$603,"Priest",Gear!$C$4:$C$603,Inputs!$C$5)</f>
        <v/>
      </c>
      <c r="L22" s="13">
        <f>SUMIFS(Gear!$L$4:$L$603,Gear!$A$4:$A$603,A22,Gear!$B$4:$B$603,"Priest",Gear!$C$4:$C$603,Inputs!$C$5)</f>
        <v/>
      </c>
      <c r="M22" s="13">
        <f>SUMIFS(Gear!$M$4:$M$603,Gear!$A$4:$A$603,A22,Gear!$B$4:$B$603,"Priest",Gear!$C$4:$C$603,Inputs!$C$5)</f>
        <v/>
      </c>
      <c r="N22" s="13">
        <f>SUMIFS(Gear!$N$4:$N$603,Gear!$A$4:$A$603,A22,Gear!$B$4:$B$603,"Priest",Gear!$C$4:$C$603,Inputs!$C$5)</f>
        <v/>
      </c>
      <c r="O22" s="9">
        <f>INDEX('Class Table'!$K$4:$K$53,A22)+SUMIFS(Gear!$G$4:$G$603,Gear!$A$4:$A$603,A22,Gear!$B$4:$B$603,"Priest",Gear!$C$4:$C$603,Inputs!$C$5)</f>
        <v/>
      </c>
      <c r="P22" s="9">
        <f>INDEX('Class Table'!$L$4:$L$53,A22)+SUMIFS(Gear!$H$4:$H$603,Gear!$A$4:$A$603,A22,Gear!$B$4:$B$603,"Priest",Gear!$C$4:$C$603,Inputs!$C$5)</f>
        <v/>
      </c>
      <c r="Q22" s="9">
        <f>INDEX('Class Table'!$M$4:$M$53,A22)+SUMIFS(Gear!$I$4:$I$603,Gear!$A$4:$A$603,A22,Gear!$B$4:$B$603,"Priest",Gear!$C$4:$C$603,Inputs!$C$5)</f>
        <v/>
      </c>
      <c r="R22" s="13">
        <f>SUMIFS(Gear!$O$4:$O$603,Gear!$A$4:$A$603,A22,Gear!$B$4:$B$603,"Priest",Gear!$C$4:$C$603,Inputs!$C$5)</f>
        <v/>
      </c>
      <c r="S22" s="26">
        <f>I22+0+G22+A22+MAX(1,A22/2)+(A22-B22)</f>
        <v/>
      </c>
      <c r="T22" s="9">
        <f>MAX(0,S22*(1+M22)*(1+L22)*Inputs!$C$20*(1-D22/Inputs!$C$19)-D22/25)</f>
        <v/>
      </c>
      <c r="U22" s="16">
        <f>H22/10*(1-MIN(0.95,N22+0))*Inputs!$C$21</f>
        <v/>
      </c>
      <c r="V22" s="27">
        <f>T22/U22</f>
        <v/>
      </c>
      <c r="W22" s="27">
        <f>V22</f>
        <v/>
      </c>
      <c r="X22" s="8">
        <f>IFERROR(ROUNDUP(C22/T22,0),"-")</f>
        <v/>
      </c>
      <c r="Y22" s="60">
        <f>IFERROR(C22/W22,"-")</f>
        <v/>
      </c>
      <c r="Z22" s="9">
        <f>MAX(0,(E22+(B22-A22))*(1-R22)*(1-Q22*'Class Table'!$O$8/Inputs!$C$19)-Q22*'Class Table'!$O$8/25)</f>
        <v/>
      </c>
      <c r="AA22" s="26">
        <f>IFERROR(Z22/F22*Y22,"-")</f>
        <v/>
      </c>
      <c r="AB22" s="28">
        <f>IFERROR(AA22/O22,"-")</f>
        <v/>
      </c>
      <c r="AC22" s="9">
        <f>IFERROR(O22*Inputs!$C$24/Inputs!$C$22*Y22,"-")</f>
        <v/>
      </c>
      <c r="AD22" s="28">
        <f>IFERROR(MAX(0,AA22-AC22)/O22,"-")</f>
        <v/>
      </c>
    </row>
    <row r="23">
      <c r="A23" s="8" t="n">
        <v>20</v>
      </c>
      <c r="B23" s="14">
        <f>'Mob by Level'!B23</f>
        <v/>
      </c>
      <c r="C23" s="9">
        <f>'Mob by Level'!C23</f>
        <v/>
      </c>
      <c r="D23" s="9">
        <f>'Mob by Level'!D23</f>
        <v/>
      </c>
      <c r="E23" s="9">
        <f>'Mob by Level'!E23</f>
        <v/>
      </c>
      <c r="F23" s="16">
        <f>'Mob by Level'!F23</f>
        <v/>
      </c>
      <c r="G23" s="14">
        <f>SUMIFS(Gear!$D$4:$D$603,Gear!$A$4:$A$603,A23,Gear!$B$4:$B$603,"Priest",Gear!$C$4:$C$603,Inputs!$C$5)</f>
        <v/>
      </c>
      <c r="H23" s="14">
        <f>SUMIFS(Gear!$E$4:$E$603,Gear!$A$4:$A$603,A23,Gear!$B$4:$B$603,"Priest",Gear!$C$4:$C$603,Inputs!$C$5)</f>
        <v/>
      </c>
      <c r="I23" s="14">
        <f>SUMIFS(Gear!$F$4:$F$603,Gear!$A$4:$A$603,A23,Gear!$B$4:$B$603,"Priest",Gear!$C$4:$C$603,Inputs!$C$5)+IFERROR(LOOKUP(A23,Abilities!$A$49:$A$53,Abilities!$C$49:$C$53),0)</f>
        <v/>
      </c>
      <c r="J23" s="13">
        <f>SUMIFS(Gear!$J$4:$J$603,Gear!$A$4:$A$603,A23,Gear!$B$4:$B$603,"Priest",Gear!$C$4:$C$603,Inputs!$C$5)</f>
        <v/>
      </c>
      <c r="K23" s="13">
        <f>SUMIFS(Gear!$K$4:$K$603,Gear!$A$4:$A$603,A23,Gear!$B$4:$B$603,"Priest",Gear!$C$4:$C$603,Inputs!$C$5)</f>
        <v/>
      </c>
      <c r="L23" s="13">
        <f>SUMIFS(Gear!$L$4:$L$603,Gear!$A$4:$A$603,A23,Gear!$B$4:$B$603,"Priest",Gear!$C$4:$C$603,Inputs!$C$5)</f>
        <v/>
      </c>
      <c r="M23" s="13">
        <f>SUMIFS(Gear!$M$4:$M$603,Gear!$A$4:$A$603,A23,Gear!$B$4:$B$603,"Priest",Gear!$C$4:$C$603,Inputs!$C$5)</f>
        <v/>
      </c>
      <c r="N23" s="13">
        <f>SUMIFS(Gear!$N$4:$N$603,Gear!$A$4:$A$603,A23,Gear!$B$4:$B$603,"Priest",Gear!$C$4:$C$603,Inputs!$C$5)</f>
        <v/>
      </c>
      <c r="O23" s="9">
        <f>INDEX('Class Table'!$K$4:$K$53,A23)+SUMIFS(Gear!$G$4:$G$603,Gear!$A$4:$A$603,A23,Gear!$B$4:$B$603,"Priest",Gear!$C$4:$C$603,Inputs!$C$5)</f>
        <v/>
      </c>
      <c r="P23" s="9">
        <f>INDEX('Class Table'!$L$4:$L$53,A23)+SUMIFS(Gear!$H$4:$H$603,Gear!$A$4:$A$603,A23,Gear!$B$4:$B$603,"Priest",Gear!$C$4:$C$603,Inputs!$C$5)</f>
        <v/>
      </c>
      <c r="Q23" s="9">
        <f>INDEX('Class Table'!$M$4:$M$53,A23)+SUMIFS(Gear!$I$4:$I$603,Gear!$A$4:$A$603,A23,Gear!$B$4:$B$603,"Priest",Gear!$C$4:$C$603,Inputs!$C$5)</f>
        <v/>
      </c>
      <c r="R23" s="13">
        <f>SUMIFS(Gear!$O$4:$O$603,Gear!$A$4:$A$603,A23,Gear!$B$4:$B$603,"Priest",Gear!$C$4:$C$603,Inputs!$C$5)</f>
        <v/>
      </c>
      <c r="S23" s="26">
        <f>I23+0+G23+A23+MAX(1,A23/2)+(A23-B23)</f>
        <v/>
      </c>
      <c r="T23" s="9">
        <f>MAX(0,S23*(1+M23)*(1+L23)*Inputs!$C$20*(1-D23/Inputs!$C$19)-D23/25)</f>
        <v/>
      </c>
      <c r="U23" s="16">
        <f>H23/10*(1-MIN(0.95,N23+0))*Inputs!$C$21</f>
        <v/>
      </c>
      <c r="V23" s="27">
        <f>T23/U23</f>
        <v/>
      </c>
      <c r="W23" s="27">
        <f>V23</f>
        <v/>
      </c>
      <c r="X23" s="8">
        <f>IFERROR(ROUNDUP(C23/T23,0),"-")</f>
        <v/>
      </c>
      <c r="Y23" s="60">
        <f>IFERROR(C23/W23,"-")</f>
        <v/>
      </c>
      <c r="Z23" s="9">
        <f>MAX(0,(E23+(B23-A23))*(1-R23)*(1-Q23*'Class Table'!$O$8/Inputs!$C$19)-Q23*'Class Table'!$O$8/25)</f>
        <v/>
      </c>
      <c r="AA23" s="26">
        <f>IFERROR(Z23/F23*Y23,"-")</f>
        <v/>
      </c>
      <c r="AB23" s="28">
        <f>IFERROR(AA23/O23,"-")</f>
        <v/>
      </c>
      <c r="AC23" s="9">
        <f>IFERROR(O23*Inputs!$C$24/Inputs!$C$22*Y23,"-")</f>
        <v/>
      </c>
      <c r="AD23" s="28">
        <f>IFERROR(MAX(0,AA23-AC23)/O23,"-")</f>
        <v/>
      </c>
    </row>
    <row r="24">
      <c r="A24" s="8" t="n">
        <v>21</v>
      </c>
      <c r="B24" s="14">
        <f>'Mob by Level'!B24</f>
        <v/>
      </c>
      <c r="C24" s="9">
        <f>'Mob by Level'!C24</f>
        <v/>
      </c>
      <c r="D24" s="9">
        <f>'Mob by Level'!D24</f>
        <v/>
      </c>
      <c r="E24" s="9">
        <f>'Mob by Level'!E24</f>
        <v/>
      </c>
      <c r="F24" s="16">
        <f>'Mob by Level'!F24</f>
        <v/>
      </c>
      <c r="G24" s="14">
        <f>SUMIFS(Gear!$D$4:$D$603,Gear!$A$4:$A$603,A24,Gear!$B$4:$B$603,"Priest",Gear!$C$4:$C$603,Inputs!$C$5)</f>
        <v/>
      </c>
      <c r="H24" s="14">
        <f>SUMIFS(Gear!$E$4:$E$603,Gear!$A$4:$A$603,A24,Gear!$B$4:$B$603,"Priest",Gear!$C$4:$C$603,Inputs!$C$5)</f>
        <v/>
      </c>
      <c r="I24" s="14">
        <f>SUMIFS(Gear!$F$4:$F$603,Gear!$A$4:$A$603,A24,Gear!$B$4:$B$603,"Priest",Gear!$C$4:$C$603,Inputs!$C$5)+IFERROR(LOOKUP(A24,Abilities!$A$49:$A$53,Abilities!$C$49:$C$53),0)</f>
        <v/>
      </c>
      <c r="J24" s="13">
        <f>SUMIFS(Gear!$J$4:$J$603,Gear!$A$4:$A$603,A24,Gear!$B$4:$B$603,"Priest",Gear!$C$4:$C$603,Inputs!$C$5)</f>
        <v/>
      </c>
      <c r="K24" s="13">
        <f>SUMIFS(Gear!$K$4:$K$603,Gear!$A$4:$A$603,A24,Gear!$B$4:$B$603,"Priest",Gear!$C$4:$C$603,Inputs!$C$5)</f>
        <v/>
      </c>
      <c r="L24" s="13">
        <f>SUMIFS(Gear!$L$4:$L$603,Gear!$A$4:$A$603,A24,Gear!$B$4:$B$603,"Priest",Gear!$C$4:$C$603,Inputs!$C$5)</f>
        <v/>
      </c>
      <c r="M24" s="13">
        <f>SUMIFS(Gear!$M$4:$M$603,Gear!$A$4:$A$603,A24,Gear!$B$4:$B$603,"Priest",Gear!$C$4:$C$603,Inputs!$C$5)</f>
        <v/>
      </c>
      <c r="N24" s="13">
        <f>SUMIFS(Gear!$N$4:$N$603,Gear!$A$4:$A$603,A24,Gear!$B$4:$B$603,"Priest",Gear!$C$4:$C$603,Inputs!$C$5)</f>
        <v/>
      </c>
      <c r="O24" s="9">
        <f>INDEX('Class Table'!$K$4:$K$53,A24)+SUMIFS(Gear!$G$4:$G$603,Gear!$A$4:$A$603,A24,Gear!$B$4:$B$603,"Priest",Gear!$C$4:$C$603,Inputs!$C$5)</f>
        <v/>
      </c>
      <c r="P24" s="9">
        <f>INDEX('Class Table'!$L$4:$L$53,A24)+SUMIFS(Gear!$H$4:$H$603,Gear!$A$4:$A$603,A24,Gear!$B$4:$B$603,"Priest",Gear!$C$4:$C$603,Inputs!$C$5)</f>
        <v/>
      </c>
      <c r="Q24" s="9">
        <f>INDEX('Class Table'!$M$4:$M$53,A24)+SUMIFS(Gear!$I$4:$I$603,Gear!$A$4:$A$603,A24,Gear!$B$4:$B$603,"Priest",Gear!$C$4:$C$603,Inputs!$C$5)</f>
        <v/>
      </c>
      <c r="R24" s="13">
        <f>SUMIFS(Gear!$O$4:$O$603,Gear!$A$4:$A$603,A24,Gear!$B$4:$B$603,"Priest",Gear!$C$4:$C$603,Inputs!$C$5)</f>
        <v/>
      </c>
      <c r="S24" s="26">
        <f>I24+0+G24+A24+MAX(1,A24/2)+(A24-B24)</f>
        <v/>
      </c>
      <c r="T24" s="9">
        <f>MAX(0,S24*(1+M24)*(1+L24)*Inputs!$C$20*(1-D24/Inputs!$C$19)-D24/25)</f>
        <v/>
      </c>
      <c r="U24" s="16">
        <f>H24/10*(1-MIN(0.95,N24+0))*Inputs!$C$21</f>
        <v/>
      </c>
      <c r="V24" s="27">
        <f>T24/U24</f>
        <v/>
      </c>
      <c r="W24" s="27">
        <f>V24</f>
        <v/>
      </c>
      <c r="X24" s="8">
        <f>IFERROR(ROUNDUP(C24/T24,0),"-")</f>
        <v/>
      </c>
      <c r="Y24" s="60">
        <f>IFERROR(C24/W24,"-")</f>
        <v/>
      </c>
      <c r="Z24" s="9">
        <f>MAX(0,(E24+(B24-A24))*(1-R24)*(1-Q24*'Class Table'!$O$8/Inputs!$C$19)-Q24*'Class Table'!$O$8/25)</f>
        <v/>
      </c>
      <c r="AA24" s="26">
        <f>IFERROR(Z24/F24*Y24,"-")</f>
        <v/>
      </c>
      <c r="AB24" s="28">
        <f>IFERROR(AA24/O24,"-")</f>
        <v/>
      </c>
      <c r="AC24" s="9">
        <f>IFERROR(O24*Inputs!$C$24/Inputs!$C$22*Y24,"-")</f>
        <v/>
      </c>
      <c r="AD24" s="28">
        <f>IFERROR(MAX(0,AA24-AC24)/O24,"-")</f>
        <v/>
      </c>
    </row>
    <row r="25">
      <c r="A25" s="8" t="n">
        <v>22</v>
      </c>
      <c r="B25" s="14">
        <f>'Mob by Level'!B25</f>
        <v/>
      </c>
      <c r="C25" s="9">
        <f>'Mob by Level'!C25</f>
        <v/>
      </c>
      <c r="D25" s="9">
        <f>'Mob by Level'!D25</f>
        <v/>
      </c>
      <c r="E25" s="9">
        <f>'Mob by Level'!E25</f>
        <v/>
      </c>
      <c r="F25" s="16">
        <f>'Mob by Level'!F25</f>
        <v/>
      </c>
      <c r="G25" s="14">
        <f>SUMIFS(Gear!$D$4:$D$603,Gear!$A$4:$A$603,A25,Gear!$B$4:$B$603,"Priest",Gear!$C$4:$C$603,Inputs!$C$5)</f>
        <v/>
      </c>
      <c r="H25" s="14">
        <f>SUMIFS(Gear!$E$4:$E$603,Gear!$A$4:$A$603,A25,Gear!$B$4:$B$603,"Priest",Gear!$C$4:$C$603,Inputs!$C$5)</f>
        <v/>
      </c>
      <c r="I25" s="14">
        <f>SUMIFS(Gear!$F$4:$F$603,Gear!$A$4:$A$603,A25,Gear!$B$4:$B$603,"Priest",Gear!$C$4:$C$603,Inputs!$C$5)+IFERROR(LOOKUP(A25,Abilities!$A$49:$A$53,Abilities!$C$49:$C$53),0)</f>
        <v/>
      </c>
      <c r="J25" s="13">
        <f>SUMIFS(Gear!$J$4:$J$603,Gear!$A$4:$A$603,A25,Gear!$B$4:$B$603,"Priest",Gear!$C$4:$C$603,Inputs!$C$5)</f>
        <v/>
      </c>
      <c r="K25" s="13">
        <f>SUMIFS(Gear!$K$4:$K$603,Gear!$A$4:$A$603,A25,Gear!$B$4:$B$603,"Priest",Gear!$C$4:$C$603,Inputs!$C$5)</f>
        <v/>
      </c>
      <c r="L25" s="13">
        <f>SUMIFS(Gear!$L$4:$L$603,Gear!$A$4:$A$603,A25,Gear!$B$4:$B$603,"Priest",Gear!$C$4:$C$603,Inputs!$C$5)</f>
        <v/>
      </c>
      <c r="M25" s="13">
        <f>SUMIFS(Gear!$M$4:$M$603,Gear!$A$4:$A$603,A25,Gear!$B$4:$B$603,"Priest",Gear!$C$4:$C$603,Inputs!$C$5)</f>
        <v/>
      </c>
      <c r="N25" s="13">
        <f>SUMIFS(Gear!$N$4:$N$603,Gear!$A$4:$A$603,A25,Gear!$B$4:$B$603,"Priest",Gear!$C$4:$C$603,Inputs!$C$5)</f>
        <v/>
      </c>
      <c r="O25" s="9">
        <f>INDEX('Class Table'!$K$4:$K$53,A25)+SUMIFS(Gear!$G$4:$G$603,Gear!$A$4:$A$603,A25,Gear!$B$4:$B$603,"Priest",Gear!$C$4:$C$603,Inputs!$C$5)</f>
        <v/>
      </c>
      <c r="P25" s="9">
        <f>INDEX('Class Table'!$L$4:$L$53,A25)+SUMIFS(Gear!$H$4:$H$603,Gear!$A$4:$A$603,A25,Gear!$B$4:$B$603,"Priest",Gear!$C$4:$C$603,Inputs!$C$5)</f>
        <v/>
      </c>
      <c r="Q25" s="9">
        <f>INDEX('Class Table'!$M$4:$M$53,A25)+SUMIFS(Gear!$I$4:$I$603,Gear!$A$4:$A$603,A25,Gear!$B$4:$B$603,"Priest",Gear!$C$4:$C$603,Inputs!$C$5)</f>
        <v/>
      </c>
      <c r="R25" s="13">
        <f>SUMIFS(Gear!$O$4:$O$603,Gear!$A$4:$A$603,A25,Gear!$B$4:$B$603,"Priest",Gear!$C$4:$C$603,Inputs!$C$5)</f>
        <v/>
      </c>
      <c r="S25" s="26">
        <f>I25+0+G25+A25+MAX(1,A25/2)+(A25-B25)</f>
        <v/>
      </c>
      <c r="T25" s="9">
        <f>MAX(0,S25*(1+M25)*(1+L25)*Inputs!$C$20*(1-D25/Inputs!$C$19)-D25/25)</f>
        <v/>
      </c>
      <c r="U25" s="16">
        <f>H25/10*(1-MIN(0.95,N25+0))*Inputs!$C$21</f>
        <v/>
      </c>
      <c r="V25" s="27">
        <f>T25/U25</f>
        <v/>
      </c>
      <c r="W25" s="27">
        <f>V25</f>
        <v/>
      </c>
      <c r="X25" s="8">
        <f>IFERROR(ROUNDUP(C25/T25,0),"-")</f>
        <v/>
      </c>
      <c r="Y25" s="60">
        <f>IFERROR(C25/W25,"-")</f>
        <v/>
      </c>
      <c r="Z25" s="9">
        <f>MAX(0,(E25+(B25-A25))*(1-R25)*(1-Q25*'Class Table'!$O$8/Inputs!$C$19)-Q25*'Class Table'!$O$8/25)</f>
        <v/>
      </c>
      <c r="AA25" s="26">
        <f>IFERROR(Z25/F25*Y25,"-")</f>
        <v/>
      </c>
      <c r="AB25" s="28">
        <f>IFERROR(AA25/O25,"-")</f>
        <v/>
      </c>
      <c r="AC25" s="9">
        <f>IFERROR(O25*Inputs!$C$24/Inputs!$C$22*Y25,"-")</f>
        <v/>
      </c>
      <c r="AD25" s="28">
        <f>IFERROR(MAX(0,AA25-AC25)/O25,"-")</f>
        <v/>
      </c>
    </row>
    <row r="26">
      <c r="A26" s="8" t="n">
        <v>23</v>
      </c>
      <c r="B26" s="14">
        <f>'Mob by Level'!B26</f>
        <v/>
      </c>
      <c r="C26" s="9">
        <f>'Mob by Level'!C26</f>
        <v/>
      </c>
      <c r="D26" s="9">
        <f>'Mob by Level'!D26</f>
        <v/>
      </c>
      <c r="E26" s="9">
        <f>'Mob by Level'!E26</f>
        <v/>
      </c>
      <c r="F26" s="16">
        <f>'Mob by Level'!F26</f>
        <v/>
      </c>
      <c r="G26" s="14">
        <f>SUMIFS(Gear!$D$4:$D$603,Gear!$A$4:$A$603,A26,Gear!$B$4:$B$603,"Priest",Gear!$C$4:$C$603,Inputs!$C$5)</f>
        <v/>
      </c>
      <c r="H26" s="14">
        <f>SUMIFS(Gear!$E$4:$E$603,Gear!$A$4:$A$603,A26,Gear!$B$4:$B$603,"Priest",Gear!$C$4:$C$603,Inputs!$C$5)</f>
        <v/>
      </c>
      <c r="I26" s="14">
        <f>SUMIFS(Gear!$F$4:$F$603,Gear!$A$4:$A$603,A26,Gear!$B$4:$B$603,"Priest",Gear!$C$4:$C$603,Inputs!$C$5)+IFERROR(LOOKUP(A26,Abilities!$A$49:$A$53,Abilities!$C$49:$C$53),0)</f>
        <v/>
      </c>
      <c r="J26" s="13">
        <f>SUMIFS(Gear!$J$4:$J$603,Gear!$A$4:$A$603,A26,Gear!$B$4:$B$603,"Priest",Gear!$C$4:$C$603,Inputs!$C$5)</f>
        <v/>
      </c>
      <c r="K26" s="13">
        <f>SUMIFS(Gear!$K$4:$K$603,Gear!$A$4:$A$603,A26,Gear!$B$4:$B$603,"Priest",Gear!$C$4:$C$603,Inputs!$C$5)</f>
        <v/>
      </c>
      <c r="L26" s="13">
        <f>SUMIFS(Gear!$L$4:$L$603,Gear!$A$4:$A$603,A26,Gear!$B$4:$B$603,"Priest",Gear!$C$4:$C$603,Inputs!$C$5)</f>
        <v/>
      </c>
      <c r="M26" s="13">
        <f>SUMIFS(Gear!$M$4:$M$603,Gear!$A$4:$A$603,A26,Gear!$B$4:$B$603,"Priest",Gear!$C$4:$C$603,Inputs!$C$5)</f>
        <v/>
      </c>
      <c r="N26" s="13">
        <f>SUMIFS(Gear!$N$4:$N$603,Gear!$A$4:$A$603,A26,Gear!$B$4:$B$603,"Priest",Gear!$C$4:$C$603,Inputs!$C$5)</f>
        <v/>
      </c>
      <c r="O26" s="9">
        <f>INDEX('Class Table'!$K$4:$K$53,A26)+SUMIFS(Gear!$G$4:$G$603,Gear!$A$4:$A$603,A26,Gear!$B$4:$B$603,"Priest",Gear!$C$4:$C$603,Inputs!$C$5)</f>
        <v/>
      </c>
      <c r="P26" s="9">
        <f>INDEX('Class Table'!$L$4:$L$53,A26)+SUMIFS(Gear!$H$4:$H$603,Gear!$A$4:$A$603,A26,Gear!$B$4:$B$603,"Priest",Gear!$C$4:$C$603,Inputs!$C$5)</f>
        <v/>
      </c>
      <c r="Q26" s="9">
        <f>INDEX('Class Table'!$M$4:$M$53,A26)+SUMIFS(Gear!$I$4:$I$603,Gear!$A$4:$A$603,A26,Gear!$B$4:$B$603,"Priest",Gear!$C$4:$C$603,Inputs!$C$5)</f>
        <v/>
      </c>
      <c r="R26" s="13">
        <f>SUMIFS(Gear!$O$4:$O$603,Gear!$A$4:$A$603,A26,Gear!$B$4:$B$603,"Priest",Gear!$C$4:$C$603,Inputs!$C$5)</f>
        <v/>
      </c>
      <c r="S26" s="26">
        <f>I26+0+G26+A26+MAX(1,A26/2)+(A26-B26)</f>
        <v/>
      </c>
      <c r="T26" s="9">
        <f>MAX(0,S26*(1+M26)*(1+L26)*Inputs!$C$20*(1-D26/Inputs!$C$19)-D26/25)</f>
        <v/>
      </c>
      <c r="U26" s="16">
        <f>H26/10*(1-MIN(0.95,N26+0))*Inputs!$C$21</f>
        <v/>
      </c>
      <c r="V26" s="27">
        <f>T26/U26</f>
        <v/>
      </c>
      <c r="W26" s="27">
        <f>V26</f>
        <v/>
      </c>
      <c r="X26" s="8">
        <f>IFERROR(ROUNDUP(C26/T26,0),"-")</f>
        <v/>
      </c>
      <c r="Y26" s="60">
        <f>IFERROR(C26/W26,"-")</f>
        <v/>
      </c>
      <c r="Z26" s="9">
        <f>MAX(0,(E26+(B26-A26))*(1-R26)*(1-Q26*'Class Table'!$O$8/Inputs!$C$19)-Q26*'Class Table'!$O$8/25)</f>
        <v/>
      </c>
      <c r="AA26" s="26">
        <f>IFERROR(Z26/F26*Y26,"-")</f>
        <v/>
      </c>
      <c r="AB26" s="28">
        <f>IFERROR(AA26/O26,"-")</f>
        <v/>
      </c>
      <c r="AC26" s="9">
        <f>IFERROR(O26*Inputs!$C$24/Inputs!$C$22*Y26,"-")</f>
        <v/>
      </c>
      <c r="AD26" s="28">
        <f>IFERROR(MAX(0,AA26-AC26)/O26,"-")</f>
        <v/>
      </c>
    </row>
    <row r="27">
      <c r="A27" s="8" t="n">
        <v>24</v>
      </c>
      <c r="B27" s="14">
        <f>'Mob by Level'!B27</f>
        <v/>
      </c>
      <c r="C27" s="9">
        <f>'Mob by Level'!C27</f>
        <v/>
      </c>
      <c r="D27" s="9">
        <f>'Mob by Level'!D27</f>
        <v/>
      </c>
      <c r="E27" s="9">
        <f>'Mob by Level'!E27</f>
        <v/>
      </c>
      <c r="F27" s="16">
        <f>'Mob by Level'!F27</f>
        <v/>
      </c>
      <c r="G27" s="14">
        <f>SUMIFS(Gear!$D$4:$D$603,Gear!$A$4:$A$603,A27,Gear!$B$4:$B$603,"Priest",Gear!$C$4:$C$603,Inputs!$C$5)</f>
        <v/>
      </c>
      <c r="H27" s="14">
        <f>SUMIFS(Gear!$E$4:$E$603,Gear!$A$4:$A$603,A27,Gear!$B$4:$B$603,"Priest",Gear!$C$4:$C$603,Inputs!$C$5)</f>
        <v/>
      </c>
      <c r="I27" s="14">
        <f>SUMIFS(Gear!$F$4:$F$603,Gear!$A$4:$A$603,A27,Gear!$B$4:$B$603,"Priest",Gear!$C$4:$C$603,Inputs!$C$5)+IFERROR(LOOKUP(A27,Abilities!$A$49:$A$53,Abilities!$C$49:$C$53),0)</f>
        <v/>
      </c>
      <c r="J27" s="13">
        <f>SUMIFS(Gear!$J$4:$J$603,Gear!$A$4:$A$603,A27,Gear!$B$4:$B$603,"Priest",Gear!$C$4:$C$603,Inputs!$C$5)</f>
        <v/>
      </c>
      <c r="K27" s="13">
        <f>SUMIFS(Gear!$K$4:$K$603,Gear!$A$4:$A$603,A27,Gear!$B$4:$B$603,"Priest",Gear!$C$4:$C$603,Inputs!$C$5)</f>
        <v/>
      </c>
      <c r="L27" s="13">
        <f>SUMIFS(Gear!$L$4:$L$603,Gear!$A$4:$A$603,A27,Gear!$B$4:$B$603,"Priest",Gear!$C$4:$C$603,Inputs!$C$5)</f>
        <v/>
      </c>
      <c r="M27" s="13">
        <f>SUMIFS(Gear!$M$4:$M$603,Gear!$A$4:$A$603,A27,Gear!$B$4:$B$603,"Priest",Gear!$C$4:$C$603,Inputs!$C$5)</f>
        <v/>
      </c>
      <c r="N27" s="13">
        <f>SUMIFS(Gear!$N$4:$N$603,Gear!$A$4:$A$603,A27,Gear!$B$4:$B$603,"Priest",Gear!$C$4:$C$603,Inputs!$C$5)</f>
        <v/>
      </c>
      <c r="O27" s="9">
        <f>INDEX('Class Table'!$K$4:$K$53,A27)+SUMIFS(Gear!$G$4:$G$603,Gear!$A$4:$A$603,A27,Gear!$B$4:$B$603,"Priest",Gear!$C$4:$C$603,Inputs!$C$5)</f>
        <v/>
      </c>
      <c r="P27" s="9">
        <f>INDEX('Class Table'!$L$4:$L$53,A27)+SUMIFS(Gear!$H$4:$H$603,Gear!$A$4:$A$603,A27,Gear!$B$4:$B$603,"Priest",Gear!$C$4:$C$603,Inputs!$C$5)</f>
        <v/>
      </c>
      <c r="Q27" s="9">
        <f>INDEX('Class Table'!$M$4:$M$53,A27)+SUMIFS(Gear!$I$4:$I$603,Gear!$A$4:$A$603,A27,Gear!$B$4:$B$603,"Priest",Gear!$C$4:$C$603,Inputs!$C$5)</f>
        <v/>
      </c>
      <c r="R27" s="13">
        <f>SUMIFS(Gear!$O$4:$O$603,Gear!$A$4:$A$603,A27,Gear!$B$4:$B$603,"Priest",Gear!$C$4:$C$603,Inputs!$C$5)</f>
        <v/>
      </c>
      <c r="S27" s="26">
        <f>I27+0+G27+A27+MAX(1,A27/2)+(A27-B27)</f>
        <v/>
      </c>
      <c r="T27" s="9">
        <f>MAX(0,S27*(1+M27)*(1+L27)*Inputs!$C$20*(1-D27/Inputs!$C$19)-D27/25)</f>
        <v/>
      </c>
      <c r="U27" s="16">
        <f>H27/10*(1-MIN(0.95,N27+0))*Inputs!$C$21</f>
        <v/>
      </c>
      <c r="V27" s="27">
        <f>T27/U27</f>
        <v/>
      </c>
      <c r="W27" s="27">
        <f>V27</f>
        <v/>
      </c>
      <c r="X27" s="8">
        <f>IFERROR(ROUNDUP(C27/T27,0),"-")</f>
        <v/>
      </c>
      <c r="Y27" s="60">
        <f>IFERROR(C27/W27,"-")</f>
        <v/>
      </c>
      <c r="Z27" s="9">
        <f>MAX(0,(E27+(B27-A27))*(1-R27)*(1-Q27*'Class Table'!$O$8/Inputs!$C$19)-Q27*'Class Table'!$O$8/25)</f>
        <v/>
      </c>
      <c r="AA27" s="26">
        <f>IFERROR(Z27/F27*Y27,"-")</f>
        <v/>
      </c>
      <c r="AB27" s="28">
        <f>IFERROR(AA27/O27,"-")</f>
        <v/>
      </c>
      <c r="AC27" s="9">
        <f>IFERROR(O27*Inputs!$C$24/Inputs!$C$22*Y27,"-")</f>
        <v/>
      </c>
      <c r="AD27" s="28">
        <f>IFERROR(MAX(0,AA27-AC27)/O27,"-")</f>
        <v/>
      </c>
    </row>
    <row r="28">
      <c r="A28" s="8" t="n">
        <v>25</v>
      </c>
      <c r="B28" s="14">
        <f>'Mob by Level'!B28</f>
        <v/>
      </c>
      <c r="C28" s="9">
        <f>'Mob by Level'!C28</f>
        <v/>
      </c>
      <c r="D28" s="9">
        <f>'Mob by Level'!D28</f>
        <v/>
      </c>
      <c r="E28" s="9">
        <f>'Mob by Level'!E28</f>
        <v/>
      </c>
      <c r="F28" s="16">
        <f>'Mob by Level'!F28</f>
        <v/>
      </c>
      <c r="G28" s="14">
        <f>SUMIFS(Gear!$D$4:$D$603,Gear!$A$4:$A$603,A28,Gear!$B$4:$B$603,"Priest",Gear!$C$4:$C$603,Inputs!$C$5)</f>
        <v/>
      </c>
      <c r="H28" s="14">
        <f>SUMIFS(Gear!$E$4:$E$603,Gear!$A$4:$A$603,A28,Gear!$B$4:$B$603,"Priest",Gear!$C$4:$C$603,Inputs!$C$5)</f>
        <v/>
      </c>
      <c r="I28" s="14">
        <f>SUMIFS(Gear!$F$4:$F$603,Gear!$A$4:$A$603,A28,Gear!$B$4:$B$603,"Priest",Gear!$C$4:$C$603,Inputs!$C$5)+IFERROR(LOOKUP(A28,Abilities!$A$49:$A$53,Abilities!$C$49:$C$53),0)</f>
        <v/>
      </c>
      <c r="J28" s="13">
        <f>SUMIFS(Gear!$J$4:$J$603,Gear!$A$4:$A$603,A28,Gear!$B$4:$B$603,"Priest",Gear!$C$4:$C$603,Inputs!$C$5)</f>
        <v/>
      </c>
      <c r="K28" s="13">
        <f>SUMIFS(Gear!$K$4:$K$603,Gear!$A$4:$A$603,A28,Gear!$B$4:$B$603,"Priest",Gear!$C$4:$C$603,Inputs!$C$5)</f>
        <v/>
      </c>
      <c r="L28" s="13">
        <f>SUMIFS(Gear!$L$4:$L$603,Gear!$A$4:$A$603,A28,Gear!$B$4:$B$603,"Priest",Gear!$C$4:$C$603,Inputs!$C$5)</f>
        <v/>
      </c>
      <c r="M28" s="13">
        <f>SUMIFS(Gear!$M$4:$M$603,Gear!$A$4:$A$603,A28,Gear!$B$4:$B$603,"Priest",Gear!$C$4:$C$603,Inputs!$C$5)</f>
        <v/>
      </c>
      <c r="N28" s="13">
        <f>SUMIFS(Gear!$N$4:$N$603,Gear!$A$4:$A$603,A28,Gear!$B$4:$B$603,"Priest",Gear!$C$4:$C$603,Inputs!$C$5)</f>
        <v/>
      </c>
      <c r="O28" s="9">
        <f>INDEX('Class Table'!$K$4:$K$53,A28)+SUMIFS(Gear!$G$4:$G$603,Gear!$A$4:$A$603,A28,Gear!$B$4:$B$603,"Priest",Gear!$C$4:$C$603,Inputs!$C$5)</f>
        <v/>
      </c>
      <c r="P28" s="9">
        <f>INDEX('Class Table'!$L$4:$L$53,A28)+SUMIFS(Gear!$H$4:$H$603,Gear!$A$4:$A$603,A28,Gear!$B$4:$B$603,"Priest",Gear!$C$4:$C$603,Inputs!$C$5)</f>
        <v/>
      </c>
      <c r="Q28" s="9">
        <f>INDEX('Class Table'!$M$4:$M$53,A28)+SUMIFS(Gear!$I$4:$I$603,Gear!$A$4:$A$603,A28,Gear!$B$4:$B$603,"Priest",Gear!$C$4:$C$603,Inputs!$C$5)</f>
        <v/>
      </c>
      <c r="R28" s="13">
        <f>SUMIFS(Gear!$O$4:$O$603,Gear!$A$4:$A$603,A28,Gear!$B$4:$B$603,"Priest",Gear!$C$4:$C$603,Inputs!$C$5)</f>
        <v/>
      </c>
      <c r="S28" s="26">
        <f>I28+0+G28+A28+MAX(1,A28/2)+(A28-B28)</f>
        <v/>
      </c>
      <c r="T28" s="9">
        <f>MAX(0,S28*(1+M28)*(1+L28)*Inputs!$C$20*(1-D28/Inputs!$C$19)-D28/25)</f>
        <v/>
      </c>
      <c r="U28" s="16">
        <f>H28/10*(1-MIN(0.95,N28+0))*Inputs!$C$21</f>
        <v/>
      </c>
      <c r="V28" s="27">
        <f>T28/U28</f>
        <v/>
      </c>
      <c r="W28" s="27">
        <f>V28</f>
        <v/>
      </c>
      <c r="X28" s="8">
        <f>IFERROR(ROUNDUP(C28/T28,0),"-")</f>
        <v/>
      </c>
      <c r="Y28" s="60">
        <f>IFERROR(C28/W28,"-")</f>
        <v/>
      </c>
      <c r="Z28" s="9">
        <f>MAX(0,(E28+(B28-A28))*(1-R28)*(1-Q28*'Class Table'!$O$8/Inputs!$C$19)-Q28*'Class Table'!$O$8/25)</f>
        <v/>
      </c>
      <c r="AA28" s="26">
        <f>IFERROR(Z28/F28*Y28,"-")</f>
        <v/>
      </c>
      <c r="AB28" s="28">
        <f>IFERROR(AA28/O28,"-")</f>
        <v/>
      </c>
      <c r="AC28" s="9">
        <f>IFERROR(O28*Inputs!$C$24/Inputs!$C$22*Y28,"-")</f>
        <v/>
      </c>
      <c r="AD28" s="28">
        <f>IFERROR(MAX(0,AA28-AC28)/O28,"-")</f>
        <v/>
      </c>
    </row>
    <row r="29">
      <c r="A29" s="8" t="n">
        <v>26</v>
      </c>
      <c r="B29" s="14">
        <f>'Mob by Level'!B29</f>
        <v/>
      </c>
      <c r="C29" s="9">
        <f>'Mob by Level'!C29</f>
        <v/>
      </c>
      <c r="D29" s="9">
        <f>'Mob by Level'!D29</f>
        <v/>
      </c>
      <c r="E29" s="9">
        <f>'Mob by Level'!E29</f>
        <v/>
      </c>
      <c r="F29" s="16">
        <f>'Mob by Level'!F29</f>
        <v/>
      </c>
      <c r="G29" s="14">
        <f>SUMIFS(Gear!$D$4:$D$603,Gear!$A$4:$A$603,A29,Gear!$B$4:$B$603,"Priest",Gear!$C$4:$C$603,Inputs!$C$5)</f>
        <v/>
      </c>
      <c r="H29" s="14">
        <f>SUMIFS(Gear!$E$4:$E$603,Gear!$A$4:$A$603,A29,Gear!$B$4:$B$603,"Priest",Gear!$C$4:$C$603,Inputs!$C$5)</f>
        <v/>
      </c>
      <c r="I29" s="14">
        <f>SUMIFS(Gear!$F$4:$F$603,Gear!$A$4:$A$603,A29,Gear!$B$4:$B$603,"Priest",Gear!$C$4:$C$603,Inputs!$C$5)+IFERROR(LOOKUP(A29,Abilities!$A$49:$A$53,Abilities!$C$49:$C$53),0)</f>
        <v/>
      </c>
      <c r="J29" s="13">
        <f>SUMIFS(Gear!$J$4:$J$603,Gear!$A$4:$A$603,A29,Gear!$B$4:$B$603,"Priest",Gear!$C$4:$C$603,Inputs!$C$5)</f>
        <v/>
      </c>
      <c r="K29" s="13">
        <f>SUMIFS(Gear!$K$4:$K$603,Gear!$A$4:$A$603,A29,Gear!$B$4:$B$603,"Priest",Gear!$C$4:$C$603,Inputs!$C$5)</f>
        <v/>
      </c>
      <c r="L29" s="13">
        <f>SUMIFS(Gear!$L$4:$L$603,Gear!$A$4:$A$603,A29,Gear!$B$4:$B$603,"Priest",Gear!$C$4:$C$603,Inputs!$C$5)</f>
        <v/>
      </c>
      <c r="M29" s="13">
        <f>SUMIFS(Gear!$M$4:$M$603,Gear!$A$4:$A$603,A29,Gear!$B$4:$B$603,"Priest",Gear!$C$4:$C$603,Inputs!$C$5)</f>
        <v/>
      </c>
      <c r="N29" s="13">
        <f>SUMIFS(Gear!$N$4:$N$603,Gear!$A$4:$A$603,A29,Gear!$B$4:$B$603,"Priest",Gear!$C$4:$C$603,Inputs!$C$5)</f>
        <v/>
      </c>
      <c r="O29" s="9">
        <f>INDEX('Class Table'!$K$4:$K$53,A29)+SUMIFS(Gear!$G$4:$G$603,Gear!$A$4:$A$603,A29,Gear!$B$4:$B$603,"Priest",Gear!$C$4:$C$603,Inputs!$C$5)</f>
        <v/>
      </c>
      <c r="P29" s="9">
        <f>INDEX('Class Table'!$L$4:$L$53,A29)+SUMIFS(Gear!$H$4:$H$603,Gear!$A$4:$A$603,A29,Gear!$B$4:$B$603,"Priest",Gear!$C$4:$C$603,Inputs!$C$5)</f>
        <v/>
      </c>
      <c r="Q29" s="9">
        <f>INDEX('Class Table'!$M$4:$M$53,A29)+SUMIFS(Gear!$I$4:$I$603,Gear!$A$4:$A$603,A29,Gear!$B$4:$B$603,"Priest",Gear!$C$4:$C$603,Inputs!$C$5)</f>
        <v/>
      </c>
      <c r="R29" s="13">
        <f>SUMIFS(Gear!$O$4:$O$603,Gear!$A$4:$A$603,A29,Gear!$B$4:$B$603,"Priest",Gear!$C$4:$C$603,Inputs!$C$5)</f>
        <v/>
      </c>
      <c r="S29" s="26">
        <f>I29+0+G29+A29+MAX(1,A29/2)+(A29-B29)</f>
        <v/>
      </c>
      <c r="T29" s="9">
        <f>MAX(0,S29*(1+M29)*(1+L29)*Inputs!$C$20*(1-D29/Inputs!$C$19)-D29/25)</f>
        <v/>
      </c>
      <c r="U29" s="16">
        <f>H29/10*(1-MIN(0.95,N29+0))*Inputs!$C$21</f>
        <v/>
      </c>
      <c r="V29" s="27">
        <f>T29/U29</f>
        <v/>
      </c>
      <c r="W29" s="27">
        <f>V29</f>
        <v/>
      </c>
      <c r="X29" s="8">
        <f>IFERROR(ROUNDUP(C29/T29,0),"-")</f>
        <v/>
      </c>
      <c r="Y29" s="60">
        <f>IFERROR(C29/W29,"-")</f>
        <v/>
      </c>
      <c r="Z29" s="9">
        <f>MAX(0,(E29+(B29-A29))*(1-R29)*(1-Q29*'Class Table'!$O$8/Inputs!$C$19)-Q29*'Class Table'!$O$8/25)</f>
        <v/>
      </c>
      <c r="AA29" s="26">
        <f>IFERROR(Z29/F29*Y29,"-")</f>
        <v/>
      </c>
      <c r="AB29" s="28">
        <f>IFERROR(AA29/O29,"-")</f>
        <v/>
      </c>
      <c r="AC29" s="9">
        <f>IFERROR(O29*Inputs!$C$24/Inputs!$C$22*Y29,"-")</f>
        <v/>
      </c>
      <c r="AD29" s="28">
        <f>IFERROR(MAX(0,AA29-AC29)/O29,"-")</f>
        <v/>
      </c>
    </row>
    <row r="30">
      <c r="A30" s="8" t="n">
        <v>27</v>
      </c>
      <c r="B30" s="14">
        <f>'Mob by Level'!B30</f>
        <v/>
      </c>
      <c r="C30" s="9">
        <f>'Mob by Level'!C30</f>
        <v/>
      </c>
      <c r="D30" s="9">
        <f>'Mob by Level'!D30</f>
        <v/>
      </c>
      <c r="E30" s="9">
        <f>'Mob by Level'!E30</f>
        <v/>
      </c>
      <c r="F30" s="16">
        <f>'Mob by Level'!F30</f>
        <v/>
      </c>
      <c r="G30" s="14">
        <f>SUMIFS(Gear!$D$4:$D$603,Gear!$A$4:$A$603,A30,Gear!$B$4:$B$603,"Priest",Gear!$C$4:$C$603,Inputs!$C$5)</f>
        <v/>
      </c>
      <c r="H30" s="14">
        <f>SUMIFS(Gear!$E$4:$E$603,Gear!$A$4:$A$603,A30,Gear!$B$4:$B$603,"Priest",Gear!$C$4:$C$603,Inputs!$C$5)</f>
        <v/>
      </c>
      <c r="I30" s="14">
        <f>SUMIFS(Gear!$F$4:$F$603,Gear!$A$4:$A$603,A30,Gear!$B$4:$B$603,"Priest",Gear!$C$4:$C$603,Inputs!$C$5)+IFERROR(LOOKUP(A30,Abilities!$A$49:$A$53,Abilities!$C$49:$C$53),0)</f>
        <v/>
      </c>
      <c r="J30" s="13">
        <f>SUMIFS(Gear!$J$4:$J$603,Gear!$A$4:$A$603,A30,Gear!$B$4:$B$603,"Priest",Gear!$C$4:$C$603,Inputs!$C$5)</f>
        <v/>
      </c>
      <c r="K30" s="13">
        <f>SUMIFS(Gear!$K$4:$K$603,Gear!$A$4:$A$603,A30,Gear!$B$4:$B$603,"Priest",Gear!$C$4:$C$603,Inputs!$C$5)</f>
        <v/>
      </c>
      <c r="L30" s="13">
        <f>SUMIFS(Gear!$L$4:$L$603,Gear!$A$4:$A$603,A30,Gear!$B$4:$B$603,"Priest",Gear!$C$4:$C$603,Inputs!$C$5)</f>
        <v/>
      </c>
      <c r="M30" s="13">
        <f>SUMIFS(Gear!$M$4:$M$603,Gear!$A$4:$A$603,A30,Gear!$B$4:$B$603,"Priest",Gear!$C$4:$C$603,Inputs!$C$5)</f>
        <v/>
      </c>
      <c r="N30" s="13">
        <f>SUMIFS(Gear!$N$4:$N$603,Gear!$A$4:$A$603,A30,Gear!$B$4:$B$603,"Priest",Gear!$C$4:$C$603,Inputs!$C$5)</f>
        <v/>
      </c>
      <c r="O30" s="9">
        <f>INDEX('Class Table'!$K$4:$K$53,A30)+SUMIFS(Gear!$G$4:$G$603,Gear!$A$4:$A$603,A30,Gear!$B$4:$B$603,"Priest",Gear!$C$4:$C$603,Inputs!$C$5)</f>
        <v/>
      </c>
      <c r="P30" s="9">
        <f>INDEX('Class Table'!$L$4:$L$53,A30)+SUMIFS(Gear!$H$4:$H$603,Gear!$A$4:$A$603,A30,Gear!$B$4:$B$603,"Priest",Gear!$C$4:$C$603,Inputs!$C$5)</f>
        <v/>
      </c>
      <c r="Q30" s="9">
        <f>INDEX('Class Table'!$M$4:$M$53,A30)+SUMIFS(Gear!$I$4:$I$603,Gear!$A$4:$A$603,A30,Gear!$B$4:$B$603,"Priest",Gear!$C$4:$C$603,Inputs!$C$5)</f>
        <v/>
      </c>
      <c r="R30" s="13">
        <f>SUMIFS(Gear!$O$4:$O$603,Gear!$A$4:$A$603,A30,Gear!$B$4:$B$603,"Priest",Gear!$C$4:$C$603,Inputs!$C$5)</f>
        <v/>
      </c>
      <c r="S30" s="26">
        <f>I30+0+G30+A30+MAX(1,A30/2)+(A30-B30)</f>
        <v/>
      </c>
      <c r="T30" s="9">
        <f>MAX(0,S30*(1+M30)*(1+L30)*Inputs!$C$20*(1-D30/Inputs!$C$19)-D30/25)</f>
        <v/>
      </c>
      <c r="U30" s="16">
        <f>H30/10*(1-MIN(0.95,N30+0))*Inputs!$C$21</f>
        <v/>
      </c>
      <c r="V30" s="27">
        <f>T30/U30</f>
        <v/>
      </c>
      <c r="W30" s="27">
        <f>V30</f>
        <v/>
      </c>
      <c r="X30" s="8">
        <f>IFERROR(ROUNDUP(C30/T30,0),"-")</f>
        <v/>
      </c>
      <c r="Y30" s="60">
        <f>IFERROR(C30/W30,"-")</f>
        <v/>
      </c>
      <c r="Z30" s="9">
        <f>MAX(0,(E30+(B30-A30))*(1-R30)*(1-Q30*'Class Table'!$O$8/Inputs!$C$19)-Q30*'Class Table'!$O$8/25)</f>
        <v/>
      </c>
      <c r="AA30" s="26">
        <f>IFERROR(Z30/F30*Y30,"-")</f>
        <v/>
      </c>
      <c r="AB30" s="28">
        <f>IFERROR(AA30/O30,"-")</f>
        <v/>
      </c>
      <c r="AC30" s="9">
        <f>IFERROR(O30*Inputs!$C$24/Inputs!$C$22*Y30,"-")</f>
        <v/>
      </c>
      <c r="AD30" s="28">
        <f>IFERROR(MAX(0,AA30-AC30)/O30,"-")</f>
        <v/>
      </c>
    </row>
    <row r="31">
      <c r="A31" s="8" t="n">
        <v>28</v>
      </c>
      <c r="B31" s="14">
        <f>'Mob by Level'!B31</f>
        <v/>
      </c>
      <c r="C31" s="9">
        <f>'Mob by Level'!C31</f>
        <v/>
      </c>
      <c r="D31" s="9">
        <f>'Mob by Level'!D31</f>
        <v/>
      </c>
      <c r="E31" s="9">
        <f>'Mob by Level'!E31</f>
        <v/>
      </c>
      <c r="F31" s="16">
        <f>'Mob by Level'!F31</f>
        <v/>
      </c>
      <c r="G31" s="14">
        <f>SUMIFS(Gear!$D$4:$D$603,Gear!$A$4:$A$603,A31,Gear!$B$4:$B$603,"Priest",Gear!$C$4:$C$603,Inputs!$C$5)</f>
        <v/>
      </c>
      <c r="H31" s="14">
        <f>SUMIFS(Gear!$E$4:$E$603,Gear!$A$4:$A$603,A31,Gear!$B$4:$B$603,"Priest",Gear!$C$4:$C$603,Inputs!$C$5)</f>
        <v/>
      </c>
      <c r="I31" s="14">
        <f>SUMIFS(Gear!$F$4:$F$603,Gear!$A$4:$A$603,A31,Gear!$B$4:$B$603,"Priest",Gear!$C$4:$C$603,Inputs!$C$5)+IFERROR(LOOKUP(A31,Abilities!$A$49:$A$53,Abilities!$C$49:$C$53),0)</f>
        <v/>
      </c>
      <c r="J31" s="13">
        <f>SUMIFS(Gear!$J$4:$J$603,Gear!$A$4:$A$603,A31,Gear!$B$4:$B$603,"Priest",Gear!$C$4:$C$603,Inputs!$C$5)</f>
        <v/>
      </c>
      <c r="K31" s="13">
        <f>SUMIFS(Gear!$K$4:$K$603,Gear!$A$4:$A$603,A31,Gear!$B$4:$B$603,"Priest",Gear!$C$4:$C$603,Inputs!$C$5)</f>
        <v/>
      </c>
      <c r="L31" s="13">
        <f>SUMIFS(Gear!$L$4:$L$603,Gear!$A$4:$A$603,A31,Gear!$B$4:$B$603,"Priest",Gear!$C$4:$C$603,Inputs!$C$5)</f>
        <v/>
      </c>
      <c r="M31" s="13">
        <f>SUMIFS(Gear!$M$4:$M$603,Gear!$A$4:$A$603,A31,Gear!$B$4:$B$603,"Priest",Gear!$C$4:$C$603,Inputs!$C$5)</f>
        <v/>
      </c>
      <c r="N31" s="13">
        <f>SUMIFS(Gear!$N$4:$N$603,Gear!$A$4:$A$603,A31,Gear!$B$4:$B$603,"Priest",Gear!$C$4:$C$603,Inputs!$C$5)</f>
        <v/>
      </c>
      <c r="O31" s="9">
        <f>INDEX('Class Table'!$K$4:$K$53,A31)+SUMIFS(Gear!$G$4:$G$603,Gear!$A$4:$A$603,A31,Gear!$B$4:$B$603,"Priest",Gear!$C$4:$C$603,Inputs!$C$5)</f>
        <v/>
      </c>
      <c r="P31" s="9">
        <f>INDEX('Class Table'!$L$4:$L$53,A31)+SUMIFS(Gear!$H$4:$H$603,Gear!$A$4:$A$603,A31,Gear!$B$4:$B$603,"Priest",Gear!$C$4:$C$603,Inputs!$C$5)</f>
        <v/>
      </c>
      <c r="Q31" s="9">
        <f>INDEX('Class Table'!$M$4:$M$53,A31)+SUMIFS(Gear!$I$4:$I$603,Gear!$A$4:$A$603,A31,Gear!$B$4:$B$603,"Priest",Gear!$C$4:$C$603,Inputs!$C$5)</f>
        <v/>
      </c>
      <c r="R31" s="13">
        <f>SUMIFS(Gear!$O$4:$O$603,Gear!$A$4:$A$603,A31,Gear!$B$4:$B$603,"Priest",Gear!$C$4:$C$603,Inputs!$C$5)</f>
        <v/>
      </c>
      <c r="S31" s="26">
        <f>I31+0+G31+A31+MAX(1,A31/2)+(A31-B31)</f>
        <v/>
      </c>
      <c r="T31" s="9">
        <f>MAX(0,S31*(1+M31)*(1+L31)*Inputs!$C$20*(1-D31/Inputs!$C$19)-D31/25)</f>
        <v/>
      </c>
      <c r="U31" s="16">
        <f>H31/10*(1-MIN(0.95,N31+0))*Inputs!$C$21</f>
        <v/>
      </c>
      <c r="V31" s="27">
        <f>T31/U31</f>
        <v/>
      </c>
      <c r="W31" s="27">
        <f>V31</f>
        <v/>
      </c>
      <c r="X31" s="8">
        <f>IFERROR(ROUNDUP(C31/T31,0),"-")</f>
        <v/>
      </c>
      <c r="Y31" s="60">
        <f>IFERROR(C31/W31,"-")</f>
        <v/>
      </c>
      <c r="Z31" s="9">
        <f>MAX(0,(E31+(B31-A31))*(1-R31)*(1-Q31*'Class Table'!$O$8/Inputs!$C$19)-Q31*'Class Table'!$O$8/25)</f>
        <v/>
      </c>
      <c r="AA31" s="26">
        <f>IFERROR(Z31/F31*Y31,"-")</f>
        <v/>
      </c>
      <c r="AB31" s="28">
        <f>IFERROR(AA31/O31,"-")</f>
        <v/>
      </c>
      <c r="AC31" s="9">
        <f>IFERROR(O31*Inputs!$C$24/Inputs!$C$22*Y31,"-")</f>
        <v/>
      </c>
      <c r="AD31" s="28">
        <f>IFERROR(MAX(0,AA31-AC31)/O31,"-")</f>
        <v/>
      </c>
    </row>
    <row r="32">
      <c r="A32" s="8" t="n">
        <v>29</v>
      </c>
      <c r="B32" s="14">
        <f>'Mob by Level'!B32</f>
        <v/>
      </c>
      <c r="C32" s="9">
        <f>'Mob by Level'!C32</f>
        <v/>
      </c>
      <c r="D32" s="9">
        <f>'Mob by Level'!D32</f>
        <v/>
      </c>
      <c r="E32" s="9">
        <f>'Mob by Level'!E32</f>
        <v/>
      </c>
      <c r="F32" s="16">
        <f>'Mob by Level'!F32</f>
        <v/>
      </c>
      <c r="G32" s="14">
        <f>SUMIFS(Gear!$D$4:$D$603,Gear!$A$4:$A$603,A32,Gear!$B$4:$B$603,"Priest",Gear!$C$4:$C$603,Inputs!$C$5)</f>
        <v/>
      </c>
      <c r="H32" s="14">
        <f>SUMIFS(Gear!$E$4:$E$603,Gear!$A$4:$A$603,A32,Gear!$B$4:$B$603,"Priest",Gear!$C$4:$C$603,Inputs!$C$5)</f>
        <v/>
      </c>
      <c r="I32" s="14">
        <f>SUMIFS(Gear!$F$4:$F$603,Gear!$A$4:$A$603,A32,Gear!$B$4:$B$603,"Priest",Gear!$C$4:$C$603,Inputs!$C$5)+IFERROR(LOOKUP(A32,Abilities!$A$49:$A$53,Abilities!$C$49:$C$53),0)</f>
        <v/>
      </c>
      <c r="J32" s="13">
        <f>SUMIFS(Gear!$J$4:$J$603,Gear!$A$4:$A$603,A32,Gear!$B$4:$B$603,"Priest",Gear!$C$4:$C$603,Inputs!$C$5)</f>
        <v/>
      </c>
      <c r="K32" s="13">
        <f>SUMIFS(Gear!$K$4:$K$603,Gear!$A$4:$A$603,A32,Gear!$B$4:$B$603,"Priest",Gear!$C$4:$C$603,Inputs!$C$5)</f>
        <v/>
      </c>
      <c r="L32" s="13">
        <f>SUMIFS(Gear!$L$4:$L$603,Gear!$A$4:$A$603,A32,Gear!$B$4:$B$603,"Priest",Gear!$C$4:$C$603,Inputs!$C$5)</f>
        <v/>
      </c>
      <c r="M32" s="13">
        <f>SUMIFS(Gear!$M$4:$M$603,Gear!$A$4:$A$603,A32,Gear!$B$4:$B$603,"Priest",Gear!$C$4:$C$603,Inputs!$C$5)</f>
        <v/>
      </c>
      <c r="N32" s="13">
        <f>SUMIFS(Gear!$N$4:$N$603,Gear!$A$4:$A$603,A32,Gear!$B$4:$B$603,"Priest",Gear!$C$4:$C$603,Inputs!$C$5)</f>
        <v/>
      </c>
      <c r="O32" s="9">
        <f>INDEX('Class Table'!$K$4:$K$53,A32)+SUMIFS(Gear!$G$4:$G$603,Gear!$A$4:$A$603,A32,Gear!$B$4:$B$603,"Priest",Gear!$C$4:$C$603,Inputs!$C$5)</f>
        <v/>
      </c>
      <c r="P32" s="9">
        <f>INDEX('Class Table'!$L$4:$L$53,A32)+SUMIFS(Gear!$H$4:$H$603,Gear!$A$4:$A$603,A32,Gear!$B$4:$B$603,"Priest",Gear!$C$4:$C$603,Inputs!$C$5)</f>
        <v/>
      </c>
      <c r="Q32" s="9">
        <f>INDEX('Class Table'!$M$4:$M$53,A32)+SUMIFS(Gear!$I$4:$I$603,Gear!$A$4:$A$603,A32,Gear!$B$4:$B$603,"Priest",Gear!$C$4:$C$603,Inputs!$C$5)</f>
        <v/>
      </c>
      <c r="R32" s="13">
        <f>SUMIFS(Gear!$O$4:$O$603,Gear!$A$4:$A$603,A32,Gear!$B$4:$B$603,"Priest",Gear!$C$4:$C$603,Inputs!$C$5)</f>
        <v/>
      </c>
      <c r="S32" s="26">
        <f>I32+0+G32+A32+MAX(1,A32/2)+(A32-B32)</f>
        <v/>
      </c>
      <c r="T32" s="9">
        <f>MAX(0,S32*(1+M32)*(1+L32)*Inputs!$C$20*(1-D32/Inputs!$C$19)-D32/25)</f>
        <v/>
      </c>
      <c r="U32" s="16">
        <f>H32/10*(1-MIN(0.95,N32+0))*Inputs!$C$21</f>
        <v/>
      </c>
      <c r="V32" s="27">
        <f>T32/U32</f>
        <v/>
      </c>
      <c r="W32" s="27">
        <f>V32</f>
        <v/>
      </c>
      <c r="X32" s="8">
        <f>IFERROR(ROUNDUP(C32/T32,0),"-")</f>
        <v/>
      </c>
      <c r="Y32" s="60">
        <f>IFERROR(C32/W32,"-")</f>
        <v/>
      </c>
      <c r="Z32" s="9">
        <f>MAX(0,(E32+(B32-A32))*(1-R32)*(1-Q32*'Class Table'!$O$8/Inputs!$C$19)-Q32*'Class Table'!$O$8/25)</f>
        <v/>
      </c>
      <c r="AA32" s="26">
        <f>IFERROR(Z32/F32*Y32,"-")</f>
        <v/>
      </c>
      <c r="AB32" s="28">
        <f>IFERROR(AA32/O32,"-")</f>
        <v/>
      </c>
      <c r="AC32" s="9">
        <f>IFERROR(O32*Inputs!$C$24/Inputs!$C$22*Y32,"-")</f>
        <v/>
      </c>
      <c r="AD32" s="28">
        <f>IFERROR(MAX(0,AA32-AC32)/O32,"-")</f>
        <v/>
      </c>
    </row>
    <row r="33">
      <c r="A33" s="8" t="n">
        <v>30</v>
      </c>
      <c r="B33" s="14">
        <f>'Mob by Level'!B33</f>
        <v/>
      </c>
      <c r="C33" s="9">
        <f>'Mob by Level'!C33</f>
        <v/>
      </c>
      <c r="D33" s="9">
        <f>'Mob by Level'!D33</f>
        <v/>
      </c>
      <c r="E33" s="9">
        <f>'Mob by Level'!E33</f>
        <v/>
      </c>
      <c r="F33" s="16">
        <f>'Mob by Level'!F33</f>
        <v/>
      </c>
      <c r="G33" s="14">
        <f>SUMIFS(Gear!$D$4:$D$603,Gear!$A$4:$A$603,A33,Gear!$B$4:$B$603,"Priest",Gear!$C$4:$C$603,Inputs!$C$5)</f>
        <v/>
      </c>
      <c r="H33" s="14">
        <f>SUMIFS(Gear!$E$4:$E$603,Gear!$A$4:$A$603,A33,Gear!$B$4:$B$603,"Priest",Gear!$C$4:$C$603,Inputs!$C$5)</f>
        <v/>
      </c>
      <c r="I33" s="14">
        <f>SUMIFS(Gear!$F$4:$F$603,Gear!$A$4:$A$603,A33,Gear!$B$4:$B$603,"Priest",Gear!$C$4:$C$603,Inputs!$C$5)+IFERROR(LOOKUP(A33,Abilities!$A$49:$A$53,Abilities!$C$49:$C$53),0)</f>
        <v/>
      </c>
      <c r="J33" s="13">
        <f>SUMIFS(Gear!$J$4:$J$603,Gear!$A$4:$A$603,A33,Gear!$B$4:$B$603,"Priest",Gear!$C$4:$C$603,Inputs!$C$5)</f>
        <v/>
      </c>
      <c r="K33" s="13">
        <f>SUMIFS(Gear!$K$4:$K$603,Gear!$A$4:$A$603,A33,Gear!$B$4:$B$603,"Priest",Gear!$C$4:$C$603,Inputs!$C$5)</f>
        <v/>
      </c>
      <c r="L33" s="13">
        <f>SUMIFS(Gear!$L$4:$L$603,Gear!$A$4:$A$603,A33,Gear!$B$4:$B$603,"Priest",Gear!$C$4:$C$603,Inputs!$C$5)</f>
        <v/>
      </c>
      <c r="M33" s="13">
        <f>SUMIFS(Gear!$M$4:$M$603,Gear!$A$4:$A$603,A33,Gear!$B$4:$B$603,"Priest",Gear!$C$4:$C$603,Inputs!$C$5)</f>
        <v/>
      </c>
      <c r="N33" s="13">
        <f>SUMIFS(Gear!$N$4:$N$603,Gear!$A$4:$A$603,A33,Gear!$B$4:$B$603,"Priest",Gear!$C$4:$C$603,Inputs!$C$5)</f>
        <v/>
      </c>
      <c r="O33" s="9">
        <f>INDEX('Class Table'!$K$4:$K$53,A33)+SUMIFS(Gear!$G$4:$G$603,Gear!$A$4:$A$603,A33,Gear!$B$4:$B$603,"Priest",Gear!$C$4:$C$603,Inputs!$C$5)</f>
        <v/>
      </c>
      <c r="P33" s="9">
        <f>INDEX('Class Table'!$L$4:$L$53,A33)+SUMIFS(Gear!$H$4:$H$603,Gear!$A$4:$A$603,A33,Gear!$B$4:$B$603,"Priest",Gear!$C$4:$C$603,Inputs!$C$5)</f>
        <v/>
      </c>
      <c r="Q33" s="9">
        <f>INDEX('Class Table'!$M$4:$M$53,A33)+SUMIFS(Gear!$I$4:$I$603,Gear!$A$4:$A$603,A33,Gear!$B$4:$B$603,"Priest",Gear!$C$4:$C$603,Inputs!$C$5)</f>
        <v/>
      </c>
      <c r="R33" s="13">
        <f>SUMIFS(Gear!$O$4:$O$603,Gear!$A$4:$A$603,A33,Gear!$B$4:$B$603,"Priest",Gear!$C$4:$C$603,Inputs!$C$5)</f>
        <v/>
      </c>
      <c r="S33" s="26">
        <f>I33+0+G33+A33+MAX(1,A33/2)+(A33-B33)</f>
        <v/>
      </c>
      <c r="T33" s="9">
        <f>MAX(0,S33*(1+M33)*(1+L33)*Inputs!$C$20*(1-D33/Inputs!$C$19)-D33/25)</f>
        <v/>
      </c>
      <c r="U33" s="16">
        <f>H33/10*(1-MIN(0.95,N33+0))*Inputs!$C$21</f>
        <v/>
      </c>
      <c r="V33" s="27">
        <f>T33/U33</f>
        <v/>
      </c>
      <c r="W33" s="27">
        <f>V33</f>
        <v/>
      </c>
      <c r="X33" s="8">
        <f>IFERROR(ROUNDUP(C33/T33,0),"-")</f>
        <v/>
      </c>
      <c r="Y33" s="60">
        <f>IFERROR(C33/W33,"-")</f>
        <v/>
      </c>
      <c r="Z33" s="9">
        <f>MAX(0,(E33+(B33-A33))*(1-R33)*(1-Q33*'Class Table'!$O$8/Inputs!$C$19)-Q33*'Class Table'!$O$8/25)</f>
        <v/>
      </c>
      <c r="AA33" s="26">
        <f>IFERROR(Z33/F33*Y33,"-")</f>
        <v/>
      </c>
      <c r="AB33" s="28">
        <f>IFERROR(AA33/O33,"-")</f>
        <v/>
      </c>
      <c r="AC33" s="9">
        <f>IFERROR(O33*Inputs!$C$24/Inputs!$C$22*Y33,"-")</f>
        <v/>
      </c>
      <c r="AD33" s="28">
        <f>IFERROR(MAX(0,AA33-AC33)/O33,"-")</f>
        <v/>
      </c>
    </row>
    <row r="34">
      <c r="A34" s="8" t="n">
        <v>31</v>
      </c>
      <c r="B34" s="14">
        <f>'Mob by Level'!B34</f>
        <v/>
      </c>
      <c r="C34" s="9">
        <f>'Mob by Level'!C34</f>
        <v/>
      </c>
      <c r="D34" s="9">
        <f>'Mob by Level'!D34</f>
        <v/>
      </c>
      <c r="E34" s="9">
        <f>'Mob by Level'!E34</f>
        <v/>
      </c>
      <c r="F34" s="16">
        <f>'Mob by Level'!F34</f>
        <v/>
      </c>
      <c r="G34" s="14">
        <f>SUMIFS(Gear!$D$4:$D$603,Gear!$A$4:$A$603,A34,Gear!$B$4:$B$603,"Priest",Gear!$C$4:$C$603,Inputs!$C$5)</f>
        <v/>
      </c>
      <c r="H34" s="14">
        <f>SUMIFS(Gear!$E$4:$E$603,Gear!$A$4:$A$603,A34,Gear!$B$4:$B$603,"Priest",Gear!$C$4:$C$603,Inputs!$C$5)</f>
        <v/>
      </c>
      <c r="I34" s="14">
        <f>SUMIFS(Gear!$F$4:$F$603,Gear!$A$4:$A$603,A34,Gear!$B$4:$B$603,"Priest",Gear!$C$4:$C$603,Inputs!$C$5)+IFERROR(LOOKUP(A34,Abilities!$A$49:$A$53,Abilities!$C$49:$C$53),0)</f>
        <v/>
      </c>
      <c r="J34" s="13">
        <f>SUMIFS(Gear!$J$4:$J$603,Gear!$A$4:$A$603,A34,Gear!$B$4:$B$603,"Priest",Gear!$C$4:$C$603,Inputs!$C$5)</f>
        <v/>
      </c>
      <c r="K34" s="13">
        <f>SUMIFS(Gear!$K$4:$K$603,Gear!$A$4:$A$603,A34,Gear!$B$4:$B$603,"Priest",Gear!$C$4:$C$603,Inputs!$C$5)</f>
        <v/>
      </c>
      <c r="L34" s="13">
        <f>SUMIFS(Gear!$L$4:$L$603,Gear!$A$4:$A$603,A34,Gear!$B$4:$B$603,"Priest",Gear!$C$4:$C$603,Inputs!$C$5)</f>
        <v/>
      </c>
      <c r="M34" s="13">
        <f>SUMIFS(Gear!$M$4:$M$603,Gear!$A$4:$A$603,A34,Gear!$B$4:$B$603,"Priest",Gear!$C$4:$C$603,Inputs!$C$5)</f>
        <v/>
      </c>
      <c r="N34" s="13">
        <f>SUMIFS(Gear!$N$4:$N$603,Gear!$A$4:$A$603,A34,Gear!$B$4:$B$603,"Priest",Gear!$C$4:$C$603,Inputs!$C$5)</f>
        <v/>
      </c>
      <c r="O34" s="9">
        <f>INDEX('Class Table'!$K$4:$K$53,A34)+SUMIFS(Gear!$G$4:$G$603,Gear!$A$4:$A$603,A34,Gear!$B$4:$B$603,"Priest",Gear!$C$4:$C$603,Inputs!$C$5)</f>
        <v/>
      </c>
      <c r="P34" s="9">
        <f>INDEX('Class Table'!$L$4:$L$53,A34)+SUMIFS(Gear!$H$4:$H$603,Gear!$A$4:$A$603,A34,Gear!$B$4:$B$603,"Priest",Gear!$C$4:$C$603,Inputs!$C$5)</f>
        <v/>
      </c>
      <c r="Q34" s="9">
        <f>INDEX('Class Table'!$M$4:$M$53,A34)+SUMIFS(Gear!$I$4:$I$603,Gear!$A$4:$A$603,A34,Gear!$B$4:$B$603,"Priest",Gear!$C$4:$C$603,Inputs!$C$5)</f>
        <v/>
      </c>
      <c r="R34" s="13">
        <f>SUMIFS(Gear!$O$4:$O$603,Gear!$A$4:$A$603,A34,Gear!$B$4:$B$603,"Priest",Gear!$C$4:$C$603,Inputs!$C$5)</f>
        <v/>
      </c>
      <c r="S34" s="26">
        <f>I34+0+G34+A34+MAX(1,A34/2)+(A34-B34)</f>
        <v/>
      </c>
      <c r="T34" s="9">
        <f>MAX(0,S34*(1+M34)*(1+L34)*Inputs!$C$20*(1-D34/Inputs!$C$19)-D34/25)</f>
        <v/>
      </c>
      <c r="U34" s="16">
        <f>H34/10*(1-MIN(0.95,N34+0))*Inputs!$C$21</f>
        <v/>
      </c>
      <c r="V34" s="27">
        <f>T34/U34</f>
        <v/>
      </c>
      <c r="W34" s="27">
        <f>V34</f>
        <v/>
      </c>
      <c r="X34" s="8">
        <f>IFERROR(ROUNDUP(C34/T34,0),"-")</f>
        <v/>
      </c>
      <c r="Y34" s="60">
        <f>IFERROR(C34/W34,"-")</f>
        <v/>
      </c>
      <c r="Z34" s="9">
        <f>MAX(0,(E34+(B34-A34))*(1-R34)*(1-Q34*'Class Table'!$O$8/Inputs!$C$19)-Q34*'Class Table'!$O$8/25)</f>
        <v/>
      </c>
      <c r="AA34" s="26">
        <f>IFERROR(Z34/F34*Y34,"-")</f>
        <v/>
      </c>
      <c r="AB34" s="28">
        <f>IFERROR(AA34/O34,"-")</f>
        <v/>
      </c>
      <c r="AC34" s="9">
        <f>IFERROR(O34*Inputs!$C$24/Inputs!$C$22*Y34,"-")</f>
        <v/>
      </c>
      <c r="AD34" s="28">
        <f>IFERROR(MAX(0,AA34-AC34)/O34,"-")</f>
        <v/>
      </c>
    </row>
    <row r="35">
      <c r="A35" s="8" t="n">
        <v>32</v>
      </c>
      <c r="B35" s="14">
        <f>'Mob by Level'!B35</f>
        <v/>
      </c>
      <c r="C35" s="9">
        <f>'Mob by Level'!C35</f>
        <v/>
      </c>
      <c r="D35" s="9">
        <f>'Mob by Level'!D35</f>
        <v/>
      </c>
      <c r="E35" s="9">
        <f>'Mob by Level'!E35</f>
        <v/>
      </c>
      <c r="F35" s="16">
        <f>'Mob by Level'!F35</f>
        <v/>
      </c>
      <c r="G35" s="14">
        <f>SUMIFS(Gear!$D$4:$D$603,Gear!$A$4:$A$603,A35,Gear!$B$4:$B$603,"Priest",Gear!$C$4:$C$603,Inputs!$C$5)</f>
        <v/>
      </c>
      <c r="H35" s="14">
        <f>SUMIFS(Gear!$E$4:$E$603,Gear!$A$4:$A$603,A35,Gear!$B$4:$B$603,"Priest",Gear!$C$4:$C$603,Inputs!$C$5)</f>
        <v/>
      </c>
      <c r="I35" s="14">
        <f>SUMIFS(Gear!$F$4:$F$603,Gear!$A$4:$A$603,A35,Gear!$B$4:$B$603,"Priest",Gear!$C$4:$C$603,Inputs!$C$5)+IFERROR(LOOKUP(A35,Abilities!$A$49:$A$53,Abilities!$C$49:$C$53),0)</f>
        <v/>
      </c>
      <c r="J35" s="13">
        <f>SUMIFS(Gear!$J$4:$J$603,Gear!$A$4:$A$603,A35,Gear!$B$4:$B$603,"Priest",Gear!$C$4:$C$603,Inputs!$C$5)</f>
        <v/>
      </c>
      <c r="K35" s="13">
        <f>SUMIFS(Gear!$K$4:$K$603,Gear!$A$4:$A$603,A35,Gear!$B$4:$B$603,"Priest",Gear!$C$4:$C$603,Inputs!$C$5)</f>
        <v/>
      </c>
      <c r="L35" s="13">
        <f>SUMIFS(Gear!$L$4:$L$603,Gear!$A$4:$A$603,A35,Gear!$B$4:$B$603,"Priest",Gear!$C$4:$C$603,Inputs!$C$5)</f>
        <v/>
      </c>
      <c r="M35" s="13">
        <f>SUMIFS(Gear!$M$4:$M$603,Gear!$A$4:$A$603,A35,Gear!$B$4:$B$603,"Priest",Gear!$C$4:$C$603,Inputs!$C$5)</f>
        <v/>
      </c>
      <c r="N35" s="13">
        <f>SUMIFS(Gear!$N$4:$N$603,Gear!$A$4:$A$603,A35,Gear!$B$4:$B$603,"Priest",Gear!$C$4:$C$603,Inputs!$C$5)</f>
        <v/>
      </c>
      <c r="O35" s="9">
        <f>INDEX('Class Table'!$K$4:$K$53,A35)+SUMIFS(Gear!$G$4:$G$603,Gear!$A$4:$A$603,A35,Gear!$B$4:$B$603,"Priest",Gear!$C$4:$C$603,Inputs!$C$5)</f>
        <v/>
      </c>
      <c r="P35" s="9">
        <f>INDEX('Class Table'!$L$4:$L$53,A35)+SUMIFS(Gear!$H$4:$H$603,Gear!$A$4:$A$603,A35,Gear!$B$4:$B$603,"Priest",Gear!$C$4:$C$603,Inputs!$C$5)</f>
        <v/>
      </c>
      <c r="Q35" s="9">
        <f>INDEX('Class Table'!$M$4:$M$53,A35)+SUMIFS(Gear!$I$4:$I$603,Gear!$A$4:$A$603,A35,Gear!$B$4:$B$603,"Priest",Gear!$C$4:$C$603,Inputs!$C$5)</f>
        <v/>
      </c>
      <c r="R35" s="13">
        <f>SUMIFS(Gear!$O$4:$O$603,Gear!$A$4:$A$603,A35,Gear!$B$4:$B$603,"Priest",Gear!$C$4:$C$603,Inputs!$C$5)</f>
        <v/>
      </c>
      <c r="S35" s="26">
        <f>I35+0+G35+A35+MAX(1,A35/2)+(A35-B35)</f>
        <v/>
      </c>
      <c r="T35" s="9">
        <f>MAX(0,S35*(1+M35)*(1+L35)*Inputs!$C$20*(1-D35/Inputs!$C$19)-D35/25)</f>
        <v/>
      </c>
      <c r="U35" s="16">
        <f>H35/10*(1-MIN(0.95,N35+0))*Inputs!$C$21</f>
        <v/>
      </c>
      <c r="V35" s="27">
        <f>T35/U35</f>
        <v/>
      </c>
      <c r="W35" s="27">
        <f>V35</f>
        <v/>
      </c>
      <c r="X35" s="8">
        <f>IFERROR(ROUNDUP(C35/T35,0),"-")</f>
        <v/>
      </c>
      <c r="Y35" s="60">
        <f>IFERROR(C35/W35,"-")</f>
        <v/>
      </c>
      <c r="Z35" s="9">
        <f>MAX(0,(E35+(B35-A35))*(1-R35)*(1-Q35*'Class Table'!$O$8/Inputs!$C$19)-Q35*'Class Table'!$O$8/25)</f>
        <v/>
      </c>
      <c r="AA35" s="26">
        <f>IFERROR(Z35/F35*Y35,"-")</f>
        <v/>
      </c>
      <c r="AB35" s="28">
        <f>IFERROR(AA35/O35,"-")</f>
        <v/>
      </c>
      <c r="AC35" s="9">
        <f>IFERROR(O35*Inputs!$C$24/Inputs!$C$22*Y35,"-")</f>
        <v/>
      </c>
      <c r="AD35" s="28">
        <f>IFERROR(MAX(0,AA35-AC35)/O35,"-")</f>
        <v/>
      </c>
    </row>
    <row r="36">
      <c r="A36" s="8" t="n">
        <v>33</v>
      </c>
      <c r="B36" s="14">
        <f>'Mob by Level'!B36</f>
        <v/>
      </c>
      <c r="C36" s="9">
        <f>'Mob by Level'!C36</f>
        <v/>
      </c>
      <c r="D36" s="9">
        <f>'Mob by Level'!D36</f>
        <v/>
      </c>
      <c r="E36" s="9">
        <f>'Mob by Level'!E36</f>
        <v/>
      </c>
      <c r="F36" s="16">
        <f>'Mob by Level'!F36</f>
        <v/>
      </c>
      <c r="G36" s="14">
        <f>SUMIFS(Gear!$D$4:$D$603,Gear!$A$4:$A$603,A36,Gear!$B$4:$B$603,"Priest",Gear!$C$4:$C$603,Inputs!$C$5)</f>
        <v/>
      </c>
      <c r="H36" s="14">
        <f>SUMIFS(Gear!$E$4:$E$603,Gear!$A$4:$A$603,A36,Gear!$B$4:$B$603,"Priest",Gear!$C$4:$C$603,Inputs!$C$5)</f>
        <v/>
      </c>
      <c r="I36" s="14">
        <f>SUMIFS(Gear!$F$4:$F$603,Gear!$A$4:$A$603,A36,Gear!$B$4:$B$603,"Priest",Gear!$C$4:$C$603,Inputs!$C$5)+IFERROR(LOOKUP(A36,Abilities!$A$49:$A$53,Abilities!$C$49:$C$53),0)</f>
        <v/>
      </c>
      <c r="J36" s="13">
        <f>SUMIFS(Gear!$J$4:$J$603,Gear!$A$4:$A$603,A36,Gear!$B$4:$B$603,"Priest",Gear!$C$4:$C$603,Inputs!$C$5)</f>
        <v/>
      </c>
      <c r="K36" s="13">
        <f>SUMIFS(Gear!$K$4:$K$603,Gear!$A$4:$A$603,A36,Gear!$B$4:$B$603,"Priest",Gear!$C$4:$C$603,Inputs!$C$5)</f>
        <v/>
      </c>
      <c r="L36" s="13">
        <f>SUMIFS(Gear!$L$4:$L$603,Gear!$A$4:$A$603,A36,Gear!$B$4:$B$603,"Priest",Gear!$C$4:$C$603,Inputs!$C$5)</f>
        <v/>
      </c>
      <c r="M36" s="13">
        <f>SUMIFS(Gear!$M$4:$M$603,Gear!$A$4:$A$603,A36,Gear!$B$4:$B$603,"Priest",Gear!$C$4:$C$603,Inputs!$C$5)</f>
        <v/>
      </c>
      <c r="N36" s="13">
        <f>SUMIFS(Gear!$N$4:$N$603,Gear!$A$4:$A$603,A36,Gear!$B$4:$B$603,"Priest",Gear!$C$4:$C$603,Inputs!$C$5)</f>
        <v/>
      </c>
      <c r="O36" s="9">
        <f>INDEX('Class Table'!$K$4:$K$53,A36)+SUMIFS(Gear!$G$4:$G$603,Gear!$A$4:$A$603,A36,Gear!$B$4:$B$603,"Priest",Gear!$C$4:$C$603,Inputs!$C$5)</f>
        <v/>
      </c>
      <c r="P36" s="9">
        <f>INDEX('Class Table'!$L$4:$L$53,A36)+SUMIFS(Gear!$H$4:$H$603,Gear!$A$4:$A$603,A36,Gear!$B$4:$B$603,"Priest",Gear!$C$4:$C$603,Inputs!$C$5)</f>
        <v/>
      </c>
      <c r="Q36" s="9">
        <f>INDEX('Class Table'!$M$4:$M$53,A36)+SUMIFS(Gear!$I$4:$I$603,Gear!$A$4:$A$603,A36,Gear!$B$4:$B$603,"Priest",Gear!$C$4:$C$603,Inputs!$C$5)</f>
        <v/>
      </c>
      <c r="R36" s="13">
        <f>SUMIFS(Gear!$O$4:$O$603,Gear!$A$4:$A$603,A36,Gear!$B$4:$B$603,"Priest",Gear!$C$4:$C$603,Inputs!$C$5)</f>
        <v/>
      </c>
      <c r="S36" s="26">
        <f>I36+0+G36+A36+MAX(1,A36/2)+(A36-B36)</f>
        <v/>
      </c>
      <c r="T36" s="9">
        <f>MAX(0,S36*(1+M36)*(1+L36)*Inputs!$C$20*(1-D36/Inputs!$C$19)-D36/25)</f>
        <v/>
      </c>
      <c r="U36" s="16">
        <f>H36/10*(1-MIN(0.95,N36+0))*Inputs!$C$21</f>
        <v/>
      </c>
      <c r="V36" s="27">
        <f>T36/U36</f>
        <v/>
      </c>
      <c r="W36" s="27">
        <f>V36</f>
        <v/>
      </c>
      <c r="X36" s="8">
        <f>IFERROR(ROUNDUP(C36/T36,0),"-")</f>
        <v/>
      </c>
      <c r="Y36" s="60">
        <f>IFERROR(C36/W36,"-")</f>
        <v/>
      </c>
      <c r="Z36" s="9">
        <f>MAX(0,(E36+(B36-A36))*(1-R36)*(1-Q36*'Class Table'!$O$8/Inputs!$C$19)-Q36*'Class Table'!$O$8/25)</f>
        <v/>
      </c>
      <c r="AA36" s="26">
        <f>IFERROR(Z36/F36*Y36,"-")</f>
        <v/>
      </c>
      <c r="AB36" s="28">
        <f>IFERROR(AA36/O36,"-")</f>
        <v/>
      </c>
      <c r="AC36" s="9">
        <f>IFERROR(O36*Inputs!$C$24/Inputs!$C$22*Y36,"-")</f>
        <v/>
      </c>
      <c r="AD36" s="28">
        <f>IFERROR(MAX(0,AA36-AC36)/O36,"-")</f>
        <v/>
      </c>
    </row>
    <row r="37">
      <c r="A37" s="8" t="n">
        <v>34</v>
      </c>
      <c r="B37" s="14">
        <f>'Mob by Level'!B37</f>
        <v/>
      </c>
      <c r="C37" s="9">
        <f>'Mob by Level'!C37</f>
        <v/>
      </c>
      <c r="D37" s="9">
        <f>'Mob by Level'!D37</f>
        <v/>
      </c>
      <c r="E37" s="9">
        <f>'Mob by Level'!E37</f>
        <v/>
      </c>
      <c r="F37" s="16">
        <f>'Mob by Level'!F37</f>
        <v/>
      </c>
      <c r="G37" s="14">
        <f>SUMIFS(Gear!$D$4:$D$603,Gear!$A$4:$A$603,A37,Gear!$B$4:$B$603,"Priest",Gear!$C$4:$C$603,Inputs!$C$5)</f>
        <v/>
      </c>
      <c r="H37" s="14">
        <f>SUMIFS(Gear!$E$4:$E$603,Gear!$A$4:$A$603,A37,Gear!$B$4:$B$603,"Priest",Gear!$C$4:$C$603,Inputs!$C$5)</f>
        <v/>
      </c>
      <c r="I37" s="14">
        <f>SUMIFS(Gear!$F$4:$F$603,Gear!$A$4:$A$603,A37,Gear!$B$4:$B$603,"Priest",Gear!$C$4:$C$603,Inputs!$C$5)+IFERROR(LOOKUP(A37,Abilities!$A$49:$A$53,Abilities!$C$49:$C$53),0)</f>
        <v/>
      </c>
      <c r="J37" s="13">
        <f>SUMIFS(Gear!$J$4:$J$603,Gear!$A$4:$A$603,A37,Gear!$B$4:$B$603,"Priest",Gear!$C$4:$C$603,Inputs!$C$5)</f>
        <v/>
      </c>
      <c r="K37" s="13">
        <f>SUMIFS(Gear!$K$4:$K$603,Gear!$A$4:$A$603,A37,Gear!$B$4:$B$603,"Priest",Gear!$C$4:$C$603,Inputs!$C$5)</f>
        <v/>
      </c>
      <c r="L37" s="13">
        <f>SUMIFS(Gear!$L$4:$L$603,Gear!$A$4:$A$603,A37,Gear!$B$4:$B$603,"Priest",Gear!$C$4:$C$603,Inputs!$C$5)</f>
        <v/>
      </c>
      <c r="M37" s="13">
        <f>SUMIFS(Gear!$M$4:$M$603,Gear!$A$4:$A$603,A37,Gear!$B$4:$B$603,"Priest",Gear!$C$4:$C$603,Inputs!$C$5)</f>
        <v/>
      </c>
      <c r="N37" s="13">
        <f>SUMIFS(Gear!$N$4:$N$603,Gear!$A$4:$A$603,A37,Gear!$B$4:$B$603,"Priest",Gear!$C$4:$C$603,Inputs!$C$5)</f>
        <v/>
      </c>
      <c r="O37" s="9">
        <f>INDEX('Class Table'!$K$4:$K$53,A37)+SUMIFS(Gear!$G$4:$G$603,Gear!$A$4:$A$603,A37,Gear!$B$4:$B$603,"Priest",Gear!$C$4:$C$603,Inputs!$C$5)</f>
        <v/>
      </c>
      <c r="P37" s="9">
        <f>INDEX('Class Table'!$L$4:$L$53,A37)+SUMIFS(Gear!$H$4:$H$603,Gear!$A$4:$A$603,A37,Gear!$B$4:$B$603,"Priest",Gear!$C$4:$C$603,Inputs!$C$5)</f>
        <v/>
      </c>
      <c r="Q37" s="9">
        <f>INDEX('Class Table'!$M$4:$M$53,A37)+SUMIFS(Gear!$I$4:$I$603,Gear!$A$4:$A$603,A37,Gear!$B$4:$B$603,"Priest",Gear!$C$4:$C$603,Inputs!$C$5)</f>
        <v/>
      </c>
      <c r="R37" s="13">
        <f>SUMIFS(Gear!$O$4:$O$603,Gear!$A$4:$A$603,A37,Gear!$B$4:$B$603,"Priest",Gear!$C$4:$C$603,Inputs!$C$5)</f>
        <v/>
      </c>
      <c r="S37" s="26">
        <f>I37+0+G37+A37+MAX(1,A37/2)+(A37-B37)</f>
        <v/>
      </c>
      <c r="T37" s="9">
        <f>MAX(0,S37*(1+M37)*(1+L37)*Inputs!$C$20*(1-D37/Inputs!$C$19)-D37/25)</f>
        <v/>
      </c>
      <c r="U37" s="16">
        <f>H37/10*(1-MIN(0.95,N37+0))*Inputs!$C$21</f>
        <v/>
      </c>
      <c r="V37" s="27">
        <f>T37/U37</f>
        <v/>
      </c>
      <c r="W37" s="27">
        <f>V37</f>
        <v/>
      </c>
      <c r="X37" s="8">
        <f>IFERROR(ROUNDUP(C37/T37,0),"-")</f>
        <v/>
      </c>
      <c r="Y37" s="60">
        <f>IFERROR(C37/W37,"-")</f>
        <v/>
      </c>
      <c r="Z37" s="9">
        <f>MAX(0,(E37+(B37-A37))*(1-R37)*(1-Q37*'Class Table'!$O$8/Inputs!$C$19)-Q37*'Class Table'!$O$8/25)</f>
        <v/>
      </c>
      <c r="AA37" s="26">
        <f>IFERROR(Z37/F37*Y37,"-")</f>
        <v/>
      </c>
      <c r="AB37" s="28">
        <f>IFERROR(AA37/O37,"-")</f>
        <v/>
      </c>
      <c r="AC37" s="9">
        <f>IFERROR(O37*Inputs!$C$24/Inputs!$C$22*Y37,"-")</f>
        <v/>
      </c>
      <c r="AD37" s="28">
        <f>IFERROR(MAX(0,AA37-AC37)/O37,"-")</f>
        <v/>
      </c>
    </row>
    <row r="38">
      <c r="A38" s="8" t="n">
        <v>35</v>
      </c>
      <c r="B38" s="14">
        <f>'Mob by Level'!B38</f>
        <v/>
      </c>
      <c r="C38" s="9">
        <f>'Mob by Level'!C38</f>
        <v/>
      </c>
      <c r="D38" s="9">
        <f>'Mob by Level'!D38</f>
        <v/>
      </c>
      <c r="E38" s="9">
        <f>'Mob by Level'!E38</f>
        <v/>
      </c>
      <c r="F38" s="16">
        <f>'Mob by Level'!F38</f>
        <v/>
      </c>
      <c r="G38" s="14">
        <f>SUMIFS(Gear!$D$4:$D$603,Gear!$A$4:$A$603,A38,Gear!$B$4:$B$603,"Priest",Gear!$C$4:$C$603,Inputs!$C$5)</f>
        <v/>
      </c>
      <c r="H38" s="14">
        <f>SUMIFS(Gear!$E$4:$E$603,Gear!$A$4:$A$603,A38,Gear!$B$4:$B$603,"Priest",Gear!$C$4:$C$603,Inputs!$C$5)</f>
        <v/>
      </c>
      <c r="I38" s="14">
        <f>SUMIFS(Gear!$F$4:$F$603,Gear!$A$4:$A$603,A38,Gear!$B$4:$B$603,"Priest",Gear!$C$4:$C$603,Inputs!$C$5)+IFERROR(LOOKUP(A38,Abilities!$A$49:$A$53,Abilities!$C$49:$C$53),0)</f>
        <v/>
      </c>
      <c r="J38" s="13">
        <f>SUMIFS(Gear!$J$4:$J$603,Gear!$A$4:$A$603,A38,Gear!$B$4:$B$603,"Priest",Gear!$C$4:$C$603,Inputs!$C$5)</f>
        <v/>
      </c>
      <c r="K38" s="13">
        <f>SUMIFS(Gear!$K$4:$K$603,Gear!$A$4:$A$603,A38,Gear!$B$4:$B$603,"Priest",Gear!$C$4:$C$603,Inputs!$C$5)</f>
        <v/>
      </c>
      <c r="L38" s="13">
        <f>SUMIFS(Gear!$L$4:$L$603,Gear!$A$4:$A$603,A38,Gear!$B$4:$B$603,"Priest",Gear!$C$4:$C$603,Inputs!$C$5)</f>
        <v/>
      </c>
      <c r="M38" s="13">
        <f>SUMIFS(Gear!$M$4:$M$603,Gear!$A$4:$A$603,A38,Gear!$B$4:$B$603,"Priest",Gear!$C$4:$C$603,Inputs!$C$5)</f>
        <v/>
      </c>
      <c r="N38" s="13">
        <f>SUMIFS(Gear!$N$4:$N$603,Gear!$A$4:$A$603,A38,Gear!$B$4:$B$603,"Priest",Gear!$C$4:$C$603,Inputs!$C$5)</f>
        <v/>
      </c>
      <c r="O38" s="9">
        <f>INDEX('Class Table'!$K$4:$K$53,A38)+SUMIFS(Gear!$G$4:$G$603,Gear!$A$4:$A$603,A38,Gear!$B$4:$B$603,"Priest",Gear!$C$4:$C$603,Inputs!$C$5)</f>
        <v/>
      </c>
      <c r="P38" s="9">
        <f>INDEX('Class Table'!$L$4:$L$53,A38)+SUMIFS(Gear!$H$4:$H$603,Gear!$A$4:$A$603,A38,Gear!$B$4:$B$603,"Priest",Gear!$C$4:$C$603,Inputs!$C$5)</f>
        <v/>
      </c>
      <c r="Q38" s="9">
        <f>INDEX('Class Table'!$M$4:$M$53,A38)+SUMIFS(Gear!$I$4:$I$603,Gear!$A$4:$A$603,A38,Gear!$B$4:$B$603,"Priest",Gear!$C$4:$C$603,Inputs!$C$5)</f>
        <v/>
      </c>
      <c r="R38" s="13">
        <f>SUMIFS(Gear!$O$4:$O$603,Gear!$A$4:$A$603,A38,Gear!$B$4:$B$603,"Priest",Gear!$C$4:$C$603,Inputs!$C$5)</f>
        <v/>
      </c>
      <c r="S38" s="26">
        <f>I38+0+G38+A38+MAX(1,A38/2)+(A38-B38)</f>
        <v/>
      </c>
      <c r="T38" s="9">
        <f>MAX(0,S38*(1+M38)*(1+L38)*Inputs!$C$20*(1-D38/Inputs!$C$19)-D38/25)</f>
        <v/>
      </c>
      <c r="U38" s="16">
        <f>H38/10*(1-MIN(0.95,N38+0))*Inputs!$C$21</f>
        <v/>
      </c>
      <c r="V38" s="27">
        <f>T38/U38</f>
        <v/>
      </c>
      <c r="W38" s="27">
        <f>V38</f>
        <v/>
      </c>
      <c r="X38" s="8">
        <f>IFERROR(ROUNDUP(C38/T38,0),"-")</f>
        <v/>
      </c>
      <c r="Y38" s="60">
        <f>IFERROR(C38/W38,"-")</f>
        <v/>
      </c>
      <c r="Z38" s="9">
        <f>MAX(0,(E38+(B38-A38))*(1-R38)*(1-Q38*'Class Table'!$O$8/Inputs!$C$19)-Q38*'Class Table'!$O$8/25)</f>
        <v/>
      </c>
      <c r="AA38" s="26">
        <f>IFERROR(Z38/F38*Y38,"-")</f>
        <v/>
      </c>
      <c r="AB38" s="28">
        <f>IFERROR(AA38/O38,"-")</f>
        <v/>
      </c>
      <c r="AC38" s="9">
        <f>IFERROR(O38*Inputs!$C$24/Inputs!$C$22*Y38,"-")</f>
        <v/>
      </c>
      <c r="AD38" s="28">
        <f>IFERROR(MAX(0,AA38-AC38)/O38,"-")</f>
        <v/>
      </c>
    </row>
    <row r="39">
      <c r="A39" s="8" t="n">
        <v>36</v>
      </c>
      <c r="B39" s="14">
        <f>'Mob by Level'!B39</f>
        <v/>
      </c>
      <c r="C39" s="9">
        <f>'Mob by Level'!C39</f>
        <v/>
      </c>
      <c r="D39" s="9">
        <f>'Mob by Level'!D39</f>
        <v/>
      </c>
      <c r="E39" s="9">
        <f>'Mob by Level'!E39</f>
        <v/>
      </c>
      <c r="F39" s="16">
        <f>'Mob by Level'!F39</f>
        <v/>
      </c>
      <c r="G39" s="14">
        <f>SUMIFS(Gear!$D$4:$D$603,Gear!$A$4:$A$603,A39,Gear!$B$4:$B$603,"Priest",Gear!$C$4:$C$603,Inputs!$C$5)</f>
        <v/>
      </c>
      <c r="H39" s="14">
        <f>SUMIFS(Gear!$E$4:$E$603,Gear!$A$4:$A$603,A39,Gear!$B$4:$B$603,"Priest",Gear!$C$4:$C$603,Inputs!$C$5)</f>
        <v/>
      </c>
      <c r="I39" s="14">
        <f>SUMIFS(Gear!$F$4:$F$603,Gear!$A$4:$A$603,A39,Gear!$B$4:$B$603,"Priest",Gear!$C$4:$C$603,Inputs!$C$5)+IFERROR(LOOKUP(A39,Abilities!$A$49:$A$53,Abilities!$C$49:$C$53),0)</f>
        <v/>
      </c>
      <c r="J39" s="13">
        <f>SUMIFS(Gear!$J$4:$J$603,Gear!$A$4:$A$603,A39,Gear!$B$4:$B$603,"Priest",Gear!$C$4:$C$603,Inputs!$C$5)</f>
        <v/>
      </c>
      <c r="K39" s="13">
        <f>SUMIFS(Gear!$K$4:$K$603,Gear!$A$4:$A$603,A39,Gear!$B$4:$B$603,"Priest",Gear!$C$4:$C$603,Inputs!$C$5)</f>
        <v/>
      </c>
      <c r="L39" s="13">
        <f>SUMIFS(Gear!$L$4:$L$603,Gear!$A$4:$A$603,A39,Gear!$B$4:$B$603,"Priest",Gear!$C$4:$C$603,Inputs!$C$5)</f>
        <v/>
      </c>
      <c r="M39" s="13">
        <f>SUMIFS(Gear!$M$4:$M$603,Gear!$A$4:$A$603,A39,Gear!$B$4:$B$603,"Priest",Gear!$C$4:$C$603,Inputs!$C$5)</f>
        <v/>
      </c>
      <c r="N39" s="13">
        <f>SUMIFS(Gear!$N$4:$N$603,Gear!$A$4:$A$603,A39,Gear!$B$4:$B$603,"Priest",Gear!$C$4:$C$603,Inputs!$C$5)</f>
        <v/>
      </c>
      <c r="O39" s="9">
        <f>INDEX('Class Table'!$K$4:$K$53,A39)+SUMIFS(Gear!$G$4:$G$603,Gear!$A$4:$A$603,A39,Gear!$B$4:$B$603,"Priest",Gear!$C$4:$C$603,Inputs!$C$5)</f>
        <v/>
      </c>
      <c r="P39" s="9">
        <f>INDEX('Class Table'!$L$4:$L$53,A39)+SUMIFS(Gear!$H$4:$H$603,Gear!$A$4:$A$603,A39,Gear!$B$4:$B$603,"Priest",Gear!$C$4:$C$603,Inputs!$C$5)</f>
        <v/>
      </c>
      <c r="Q39" s="9">
        <f>INDEX('Class Table'!$M$4:$M$53,A39)+SUMIFS(Gear!$I$4:$I$603,Gear!$A$4:$A$603,A39,Gear!$B$4:$B$603,"Priest",Gear!$C$4:$C$603,Inputs!$C$5)</f>
        <v/>
      </c>
      <c r="R39" s="13">
        <f>SUMIFS(Gear!$O$4:$O$603,Gear!$A$4:$A$603,A39,Gear!$B$4:$B$603,"Priest",Gear!$C$4:$C$603,Inputs!$C$5)</f>
        <v/>
      </c>
      <c r="S39" s="26">
        <f>I39+0+G39+A39+MAX(1,A39/2)+(A39-B39)</f>
        <v/>
      </c>
      <c r="T39" s="9">
        <f>MAX(0,S39*(1+M39)*(1+L39)*Inputs!$C$20*(1-D39/Inputs!$C$19)-D39/25)</f>
        <v/>
      </c>
      <c r="U39" s="16">
        <f>H39/10*(1-MIN(0.95,N39+0))*Inputs!$C$21</f>
        <v/>
      </c>
      <c r="V39" s="27">
        <f>T39/U39</f>
        <v/>
      </c>
      <c r="W39" s="27">
        <f>V39</f>
        <v/>
      </c>
      <c r="X39" s="8">
        <f>IFERROR(ROUNDUP(C39/T39,0),"-")</f>
        <v/>
      </c>
      <c r="Y39" s="60">
        <f>IFERROR(C39/W39,"-")</f>
        <v/>
      </c>
      <c r="Z39" s="9">
        <f>MAX(0,(E39+(B39-A39))*(1-R39)*(1-Q39*'Class Table'!$O$8/Inputs!$C$19)-Q39*'Class Table'!$O$8/25)</f>
        <v/>
      </c>
      <c r="AA39" s="26">
        <f>IFERROR(Z39/F39*Y39,"-")</f>
        <v/>
      </c>
      <c r="AB39" s="28">
        <f>IFERROR(AA39/O39,"-")</f>
        <v/>
      </c>
      <c r="AC39" s="9">
        <f>IFERROR(O39*Inputs!$C$24/Inputs!$C$22*Y39,"-")</f>
        <v/>
      </c>
      <c r="AD39" s="28">
        <f>IFERROR(MAX(0,AA39-AC39)/O39,"-")</f>
        <v/>
      </c>
    </row>
    <row r="40">
      <c r="A40" s="8" t="n">
        <v>37</v>
      </c>
      <c r="B40" s="14">
        <f>'Mob by Level'!B40</f>
        <v/>
      </c>
      <c r="C40" s="9">
        <f>'Mob by Level'!C40</f>
        <v/>
      </c>
      <c r="D40" s="9">
        <f>'Mob by Level'!D40</f>
        <v/>
      </c>
      <c r="E40" s="9">
        <f>'Mob by Level'!E40</f>
        <v/>
      </c>
      <c r="F40" s="16">
        <f>'Mob by Level'!F40</f>
        <v/>
      </c>
      <c r="G40" s="14">
        <f>SUMIFS(Gear!$D$4:$D$603,Gear!$A$4:$A$603,A40,Gear!$B$4:$B$603,"Priest",Gear!$C$4:$C$603,Inputs!$C$5)</f>
        <v/>
      </c>
      <c r="H40" s="14">
        <f>SUMIFS(Gear!$E$4:$E$603,Gear!$A$4:$A$603,A40,Gear!$B$4:$B$603,"Priest",Gear!$C$4:$C$603,Inputs!$C$5)</f>
        <v/>
      </c>
      <c r="I40" s="14">
        <f>SUMIFS(Gear!$F$4:$F$603,Gear!$A$4:$A$603,A40,Gear!$B$4:$B$603,"Priest",Gear!$C$4:$C$603,Inputs!$C$5)+IFERROR(LOOKUP(A40,Abilities!$A$49:$A$53,Abilities!$C$49:$C$53),0)</f>
        <v/>
      </c>
      <c r="J40" s="13">
        <f>SUMIFS(Gear!$J$4:$J$603,Gear!$A$4:$A$603,A40,Gear!$B$4:$B$603,"Priest",Gear!$C$4:$C$603,Inputs!$C$5)</f>
        <v/>
      </c>
      <c r="K40" s="13">
        <f>SUMIFS(Gear!$K$4:$K$603,Gear!$A$4:$A$603,A40,Gear!$B$4:$B$603,"Priest",Gear!$C$4:$C$603,Inputs!$C$5)</f>
        <v/>
      </c>
      <c r="L40" s="13">
        <f>SUMIFS(Gear!$L$4:$L$603,Gear!$A$4:$A$603,A40,Gear!$B$4:$B$603,"Priest",Gear!$C$4:$C$603,Inputs!$C$5)</f>
        <v/>
      </c>
      <c r="M40" s="13">
        <f>SUMIFS(Gear!$M$4:$M$603,Gear!$A$4:$A$603,A40,Gear!$B$4:$B$603,"Priest",Gear!$C$4:$C$603,Inputs!$C$5)</f>
        <v/>
      </c>
      <c r="N40" s="13">
        <f>SUMIFS(Gear!$N$4:$N$603,Gear!$A$4:$A$603,A40,Gear!$B$4:$B$603,"Priest",Gear!$C$4:$C$603,Inputs!$C$5)</f>
        <v/>
      </c>
      <c r="O40" s="9">
        <f>INDEX('Class Table'!$K$4:$K$53,A40)+SUMIFS(Gear!$G$4:$G$603,Gear!$A$4:$A$603,A40,Gear!$B$4:$B$603,"Priest",Gear!$C$4:$C$603,Inputs!$C$5)</f>
        <v/>
      </c>
      <c r="P40" s="9">
        <f>INDEX('Class Table'!$L$4:$L$53,A40)+SUMIFS(Gear!$H$4:$H$603,Gear!$A$4:$A$603,A40,Gear!$B$4:$B$603,"Priest",Gear!$C$4:$C$603,Inputs!$C$5)</f>
        <v/>
      </c>
      <c r="Q40" s="9">
        <f>INDEX('Class Table'!$M$4:$M$53,A40)+SUMIFS(Gear!$I$4:$I$603,Gear!$A$4:$A$603,A40,Gear!$B$4:$B$603,"Priest",Gear!$C$4:$C$603,Inputs!$C$5)</f>
        <v/>
      </c>
      <c r="R40" s="13">
        <f>SUMIFS(Gear!$O$4:$O$603,Gear!$A$4:$A$603,A40,Gear!$B$4:$B$603,"Priest",Gear!$C$4:$C$603,Inputs!$C$5)</f>
        <v/>
      </c>
      <c r="S40" s="26">
        <f>I40+0+G40+A40+MAX(1,A40/2)+(A40-B40)</f>
        <v/>
      </c>
      <c r="T40" s="9">
        <f>MAX(0,S40*(1+M40)*(1+L40)*Inputs!$C$20*(1-D40/Inputs!$C$19)-D40/25)</f>
        <v/>
      </c>
      <c r="U40" s="16">
        <f>H40/10*(1-MIN(0.95,N40+0))*Inputs!$C$21</f>
        <v/>
      </c>
      <c r="V40" s="27">
        <f>T40/U40</f>
        <v/>
      </c>
      <c r="W40" s="27">
        <f>V40</f>
        <v/>
      </c>
      <c r="X40" s="8">
        <f>IFERROR(ROUNDUP(C40/T40,0),"-")</f>
        <v/>
      </c>
      <c r="Y40" s="60">
        <f>IFERROR(C40/W40,"-")</f>
        <v/>
      </c>
      <c r="Z40" s="9">
        <f>MAX(0,(E40+(B40-A40))*(1-R40)*(1-Q40*'Class Table'!$O$8/Inputs!$C$19)-Q40*'Class Table'!$O$8/25)</f>
        <v/>
      </c>
      <c r="AA40" s="26">
        <f>IFERROR(Z40/F40*Y40,"-")</f>
        <v/>
      </c>
      <c r="AB40" s="28">
        <f>IFERROR(AA40/O40,"-")</f>
        <v/>
      </c>
      <c r="AC40" s="9">
        <f>IFERROR(O40*Inputs!$C$24/Inputs!$C$22*Y40,"-")</f>
        <v/>
      </c>
      <c r="AD40" s="28">
        <f>IFERROR(MAX(0,AA40-AC40)/O40,"-")</f>
        <v/>
      </c>
    </row>
    <row r="41">
      <c r="A41" s="8" t="n">
        <v>38</v>
      </c>
      <c r="B41" s="14">
        <f>'Mob by Level'!B41</f>
        <v/>
      </c>
      <c r="C41" s="9">
        <f>'Mob by Level'!C41</f>
        <v/>
      </c>
      <c r="D41" s="9">
        <f>'Mob by Level'!D41</f>
        <v/>
      </c>
      <c r="E41" s="9">
        <f>'Mob by Level'!E41</f>
        <v/>
      </c>
      <c r="F41" s="16">
        <f>'Mob by Level'!F41</f>
        <v/>
      </c>
      <c r="G41" s="14">
        <f>SUMIFS(Gear!$D$4:$D$603,Gear!$A$4:$A$603,A41,Gear!$B$4:$B$603,"Priest",Gear!$C$4:$C$603,Inputs!$C$5)</f>
        <v/>
      </c>
      <c r="H41" s="14">
        <f>SUMIFS(Gear!$E$4:$E$603,Gear!$A$4:$A$603,A41,Gear!$B$4:$B$603,"Priest",Gear!$C$4:$C$603,Inputs!$C$5)</f>
        <v/>
      </c>
      <c r="I41" s="14">
        <f>SUMIFS(Gear!$F$4:$F$603,Gear!$A$4:$A$603,A41,Gear!$B$4:$B$603,"Priest",Gear!$C$4:$C$603,Inputs!$C$5)+IFERROR(LOOKUP(A41,Abilities!$A$49:$A$53,Abilities!$C$49:$C$53),0)</f>
        <v/>
      </c>
      <c r="J41" s="13">
        <f>SUMIFS(Gear!$J$4:$J$603,Gear!$A$4:$A$603,A41,Gear!$B$4:$B$603,"Priest",Gear!$C$4:$C$603,Inputs!$C$5)</f>
        <v/>
      </c>
      <c r="K41" s="13">
        <f>SUMIFS(Gear!$K$4:$K$603,Gear!$A$4:$A$603,A41,Gear!$B$4:$B$603,"Priest",Gear!$C$4:$C$603,Inputs!$C$5)</f>
        <v/>
      </c>
      <c r="L41" s="13">
        <f>SUMIFS(Gear!$L$4:$L$603,Gear!$A$4:$A$603,A41,Gear!$B$4:$B$603,"Priest",Gear!$C$4:$C$603,Inputs!$C$5)</f>
        <v/>
      </c>
      <c r="M41" s="13">
        <f>SUMIFS(Gear!$M$4:$M$603,Gear!$A$4:$A$603,A41,Gear!$B$4:$B$603,"Priest",Gear!$C$4:$C$603,Inputs!$C$5)</f>
        <v/>
      </c>
      <c r="N41" s="13">
        <f>SUMIFS(Gear!$N$4:$N$603,Gear!$A$4:$A$603,A41,Gear!$B$4:$B$603,"Priest",Gear!$C$4:$C$603,Inputs!$C$5)</f>
        <v/>
      </c>
      <c r="O41" s="9">
        <f>INDEX('Class Table'!$K$4:$K$53,A41)+SUMIFS(Gear!$G$4:$G$603,Gear!$A$4:$A$603,A41,Gear!$B$4:$B$603,"Priest",Gear!$C$4:$C$603,Inputs!$C$5)</f>
        <v/>
      </c>
      <c r="P41" s="9">
        <f>INDEX('Class Table'!$L$4:$L$53,A41)+SUMIFS(Gear!$H$4:$H$603,Gear!$A$4:$A$603,A41,Gear!$B$4:$B$603,"Priest",Gear!$C$4:$C$603,Inputs!$C$5)</f>
        <v/>
      </c>
      <c r="Q41" s="9">
        <f>INDEX('Class Table'!$M$4:$M$53,A41)+SUMIFS(Gear!$I$4:$I$603,Gear!$A$4:$A$603,A41,Gear!$B$4:$B$603,"Priest",Gear!$C$4:$C$603,Inputs!$C$5)</f>
        <v/>
      </c>
      <c r="R41" s="13">
        <f>SUMIFS(Gear!$O$4:$O$603,Gear!$A$4:$A$603,A41,Gear!$B$4:$B$603,"Priest",Gear!$C$4:$C$603,Inputs!$C$5)</f>
        <v/>
      </c>
      <c r="S41" s="26">
        <f>I41+0+G41+A41+MAX(1,A41/2)+(A41-B41)</f>
        <v/>
      </c>
      <c r="T41" s="9">
        <f>MAX(0,S41*(1+M41)*(1+L41)*Inputs!$C$20*(1-D41/Inputs!$C$19)-D41/25)</f>
        <v/>
      </c>
      <c r="U41" s="16">
        <f>H41/10*(1-MIN(0.95,N41+0))*Inputs!$C$21</f>
        <v/>
      </c>
      <c r="V41" s="27">
        <f>T41/U41</f>
        <v/>
      </c>
      <c r="W41" s="27">
        <f>V41</f>
        <v/>
      </c>
      <c r="X41" s="8">
        <f>IFERROR(ROUNDUP(C41/T41,0),"-")</f>
        <v/>
      </c>
      <c r="Y41" s="60">
        <f>IFERROR(C41/W41,"-")</f>
        <v/>
      </c>
      <c r="Z41" s="9">
        <f>MAX(0,(E41+(B41-A41))*(1-R41)*(1-Q41*'Class Table'!$O$8/Inputs!$C$19)-Q41*'Class Table'!$O$8/25)</f>
        <v/>
      </c>
      <c r="AA41" s="26">
        <f>IFERROR(Z41/F41*Y41,"-")</f>
        <v/>
      </c>
      <c r="AB41" s="28">
        <f>IFERROR(AA41/O41,"-")</f>
        <v/>
      </c>
      <c r="AC41" s="9">
        <f>IFERROR(O41*Inputs!$C$24/Inputs!$C$22*Y41,"-")</f>
        <v/>
      </c>
      <c r="AD41" s="28">
        <f>IFERROR(MAX(0,AA41-AC41)/O41,"-")</f>
        <v/>
      </c>
    </row>
    <row r="42">
      <c r="A42" s="8" t="n">
        <v>39</v>
      </c>
      <c r="B42" s="14">
        <f>'Mob by Level'!B42</f>
        <v/>
      </c>
      <c r="C42" s="9">
        <f>'Mob by Level'!C42</f>
        <v/>
      </c>
      <c r="D42" s="9">
        <f>'Mob by Level'!D42</f>
        <v/>
      </c>
      <c r="E42" s="9">
        <f>'Mob by Level'!E42</f>
        <v/>
      </c>
      <c r="F42" s="16">
        <f>'Mob by Level'!F42</f>
        <v/>
      </c>
      <c r="G42" s="14">
        <f>SUMIFS(Gear!$D$4:$D$603,Gear!$A$4:$A$603,A42,Gear!$B$4:$B$603,"Priest",Gear!$C$4:$C$603,Inputs!$C$5)</f>
        <v/>
      </c>
      <c r="H42" s="14">
        <f>SUMIFS(Gear!$E$4:$E$603,Gear!$A$4:$A$603,A42,Gear!$B$4:$B$603,"Priest",Gear!$C$4:$C$603,Inputs!$C$5)</f>
        <v/>
      </c>
      <c r="I42" s="14">
        <f>SUMIFS(Gear!$F$4:$F$603,Gear!$A$4:$A$603,A42,Gear!$B$4:$B$603,"Priest",Gear!$C$4:$C$603,Inputs!$C$5)+IFERROR(LOOKUP(A42,Abilities!$A$49:$A$53,Abilities!$C$49:$C$53),0)</f>
        <v/>
      </c>
      <c r="J42" s="13">
        <f>SUMIFS(Gear!$J$4:$J$603,Gear!$A$4:$A$603,A42,Gear!$B$4:$B$603,"Priest",Gear!$C$4:$C$603,Inputs!$C$5)</f>
        <v/>
      </c>
      <c r="K42" s="13">
        <f>SUMIFS(Gear!$K$4:$K$603,Gear!$A$4:$A$603,A42,Gear!$B$4:$B$603,"Priest",Gear!$C$4:$C$603,Inputs!$C$5)</f>
        <v/>
      </c>
      <c r="L42" s="13">
        <f>SUMIFS(Gear!$L$4:$L$603,Gear!$A$4:$A$603,A42,Gear!$B$4:$B$603,"Priest",Gear!$C$4:$C$603,Inputs!$C$5)</f>
        <v/>
      </c>
      <c r="M42" s="13">
        <f>SUMIFS(Gear!$M$4:$M$603,Gear!$A$4:$A$603,A42,Gear!$B$4:$B$603,"Priest",Gear!$C$4:$C$603,Inputs!$C$5)</f>
        <v/>
      </c>
      <c r="N42" s="13">
        <f>SUMIFS(Gear!$N$4:$N$603,Gear!$A$4:$A$603,A42,Gear!$B$4:$B$603,"Priest",Gear!$C$4:$C$603,Inputs!$C$5)</f>
        <v/>
      </c>
      <c r="O42" s="9">
        <f>INDEX('Class Table'!$K$4:$K$53,A42)+SUMIFS(Gear!$G$4:$G$603,Gear!$A$4:$A$603,A42,Gear!$B$4:$B$603,"Priest",Gear!$C$4:$C$603,Inputs!$C$5)</f>
        <v/>
      </c>
      <c r="P42" s="9">
        <f>INDEX('Class Table'!$L$4:$L$53,A42)+SUMIFS(Gear!$H$4:$H$603,Gear!$A$4:$A$603,A42,Gear!$B$4:$B$603,"Priest",Gear!$C$4:$C$603,Inputs!$C$5)</f>
        <v/>
      </c>
      <c r="Q42" s="9">
        <f>INDEX('Class Table'!$M$4:$M$53,A42)+SUMIFS(Gear!$I$4:$I$603,Gear!$A$4:$A$603,A42,Gear!$B$4:$B$603,"Priest",Gear!$C$4:$C$603,Inputs!$C$5)</f>
        <v/>
      </c>
      <c r="R42" s="13">
        <f>SUMIFS(Gear!$O$4:$O$603,Gear!$A$4:$A$603,A42,Gear!$B$4:$B$603,"Priest",Gear!$C$4:$C$603,Inputs!$C$5)</f>
        <v/>
      </c>
      <c r="S42" s="26">
        <f>I42+0+G42+A42+MAX(1,A42/2)+(A42-B42)</f>
        <v/>
      </c>
      <c r="T42" s="9">
        <f>MAX(0,S42*(1+M42)*(1+L42)*Inputs!$C$20*(1-D42/Inputs!$C$19)-D42/25)</f>
        <v/>
      </c>
      <c r="U42" s="16">
        <f>H42/10*(1-MIN(0.95,N42+0))*Inputs!$C$21</f>
        <v/>
      </c>
      <c r="V42" s="27">
        <f>T42/U42</f>
        <v/>
      </c>
      <c r="W42" s="27">
        <f>V42</f>
        <v/>
      </c>
      <c r="X42" s="8">
        <f>IFERROR(ROUNDUP(C42/T42,0),"-")</f>
        <v/>
      </c>
      <c r="Y42" s="60">
        <f>IFERROR(C42/W42,"-")</f>
        <v/>
      </c>
      <c r="Z42" s="9">
        <f>MAX(0,(E42+(B42-A42))*(1-R42)*(1-Q42*'Class Table'!$O$8/Inputs!$C$19)-Q42*'Class Table'!$O$8/25)</f>
        <v/>
      </c>
      <c r="AA42" s="26">
        <f>IFERROR(Z42/F42*Y42,"-")</f>
        <v/>
      </c>
      <c r="AB42" s="28">
        <f>IFERROR(AA42/O42,"-")</f>
        <v/>
      </c>
      <c r="AC42" s="9">
        <f>IFERROR(O42*Inputs!$C$24/Inputs!$C$22*Y42,"-")</f>
        <v/>
      </c>
      <c r="AD42" s="28">
        <f>IFERROR(MAX(0,AA42-AC42)/O42,"-")</f>
        <v/>
      </c>
    </row>
    <row r="43">
      <c r="A43" s="8" t="n">
        <v>40</v>
      </c>
      <c r="B43" s="14">
        <f>'Mob by Level'!B43</f>
        <v/>
      </c>
      <c r="C43" s="9">
        <f>'Mob by Level'!C43</f>
        <v/>
      </c>
      <c r="D43" s="9">
        <f>'Mob by Level'!D43</f>
        <v/>
      </c>
      <c r="E43" s="9">
        <f>'Mob by Level'!E43</f>
        <v/>
      </c>
      <c r="F43" s="16">
        <f>'Mob by Level'!F43</f>
        <v/>
      </c>
      <c r="G43" s="14">
        <f>SUMIFS(Gear!$D$4:$D$603,Gear!$A$4:$A$603,A43,Gear!$B$4:$B$603,"Priest",Gear!$C$4:$C$603,Inputs!$C$5)</f>
        <v/>
      </c>
      <c r="H43" s="14">
        <f>SUMIFS(Gear!$E$4:$E$603,Gear!$A$4:$A$603,A43,Gear!$B$4:$B$603,"Priest",Gear!$C$4:$C$603,Inputs!$C$5)</f>
        <v/>
      </c>
      <c r="I43" s="14">
        <f>SUMIFS(Gear!$F$4:$F$603,Gear!$A$4:$A$603,A43,Gear!$B$4:$B$603,"Priest",Gear!$C$4:$C$603,Inputs!$C$5)+IFERROR(LOOKUP(A43,Abilities!$A$49:$A$53,Abilities!$C$49:$C$53),0)</f>
        <v/>
      </c>
      <c r="J43" s="13">
        <f>SUMIFS(Gear!$J$4:$J$603,Gear!$A$4:$A$603,A43,Gear!$B$4:$B$603,"Priest",Gear!$C$4:$C$603,Inputs!$C$5)</f>
        <v/>
      </c>
      <c r="K43" s="13">
        <f>SUMIFS(Gear!$K$4:$K$603,Gear!$A$4:$A$603,A43,Gear!$B$4:$B$603,"Priest",Gear!$C$4:$C$603,Inputs!$C$5)</f>
        <v/>
      </c>
      <c r="L43" s="13">
        <f>SUMIFS(Gear!$L$4:$L$603,Gear!$A$4:$A$603,A43,Gear!$B$4:$B$603,"Priest",Gear!$C$4:$C$603,Inputs!$C$5)</f>
        <v/>
      </c>
      <c r="M43" s="13">
        <f>SUMIFS(Gear!$M$4:$M$603,Gear!$A$4:$A$603,A43,Gear!$B$4:$B$603,"Priest",Gear!$C$4:$C$603,Inputs!$C$5)</f>
        <v/>
      </c>
      <c r="N43" s="13">
        <f>SUMIFS(Gear!$N$4:$N$603,Gear!$A$4:$A$603,A43,Gear!$B$4:$B$603,"Priest",Gear!$C$4:$C$603,Inputs!$C$5)</f>
        <v/>
      </c>
      <c r="O43" s="9">
        <f>INDEX('Class Table'!$K$4:$K$53,A43)+SUMIFS(Gear!$G$4:$G$603,Gear!$A$4:$A$603,A43,Gear!$B$4:$B$603,"Priest",Gear!$C$4:$C$603,Inputs!$C$5)</f>
        <v/>
      </c>
      <c r="P43" s="9">
        <f>INDEX('Class Table'!$L$4:$L$53,A43)+SUMIFS(Gear!$H$4:$H$603,Gear!$A$4:$A$603,A43,Gear!$B$4:$B$603,"Priest",Gear!$C$4:$C$603,Inputs!$C$5)</f>
        <v/>
      </c>
      <c r="Q43" s="9">
        <f>INDEX('Class Table'!$M$4:$M$53,A43)+SUMIFS(Gear!$I$4:$I$603,Gear!$A$4:$A$603,A43,Gear!$B$4:$B$603,"Priest",Gear!$C$4:$C$603,Inputs!$C$5)</f>
        <v/>
      </c>
      <c r="R43" s="13">
        <f>SUMIFS(Gear!$O$4:$O$603,Gear!$A$4:$A$603,A43,Gear!$B$4:$B$603,"Priest",Gear!$C$4:$C$603,Inputs!$C$5)</f>
        <v/>
      </c>
      <c r="S43" s="26">
        <f>I43+0+G43+A43+MAX(1,A43/2)+(A43-B43)</f>
        <v/>
      </c>
      <c r="T43" s="9">
        <f>MAX(0,S43*(1+M43)*(1+L43)*Inputs!$C$20*(1-D43/Inputs!$C$19)-D43/25)</f>
        <v/>
      </c>
      <c r="U43" s="16">
        <f>H43/10*(1-MIN(0.95,N43+0))*Inputs!$C$21</f>
        <v/>
      </c>
      <c r="V43" s="27">
        <f>T43/U43</f>
        <v/>
      </c>
      <c r="W43" s="27">
        <f>V43</f>
        <v/>
      </c>
      <c r="X43" s="8">
        <f>IFERROR(ROUNDUP(C43/T43,0),"-")</f>
        <v/>
      </c>
      <c r="Y43" s="60">
        <f>IFERROR(C43/W43,"-")</f>
        <v/>
      </c>
      <c r="Z43" s="9">
        <f>MAX(0,(E43+(B43-A43))*(1-R43)*(1-Q43*'Class Table'!$O$8/Inputs!$C$19)-Q43*'Class Table'!$O$8/25)</f>
        <v/>
      </c>
      <c r="AA43" s="26">
        <f>IFERROR(Z43/F43*Y43,"-")</f>
        <v/>
      </c>
      <c r="AB43" s="28">
        <f>IFERROR(AA43/O43,"-")</f>
        <v/>
      </c>
      <c r="AC43" s="9">
        <f>IFERROR(O43*Inputs!$C$24/Inputs!$C$22*Y43,"-")</f>
        <v/>
      </c>
      <c r="AD43" s="28">
        <f>IFERROR(MAX(0,AA43-AC43)/O43,"-")</f>
        <v/>
      </c>
    </row>
    <row r="44">
      <c r="A44" s="8" t="n">
        <v>41</v>
      </c>
      <c r="B44" s="14">
        <f>'Mob by Level'!B44</f>
        <v/>
      </c>
      <c r="C44" s="9">
        <f>'Mob by Level'!C44</f>
        <v/>
      </c>
      <c r="D44" s="9">
        <f>'Mob by Level'!D44</f>
        <v/>
      </c>
      <c r="E44" s="9">
        <f>'Mob by Level'!E44</f>
        <v/>
      </c>
      <c r="F44" s="16">
        <f>'Mob by Level'!F44</f>
        <v/>
      </c>
      <c r="G44" s="14">
        <f>SUMIFS(Gear!$D$4:$D$603,Gear!$A$4:$A$603,A44,Gear!$B$4:$B$603,"Priest",Gear!$C$4:$C$603,Inputs!$C$5)</f>
        <v/>
      </c>
      <c r="H44" s="14">
        <f>SUMIFS(Gear!$E$4:$E$603,Gear!$A$4:$A$603,A44,Gear!$B$4:$B$603,"Priest",Gear!$C$4:$C$603,Inputs!$C$5)</f>
        <v/>
      </c>
      <c r="I44" s="14">
        <f>SUMIFS(Gear!$F$4:$F$603,Gear!$A$4:$A$603,A44,Gear!$B$4:$B$603,"Priest",Gear!$C$4:$C$603,Inputs!$C$5)+IFERROR(LOOKUP(A44,Abilities!$A$49:$A$53,Abilities!$C$49:$C$53),0)</f>
        <v/>
      </c>
      <c r="J44" s="13">
        <f>SUMIFS(Gear!$J$4:$J$603,Gear!$A$4:$A$603,A44,Gear!$B$4:$B$603,"Priest",Gear!$C$4:$C$603,Inputs!$C$5)</f>
        <v/>
      </c>
      <c r="K44" s="13">
        <f>SUMIFS(Gear!$K$4:$K$603,Gear!$A$4:$A$603,A44,Gear!$B$4:$B$603,"Priest",Gear!$C$4:$C$603,Inputs!$C$5)</f>
        <v/>
      </c>
      <c r="L44" s="13">
        <f>SUMIFS(Gear!$L$4:$L$603,Gear!$A$4:$A$603,A44,Gear!$B$4:$B$603,"Priest",Gear!$C$4:$C$603,Inputs!$C$5)</f>
        <v/>
      </c>
      <c r="M44" s="13">
        <f>SUMIFS(Gear!$M$4:$M$603,Gear!$A$4:$A$603,A44,Gear!$B$4:$B$603,"Priest",Gear!$C$4:$C$603,Inputs!$C$5)</f>
        <v/>
      </c>
      <c r="N44" s="13">
        <f>SUMIFS(Gear!$N$4:$N$603,Gear!$A$4:$A$603,A44,Gear!$B$4:$B$603,"Priest",Gear!$C$4:$C$603,Inputs!$C$5)</f>
        <v/>
      </c>
      <c r="O44" s="9">
        <f>INDEX('Class Table'!$K$4:$K$53,A44)+SUMIFS(Gear!$G$4:$G$603,Gear!$A$4:$A$603,A44,Gear!$B$4:$B$603,"Priest",Gear!$C$4:$C$603,Inputs!$C$5)</f>
        <v/>
      </c>
      <c r="P44" s="9">
        <f>INDEX('Class Table'!$L$4:$L$53,A44)+SUMIFS(Gear!$H$4:$H$603,Gear!$A$4:$A$603,A44,Gear!$B$4:$B$603,"Priest",Gear!$C$4:$C$603,Inputs!$C$5)</f>
        <v/>
      </c>
      <c r="Q44" s="9">
        <f>INDEX('Class Table'!$M$4:$M$53,A44)+SUMIFS(Gear!$I$4:$I$603,Gear!$A$4:$A$603,A44,Gear!$B$4:$B$603,"Priest",Gear!$C$4:$C$603,Inputs!$C$5)</f>
        <v/>
      </c>
      <c r="R44" s="13">
        <f>SUMIFS(Gear!$O$4:$O$603,Gear!$A$4:$A$603,A44,Gear!$B$4:$B$603,"Priest",Gear!$C$4:$C$603,Inputs!$C$5)</f>
        <v/>
      </c>
      <c r="S44" s="26">
        <f>I44+0+G44+A44+MAX(1,A44/2)+(A44-B44)</f>
        <v/>
      </c>
      <c r="T44" s="9">
        <f>MAX(0,S44*(1+M44)*(1+L44)*Inputs!$C$20*(1-D44/Inputs!$C$19)-D44/25)</f>
        <v/>
      </c>
      <c r="U44" s="16">
        <f>H44/10*(1-MIN(0.95,N44+0))*Inputs!$C$21</f>
        <v/>
      </c>
      <c r="V44" s="27">
        <f>T44/U44</f>
        <v/>
      </c>
      <c r="W44" s="27">
        <f>V44</f>
        <v/>
      </c>
      <c r="X44" s="8">
        <f>IFERROR(ROUNDUP(C44/T44,0),"-")</f>
        <v/>
      </c>
      <c r="Y44" s="60">
        <f>IFERROR(C44/W44,"-")</f>
        <v/>
      </c>
      <c r="Z44" s="9">
        <f>MAX(0,(E44+(B44-A44))*(1-R44)*(1-Q44*'Class Table'!$O$8/Inputs!$C$19)-Q44*'Class Table'!$O$8/25)</f>
        <v/>
      </c>
      <c r="AA44" s="26">
        <f>IFERROR(Z44/F44*Y44,"-")</f>
        <v/>
      </c>
      <c r="AB44" s="28">
        <f>IFERROR(AA44/O44,"-")</f>
        <v/>
      </c>
      <c r="AC44" s="9">
        <f>IFERROR(O44*Inputs!$C$24/Inputs!$C$22*Y44,"-")</f>
        <v/>
      </c>
      <c r="AD44" s="28">
        <f>IFERROR(MAX(0,AA44-AC44)/O44,"-")</f>
        <v/>
      </c>
    </row>
    <row r="45">
      <c r="A45" s="8" t="n">
        <v>42</v>
      </c>
      <c r="B45" s="14">
        <f>'Mob by Level'!B45</f>
        <v/>
      </c>
      <c r="C45" s="9">
        <f>'Mob by Level'!C45</f>
        <v/>
      </c>
      <c r="D45" s="9">
        <f>'Mob by Level'!D45</f>
        <v/>
      </c>
      <c r="E45" s="9">
        <f>'Mob by Level'!E45</f>
        <v/>
      </c>
      <c r="F45" s="16">
        <f>'Mob by Level'!F45</f>
        <v/>
      </c>
      <c r="G45" s="14">
        <f>SUMIFS(Gear!$D$4:$D$603,Gear!$A$4:$A$603,A45,Gear!$B$4:$B$603,"Priest",Gear!$C$4:$C$603,Inputs!$C$5)</f>
        <v/>
      </c>
      <c r="H45" s="14">
        <f>SUMIFS(Gear!$E$4:$E$603,Gear!$A$4:$A$603,A45,Gear!$B$4:$B$603,"Priest",Gear!$C$4:$C$603,Inputs!$C$5)</f>
        <v/>
      </c>
      <c r="I45" s="14">
        <f>SUMIFS(Gear!$F$4:$F$603,Gear!$A$4:$A$603,A45,Gear!$B$4:$B$603,"Priest",Gear!$C$4:$C$603,Inputs!$C$5)+IFERROR(LOOKUP(A45,Abilities!$A$49:$A$53,Abilities!$C$49:$C$53),0)</f>
        <v/>
      </c>
      <c r="J45" s="13">
        <f>SUMIFS(Gear!$J$4:$J$603,Gear!$A$4:$A$603,A45,Gear!$B$4:$B$603,"Priest",Gear!$C$4:$C$603,Inputs!$C$5)</f>
        <v/>
      </c>
      <c r="K45" s="13">
        <f>SUMIFS(Gear!$K$4:$K$603,Gear!$A$4:$A$603,A45,Gear!$B$4:$B$603,"Priest",Gear!$C$4:$C$603,Inputs!$C$5)</f>
        <v/>
      </c>
      <c r="L45" s="13">
        <f>SUMIFS(Gear!$L$4:$L$603,Gear!$A$4:$A$603,A45,Gear!$B$4:$B$603,"Priest",Gear!$C$4:$C$603,Inputs!$C$5)</f>
        <v/>
      </c>
      <c r="M45" s="13">
        <f>SUMIFS(Gear!$M$4:$M$603,Gear!$A$4:$A$603,A45,Gear!$B$4:$B$603,"Priest",Gear!$C$4:$C$603,Inputs!$C$5)</f>
        <v/>
      </c>
      <c r="N45" s="13">
        <f>SUMIFS(Gear!$N$4:$N$603,Gear!$A$4:$A$603,A45,Gear!$B$4:$B$603,"Priest",Gear!$C$4:$C$603,Inputs!$C$5)</f>
        <v/>
      </c>
      <c r="O45" s="9">
        <f>INDEX('Class Table'!$K$4:$K$53,A45)+SUMIFS(Gear!$G$4:$G$603,Gear!$A$4:$A$603,A45,Gear!$B$4:$B$603,"Priest",Gear!$C$4:$C$603,Inputs!$C$5)</f>
        <v/>
      </c>
      <c r="P45" s="9">
        <f>INDEX('Class Table'!$L$4:$L$53,A45)+SUMIFS(Gear!$H$4:$H$603,Gear!$A$4:$A$603,A45,Gear!$B$4:$B$603,"Priest",Gear!$C$4:$C$603,Inputs!$C$5)</f>
        <v/>
      </c>
      <c r="Q45" s="9">
        <f>INDEX('Class Table'!$M$4:$M$53,A45)+SUMIFS(Gear!$I$4:$I$603,Gear!$A$4:$A$603,A45,Gear!$B$4:$B$603,"Priest",Gear!$C$4:$C$603,Inputs!$C$5)</f>
        <v/>
      </c>
      <c r="R45" s="13">
        <f>SUMIFS(Gear!$O$4:$O$603,Gear!$A$4:$A$603,A45,Gear!$B$4:$B$603,"Priest",Gear!$C$4:$C$603,Inputs!$C$5)</f>
        <v/>
      </c>
      <c r="S45" s="26">
        <f>I45+0+G45+A45+MAX(1,A45/2)+(A45-B45)</f>
        <v/>
      </c>
      <c r="T45" s="9">
        <f>MAX(0,S45*(1+M45)*(1+L45)*Inputs!$C$20*(1-D45/Inputs!$C$19)-D45/25)</f>
        <v/>
      </c>
      <c r="U45" s="16">
        <f>H45/10*(1-MIN(0.95,N45+0))*Inputs!$C$21</f>
        <v/>
      </c>
      <c r="V45" s="27">
        <f>T45/U45</f>
        <v/>
      </c>
      <c r="W45" s="27">
        <f>V45</f>
        <v/>
      </c>
      <c r="X45" s="8">
        <f>IFERROR(ROUNDUP(C45/T45,0),"-")</f>
        <v/>
      </c>
      <c r="Y45" s="60">
        <f>IFERROR(C45/W45,"-")</f>
        <v/>
      </c>
      <c r="Z45" s="9">
        <f>MAX(0,(E45+(B45-A45))*(1-R45)*(1-Q45*'Class Table'!$O$8/Inputs!$C$19)-Q45*'Class Table'!$O$8/25)</f>
        <v/>
      </c>
      <c r="AA45" s="26">
        <f>IFERROR(Z45/F45*Y45,"-")</f>
        <v/>
      </c>
      <c r="AB45" s="28">
        <f>IFERROR(AA45/O45,"-")</f>
        <v/>
      </c>
      <c r="AC45" s="9">
        <f>IFERROR(O45*Inputs!$C$24/Inputs!$C$22*Y45,"-")</f>
        <v/>
      </c>
      <c r="AD45" s="28">
        <f>IFERROR(MAX(0,AA45-AC45)/O45,"-")</f>
        <v/>
      </c>
    </row>
    <row r="46">
      <c r="A46" s="8" t="n">
        <v>43</v>
      </c>
      <c r="B46" s="14">
        <f>'Mob by Level'!B46</f>
        <v/>
      </c>
      <c r="C46" s="9">
        <f>'Mob by Level'!C46</f>
        <v/>
      </c>
      <c r="D46" s="9">
        <f>'Mob by Level'!D46</f>
        <v/>
      </c>
      <c r="E46" s="9">
        <f>'Mob by Level'!E46</f>
        <v/>
      </c>
      <c r="F46" s="16">
        <f>'Mob by Level'!F46</f>
        <v/>
      </c>
      <c r="G46" s="14">
        <f>SUMIFS(Gear!$D$4:$D$603,Gear!$A$4:$A$603,A46,Gear!$B$4:$B$603,"Priest",Gear!$C$4:$C$603,Inputs!$C$5)</f>
        <v/>
      </c>
      <c r="H46" s="14">
        <f>SUMIFS(Gear!$E$4:$E$603,Gear!$A$4:$A$603,A46,Gear!$B$4:$B$603,"Priest",Gear!$C$4:$C$603,Inputs!$C$5)</f>
        <v/>
      </c>
      <c r="I46" s="14">
        <f>SUMIFS(Gear!$F$4:$F$603,Gear!$A$4:$A$603,A46,Gear!$B$4:$B$603,"Priest",Gear!$C$4:$C$603,Inputs!$C$5)+IFERROR(LOOKUP(A46,Abilities!$A$49:$A$53,Abilities!$C$49:$C$53),0)</f>
        <v/>
      </c>
      <c r="J46" s="13">
        <f>SUMIFS(Gear!$J$4:$J$603,Gear!$A$4:$A$603,A46,Gear!$B$4:$B$603,"Priest",Gear!$C$4:$C$603,Inputs!$C$5)</f>
        <v/>
      </c>
      <c r="K46" s="13">
        <f>SUMIFS(Gear!$K$4:$K$603,Gear!$A$4:$A$603,A46,Gear!$B$4:$B$603,"Priest",Gear!$C$4:$C$603,Inputs!$C$5)</f>
        <v/>
      </c>
      <c r="L46" s="13">
        <f>SUMIFS(Gear!$L$4:$L$603,Gear!$A$4:$A$603,A46,Gear!$B$4:$B$603,"Priest",Gear!$C$4:$C$603,Inputs!$C$5)</f>
        <v/>
      </c>
      <c r="M46" s="13">
        <f>SUMIFS(Gear!$M$4:$M$603,Gear!$A$4:$A$603,A46,Gear!$B$4:$B$603,"Priest",Gear!$C$4:$C$603,Inputs!$C$5)</f>
        <v/>
      </c>
      <c r="N46" s="13">
        <f>SUMIFS(Gear!$N$4:$N$603,Gear!$A$4:$A$603,A46,Gear!$B$4:$B$603,"Priest",Gear!$C$4:$C$603,Inputs!$C$5)</f>
        <v/>
      </c>
      <c r="O46" s="9">
        <f>INDEX('Class Table'!$K$4:$K$53,A46)+SUMIFS(Gear!$G$4:$G$603,Gear!$A$4:$A$603,A46,Gear!$B$4:$B$603,"Priest",Gear!$C$4:$C$603,Inputs!$C$5)</f>
        <v/>
      </c>
      <c r="P46" s="9">
        <f>INDEX('Class Table'!$L$4:$L$53,A46)+SUMIFS(Gear!$H$4:$H$603,Gear!$A$4:$A$603,A46,Gear!$B$4:$B$603,"Priest",Gear!$C$4:$C$603,Inputs!$C$5)</f>
        <v/>
      </c>
      <c r="Q46" s="9">
        <f>INDEX('Class Table'!$M$4:$M$53,A46)+SUMIFS(Gear!$I$4:$I$603,Gear!$A$4:$A$603,A46,Gear!$B$4:$B$603,"Priest",Gear!$C$4:$C$603,Inputs!$C$5)</f>
        <v/>
      </c>
      <c r="R46" s="13">
        <f>SUMIFS(Gear!$O$4:$O$603,Gear!$A$4:$A$603,A46,Gear!$B$4:$B$603,"Priest",Gear!$C$4:$C$603,Inputs!$C$5)</f>
        <v/>
      </c>
      <c r="S46" s="26">
        <f>I46+0+G46+A46+MAX(1,A46/2)+(A46-B46)</f>
        <v/>
      </c>
      <c r="T46" s="9">
        <f>MAX(0,S46*(1+M46)*(1+L46)*Inputs!$C$20*(1-D46/Inputs!$C$19)-D46/25)</f>
        <v/>
      </c>
      <c r="U46" s="16">
        <f>H46/10*(1-MIN(0.95,N46+0))*Inputs!$C$21</f>
        <v/>
      </c>
      <c r="V46" s="27">
        <f>T46/U46</f>
        <v/>
      </c>
      <c r="W46" s="27">
        <f>V46</f>
        <v/>
      </c>
      <c r="X46" s="8">
        <f>IFERROR(ROUNDUP(C46/T46,0),"-")</f>
        <v/>
      </c>
      <c r="Y46" s="60">
        <f>IFERROR(C46/W46,"-")</f>
        <v/>
      </c>
      <c r="Z46" s="9">
        <f>MAX(0,(E46+(B46-A46))*(1-R46)*(1-Q46*'Class Table'!$O$8/Inputs!$C$19)-Q46*'Class Table'!$O$8/25)</f>
        <v/>
      </c>
      <c r="AA46" s="26">
        <f>IFERROR(Z46/F46*Y46,"-")</f>
        <v/>
      </c>
      <c r="AB46" s="28">
        <f>IFERROR(AA46/O46,"-")</f>
        <v/>
      </c>
      <c r="AC46" s="9">
        <f>IFERROR(O46*Inputs!$C$24/Inputs!$C$22*Y46,"-")</f>
        <v/>
      </c>
      <c r="AD46" s="28">
        <f>IFERROR(MAX(0,AA46-AC46)/O46,"-")</f>
        <v/>
      </c>
    </row>
    <row r="47">
      <c r="A47" s="8" t="n">
        <v>44</v>
      </c>
      <c r="B47" s="14">
        <f>'Mob by Level'!B47</f>
        <v/>
      </c>
      <c r="C47" s="9">
        <f>'Mob by Level'!C47</f>
        <v/>
      </c>
      <c r="D47" s="9">
        <f>'Mob by Level'!D47</f>
        <v/>
      </c>
      <c r="E47" s="9">
        <f>'Mob by Level'!E47</f>
        <v/>
      </c>
      <c r="F47" s="16">
        <f>'Mob by Level'!F47</f>
        <v/>
      </c>
      <c r="G47" s="14">
        <f>SUMIFS(Gear!$D$4:$D$603,Gear!$A$4:$A$603,A47,Gear!$B$4:$B$603,"Priest",Gear!$C$4:$C$603,Inputs!$C$5)</f>
        <v/>
      </c>
      <c r="H47" s="14">
        <f>SUMIFS(Gear!$E$4:$E$603,Gear!$A$4:$A$603,A47,Gear!$B$4:$B$603,"Priest",Gear!$C$4:$C$603,Inputs!$C$5)</f>
        <v/>
      </c>
      <c r="I47" s="14">
        <f>SUMIFS(Gear!$F$4:$F$603,Gear!$A$4:$A$603,A47,Gear!$B$4:$B$603,"Priest",Gear!$C$4:$C$603,Inputs!$C$5)+IFERROR(LOOKUP(A47,Abilities!$A$49:$A$53,Abilities!$C$49:$C$53),0)</f>
        <v/>
      </c>
      <c r="J47" s="13">
        <f>SUMIFS(Gear!$J$4:$J$603,Gear!$A$4:$A$603,A47,Gear!$B$4:$B$603,"Priest",Gear!$C$4:$C$603,Inputs!$C$5)</f>
        <v/>
      </c>
      <c r="K47" s="13">
        <f>SUMIFS(Gear!$K$4:$K$603,Gear!$A$4:$A$603,A47,Gear!$B$4:$B$603,"Priest",Gear!$C$4:$C$603,Inputs!$C$5)</f>
        <v/>
      </c>
      <c r="L47" s="13">
        <f>SUMIFS(Gear!$L$4:$L$603,Gear!$A$4:$A$603,A47,Gear!$B$4:$B$603,"Priest",Gear!$C$4:$C$603,Inputs!$C$5)</f>
        <v/>
      </c>
      <c r="M47" s="13">
        <f>SUMIFS(Gear!$M$4:$M$603,Gear!$A$4:$A$603,A47,Gear!$B$4:$B$603,"Priest",Gear!$C$4:$C$603,Inputs!$C$5)</f>
        <v/>
      </c>
      <c r="N47" s="13">
        <f>SUMIFS(Gear!$N$4:$N$603,Gear!$A$4:$A$603,A47,Gear!$B$4:$B$603,"Priest",Gear!$C$4:$C$603,Inputs!$C$5)</f>
        <v/>
      </c>
      <c r="O47" s="9">
        <f>INDEX('Class Table'!$K$4:$K$53,A47)+SUMIFS(Gear!$G$4:$G$603,Gear!$A$4:$A$603,A47,Gear!$B$4:$B$603,"Priest",Gear!$C$4:$C$603,Inputs!$C$5)</f>
        <v/>
      </c>
      <c r="P47" s="9">
        <f>INDEX('Class Table'!$L$4:$L$53,A47)+SUMIFS(Gear!$H$4:$H$603,Gear!$A$4:$A$603,A47,Gear!$B$4:$B$603,"Priest",Gear!$C$4:$C$603,Inputs!$C$5)</f>
        <v/>
      </c>
      <c r="Q47" s="9">
        <f>INDEX('Class Table'!$M$4:$M$53,A47)+SUMIFS(Gear!$I$4:$I$603,Gear!$A$4:$A$603,A47,Gear!$B$4:$B$603,"Priest",Gear!$C$4:$C$603,Inputs!$C$5)</f>
        <v/>
      </c>
      <c r="R47" s="13">
        <f>SUMIFS(Gear!$O$4:$O$603,Gear!$A$4:$A$603,A47,Gear!$B$4:$B$603,"Priest",Gear!$C$4:$C$603,Inputs!$C$5)</f>
        <v/>
      </c>
      <c r="S47" s="26">
        <f>I47+0+G47+A47+MAX(1,A47/2)+(A47-B47)</f>
        <v/>
      </c>
      <c r="T47" s="9">
        <f>MAX(0,S47*(1+M47)*(1+L47)*Inputs!$C$20*(1-D47/Inputs!$C$19)-D47/25)</f>
        <v/>
      </c>
      <c r="U47" s="16">
        <f>H47/10*(1-MIN(0.95,N47+0))*Inputs!$C$21</f>
        <v/>
      </c>
      <c r="V47" s="27">
        <f>T47/U47</f>
        <v/>
      </c>
      <c r="W47" s="27">
        <f>V47</f>
        <v/>
      </c>
      <c r="X47" s="8">
        <f>IFERROR(ROUNDUP(C47/T47,0),"-")</f>
        <v/>
      </c>
      <c r="Y47" s="60">
        <f>IFERROR(C47/W47,"-")</f>
        <v/>
      </c>
      <c r="Z47" s="9">
        <f>MAX(0,(E47+(B47-A47))*(1-R47)*(1-Q47*'Class Table'!$O$8/Inputs!$C$19)-Q47*'Class Table'!$O$8/25)</f>
        <v/>
      </c>
      <c r="AA47" s="26">
        <f>IFERROR(Z47/F47*Y47,"-")</f>
        <v/>
      </c>
      <c r="AB47" s="28">
        <f>IFERROR(AA47/O47,"-")</f>
        <v/>
      </c>
      <c r="AC47" s="9">
        <f>IFERROR(O47*Inputs!$C$24/Inputs!$C$22*Y47,"-")</f>
        <v/>
      </c>
      <c r="AD47" s="28">
        <f>IFERROR(MAX(0,AA47-AC47)/O47,"-")</f>
        <v/>
      </c>
    </row>
    <row r="48">
      <c r="A48" s="8" t="n">
        <v>45</v>
      </c>
      <c r="B48" s="14">
        <f>'Mob by Level'!B48</f>
        <v/>
      </c>
      <c r="C48" s="9">
        <f>'Mob by Level'!C48</f>
        <v/>
      </c>
      <c r="D48" s="9">
        <f>'Mob by Level'!D48</f>
        <v/>
      </c>
      <c r="E48" s="9">
        <f>'Mob by Level'!E48</f>
        <v/>
      </c>
      <c r="F48" s="16">
        <f>'Mob by Level'!F48</f>
        <v/>
      </c>
      <c r="G48" s="14">
        <f>SUMIFS(Gear!$D$4:$D$603,Gear!$A$4:$A$603,A48,Gear!$B$4:$B$603,"Priest",Gear!$C$4:$C$603,Inputs!$C$5)</f>
        <v/>
      </c>
      <c r="H48" s="14">
        <f>SUMIFS(Gear!$E$4:$E$603,Gear!$A$4:$A$603,A48,Gear!$B$4:$B$603,"Priest",Gear!$C$4:$C$603,Inputs!$C$5)</f>
        <v/>
      </c>
      <c r="I48" s="14">
        <f>SUMIFS(Gear!$F$4:$F$603,Gear!$A$4:$A$603,A48,Gear!$B$4:$B$603,"Priest",Gear!$C$4:$C$603,Inputs!$C$5)+IFERROR(LOOKUP(A48,Abilities!$A$49:$A$53,Abilities!$C$49:$C$53),0)</f>
        <v/>
      </c>
      <c r="J48" s="13">
        <f>SUMIFS(Gear!$J$4:$J$603,Gear!$A$4:$A$603,A48,Gear!$B$4:$B$603,"Priest",Gear!$C$4:$C$603,Inputs!$C$5)</f>
        <v/>
      </c>
      <c r="K48" s="13">
        <f>SUMIFS(Gear!$K$4:$K$603,Gear!$A$4:$A$603,A48,Gear!$B$4:$B$603,"Priest",Gear!$C$4:$C$603,Inputs!$C$5)</f>
        <v/>
      </c>
      <c r="L48" s="13">
        <f>SUMIFS(Gear!$L$4:$L$603,Gear!$A$4:$A$603,A48,Gear!$B$4:$B$603,"Priest",Gear!$C$4:$C$603,Inputs!$C$5)</f>
        <v/>
      </c>
      <c r="M48" s="13">
        <f>SUMIFS(Gear!$M$4:$M$603,Gear!$A$4:$A$603,A48,Gear!$B$4:$B$603,"Priest",Gear!$C$4:$C$603,Inputs!$C$5)</f>
        <v/>
      </c>
      <c r="N48" s="13">
        <f>SUMIFS(Gear!$N$4:$N$603,Gear!$A$4:$A$603,A48,Gear!$B$4:$B$603,"Priest",Gear!$C$4:$C$603,Inputs!$C$5)</f>
        <v/>
      </c>
      <c r="O48" s="9">
        <f>INDEX('Class Table'!$K$4:$K$53,A48)+SUMIFS(Gear!$G$4:$G$603,Gear!$A$4:$A$603,A48,Gear!$B$4:$B$603,"Priest",Gear!$C$4:$C$603,Inputs!$C$5)</f>
        <v/>
      </c>
      <c r="P48" s="9">
        <f>INDEX('Class Table'!$L$4:$L$53,A48)+SUMIFS(Gear!$H$4:$H$603,Gear!$A$4:$A$603,A48,Gear!$B$4:$B$603,"Priest",Gear!$C$4:$C$603,Inputs!$C$5)</f>
        <v/>
      </c>
      <c r="Q48" s="9">
        <f>INDEX('Class Table'!$M$4:$M$53,A48)+SUMIFS(Gear!$I$4:$I$603,Gear!$A$4:$A$603,A48,Gear!$B$4:$B$603,"Priest",Gear!$C$4:$C$603,Inputs!$C$5)</f>
        <v/>
      </c>
      <c r="R48" s="13">
        <f>SUMIFS(Gear!$O$4:$O$603,Gear!$A$4:$A$603,A48,Gear!$B$4:$B$603,"Priest",Gear!$C$4:$C$603,Inputs!$C$5)</f>
        <v/>
      </c>
      <c r="S48" s="26">
        <f>I48+0+G48+A48+MAX(1,A48/2)+(A48-B48)</f>
        <v/>
      </c>
      <c r="T48" s="9">
        <f>MAX(0,S48*(1+M48)*(1+L48)*Inputs!$C$20*(1-D48/Inputs!$C$19)-D48/25)</f>
        <v/>
      </c>
      <c r="U48" s="16">
        <f>H48/10*(1-MIN(0.95,N48+0))*Inputs!$C$21</f>
        <v/>
      </c>
      <c r="V48" s="27">
        <f>T48/U48</f>
        <v/>
      </c>
      <c r="W48" s="27">
        <f>V48</f>
        <v/>
      </c>
      <c r="X48" s="8">
        <f>IFERROR(ROUNDUP(C48/T48,0),"-")</f>
        <v/>
      </c>
      <c r="Y48" s="60">
        <f>IFERROR(C48/W48,"-")</f>
        <v/>
      </c>
      <c r="Z48" s="9">
        <f>MAX(0,(E48+(B48-A48))*(1-R48)*(1-Q48*'Class Table'!$O$8/Inputs!$C$19)-Q48*'Class Table'!$O$8/25)</f>
        <v/>
      </c>
      <c r="AA48" s="26">
        <f>IFERROR(Z48/F48*Y48,"-")</f>
        <v/>
      </c>
      <c r="AB48" s="28">
        <f>IFERROR(AA48/O48,"-")</f>
        <v/>
      </c>
      <c r="AC48" s="9">
        <f>IFERROR(O48*Inputs!$C$24/Inputs!$C$22*Y48,"-")</f>
        <v/>
      </c>
      <c r="AD48" s="28">
        <f>IFERROR(MAX(0,AA48-AC48)/O48,"-")</f>
        <v/>
      </c>
    </row>
    <row r="49">
      <c r="A49" s="8" t="n">
        <v>46</v>
      </c>
      <c r="B49" s="14">
        <f>'Mob by Level'!B49</f>
        <v/>
      </c>
      <c r="C49" s="9">
        <f>'Mob by Level'!C49</f>
        <v/>
      </c>
      <c r="D49" s="9">
        <f>'Mob by Level'!D49</f>
        <v/>
      </c>
      <c r="E49" s="9">
        <f>'Mob by Level'!E49</f>
        <v/>
      </c>
      <c r="F49" s="16">
        <f>'Mob by Level'!F49</f>
        <v/>
      </c>
      <c r="G49" s="14">
        <f>SUMIFS(Gear!$D$4:$D$603,Gear!$A$4:$A$603,A49,Gear!$B$4:$B$603,"Priest",Gear!$C$4:$C$603,Inputs!$C$5)</f>
        <v/>
      </c>
      <c r="H49" s="14">
        <f>SUMIFS(Gear!$E$4:$E$603,Gear!$A$4:$A$603,A49,Gear!$B$4:$B$603,"Priest",Gear!$C$4:$C$603,Inputs!$C$5)</f>
        <v/>
      </c>
      <c r="I49" s="14">
        <f>SUMIFS(Gear!$F$4:$F$603,Gear!$A$4:$A$603,A49,Gear!$B$4:$B$603,"Priest",Gear!$C$4:$C$603,Inputs!$C$5)+IFERROR(LOOKUP(A49,Abilities!$A$49:$A$53,Abilities!$C$49:$C$53),0)</f>
        <v/>
      </c>
      <c r="J49" s="13">
        <f>SUMIFS(Gear!$J$4:$J$603,Gear!$A$4:$A$603,A49,Gear!$B$4:$B$603,"Priest",Gear!$C$4:$C$603,Inputs!$C$5)</f>
        <v/>
      </c>
      <c r="K49" s="13">
        <f>SUMIFS(Gear!$K$4:$K$603,Gear!$A$4:$A$603,A49,Gear!$B$4:$B$603,"Priest",Gear!$C$4:$C$603,Inputs!$C$5)</f>
        <v/>
      </c>
      <c r="L49" s="13">
        <f>SUMIFS(Gear!$L$4:$L$603,Gear!$A$4:$A$603,A49,Gear!$B$4:$B$603,"Priest",Gear!$C$4:$C$603,Inputs!$C$5)</f>
        <v/>
      </c>
      <c r="M49" s="13">
        <f>SUMIFS(Gear!$M$4:$M$603,Gear!$A$4:$A$603,A49,Gear!$B$4:$B$603,"Priest",Gear!$C$4:$C$603,Inputs!$C$5)</f>
        <v/>
      </c>
      <c r="N49" s="13">
        <f>SUMIFS(Gear!$N$4:$N$603,Gear!$A$4:$A$603,A49,Gear!$B$4:$B$603,"Priest",Gear!$C$4:$C$603,Inputs!$C$5)</f>
        <v/>
      </c>
      <c r="O49" s="9">
        <f>INDEX('Class Table'!$K$4:$K$53,A49)+SUMIFS(Gear!$G$4:$G$603,Gear!$A$4:$A$603,A49,Gear!$B$4:$B$603,"Priest",Gear!$C$4:$C$603,Inputs!$C$5)</f>
        <v/>
      </c>
      <c r="P49" s="9">
        <f>INDEX('Class Table'!$L$4:$L$53,A49)+SUMIFS(Gear!$H$4:$H$603,Gear!$A$4:$A$603,A49,Gear!$B$4:$B$603,"Priest",Gear!$C$4:$C$603,Inputs!$C$5)</f>
        <v/>
      </c>
      <c r="Q49" s="9">
        <f>INDEX('Class Table'!$M$4:$M$53,A49)+SUMIFS(Gear!$I$4:$I$603,Gear!$A$4:$A$603,A49,Gear!$B$4:$B$603,"Priest",Gear!$C$4:$C$603,Inputs!$C$5)</f>
        <v/>
      </c>
      <c r="R49" s="13">
        <f>SUMIFS(Gear!$O$4:$O$603,Gear!$A$4:$A$603,A49,Gear!$B$4:$B$603,"Priest",Gear!$C$4:$C$603,Inputs!$C$5)</f>
        <v/>
      </c>
      <c r="S49" s="26">
        <f>I49+0+G49+A49+MAX(1,A49/2)+(A49-B49)</f>
        <v/>
      </c>
      <c r="T49" s="9">
        <f>MAX(0,S49*(1+M49)*(1+L49)*Inputs!$C$20*(1-D49/Inputs!$C$19)-D49/25)</f>
        <v/>
      </c>
      <c r="U49" s="16">
        <f>H49/10*(1-MIN(0.95,N49+0))*Inputs!$C$21</f>
        <v/>
      </c>
      <c r="V49" s="27">
        <f>T49/U49</f>
        <v/>
      </c>
      <c r="W49" s="27">
        <f>V49</f>
        <v/>
      </c>
      <c r="X49" s="8">
        <f>IFERROR(ROUNDUP(C49/T49,0),"-")</f>
        <v/>
      </c>
      <c r="Y49" s="60">
        <f>IFERROR(C49/W49,"-")</f>
        <v/>
      </c>
      <c r="Z49" s="9">
        <f>MAX(0,(E49+(B49-A49))*(1-R49)*(1-Q49*'Class Table'!$O$8/Inputs!$C$19)-Q49*'Class Table'!$O$8/25)</f>
        <v/>
      </c>
      <c r="AA49" s="26">
        <f>IFERROR(Z49/F49*Y49,"-")</f>
        <v/>
      </c>
      <c r="AB49" s="28">
        <f>IFERROR(AA49/O49,"-")</f>
        <v/>
      </c>
      <c r="AC49" s="9">
        <f>IFERROR(O49*Inputs!$C$24/Inputs!$C$22*Y49,"-")</f>
        <v/>
      </c>
      <c r="AD49" s="28">
        <f>IFERROR(MAX(0,AA49-AC49)/O49,"-")</f>
        <v/>
      </c>
    </row>
    <row r="50">
      <c r="A50" s="8" t="n">
        <v>47</v>
      </c>
      <c r="B50" s="14">
        <f>'Mob by Level'!B50</f>
        <v/>
      </c>
      <c r="C50" s="9">
        <f>'Mob by Level'!C50</f>
        <v/>
      </c>
      <c r="D50" s="9">
        <f>'Mob by Level'!D50</f>
        <v/>
      </c>
      <c r="E50" s="9">
        <f>'Mob by Level'!E50</f>
        <v/>
      </c>
      <c r="F50" s="16">
        <f>'Mob by Level'!F50</f>
        <v/>
      </c>
      <c r="G50" s="14">
        <f>SUMIFS(Gear!$D$4:$D$603,Gear!$A$4:$A$603,A50,Gear!$B$4:$B$603,"Priest",Gear!$C$4:$C$603,Inputs!$C$5)</f>
        <v/>
      </c>
      <c r="H50" s="14">
        <f>SUMIFS(Gear!$E$4:$E$603,Gear!$A$4:$A$603,A50,Gear!$B$4:$B$603,"Priest",Gear!$C$4:$C$603,Inputs!$C$5)</f>
        <v/>
      </c>
      <c r="I50" s="14">
        <f>SUMIFS(Gear!$F$4:$F$603,Gear!$A$4:$A$603,A50,Gear!$B$4:$B$603,"Priest",Gear!$C$4:$C$603,Inputs!$C$5)+IFERROR(LOOKUP(A50,Abilities!$A$49:$A$53,Abilities!$C$49:$C$53),0)</f>
        <v/>
      </c>
      <c r="J50" s="13">
        <f>SUMIFS(Gear!$J$4:$J$603,Gear!$A$4:$A$603,A50,Gear!$B$4:$B$603,"Priest",Gear!$C$4:$C$603,Inputs!$C$5)</f>
        <v/>
      </c>
      <c r="K50" s="13">
        <f>SUMIFS(Gear!$K$4:$K$603,Gear!$A$4:$A$603,A50,Gear!$B$4:$B$603,"Priest",Gear!$C$4:$C$603,Inputs!$C$5)</f>
        <v/>
      </c>
      <c r="L50" s="13">
        <f>SUMIFS(Gear!$L$4:$L$603,Gear!$A$4:$A$603,A50,Gear!$B$4:$B$603,"Priest",Gear!$C$4:$C$603,Inputs!$C$5)</f>
        <v/>
      </c>
      <c r="M50" s="13">
        <f>SUMIFS(Gear!$M$4:$M$603,Gear!$A$4:$A$603,A50,Gear!$B$4:$B$603,"Priest",Gear!$C$4:$C$603,Inputs!$C$5)</f>
        <v/>
      </c>
      <c r="N50" s="13">
        <f>SUMIFS(Gear!$N$4:$N$603,Gear!$A$4:$A$603,A50,Gear!$B$4:$B$603,"Priest",Gear!$C$4:$C$603,Inputs!$C$5)</f>
        <v/>
      </c>
      <c r="O50" s="9">
        <f>INDEX('Class Table'!$K$4:$K$53,A50)+SUMIFS(Gear!$G$4:$G$603,Gear!$A$4:$A$603,A50,Gear!$B$4:$B$603,"Priest",Gear!$C$4:$C$603,Inputs!$C$5)</f>
        <v/>
      </c>
      <c r="P50" s="9">
        <f>INDEX('Class Table'!$L$4:$L$53,A50)+SUMIFS(Gear!$H$4:$H$603,Gear!$A$4:$A$603,A50,Gear!$B$4:$B$603,"Priest",Gear!$C$4:$C$603,Inputs!$C$5)</f>
        <v/>
      </c>
      <c r="Q50" s="9">
        <f>INDEX('Class Table'!$M$4:$M$53,A50)+SUMIFS(Gear!$I$4:$I$603,Gear!$A$4:$A$603,A50,Gear!$B$4:$B$603,"Priest",Gear!$C$4:$C$603,Inputs!$C$5)</f>
        <v/>
      </c>
      <c r="R50" s="13">
        <f>SUMIFS(Gear!$O$4:$O$603,Gear!$A$4:$A$603,A50,Gear!$B$4:$B$603,"Priest",Gear!$C$4:$C$603,Inputs!$C$5)</f>
        <v/>
      </c>
      <c r="S50" s="26">
        <f>I50+0+G50+A50+MAX(1,A50/2)+(A50-B50)</f>
        <v/>
      </c>
      <c r="T50" s="9">
        <f>MAX(0,S50*(1+M50)*(1+L50)*Inputs!$C$20*(1-D50/Inputs!$C$19)-D50/25)</f>
        <v/>
      </c>
      <c r="U50" s="16">
        <f>H50/10*(1-MIN(0.95,N50+0))*Inputs!$C$21</f>
        <v/>
      </c>
      <c r="V50" s="27">
        <f>T50/U50</f>
        <v/>
      </c>
      <c r="W50" s="27">
        <f>V50</f>
        <v/>
      </c>
      <c r="X50" s="8">
        <f>IFERROR(ROUNDUP(C50/T50,0),"-")</f>
        <v/>
      </c>
      <c r="Y50" s="60">
        <f>IFERROR(C50/W50,"-")</f>
        <v/>
      </c>
      <c r="Z50" s="9">
        <f>MAX(0,(E50+(B50-A50))*(1-R50)*(1-Q50*'Class Table'!$O$8/Inputs!$C$19)-Q50*'Class Table'!$O$8/25)</f>
        <v/>
      </c>
      <c r="AA50" s="26">
        <f>IFERROR(Z50/F50*Y50,"-")</f>
        <v/>
      </c>
      <c r="AB50" s="28">
        <f>IFERROR(AA50/O50,"-")</f>
        <v/>
      </c>
      <c r="AC50" s="9">
        <f>IFERROR(O50*Inputs!$C$24/Inputs!$C$22*Y50,"-")</f>
        <v/>
      </c>
      <c r="AD50" s="28">
        <f>IFERROR(MAX(0,AA50-AC50)/O50,"-")</f>
        <v/>
      </c>
    </row>
    <row r="51">
      <c r="A51" s="8" t="n">
        <v>48</v>
      </c>
      <c r="B51" s="14">
        <f>'Mob by Level'!B51</f>
        <v/>
      </c>
      <c r="C51" s="9">
        <f>'Mob by Level'!C51</f>
        <v/>
      </c>
      <c r="D51" s="9">
        <f>'Mob by Level'!D51</f>
        <v/>
      </c>
      <c r="E51" s="9">
        <f>'Mob by Level'!E51</f>
        <v/>
      </c>
      <c r="F51" s="16">
        <f>'Mob by Level'!F51</f>
        <v/>
      </c>
      <c r="G51" s="14">
        <f>SUMIFS(Gear!$D$4:$D$603,Gear!$A$4:$A$603,A51,Gear!$B$4:$B$603,"Priest",Gear!$C$4:$C$603,Inputs!$C$5)</f>
        <v/>
      </c>
      <c r="H51" s="14">
        <f>SUMIFS(Gear!$E$4:$E$603,Gear!$A$4:$A$603,A51,Gear!$B$4:$B$603,"Priest",Gear!$C$4:$C$603,Inputs!$C$5)</f>
        <v/>
      </c>
      <c r="I51" s="14">
        <f>SUMIFS(Gear!$F$4:$F$603,Gear!$A$4:$A$603,A51,Gear!$B$4:$B$603,"Priest",Gear!$C$4:$C$603,Inputs!$C$5)+IFERROR(LOOKUP(A51,Abilities!$A$49:$A$53,Abilities!$C$49:$C$53),0)</f>
        <v/>
      </c>
      <c r="J51" s="13">
        <f>SUMIFS(Gear!$J$4:$J$603,Gear!$A$4:$A$603,A51,Gear!$B$4:$B$603,"Priest",Gear!$C$4:$C$603,Inputs!$C$5)</f>
        <v/>
      </c>
      <c r="K51" s="13">
        <f>SUMIFS(Gear!$K$4:$K$603,Gear!$A$4:$A$603,A51,Gear!$B$4:$B$603,"Priest",Gear!$C$4:$C$603,Inputs!$C$5)</f>
        <v/>
      </c>
      <c r="L51" s="13">
        <f>SUMIFS(Gear!$L$4:$L$603,Gear!$A$4:$A$603,A51,Gear!$B$4:$B$603,"Priest",Gear!$C$4:$C$603,Inputs!$C$5)</f>
        <v/>
      </c>
      <c r="M51" s="13">
        <f>SUMIFS(Gear!$M$4:$M$603,Gear!$A$4:$A$603,A51,Gear!$B$4:$B$603,"Priest",Gear!$C$4:$C$603,Inputs!$C$5)</f>
        <v/>
      </c>
      <c r="N51" s="13">
        <f>SUMIFS(Gear!$N$4:$N$603,Gear!$A$4:$A$603,A51,Gear!$B$4:$B$603,"Priest",Gear!$C$4:$C$603,Inputs!$C$5)</f>
        <v/>
      </c>
      <c r="O51" s="9">
        <f>INDEX('Class Table'!$K$4:$K$53,A51)+SUMIFS(Gear!$G$4:$G$603,Gear!$A$4:$A$603,A51,Gear!$B$4:$B$603,"Priest",Gear!$C$4:$C$603,Inputs!$C$5)</f>
        <v/>
      </c>
      <c r="P51" s="9">
        <f>INDEX('Class Table'!$L$4:$L$53,A51)+SUMIFS(Gear!$H$4:$H$603,Gear!$A$4:$A$603,A51,Gear!$B$4:$B$603,"Priest",Gear!$C$4:$C$603,Inputs!$C$5)</f>
        <v/>
      </c>
      <c r="Q51" s="9">
        <f>INDEX('Class Table'!$M$4:$M$53,A51)+SUMIFS(Gear!$I$4:$I$603,Gear!$A$4:$A$603,A51,Gear!$B$4:$B$603,"Priest",Gear!$C$4:$C$603,Inputs!$C$5)</f>
        <v/>
      </c>
      <c r="R51" s="13">
        <f>SUMIFS(Gear!$O$4:$O$603,Gear!$A$4:$A$603,A51,Gear!$B$4:$B$603,"Priest",Gear!$C$4:$C$603,Inputs!$C$5)</f>
        <v/>
      </c>
      <c r="S51" s="26">
        <f>I51+0+G51+A51+MAX(1,A51/2)+(A51-B51)</f>
        <v/>
      </c>
      <c r="T51" s="9">
        <f>MAX(0,S51*(1+M51)*(1+L51)*Inputs!$C$20*(1-D51/Inputs!$C$19)-D51/25)</f>
        <v/>
      </c>
      <c r="U51" s="16">
        <f>H51/10*(1-MIN(0.95,N51+0))*Inputs!$C$21</f>
        <v/>
      </c>
      <c r="V51" s="27">
        <f>T51/U51</f>
        <v/>
      </c>
      <c r="W51" s="27">
        <f>V51</f>
        <v/>
      </c>
      <c r="X51" s="8">
        <f>IFERROR(ROUNDUP(C51/T51,0),"-")</f>
        <v/>
      </c>
      <c r="Y51" s="60">
        <f>IFERROR(C51/W51,"-")</f>
        <v/>
      </c>
      <c r="Z51" s="9">
        <f>MAX(0,(E51+(B51-A51))*(1-R51)*(1-Q51*'Class Table'!$O$8/Inputs!$C$19)-Q51*'Class Table'!$O$8/25)</f>
        <v/>
      </c>
      <c r="AA51" s="26">
        <f>IFERROR(Z51/F51*Y51,"-")</f>
        <v/>
      </c>
      <c r="AB51" s="28">
        <f>IFERROR(AA51/O51,"-")</f>
        <v/>
      </c>
      <c r="AC51" s="9">
        <f>IFERROR(O51*Inputs!$C$24/Inputs!$C$22*Y51,"-")</f>
        <v/>
      </c>
      <c r="AD51" s="28">
        <f>IFERROR(MAX(0,AA51-AC51)/O51,"-")</f>
        <v/>
      </c>
    </row>
    <row r="52">
      <c r="A52" s="8" t="n">
        <v>49</v>
      </c>
      <c r="B52" s="14">
        <f>'Mob by Level'!B52</f>
        <v/>
      </c>
      <c r="C52" s="9">
        <f>'Mob by Level'!C52</f>
        <v/>
      </c>
      <c r="D52" s="9">
        <f>'Mob by Level'!D52</f>
        <v/>
      </c>
      <c r="E52" s="9">
        <f>'Mob by Level'!E52</f>
        <v/>
      </c>
      <c r="F52" s="16">
        <f>'Mob by Level'!F52</f>
        <v/>
      </c>
      <c r="G52" s="14">
        <f>SUMIFS(Gear!$D$4:$D$603,Gear!$A$4:$A$603,A52,Gear!$B$4:$B$603,"Priest",Gear!$C$4:$C$603,Inputs!$C$5)</f>
        <v/>
      </c>
      <c r="H52" s="14">
        <f>SUMIFS(Gear!$E$4:$E$603,Gear!$A$4:$A$603,A52,Gear!$B$4:$B$603,"Priest",Gear!$C$4:$C$603,Inputs!$C$5)</f>
        <v/>
      </c>
      <c r="I52" s="14">
        <f>SUMIFS(Gear!$F$4:$F$603,Gear!$A$4:$A$603,A52,Gear!$B$4:$B$603,"Priest",Gear!$C$4:$C$603,Inputs!$C$5)+IFERROR(LOOKUP(A52,Abilities!$A$49:$A$53,Abilities!$C$49:$C$53),0)</f>
        <v/>
      </c>
      <c r="J52" s="13">
        <f>SUMIFS(Gear!$J$4:$J$603,Gear!$A$4:$A$603,A52,Gear!$B$4:$B$603,"Priest",Gear!$C$4:$C$603,Inputs!$C$5)</f>
        <v/>
      </c>
      <c r="K52" s="13">
        <f>SUMIFS(Gear!$K$4:$K$603,Gear!$A$4:$A$603,A52,Gear!$B$4:$B$603,"Priest",Gear!$C$4:$C$603,Inputs!$C$5)</f>
        <v/>
      </c>
      <c r="L52" s="13">
        <f>SUMIFS(Gear!$L$4:$L$603,Gear!$A$4:$A$603,A52,Gear!$B$4:$B$603,"Priest",Gear!$C$4:$C$603,Inputs!$C$5)</f>
        <v/>
      </c>
      <c r="M52" s="13">
        <f>SUMIFS(Gear!$M$4:$M$603,Gear!$A$4:$A$603,A52,Gear!$B$4:$B$603,"Priest",Gear!$C$4:$C$603,Inputs!$C$5)</f>
        <v/>
      </c>
      <c r="N52" s="13">
        <f>SUMIFS(Gear!$N$4:$N$603,Gear!$A$4:$A$603,A52,Gear!$B$4:$B$603,"Priest",Gear!$C$4:$C$603,Inputs!$C$5)</f>
        <v/>
      </c>
      <c r="O52" s="9">
        <f>INDEX('Class Table'!$K$4:$K$53,A52)+SUMIFS(Gear!$G$4:$G$603,Gear!$A$4:$A$603,A52,Gear!$B$4:$B$603,"Priest",Gear!$C$4:$C$603,Inputs!$C$5)</f>
        <v/>
      </c>
      <c r="P52" s="9">
        <f>INDEX('Class Table'!$L$4:$L$53,A52)+SUMIFS(Gear!$H$4:$H$603,Gear!$A$4:$A$603,A52,Gear!$B$4:$B$603,"Priest",Gear!$C$4:$C$603,Inputs!$C$5)</f>
        <v/>
      </c>
      <c r="Q52" s="9">
        <f>INDEX('Class Table'!$M$4:$M$53,A52)+SUMIFS(Gear!$I$4:$I$603,Gear!$A$4:$A$603,A52,Gear!$B$4:$B$603,"Priest",Gear!$C$4:$C$603,Inputs!$C$5)</f>
        <v/>
      </c>
      <c r="R52" s="13">
        <f>SUMIFS(Gear!$O$4:$O$603,Gear!$A$4:$A$603,A52,Gear!$B$4:$B$603,"Priest",Gear!$C$4:$C$603,Inputs!$C$5)</f>
        <v/>
      </c>
      <c r="S52" s="26">
        <f>I52+0+G52+A52+MAX(1,A52/2)+(A52-B52)</f>
        <v/>
      </c>
      <c r="T52" s="9">
        <f>MAX(0,S52*(1+M52)*(1+L52)*Inputs!$C$20*(1-D52/Inputs!$C$19)-D52/25)</f>
        <v/>
      </c>
      <c r="U52" s="16">
        <f>H52/10*(1-MIN(0.95,N52+0))*Inputs!$C$21</f>
        <v/>
      </c>
      <c r="V52" s="27">
        <f>T52/U52</f>
        <v/>
      </c>
      <c r="W52" s="27">
        <f>V52</f>
        <v/>
      </c>
      <c r="X52" s="8">
        <f>IFERROR(ROUNDUP(C52/T52,0),"-")</f>
        <v/>
      </c>
      <c r="Y52" s="60">
        <f>IFERROR(C52/W52,"-")</f>
        <v/>
      </c>
      <c r="Z52" s="9">
        <f>MAX(0,(E52+(B52-A52))*(1-R52)*(1-Q52*'Class Table'!$O$8/Inputs!$C$19)-Q52*'Class Table'!$O$8/25)</f>
        <v/>
      </c>
      <c r="AA52" s="26">
        <f>IFERROR(Z52/F52*Y52,"-")</f>
        <v/>
      </c>
      <c r="AB52" s="28">
        <f>IFERROR(AA52/O52,"-")</f>
        <v/>
      </c>
      <c r="AC52" s="9">
        <f>IFERROR(O52*Inputs!$C$24/Inputs!$C$22*Y52,"-")</f>
        <v/>
      </c>
      <c r="AD52" s="28">
        <f>IFERROR(MAX(0,AA52-AC52)/O52,"-")</f>
        <v/>
      </c>
    </row>
  </sheetData>
  <mergeCells count="5">
    <mergeCell ref="Y2:AD2"/>
    <mergeCell ref="W2:X2"/>
    <mergeCell ref="G2:R2"/>
    <mergeCell ref="B2:F2"/>
    <mergeCell ref="S2:V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134"/>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34" customWidth="1" min="3" max="3"/>
    <col width="12" customWidth="1" min="4" max="4"/>
    <col width="10" customWidth="1" min="5" max="5"/>
    <col width="10" customWidth="1" min="6" max="6"/>
    <col width="44" customWidth="1" min="7" max="7"/>
    <col width="10" customWidth="1" min="8" max="8"/>
    <col width="10" customWidth="1" min="9" max="9"/>
    <col width="10" customWidth="1" min="10" max="10"/>
    <col width="10" customWidth="1" min="11" max="11"/>
    <col width="30" customWidth="1" min="12" max="12"/>
    <col width="12" customWidth="1" min="13" max="13"/>
    <col width="12" customWidth="1" min="14" max="14"/>
    <col width="12" customWidth="1" min="15" max="15"/>
  </cols>
  <sheetData>
    <row r="1">
      <c r="A1" s="1" t="inlineStr">
        <is>
          <t>Item budget: points per stat, source multipliers, and the per-slot budget fitted from the new accessories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c r="A2" s="42" t="inlineStr">
        <is>
          <t>Blue = data, yellow = levers. Value = points for the better of a melee or a caster build (MP/INT only count for casters, STR/melee effects only for melee).</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2" t="n"/>
      <c r="B3" s="2" t="n"/>
      <c r="C3" s="2" t="n"/>
      <c r="D3" s="2" t="n"/>
      <c r="E3" s="2" t="n"/>
      <c r="F3" s="2" t="n"/>
      <c r="G3" s="2" t="n"/>
      <c r="H3" s="2" t="n"/>
      <c r="I3" s="2" t="n"/>
      <c r="J3" s="2" t="n"/>
      <c r="K3" s="2" t="n"/>
      <c r="L3" s="2" t="n"/>
      <c r="M3" s="2" t="n"/>
      <c r="N3" s="2" t="n"/>
      <c r="O3" s="2" t="n"/>
      <c r="P3" s="2" t="n"/>
      <c r="Q3" s="3" t="inlineStr">
        <is>
          <t>Endgame reading (L40+ items): at 10M+ XP everyone uses % HP/MP spells, so only spell damage, spell crit, HP/MP relative to the pool, DR and AC count</t>
        </is>
      </c>
      <c r="R3" s="2" t="n"/>
      <c r="S3" s="2" t="n"/>
      <c r="T3" s="2" t="n"/>
      <c r="U3" s="2" t="n"/>
      <c r="V3" s="2" t="n"/>
      <c r="W3" s="2" t="n"/>
      <c r="X3" s="2" t="n"/>
      <c r="Y3" s="2" t="n"/>
      <c r="Z3" s="2" t="n"/>
      <c r="AA3" s="2" t="n"/>
    </row>
    <row r="4" ht="45" customHeight="1">
      <c r="A4" s="7" t="inlineStr">
        <is>
          <t>Stat</t>
        </is>
      </c>
      <c r="B4" s="7" t="inlineStr">
        <is>
          <t>Points per unit</t>
        </is>
      </c>
      <c r="C4" s="7" t="inlineStr">
        <is>
          <t>Note</t>
        </is>
      </c>
      <c r="D4" s="2" t="n"/>
      <c r="E4" s="7" t="inlineStr">
        <is>
          <t>Source tier</t>
        </is>
      </c>
      <c r="F4" s="7" t="inlineStr">
        <is>
          <t>Multiplier</t>
        </is>
      </c>
      <c r="G4" s="7" t="inlineStr">
        <is>
          <t>Meaning</t>
        </is>
      </c>
      <c r="H4" s="2" t="n"/>
      <c r="I4" s="7" t="inlineStr">
        <is>
          <t>Slot</t>
        </is>
      </c>
      <c r="J4" s="7" t="inlineStr">
        <is>
          <t>Budget at L0</t>
        </is>
      </c>
      <c r="K4" s="7" t="inlineStr">
        <is>
          <t>Budget per level</t>
        </is>
      </c>
      <c r="L4" s="7" t="inlineStr">
        <is>
          <t>Budget L25</t>
        </is>
      </c>
      <c r="M4" s="7" t="inlineStr">
        <is>
          <t>Budget L50</t>
        </is>
      </c>
      <c r="N4" s="2" t="n"/>
      <c r="O4" s="2" t="n"/>
      <c r="P4" s="2" t="n"/>
      <c r="Q4" s="7" t="inlineStr">
        <is>
          <t>Endgame input</t>
        </is>
      </c>
      <c r="R4" s="7" t="inlineStr">
        <is>
          <t>Value</t>
        </is>
      </c>
      <c r="S4" s="7" t="inlineStr">
        <is>
          <t>Note</t>
        </is>
      </c>
      <c r="T4" s="2" t="n"/>
      <c r="U4" s="2" t="n"/>
      <c r="V4" s="2" t="n"/>
      <c r="W4" s="2" t="n"/>
      <c r="X4" s="2" t="n"/>
      <c r="Y4" s="2" t="n"/>
      <c r="Z4" s="2" t="n"/>
      <c r="AA4" s="2" t="n"/>
    </row>
    <row r="5">
      <c r="A5" s="19" t="inlineStr">
        <is>
          <t>HP</t>
        </is>
      </c>
      <c r="B5" s="20" t="n">
        <v>0.04</v>
      </c>
      <c r="C5" s="42" t="inlineStr">
        <is>
          <t>25 HP = 1 point (same as 1 STA)</t>
        </is>
      </c>
      <c r="D5" s="2" t="n"/>
      <c r="E5" s="19" t="inlineStr">
        <is>
          <t>Vendor</t>
        </is>
      </c>
      <c r="F5" s="20" t="n">
        <v>0.8</v>
      </c>
      <c r="G5" s="42" t="inlineStr">
        <is>
          <t>Bought from an NPC vendor</t>
        </is>
      </c>
      <c r="H5" s="2" t="n"/>
      <c r="I5" s="19" t="inlineStr">
        <is>
          <t>Ring</t>
        </is>
      </c>
      <c r="J5" s="61">
        <f>INTERCEPT($O$99:$O$109,$D$99:$D$109)</f>
        <v/>
      </c>
      <c r="K5" s="31">
        <f>SLOPE($O$99:$O$109,$D$99:$D$109)</f>
        <v/>
      </c>
      <c r="L5" s="61">
        <f>MAX('Item Budget'!$F$16,J5+K5*25)</f>
        <v/>
      </c>
      <c r="M5" s="61">
        <f>MAX('Item Budget'!$F$16,J5+K5*50)</f>
        <v/>
      </c>
      <c r="N5" s="2" t="n"/>
      <c r="O5" s="2" t="n"/>
      <c r="P5" s="2" t="n"/>
      <c r="Q5" s="19" t="inlineStr">
        <is>
          <t>Reference player XP (total)</t>
        </is>
      </c>
      <c r="R5" s="32" t="n">
        <v>100000000</v>
      </c>
      <c r="S5" s="42" t="inlineStr">
        <is>
          <t>Everything is scored for the same player so tiers compare fairly</t>
        </is>
      </c>
      <c r="T5" s="2" t="n"/>
      <c r="U5" s="2" t="n"/>
      <c r="V5" s="2" t="n"/>
      <c r="W5" s="2" t="n"/>
      <c r="X5" s="2" t="n"/>
      <c r="Y5" s="2" t="n"/>
      <c r="Z5" s="2" t="n"/>
      <c r="AA5" s="2" t="n"/>
    </row>
    <row r="6">
      <c r="A6" s="19" t="inlineStr">
        <is>
          <t>MP</t>
        </is>
      </c>
      <c r="B6" s="20" t="n">
        <v>0.04</v>
      </c>
      <c r="C6" s="42" t="inlineStr">
        <is>
          <t>25 MP = 1 point (same as 1 INT); caster only</t>
        </is>
      </c>
      <c r="D6" s="2" t="n"/>
      <c r="E6" s="19" t="inlineStr">
        <is>
          <t>Common drop</t>
        </is>
      </c>
      <c r="F6" s="20" t="n">
        <v>1</v>
      </c>
      <c r="G6" s="42" t="inlineStr">
        <is>
          <t>15%+ drop from ordinary mobs (the new accessories)</t>
        </is>
      </c>
      <c r="H6" s="2" t="n"/>
      <c r="I6" s="19" t="inlineStr">
        <is>
          <t>Necklace</t>
        </is>
      </c>
      <c r="J6" s="61">
        <f>INTERCEPT($O$110:$O$114,$D$110:$D$114)</f>
        <v/>
      </c>
      <c r="K6" s="31">
        <f>SLOPE($O$110:$O$114,$D$110:$D$114)</f>
        <v/>
      </c>
      <c r="L6" s="61">
        <f>MAX('Item Budget'!$F$16,J6+K6*25)</f>
        <v/>
      </c>
      <c r="M6" s="61">
        <f>MAX('Item Budget'!$F$16,J6+K6*50)</f>
        <v/>
      </c>
      <c r="N6" s="2" t="n"/>
      <c r="O6" s="2" t="n"/>
      <c r="P6" s="2" t="n"/>
      <c r="Q6" s="19" t="inlineStr">
        <is>
          <t>Share of XP spent on HP/MP</t>
        </is>
      </c>
      <c r="R6" s="22" t="n">
        <v>0.9</v>
      </c>
      <c r="S6" s="42" t="inlineStr">
        <is>
          <t>Split between HP and MP by the class HP/MP share below</t>
        </is>
      </c>
      <c r="T6" s="2" t="n"/>
      <c r="U6" s="2" t="n"/>
      <c r="V6" s="2" t="n"/>
      <c r="W6" s="2" t="n"/>
      <c r="X6" s="2" t="n"/>
      <c r="Y6" s="2" t="n"/>
      <c r="Z6" s="2" t="n"/>
      <c r="AA6" s="2" t="n"/>
    </row>
    <row r="7">
      <c r="A7" s="19" t="inlineStr">
        <is>
          <t>STA</t>
        </is>
      </c>
      <c r="B7" s="20" t="n">
        <v>1</v>
      </c>
      <c r="C7" s="42" t="inlineStr">
        <is>
          <t>1 STA = 25 HP</t>
        </is>
      </c>
      <c r="D7" s="2" t="n"/>
      <c r="E7" s="19" t="inlineStr">
        <is>
          <t>Uncommon drop</t>
        </is>
      </c>
      <c r="F7" s="20" t="n">
        <v>1.1</v>
      </c>
      <c r="G7" s="42" t="inlineStr">
        <is>
          <t>8-14% drop, or a common drop from a named boss</t>
        </is>
      </c>
      <c r="H7" s="2" t="n"/>
      <c r="I7" s="19" t="inlineStr">
        <is>
          <t>Belt</t>
        </is>
      </c>
      <c r="J7" s="61">
        <f>INTERCEPT($O$115:$O$119,$D$115:$D$119)</f>
        <v/>
      </c>
      <c r="K7" s="31">
        <f>SLOPE($O$115:$O$119,$D$115:$D$119)</f>
        <v/>
      </c>
      <c r="L7" s="61">
        <f>MAX('Item Budget'!$F$16,J7+K7*25)</f>
        <v/>
      </c>
      <c r="M7" s="61">
        <f>MAX('Item Budget'!$F$16,J7+K7*50)</f>
        <v/>
      </c>
      <c r="N7" s="2" t="n"/>
      <c r="O7" s="2" t="n"/>
      <c r="P7" s="2" t="n"/>
      <c r="Q7" s="19" t="inlineStr">
        <is>
          <t>Points per 1% more damage</t>
        </is>
      </c>
      <c r="R7" s="62" t="n">
        <v>5</v>
      </c>
      <c r="S7" s="42" t="inlineStr">
        <is>
          <t>Applies to spell damage, spell crit and HP/MP pool gain</t>
        </is>
      </c>
      <c r="T7" s="2" t="n"/>
      <c r="U7" s="2" t="n"/>
      <c r="V7" s="2" t="n"/>
      <c r="W7" s="2" t="n"/>
      <c r="X7" s="2" t="n"/>
      <c r="Y7" s="2" t="n"/>
      <c r="Z7" s="2" t="n"/>
      <c r="AA7" s="2" t="n"/>
    </row>
    <row r="8">
      <c r="A8" s="19" t="inlineStr">
        <is>
          <t>INT</t>
        </is>
      </c>
      <c r="B8" s="20" t="n">
        <v>1</v>
      </c>
      <c r="C8" s="42" t="inlineStr">
        <is>
          <t>1 INT = 25 MP; caster only</t>
        </is>
      </c>
      <c r="D8" s="2" t="n"/>
      <c r="E8" s="19" t="inlineStr">
        <is>
          <t>Rare drop</t>
        </is>
      </c>
      <c r="F8" s="20" t="n">
        <v>1.2</v>
      </c>
      <c r="G8" s="42" t="inlineStr">
        <is>
          <t>7% or less from ordinary mobs</t>
        </is>
      </c>
      <c r="H8" s="2" t="n"/>
      <c r="I8" s="19" t="inlineStr">
        <is>
          <t>Gloves</t>
        </is>
      </c>
      <c r="J8" s="61">
        <f>INTERCEPT($O$120:$O$124,$D$120:$D$124)</f>
        <v/>
      </c>
      <c r="K8" s="31">
        <f>SLOPE($O$120:$O$124,$D$120:$D$124)</f>
        <v/>
      </c>
      <c r="L8" s="61">
        <f>MAX('Item Budget'!$F$16,J8+K8*25)</f>
        <v/>
      </c>
      <c r="M8" s="61">
        <f>MAX('Item Budget'!$F$16,J8+K8*50)</f>
        <v/>
      </c>
      <c r="N8" s="2" t="n"/>
      <c r="O8" s="2" t="n"/>
      <c r="P8" s="2" t="n"/>
      <c r="Q8" s="19" t="inlineStr">
        <is>
          <t>Points per 1% damage reduction</t>
        </is>
      </c>
      <c r="R8" s="62" t="n">
        <v>5</v>
      </c>
      <c r="S8" s="42" t="inlineStr">
        <is>
          <t>1% DR = 1% more effective HP; valued the same as 1% more damage</t>
        </is>
      </c>
      <c r="T8" s="2" t="n"/>
      <c r="U8" s="2" t="n"/>
      <c r="V8" s="2" t="n"/>
      <c r="W8" s="2" t="n"/>
      <c r="X8" s="2" t="n"/>
      <c r="Y8" s="2" t="n"/>
      <c r="Z8" s="2" t="n"/>
      <c r="AA8" s="2" t="n"/>
    </row>
    <row r="9">
      <c r="A9" s="19" t="inlineStr">
        <is>
          <t>STR</t>
        </is>
      </c>
      <c r="B9" s="20" t="n">
        <v>2</v>
      </c>
      <c r="C9" s="42" t="inlineStr">
        <is>
          <t>About 1 damage per swing; melee only</t>
        </is>
      </c>
      <c r="D9" s="2" t="n"/>
      <c r="E9" s="19" t="inlineStr">
        <is>
          <t>Crafted</t>
        </is>
      </c>
      <c r="F9" s="20" t="n">
        <v>1.2</v>
      </c>
      <c r="G9" s="42" t="inlineStr">
        <is>
          <t>Standard crafting recipe</t>
        </is>
      </c>
      <c r="H9" s="2" t="n"/>
      <c r="I9" s="19" t="inlineStr">
        <is>
          <t>Cloak</t>
        </is>
      </c>
      <c r="J9" s="61">
        <f>INTERCEPT($O$125:$O$129,$D$125:$D$129)</f>
        <v/>
      </c>
      <c r="K9" s="31">
        <f>SLOPE($O$125:$O$129,$D$125:$D$129)</f>
        <v/>
      </c>
      <c r="L9" s="61">
        <f>MAX('Item Budget'!$F$16,J9+K9*25)</f>
        <v/>
      </c>
      <c r="M9" s="61">
        <f>MAX('Item Budget'!$F$16,J9+K9*50)</f>
        <v/>
      </c>
      <c r="N9" s="2" t="n"/>
      <c r="O9" s="2" t="n"/>
      <c r="P9" s="2" t="n"/>
      <c r="Q9" s="19" t="inlineStr">
        <is>
          <t>Points per AC</t>
        </is>
      </c>
      <c r="R9" s="34" t="n">
        <v>0.1</v>
      </c>
      <c r="S9" s="42" t="inlineStr">
        <is>
          <t>AC x ~0.7 class mult / 3500 = absorb %, valued like DR</t>
        </is>
      </c>
      <c r="T9" s="2" t="n"/>
      <c r="U9" s="2" t="n"/>
      <c r="V9" s="2" t="n"/>
      <c r="W9" s="2" t="n"/>
      <c r="X9" s="2" t="n"/>
      <c r="Y9" s="2" t="n"/>
      <c r="Z9" s="2" t="n"/>
      <c r="AA9" s="2" t="n"/>
    </row>
    <row r="10">
      <c r="A10" s="19" t="inlineStr">
        <is>
          <t>DEX</t>
        </is>
      </c>
      <c r="B10" s="20" t="n">
        <v>0.2</v>
      </c>
      <c r="C10" s="42" t="inlineStr">
        <is>
          <t>Dodge only (DEX/10000); nearly worthless</t>
        </is>
      </c>
      <c r="D10" s="2" t="n"/>
      <c r="E10" s="19" t="inlineStr">
        <is>
          <t>Rare boss drop</t>
        </is>
      </c>
      <c r="F10" s="20" t="n">
        <v>1.35</v>
      </c>
      <c r="G10" s="42" t="inlineStr">
        <is>
          <t>5% drop from a named boss</t>
        </is>
      </c>
      <c r="H10" s="2" t="n"/>
      <c r="I10" s="19" t="inlineStr">
        <is>
          <t>Pauldrons</t>
        </is>
      </c>
      <c r="J10" s="61">
        <f>INTERCEPT($O$130:$O$134,$D$130:$D$134)</f>
        <v/>
      </c>
      <c r="K10" s="31">
        <f>SLOPE($O$130:$O$134,$D$130:$D$134)</f>
        <v/>
      </c>
      <c r="L10" s="61">
        <f>MAX('Item Budget'!$F$16,J10+K10*25)</f>
        <v/>
      </c>
      <c r="M10" s="61">
        <f>MAX('Item Budget'!$F$16,J10+K10*50)</f>
        <v/>
      </c>
      <c r="N10" s="2" t="n"/>
      <c r="O10" s="2" t="n"/>
      <c r="P10" s="2" t="n"/>
      <c r="Q10" s="19" t="inlineStr">
        <is>
          <t>Endgame reading from level</t>
        </is>
      </c>
      <c r="R10" s="35" t="n">
        <v>40</v>
      </c>
      <c r="S10" s="42" t="inlineStr">
        <is>
          <t>Items below this level are not scored</t>
        </is>
      </c>
      <c r="T10" s="2" t="n"/>
      <c r="U10" s="2" t="n"/>
      <c r="V10" s="2" t="n"/>
      <c r="W10" s="2" t="n"/>
      <c r="X10" s="2" t="n"/>
      <c r="Y10" s="2" t="n"/>
      <c r="Z10" s="2" t="n"/>
      <c r="AA10" s="2" t="n"/>
    </row>
    <row r="11">
      <c r="A11" s="19" t="inlineStr">
        <is>
          <t>AC</t>
        </is>
      </c>
      <c r="B11" s="20" t="n">
        <v>0.3</v>
      </c>
      <c r="C11" s="42" t="inlineStr">
        <is>
          <t>Small absorb + flat reduction per hit</t>
        </is>
      </c>
      <c r="D11" s="2" t="n"/>
      <c r="E11" s="19" t="inlineStr">
        <is>
          <t>Hard craft</t>
        </is>
      </c>
      <c r="F11" s="20" t="n">
        <v>1.5</v>
      </c>
      <c r="G11" s="42" t="inlineStr">
        <is>
          <t>Craft needing rare boss or L50 drops (Fighting Katana: Gem of Power + Unrefined Ore)</t>
        </is>
      </c>
      <c r="H11" s="2" t="n"/>
      <c r="I11" s="42" t="inlineStr">
        <is>
          <t>Fitted from the anchor table below (SLOPE/INTERCEPT). Edit the weights and every budget and % updates.</t>
        </is>
      </c>
      <c r="J11" s="2" t="n"/>
      <c r="K11" s="2" t="n"/>
      <c r="L11" s="2" t="n"/>
      <c r="M11" s="2" t="n"/>
      <c r="N11" s="2" t="n"/>
      <c r="O11" s="2" t="n"/>
      <c r="P11" s="2" t="n"/>
      <c r="Q11" s="19" t="inlineStr">
        <is>
          <t>Required margin over lower XP tier</t>
        </is>
      </c>
      <c r="R11" s="22" t="n">
        <v>0.1</v>
      </c>
      <c r="S11" s="42" t="inlineStr">
        <is>
          <t>The best item of each XP tier in a slot must beat the best lower-tier item in that slot by this much</t>
        </is>
      </c>
      <c r="T11" s="2" t="n"/>
      <c r="U11" s="2" t="n"/>
      <c r="V11" s="2" t="n"/>
      <c r="W11" s="2" t="n"/>
      <c r="X11" s="2" t="n"/>
      <c r="Y11" s="2" t="n"/>
      <c r="Z11" s="2" t="n"/>
      <c r="AA11" s="2" t="n"/>
    </row>
    <row r="12">
      <c r="A12" s="19" t="inlineStr">
        <is>
          <t>Melee dmg (per 1%)</t>
        </is>
      </c>
      <c r="B12" s="20" t="n">
        <v>6</v>
      </c>
      <c r="C12" s="42" t="inlineStr">
        <is>
          <t>melee only</t>
        </is>
      </c>
      <c r="D12" s="2" t="n"/>
      <c r="E12" s="19" t="inlineStr">
        <is>
          <t>Prestige craft</t>
        </is>
      </c>
      <c r="F12" s="20" t="n">
        <v>1.7</v>
      </c>
      <c r="G12" s="42" t="inlineStr">
        <is>
          <t>Rare event/hard recipe (Ducky Pauldrons)</t>
        </is>
      </c>
      <c r="H12" s="2" t="n"/>
      <c r="I12" s="2" t="n"/>
      <c r="J12" s="2" t="n"/>
      <c r="K12" s="2" t="n"/>
      <c r="L12" s="2" t="n"/>
      <c r="M12" s="2" t="n"/>
      <c r="N12" s="2" t="n"/>
      <c r="O12" s="2" t="n"/>
      <c r="P12" s="2" t="n"/>
      <c r="Q12" s="2" t="n"/>
      <c r="R12" s="2" t="n"/>
      <c r="S12" s="2" t="n"/>
      <c r="T12" s="2" t="n"/>
      <c r="U12" s="2" t="n"/>
      <c r="V12" s="2" t="n"/>
      <c r="W12" s="2" t="n"/>
      <c r="X12" s="2" t="n"/>
      <c r="Y12" s="2" t="n"/>
      <c r="Z12" s="2" t="n"/>
      <c r="AA12" s="2" t="n"/>
    </row>
    <row r="13" ht="45" customHeight="1">
      <c r="A13" s="19" t="inlineStr">
        <is>
          <t>Spell dmg (per 1%)</t>
        </is>
      </c>
      <c r="B13" s="20" t="n">
        <v>5</v>
      </c>
      <c r="C13" s="42" t="inlineStr">
        <is>
          <t>caster only</t>
        </is>
      </c>
      <c r="D13" s="2" t="n"/>
      <c r="E13" s="19" t="inlineStr">
        <is>
          <t>Raid / special</t>
        </is>
      </c>
      <c r="F13" s="20" t="n">
        <v>1</v>
      </c>
      <c r="G13" s="42" t="inlineStr">
        <is>
          <t>Raid gear and shop items; mostly not rebalanced here (the XP bonus still applies)</t>
        </is>
      </c>
      <c r="H13" s="2" t="n"/>
      <c r="I13" s="2" t="n"/>
      <c r="J13" s="2" t="n"/>
      <c r="K13" s="2" t="n"/>
      <c r="L13" s="2" t="n"/>
      <c r="M13" s="2" t="n"/>
      <c r="N13" s="2" t="n"/>
      <c r="O13" s="2" t="n"/>
      <c r="P13" s="2" t="n"/>
      <c r="Q13" s="7" t="inlineStr">
        <is>
          <t>Class</t>
        </is>
      </c>
      <c r="R13" s="7" t="inlineStr">
        <is>
          <t>HP share of damage</t>
        </is>
      </c>
      <c r="S13" s="7" t="inlineStr">
        <is>
          <t>MP share of damage</t>
        </is>
      </c>
      <c r="T13" s="7" t="inlineStr">
        <is>
          <t>Base HP L50</t>
        </is>
      </c>
      <c r="U13" s="7" t="inlineStr">
        <is>
          <t>Base MP L50</t>
        </is>
      </c>
      <c r="V13" s="7" t="inlineStr">
        <is>
          <t>XP per HP</t>
        </is>
      </c>
      <c r="W13" s="7" t="inlineStr">
        <is>
          <t>XP per MP</t>
        </is>
      </c>
      <c r="X13" s="7" t="inlineStr">
        <is>
          <t>HP pool</t>
        </is>
      </c>
      <c r="Y13" s="7" t="inlineStr">
        <is>
          <t>MP pool</t>
        </is>
      </c>
      <c r="Z13" s="7" t="inlineStr">
        <is>
          <t>Damage pool</t>
        </is>
      </c>
      <c r="AA13" s="7" t="inlineStr">
        <is>
          <t>Spells</t>
        </is>
      </c>
      <c r="AB13" s="70" t="inlineStr">
        <is>
          <t>AC points (tier check)</t>
        </is>
      </c>
    </row>
    <row r="14">
      <c r="A14" s="19" t="inlineStr">
        <is>
          <t>Melee crit (per 1%)</t>
        </is>
      </c>
      <c r="B14" s="20" t="n">
        <v>4</v>
      </c>
      <c r="C14" s="42" t="inlineStr">
        <is>
          <t>melee only</t>
        </is>
      </c>
      <c r="D14" s="2" t="n"/>
      <c r="E14" s="2" t="n"/>
      <c r="F14" s="2" t="n"/>
      <c r="G14" s="2" t="n"/>
      <c r="H14" s="2" t="n"/>
      <c r="I14" s="2" t="n"/>
      <c r="J14" s="2" t="n"/>
      <c r="K14" s="2" t="n"/>
      <c r="L14" s="2" t="n"/>
      <c r="M14" s="2" t="n"/>
      <c r="N14" s="2" t="n"/>
      <c r="O14" s="2" t="n"/>
      <c r="P14" s="2" t="n"/>
      <c r="Q14" s="21" t="inlineStr">
        <is>
          <t>Warrior</t>
        </is>
      </c>
      <c r="R14" s="23" t="n">
        <v>0.96</v>
      </c>
      <c r="S14" s="23" t="n">
        <v>0.04</v>
      </c>
      <c r="T14" s="21" t="n">
        <v>7700</v>
      </c>
      <c r="U14" s="21" t="n">
        <v>3900</v>
      </c>
      <c r="V14" s="21" t="n">
        <v>2000</v>
      </c>
      <c r="W14" s="21" t="n">
        <v>4000</v>
      </c>
      <c r="X14" s="36">
        <f>T14+'Item Budget'!$R$5*'Item Budget'!$R$6*R14/V14</f>
        <v/>
      </c>
      <c r="Y14" s="36">
        <f>U14+'Item Budget'!$R$5*'Item Budget'!$R$6*S14/W14</f>
        <v/>
      </c>
      <c r="Z14" s="36">
        <f>R14*X14+S14*Y14</f>
        <v/>
      </c>
      <c r="AA14" s="42" t="inlineStr">
        <is>
          <t>Spirit Strike 1.3xHP/1.5s, Sunder of Spirits (0.8 HP + 0.15 MP)/3s</t>
        </is>
      </c>
      <c r="AB14" s="21" t="n">
        <v>0.4</v>
      </c>
      <c r="AC14" s="21" t="inlineStr">
        <is>
          <t>1 AC in HP at L50 = HP x class AC mult / 3500 / (1 - absorb)^2 with a typical step 4-5 set (Warrior ~10-15, Rogue ~3.5, Priest ~3.5, Magus ~2) x 0.04 points per HP. Used by the Gear Proposals per-class columns (AT-AW) in place of the flat B11.</t>
        </is>
      </c>
    </row>
    <row r="15">
      <c r="A15" s="19" t="inlineStr">
        <is>
          <t>Spell crit (per 1%)</t>
        </is>
      </c>
      <c r="B15" s="20" t="n">
        <v>4</v>
      </c>
      <c r="C15" s="42" t="inlineStr">
        <is>
          <t>caster only</t>
        </is>
      </c>
      <c r="D15" s="2" t="n"/>
      <c r="E15" s="3" t="inlineStr">
        <is>
          <t>Class-restricted bonus</t>
        </is>
      </c>
      <c r="F15" s="20" t="n">
        <v>0.1</v>
      </c>
      <c r="G15" s="42" t="inlineStr">
        <is>
          <t>Added to the multiplier when the item is restricted to some classes</t>
        </is>
      </c>
      <c r="H15" s="2" t="n"/>
      <c r="I15" s="2" t="n"/>
      <c r="J15" s="2" t="n"/>
      <c r="K15" s="2" t="n"/>
      <c r="L15" s="2" t="n"/>
      <c r="M15" s="2" t="n"/>
      <c r="N15" s="2" t="n"/>
      <c r="O15" s="2" t="n"/>
      <c r="P15" s="2" t="n"/>
      <c r="Q15" s="21" t="inlineStr">
        <is>
          <t>Rogue</t>
        </is>
      </c>
      <c r="R15" s="23" t="n">
        <v>0.44</v>
      </c>
      <c r="S15" s="23" t="n">
        <v>0.5600000000000001</v>
      </c>
      <c r="T15" s="21" t="n">
        <v>5200</v>
      </c>
      <c r="U15" s="21" t="n">
        <v>5200</v>
      </c>
      <c r="V15" s="21" t="n">
        <v>3000</v>
      </c>
      <c r="W15" s="21" t="n">
        <v>3000</v>
      </c>
      <c r="X15" s="36">
        <f>T15+'Item Budget'!$R$5*'Item Budget'!$R$6*R15/V15</f>
        <v/>
      </c>
      <c r="Y15" s="36">
        <f>U15+'Item Budget'!$R$5*'Item Budget'!$R$6*S15/W15</f>
        <v/>
      </c>
      <c r="Z15" s="36">
        <f>R15*X15+S15*Y15</f>
        <v/>
      </c>
      <c r="AA15" s="42" t="inlineStr">
        <is>
          <t>Critical Strike 2x(0.5 HP + 0.5 MP)/1s, Fearsome Lash 2.7x(0.3 HP + 0.7 MP)/3s</t>
        </is>
      </c>
      <c r="AB15" s="21" t="n">
        <v>0.14</v>
      </c>
    </row>
    <row r="16">
      <c r="A16" s="19" t="inlineStr">
        <is>
          <t>Haste (per 1%)</t>
        </is>
      </c>
      <c r="B16" s="20" t="n">
        <v>6</v>
      </c>
      <c r="C16" s="42" t="inlineStr">
        <is>
          <t>melee swing speed only</t>
        </is>
      </c>
      <c r="D16" s="2" t="n"/>
      <c r="E16" s="3" t="inlineStr">
        <is>
          <t>Minimum budget</t>
        </is>
      </c>
      <c r="F16" s="21" t="n">
        <v>5</v>
      </c>
      <c r="G16" s="42" t="inlineStr">
        <is>
          <t>Floor for level 1-5 items, where the fitted line goes to zero</t>
        </is>
      </c>
      <c r="H16" s="2" t="n"/>
      <c r="I16" s="2" t="n"/>
      <c r="J16" s="2" t="n"/>
      <c r="K16" s="2" t="n"/>
      <c r="L16" s="2" t="n"/>
      <c r="M16" s="2" t="n"/>
      <c r="N16" s="2" t="n"/>
      <c r="O16" s="2" t="n"/>
      <c r="P16" s="2" t="n"/>
      <c r="Q16" s="21" t="inlineStr">
        <is>
          <t>Magus</t>
        </is>
      </c>
      <c r="R16" s="23" t="n">
        <v>0.07000000000000001</v>
      </c>
      <c r="S16" s="23" t="n">
        <v>0.93</v>
      </c>
      <c r="T16" s="21" t="n">
        <v>3852</v>
      </c>
      <c r="U16" s="21" t="n">
        <v>7674</v>
      </c>
      <c r="V16" s="21" t="n">
        <v>4000</v>
      </c>
      <c r="W16" s="21" t="n">
        <v>2000</v>
      </c>
      <c r="X16" s="36">
        <f>T16+'Item Budget'!$R$5*'Item Budget'!$R$6*R16/V16</f>
        <v/>
      </c>
      <c r="Y16" s="36">
        <f>U16+'Item Budget'!$R$5*'Item Budget'!$R$6*S16/W16</f>
        <v/>
      </c>
      <c r="Z16" s="36">
        <f>R16*X16+S16*Y16</f>
        <v/>
      </c>
      <c r="AA16" s="42" t="inlineStr">
        <is>
          <t>Arcane Blast 1.9xMP/2s, Arcane Assault 1.2x(MP + 0.25 HP)/3s</t>
        </is>
      </c>
      <c r="AB16" s="21" t="n">
        <v>0.08</v>
      </c>
    </row>
    <row r="17">
      <c r="A17" s="19" t="inlineStr">
        <is>
          <t>Damage reduction (per 1%)</t>
        </is>
      </c>
      <c r="B17" s="20" t="n">
        <v>8</v>
      </c>
      <c r="C17" s="42" t="inlineStr">
        <is>
          <t>both; additive and uncapped in code</t>
        </is>
      </c>
      <c r="D17" s="2" t="n"/>
      <c r="E17" s="2" t="n"/>
      <c r="F17" s="2" t="n"/>
      <c r="G17" s="2" t="n"/>
      <c r="H17" s="2" t="n"/>
      <c r="I17" s="2" t="n"/>
      <c r="J17" s="2" t="n"/>
      <c r="K17" s="2" t="n"/>
      <c r="L17" s="2" t="n"/>
      <c r="M17" s="2" t="n"/>
      <c r="N17" s="2" t="n"/>
      <c r="O17" s="2" t="n"/>
      <c r="P17" s="2" t="n"/>
      <c r="Q17" s="21" t="inlineStr">
        <is>
          <t>Priest</t>
        </is>
      </c>
      <c r="R17" s="23" t="n">
        <v>0.1</v>
      </c>
      <c r="S17" s="23" t="n">
        <v>0.9</v>
      </c>
      <c r="T17" s="21" t="n">
        <v>4300</v>
      </c>
      <c r="U17" s="21" t="n">
        <v>6400</v>
      </c>
      <c r="V17" s="21" t="n">
        <v>3600</v>
      </c>
      <c r="W17" s="21" t="n">
        <v>2400</v>
      </c>
      <c r="X17" s="36">
        <f>T17+'Item Budget'!$R$5*'Item Budget'!$R$6*R17/V17</f>
        <v/>
      </c>
      <c r="Y17" s="36">
        <f>U17+'Item Budget'!$R$5*'Item Budget'!$R$6*S17/W17</f>
        <v/>
      </c>
      <c r="Z17" s="36">
        <f>R17*X17+S17*Y17</f>
        <v/>
      </c>
      <c r="AA17" s="42" t="inlineStr">
        <is>
          <t>Healer: Restore Health heals for current MP (%ccmp); spell damage and spell crit apply to heals. 10% HP for survival</t>
        </is>
      </c>
      <c r="AB17" s="21" t="n">
        <v>0.12</v>
      </c>
    </row>
    <row r="18" ht="45" customHeight="1">
      <c r="A18" s="19" t="inlineStr">
        <is>
          <t>HP static regen (per 100/tick)</t>
        </is>
      </c>
      <c r="B18" s="20" t="n">
        <v>4</v>
      </c>
      <c r="C18" s="42" t="inlineStr">
        <is>
          <t>added every 2 s regen tick</t>
        </is>
      </c>
      <c r="D18" s="2" t="n"/>
      <c r="E18" s="7" t="inlineStr">
        <is>
          <t>XP required (at least)</t>
        </is>
      </c>
      <c r="F18" s="7" t="inlineStr">
        <is>
          <t>Multiplier bonus</t>
        </is>
      </c>
      <c r="G18" s="7" t="inlineStr">
        <is>
          <t>Items gated</t>
        </is>
      </c>
      <c r="H18" s="2" t="n"/>
      <c r="I18" s="2" t="n"/>
      <c r="J18" s="2" t="n"/>
      <c r="K18" s="2" t="n"/>
      <c r="L18" s="2" t="n"/>
      <c r="M18" s="2" t="n"/>
      <c r="N18" s="2" t="n"/>
      <c r="O18" s="2" t="n"/>
      <c r="P18" s="2" t="n"/>
      <c r="Q18" s="42" t="inlineStr">
        <is>
          <t>Shares are the DPS-weighted HP/MP coefficients of each class's two endgame spells. XP per HP/MP = Classes vita/mana cost / 50 (BuyVitaCommand; the +20% per 1M bought is ignored). Base pools from Class Info L50. Priest has no %HP/MP damage spells, so it is scored on heal power (MP).</t>
        </is>
      </c>
      <c r="R18" s="2" t="n"/>
      <c r="S18" s="2" t="n"/>
      <c r="T18" s="2" t="n"/>
      <c r="U18" s="2" t="n"/>
      <c r="V18" s="2" t="n"/>
      <c r="W18" s="2" t="n"/>
      <c r="X18" s="2" t="n"/>
      <c r="Y18" s="2" t="n"/>
      <c r="Z18" s="2" t="n"/>
      <c r="AA18" s="2" t="n"/>
    </row>
    <row r="19">
      <c r="A19" s="19" t="inlineStr">
        <is>
          <t>MP static regen (per 100/tick)</t>
        </is>
      </c>
      <c r="B19" s="20" t="n">
        <v>4</v>
      </c>
      <c r="C19" s="42" t="inlineStr">
        <is>
          <t>caster only</t>
        </is>
      </c>
      <c r="D19" s="2" t="n"/>
      <c r="E19" s="37" t="n">
        <v>0</v>
      </c>
      <c r="F19" s="20" t="n">
        <v>0</v>
      </c>
      <c r="G19" s="42" t="inlineStr">
        <is>
          <t>No XP requirement</t>
        </is>
      </c>
      <c r="H19" s="2" t="n"/>
      <c r="I19" s="2" t="n"/>
      <c r="J19" s="2" t="n"/>
      <c r="K19" s="2" t="n"/>
      <c r="L19" s="2" t="n"/>
      <c r="M19" s="2" t="n"/>
      <c r="N19" s="2" t="n"/>
      <c r="O19" s="2" t="n"/>
      <c r="P19" s="2" t="n"/>
      <c r="Q19" s="2" t="n"/>
      <c r="R19" s="2" t="n"/>
      <c r="S19" s="2" t="n"/>
      <c r="T19" s="2" t="n"/>
      <c r="U19" s="2" t="n"/>
      <c r="V19" s="2" t="n"/>
      <c r="W19" s="2" t="n"/>
      <c r="X19" s="2" t="n"/>
      <c r="Y19" s="2" t="n"/>
      <c r="Z19" s="2" t="n"/>
      <c r="AA19" s="2" t="n"/>
    </row>
    <row r="20">
      <c r="A20" s="19" t="inlineStr">
        <is>
          <t>HP % regen (per 1%)</t>
        </is>
      </c>
      <c r="B20" s="20" t="n">
        <v>10</v>
      </c>
      <c r="C20" s="42" t="inlineStr">
        <is>
          <t>both</t>
        </is>
      </c>
      <c r="D20" s="2" t="n"/>
      <c r="E20" s="37" t="n">
        <v>20000000</v>
      </c>
      <c r="F20" s="20" t="n">
        <v>0.3</v>
      </c>
      <c r="G20" s="42" t="inlineStr">
        <is>
          <t>Ancients: Belt/Cloak/Pauldrons of Power, Sir Insidious bracelets</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c r="A21" s="19" t="inlineStr">
        <is>
          <t>MP % regen (per 1%)</t>
        </is>
      </c>
      <c r="B21" s="20" t="n">
        <v>10</v>
      </c>
      <c r="C21" s="42" t="inlineStr">
        <is>
          <t>caster only</t>
        </is>
      </c>
      <c r="D21" s="2" t="n"/>
      <c r="E21" s="37" t="n">
        <v>100000000</v>
      </c>
      <c r="F21" s="20" t="n">
        <v>0.5</v>
      </c>
      <c r="G21" s="42" t="inlineStr">
        <is>
          <t>No accessories today (Ancients Dungeon teleport)</t>
        </is>
      </c>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37" t="n">
        <v>200000000</v>
      </c>
      <c r="F22" s="20" t="n">
        <v>0.7</v>
      </c>
      <c r="G22" s="42" t="inlineStr">
        <is>
          <t>Royal, Slayers, Terror</t>
        </is>
      </c>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3" t="inlineStr">
        <is>
          <t>Equip effects (permanent self buffs in Spell Effects)</t>
        </is>
      </c>
      <c r="B23" s="2" t="n"/>
      <c r="C23" s="2" t="n"/>
      <c r="D23" s="2" t="n"/>
      <c r="E23" s="37" t="n">
        <v>400000000</v>
      </c>
      <c r="F23" s="20" t="n">
        <v>0.9</v>
      </c>
      <c r="G23" s="42" t="inlineStr">
        <is>
          <t>Enchanted bracelets</t>
        </is>
      </c>
      <c r="H23" s="2" t="n"/>
      <c r="I23" s="2" t="n"/>
      <c r="J23" s="2" t="n"/>
      <c r="K23" s="2" t="n"/>
      <c r="L23" s="2" t="n"/>
      <c r="M23" s="2" t="n"/>
      <c r="N23" s="2" t="n"/>
      <c r="O23" s="2" t="n"/>
      <c r="P23" s="2" t="n"/>
      <c r="Q23" s="2" t="n"/>
      <c r="R23" s="2" t="n"/>
      <c r="S23" s="2" t="n"/>
      <c r="T23" s="2" t="n"/>
      <c r="U23" s="2" t="n"/>
      <c r="V23" s="2" t="n"/>
      <c r="W23" s="2" t="n"/>
      <c r="X23" s="2" t="n"/>
      <c r="Y23" s="2" t="n"/>
      <c r="Z23" s="2" t="n"/>
      <c r="AA23" s="2" t="n"/>
    </row>
    <row r="24" ht="45" customHeight="1">
      <c r="A24" s="7" t="inlineStr">
        <is>
          <t>Effect id</t>
        </is>
      </c>
      <c r="B24" s="7" t="inlineStr">
        <is>
          <t>Effect name</t>
        </is>
      </c>
      <c r="C24" s="7" t="inlineStr">
        <is>
          <t>Melee dmg</t>
        </is>
      </c>
      <c r="D24" s="7" t="inlineStr">
        <is>
          <t>Spell dmg</t>
        </is>
      </c>
      <c r="E24" s="7" t="inlineStr">
        <is>
          <t>Melee crit</t>
        </is>
      </c>
      <c r="F24" s="7" t="inlineStr">
        <is>
          <t>Spell crit</t>
        </is>
      </c>
      <c r="G24" s="7" t="inlineStr">
        <is>
          <t>Haste</t>
        </is>
      </c>
      <c r="H24" s="7" t="inlineStr">
        <is>
          <t>Dmg reduce</t>
        </is>
      </c>
      <c r="I24" s="7" t="inlineStr">
        <is>
          <t>HP static regen</t>
        </is>
      </c>
      <c r="J24" s="7" t="inlineStr">
        <is>
          <t>MP static regen</t>
        </is>
      </c>
      <c r="K24" s="7" t="inlineStr">
        <is>
          <t>HP % regen</t>
        </is>
      </c>
      <c r="L24" s="7" t="inlineStr">
        <is>
          <t>MP % regen</t>
        </is>
      </c>
      <c r="M24" s="7" t="inlineStr">
        <is>
          <t>Melee points</t>
        </is>
      </c>
      <c r="N24" s="7" t="inlineStr">
        <is>
          <t>Caster points</t>
        </is>
      </c>
      <c r="O24" s="7" t="inlineStr">
        <is>
          <t>Endgame points</t>
        </is>
      </c>
      <c r="P24" s="2" t="n"/>
      <c r="Q24" s="2" t="n"/>
      <c r="R24" s="2" t="n"/>
      <c r="S24" s="2" t="n"/>
      <c r="T24" s="2" t="n"/>
      <c r="U24" s="2" t="n"/>
      <c r="V24" s="2" t="n"/>
      <c r="W24" s="2" t="n"/>
      <c r="X24" s="2" t="n"/>
      <c r="Y24" s="2" t="n"/>
      <c r="Z24" s="2" t="n"/>
      <c r="AA24" s="2" t="n"/>
    </row>
    <row r="25">
      <c r="A25" s="21" t="n">
        <v>0</v>
      </c>
      <c r="B25" s="21" t="inlineStr">
        <is>
          <t>(none)</t>
        </is>
      </c>
      <c r="C25" s="38" t="n">
        <v>0</v>
      </c>
      <c r="D25" s="38" t="n">
        <v>0</v>
      </c>
      <c r="E25" s="38" t="n">
        <v>0</v>
      </c>
      <c r="F25" s="38" t="n">
        <v>0</v>
      </c>
      <c r="G25" s="38" t="n">
        <v>0</v>
      </c>
      <c r="H25" s="38" t="n">
        <v>0</v>
      </c>
      <c r="I25" s="39" t="n">
        <v>0</v>
      </c>
      <c r="J25" s="39" t="n">
        <v>0</v>
      </c>
      <c r="K25" s="38" t="n">
        <v>0</v>
      </c>
      <c r="L25" s="38" t="n">
        <v>0</v>
      </c>
      <c r="M25" s="61">
        <f>C25*100*'Item Budget'!$B$12+E25*100*'Item Budget'!$B$14+G25*100*'Item Budget'!$B$16+H25*100*'Item Budget'!$B$17+I25/100*'Item Budget'!$B$18+K25*100*'Item Budget'!$B$20</f>
        <v/>
      </c>
      <c r="N25" s="61">
        <f>D25*100*'Item Budget'!$B$13+F25*100*'Item Budget'!$B$15+H25*100*'Item Budget'!$B$17+I25/100*'Item Budget'!$B$18+J25/100*'Item Budget'!$B$19+K25*100*'Item Budget'!$B$20+L25*100*'Item Budget'!$B$21</f>
        <v/>
      </c>
      <c r="O25" s="61">
        <f>100*('Item Budget'!$R$7*(D25+F25)+H25*'Item Budget'!$R$8+K25*'Item Budget'!$B$20+L25*'Item Budget'!$B$21)</f>
        <v/>
      </c>
      <c r="P25" s="2" t="n"/>
      <c r="Q25" s="2" t="n"/>
      <c r="R25" s="2" t="n"/>
      <c r="S25" s="2" t="n"/>
      <c r="T25" s="2" t="n"/>
      <c r="U25" s="2" t="n"/>
      <c r="V25" s="2" t="n"/>
      <c r="W25" s="2" t="n"/>
      <c r="X25" s="2" t="n"/>
      <c r="Y25" s="2" t="n"/>
      <c r="Z25" s="2" t="n"/>
      <c r="AA25" s="2" t="n"/>
    </row>
    <row r="26">
      <c r="A26" s="21" t="n">
        <v>58</v>
      </c>
      <c r="B26" s="21" t="inlineStr">
        <is>
          <t>See Invisible</t>
        </is>
      </c>
      <c r="C26" s="38" t="n">
        <v>0</v>
      </c>
      <c r="D26" s="38" t="n">
        <v>0</v>
      </c>
      <c r="E26" s="38" t="n">
        <v>0</v>
      </c>
      <c r="F26" s="38" t="n">
        <v>0</v>
      </c>
      <c r="G26" s="38" t="n">
        <v>0</v>
      </c>
      <c r="H26" s="38" t="n">
        <v>0</v>
      </c>
      <c r="I26" s="39" t="n">
        <v>0</v>
      </c>
      <c r="J26" s="39" t="n">
        <v>0</v>
      </c>
      <c r="K26" s="38" t="n">
        <v>0</v>
      </c>
      <c r="L26" s="38" t="n">
        <v>0</v>
      </c>
      <c r="M26" s="61">
        <f>C26*100*'Item Budget'!$B$12+E26*100*'Item Budget'!$B$14+G26*100*'Item Budget'!$B$16+H26*100*'Item Budget'!$B$17+I26/100*'Item Budget'!$B$18+K26*100*'Item Budget'!$B$20</f>
        <v/>
      </c>
      <c r="N26" s="61">
        <f>D26*100*'Item Budget'!$B$13+F26*100*'Item Budget'!$B$15+H26*100*'Item Budget'!$B$17+I26/100*'Item Budget'!$B$18+J26/100*'Item Budget'!$B$19+K26*100*'Item Budget'!$B$20+L26*100*'Item Budget'!$B$21</f>
        <v/>
      </c>
      <c r="O26" s="61">
        <f>100*('Item Budget'!$R$7*(D26+F26)+H26*'Item Budget'!$R$8+K26*'Item Budget'!$B$20+L26*'Item Budget'!$B$21)</f>
        <v/>
      </c>
      <c r="P26" s="2" t="n"/>
      <c r="Q26" s="2" t="n"/>
      <c r="R26" s="2" t="n"/>
      <c r="S26" s="2" t="n"/>
      <c r="T26" s="2" t="n"/>
      <c r="U26" s="2" t="n"/>
      <c r="V26" s="2" t="n"/>
      <c r="W26" s="2" t="n"/>
      <c r="X26" s="2" t="n"/>
      <c r="Y26" s="2" t="n"/>
      <c r="Z26" s="2" t="n"/>
      <c r="AA26" s="2" t="n"/>
    </row>
    <row r="27">
      <c r="A27" s="21" t="n">
        <v>66</v>
      </c>
      <c r="B27" s="21" t="inlineStr">
        <is>
          <t>Mana Point Regeneration C</t>
        </is>
      </c>
      <c r="C27" s="38" t="n">
        <v>0</v>
      </c>
      <c r="D27" s="38" t="n">
        <v>0</v>
      </c>
      <c r="E27" s="38" t="n">
        <v>0</v>
      </c>
      <c r="F27" s="38" t="n">
        <v>0</v>
      </c>
      <c r="G27" s="38" t="n">
        <v>0</v>
      </c>
      <c r="H27" s="38" t="n">
        <v>0</v>
      </c>
      <c r="I27" s="39" t="n">
        <v>0</v>
      </c>
      <c r="J27" s="39" t="n">
        <v>100</v>
      </c>
      <c r="K27" s="38" t="n">
        <v>0</v>
      </c>
      <c r="L27" s="38" t="n">
        <v>0</v>
      </c>
      <c r="M27" s="61">
        <f>C27*100*'Item Budget'!$B$12+E27*100*'Item Budget'!$B$14+G27*100*'Item Budget'!$B$16+H27*100*'Item Budget'!$B$17+I27/100*'Item Budget'!$B$18+K27*100*'Item Budget'!$B$20</f>
        <v/>
      </c>
      <c r="N27" s="61">
        <f>D27*100*'Item Budget'!$B$13+F27*100*'Item Budget'!$B$15+H27*100*'Item Budget'!$B$17+I27/100*'Item Budget'!$B$18+J27/100*'Item Budget'!$B$19+K27*100*'Item Budget'!$B$20+L27*100*'Item Budget'!$B$21</f>
        <v/>
      </c>
      <c r="O27" s="61">
        <f>100*('Item Budget'!$R$7*(D27+F27)+H27*'Item Budget'!$R$8+K27*'Item Budget'!$B$20+L27*'Item Budget'!$B$21)</f>
        <v/>
      </c>
      <c r="P27" s="2" t="n"/>
      <c r="Q27" s="2" t="n"/>
      <c r="R27" s="2" t="n"/>
      <c r="S27" s="2" t="n"/>
      <c r="T27" s="2" t="n"/>
      <c r="U27" s="2" t="n"/>
      <c r="V27" s="2" t="n"/>
      <c r="W27" s="2" t="n"/>
      <c r="X27" s="2" t="n"/>
      <c r="Y27" s="2" t="n"/>
      <c r="Z27" s="2" t="n"/>
      <c r="AA27" s="2" t="n"/>
    </row>
    <row r="28">
      <c r="A28" s="21" t="n">
        <v>67</v>
      </c>
      <c r="B28" s="21" t="inlineStr">
        <is>
          <t>Mana Point Regeneration D</t>
        </is>
      </c>
      <c r="C28" s="38" t="n">
        <v>0</v>
      </c>
      <c r="D28" s="38" t="n">
        <v>0</v>
      </c>
      <c r="E28" s="38" t="n">
        <v>0</v>
      </c>
      <c r="F28" s="38" t="n">
        <v>0</v>
      </c>
      <c r="G28" s="38" t="n">
        <v>0</v>
      </c>
      <c r="H28" s="38" t="n">
        <v>0</v>
      </c>
      <c r="I28" s="39" t="n">
        <v>0</v>
      </c>
      <c r="J28" s="39" t="n">
        <v>500</v>
      </c>
      <c r="K28" s="38" t="n">
        <v>0</v>
      </c>
      <c r="L28" s="38" t="n">
        <v>0</v>
      </c>
      <c r="M28" s="61">
        <f>C28*100*'Item Budget'!$B$12+E28*100*'Item Budget'!$B$14+G28*100*'Item Budget'!$B$16+H28*100*'Item Budget'!$B$17+I28/100*'Item Budget'!$B$18+K28*100*'Item Budget'!$B$20</f>
        <v/>
      </c>
      <c r="N28" s="61">
        <f>D28*100*'Item Budget'!$B$13+F28*100*'Item Budget'!$B$15+H28*100*'Item Budget'!$B$17+I28/100*'Item Budget'!$B$18+J28/100*'Item Budget'!$B$19+K28*100*'Item Budget'!$B$20+L28*100*'Item Budget'!$B$21</f>
        <v/>
      </c>
      <c r="O28" s="61">
        <f>100*('Item Budget'!$R$7*(D28+F28)+H28*'Item Budget'!$R$8+K28*'Item Budget'!$B$20+L28*'Item Budget'!$B$21)</f>
        <v/>
      </c>
      <c r="P28" s="2" t="n"/>
      <c r="Q28" s="2" t="n"/>
      <c r="R28" s="2" t="n"/>
      <c r="S28" s="2" t="n"/>
      <c r="T28" s="2" t="n"/>
      <c r="U28" s="2" t="n"/>
      <c r="V28" s="2" t="n"/>
      <c r="W28" s="2" t="n"/>
      <c r="X28" s="2" t="n"/>
      <c r="Y28" s="2" t="n"/>
      <c r="Z28" s="2" t="n"/>
      <c r="AA28" s="2" t="n"/>
    </row>
    <row r="29">
      <c r="A29" s="21" t="n">
        <v>68</v>
      </c>
      <c r="B29" s="21" t="inlineStr">
        <is>
          <t>Hit Point Regeneration C</t>
        </is>
      </c>
      <c r="C29" s="38" t="n">
        <v>0</v>
      </c>
      <c r="D29" s="38" t="n">
        <v>0</v>
      </c>
      <c r="E29" s="38" t="n">
        <v>0</v>
      </c>
      <c r="F29" s="38" t="n">
        <v>0</v>
      </c>
      <c r="G29" s="38" t="n">
        <v>0</v>
      </c>
      <c r="H29" s="38" t="n">
        <v>0</v>
      </c>
      <c r="I29" s="39" t="n">
        <v>100</v>
      </c>
      <c r="J29" s="39" t="n">
        <v>0</v>
      </c>
      <c r="K29" s="38" t="n">
        <v>0</v>
      </c>
      <c r="L29" s="38" t="n">
        <v>0</v>
      </c>
      <c r="M29" s="61">
        <f>C29*100*'Item Budget'!$B$12+E29*100*'Item Budget'!$B$14+G29*100*'Item Budget'!$B$16+H29*100*'Item Budget'!$B$17+I29/100*'Item Budget'!$B$18+K29*100*'Item Budget'!$B$20</f>
        <v/>
      </c>
      <c r="N29" s="61">
        <f>D29*100*'Item Budget'!$B$13+F29*100*'Item Budget'!$B$15+H29*100*'Item Budget'!$B$17+I29/100*'Item Budget'!$B$18+J29/100*'Item Budget'!$B$19+K29*100*'Item Budget'!$B$20+L29*100*'Item Budget'!$B$21</f>
        <v/>
      </c>
      <c r="O29" s="61">
        <f>100*('Item Budget'!$R$7*(D29+F29)+H29*'Item Budget'!$R$8+K29*'Item Budget'!$B$20+L29*'Item Budget'!$B$21)</f>
        <v/>
      </c>
      <c r="P29" s="2" t="n"/>
      <c r="Q29" s="2" t="n"/>
      <c r="R29" s="2" t="n"/>
      <c r="S29" s="2" t="n"/>
      <c r="T29" s="2" t="n"/>
      <c r="U29" s="2" t="n"/>
      <c r="V29" s="2" t="n"/>
      <c r="W29" s="2" t="n"/>
      <c r="X29" s="2" t="n"/>
      <c r="Y29" s="2" t="n"/>
      <c r="Z29" s="2" t="n"/>
      <c r="AA29" s="2" t="n"/>
    </row>
    <row r="30">
      <c r="A30" s="21" t="n">
        <v>69</v>
      </c>
      <c r="B30" s="21" t="inlineStr">
        <is>
          <t>Hit Point Regeneration D</t>
        </is>
      </c>
      <c r="C30" s="38" t="n">
        <v>0</v>
      </c>
      <c r="D30" s="38" t="n">
        <v>0</v>
      </c>
      <c r="E30" s="38" t="n">
        <v>0</v>
      </c>
      <c r="F30" s="38" t="n">
        <v>0</v>
      </c>
      <c r="G30" s="38" t="n">
        <v>0</v>
      </c>
      <c r="H30" s="38" t="n">
        <v>0</v>
      </c>
      <c r="I30" s="39" t="n">
        <v>500</v>
      </c>
      <c r="J30" s="39" t="n">
        <v>0</v>
      </c>
      <c r="K30" s="38" t="n">
        <v>0</v>
      </c>
      <c r="L30" s="38" t="n">
        <v>0</v>
      </c>
      <c r="M30" s="61">
        <f>C30*100*'Item Budget'!$B$12+E30*100*'Item Budget'!$B$14+G30*100*'Item Budget'!$B$16+H30*100*'Item Budget'!$B$17+I30/100*'Item Budget'!$B$18+K30*100*'Item Budget'!$B$20</f>
        <v/>
      </c>
      <c r="N30" s="61">
        <f>D30*100*'Item Budget'!$B$13+F30*100*'Item Budget'!$B$15+H30*100*'Item Budget'!$B$17+I30/100*'Item Budget'!$B$18+J30/100*'Item Budget'!$B$19+K30*100*'Item Budget'!$B$20+L30*100*'Item Budget'!$B$21</f>
        <v/>
      </c>
      <c r="O30" s="61">
        <f>100*('Item Budget'!$R$7*(D30+F30)+H30*'Item Budget'!$R$8+K30*'Item Budget'!$B$20+L30*'Item Budget'!$B$21)</f>
        <v/>
      </c>
      <c r="P30" s="2" t="n"/>
      <c r="Q30" s="2" t="n"/>
      <c r="R30" s="2" t="n"/>
      <c r="S30" s="2" t="n"/>
      <c r="T30" s="2" t="n"/>
      <c r="U30" s="2" t="n"/>
      <c r="V30" s="2" t="n"/>
      <c r="W30" s="2" t="n"/>
      <c r="X30" s="2" t="n"/>
      <c r="Y30" s="2" t="n"/>
      <c r="Z30" s="2" t="n"/>
      <c r="AA30" s="2" t="n"/>
    </row>
    <row r="31">
      <c r="A31" s="21" t="n">
        <v>70</v>
      </c>
      <c r="B31" s="21" t="inlineStr">
        <is>
          <t>Increased Spell Damage V</t>
        </is>
      </c>
      <c r="C31" s="38" t="n">
        <v>0</v>
      </c>
      <c r="D31" s="38" t="n">
        <v>0.05</v>
      </c>
      <c r="E31" s="38" t="n">
        <v>0</v>
      </c>
      <c r="F31" s="38" t="n">
        <v>0</v>
      </c>
      <c r="G31" s="38" t="n">
        <v>0</v>
      </c>
      <c r="H31" s="38" t="n">
        <v>0</v>
      </c>
      <c r="I31" s="39" t="n">
        <v>0</v>
      </c>
      <c r="J31" s="39" t="n">
        <v>0</v>
      </c>
      <c r="K31" s="38" t="n">
        <v>0</v>
      </c>
      <c r="L31" s="38" t="n">
        <v>0</v>
      </c>
      <c r="M31" s="61">
        <f>C31*100*'Item Budget'!$B$12+E31*100*'Item Budget'!$B$14+G31*100*'Item Budget'!$B$16+H31*100*'Item Budget'!$B$17+I31/100*'Item Budget'!$B$18+K31*100*'Item Budget'!$B$20</f>
        <v/>
      </c>
      <c r="N31" s="61">
        <f>D31*100*'Item Budget'!$B$13+F31*100*'Item Budget'!$B$15+H31*100*'Item Budget'!$B$17+I31/100*'Item Budget'!$B$18+J31/100*'Item Budget'!$B$19+K31*100*'Item Budget'!$B$20+L31*100*'Item Budget'!$B$21</f>
        <v/>
      </c>
      <c r="O31" s="61">
        <f>100*('Item Budget'!$R$7*(D31+F31)+H31*'Item Budget'!$R$8+K31*'Item Budget'!$B$20+L31*'Item Budget'!$B$21)</f>
        <v/>
      </c>
      <c r="P31" s="2" t="n"/>
      <c r="Q31" s="2" t="n"/>
      <c r="R31" s="2" t="n"/>
      <c r="S31" s="2" t="n"/>
      <c r="T31" s="2" t="n"/>
      <c r="U31" s="2" t="n"/>
      <c r="V31" s="2" t="n"/>
      <c r="W31" s="2" t="n"/>
      <c r="X31" s="2" t="n"/>
      <c r="Y31" s="2" t="n"/>
      <c r="Z31" s="2" t="n"/>
      <c r="AA31" s="2" t="n"/>
    </row>
    <row r="32">
      <c r="A32" s="21" t="n">
        <v>71</v>
      </c>
      <c r="B32" s="21" t="inlineStr">
        <is>
          <t>Increased Spell Damage X</t>
        </is>
      </c>
      <c r="C32" s="38" t="n">
        <v>0</v>
      </c>
      <c r="D32" s="38" t="n">
        <v>0.1</v>
      </c>
      <c r="E32" s="38" t="n">
        <v>0</v>
      </c>
      <c r="F32" s="38" t="n">
        <v>0</v>
      </c>
      <c r="G32" s="38" t="n">
        <v>0</v>
      </c>
      <c r="H32" s="38" t="n">
        <v>0</v>
      </c>
      <c r="I32" s="39" t="n">
        <v>0</v>
      </c>
      <c r="J32" s="39" t="n">
        <v>0</v>
      </c>
      <c r="K32" s="38" t="n">
        <v>0</v>
      </c>
      <c r="L32" s="38" t="n">
        <v>0</v>
      </c>
      <c r="M32" s="61">
        <f>C32*100*'Item Budget'!$B$12+E32*100*'Item Budget'!$B$14+G32*100*'Item Budget'!$B$16+H32*100*'Item Budget'!$B$17+I32/100*'Item Budget'!$B$18+K32*100*'Item Budget'!$B$20</f>
        <v/>
      </c>
      <c r="N32" s="61">
        <f>D32*100*'Item Budget'!$B$13+F32*100*'Item Budget'!$B$15+H32*100*'Item Budget'!$B$17+I32/100*'Item Budget'!$B$18+J32/100*'Item Budget'!$B$19+K32*100*'Item Budget'!$B$20+L32*100*'Item Budget'!$B$21</f>
        <v/>
      </c>
      <c r="O32" s="61">
        <f>100*('Item Budget'!$R$7*(D32+F32)+H32*'Item Budget'!$R$8+K32*'Item Budget'!$B$20+L32*'Item Budget'!$B$21)</f>
        <v/>
      </c>
      <c r="P32" s="2" t="n"/>
      <c r="Q32" s="2" t="n"/>
      <c r="R32" s="2" t="n"/>
      <c r="S32" s="2" t="n"/>
      <c r="T32" s="2" t="n"/>
      <c r="U32" s="2" t="n"/>
      <c r="V32" s="2" t="n"/>
      <c r="W32" s="2" t="n"/>
      <c r="X32" s="2" t="n"/>
      <c r="Y32" s="2" t="n"/>
      <c r="Z32" s="2" t="n"/>
      <c r="AA32" s="2" t="n"/>
    </row>
    <row r="33">
      <c r="A33" s="21" t="n">
        <v>72</v>
      </c>
      <c r="B33" s="21" t="inlineStr">
        <is>
          <t>Increased Spell Damage XX</t>
        </is>
      </c>
      <c r="C33" s="38" t="n">
        <v>0</v>
      </c>
      <c r="D33" s="38" t="n">
        <v>0.2</v>
      </c>
      <c r="E33" s="38" t="n">
        <v>0</v>
      </c>
      <c r="F33" s="38" t="n">
        <v>0</v>
      </c>
      <c r="G33" s="38" t="n">
        <v>0</v>
      </c>
      <c r="H33" s="38" t="n">
        <v>0</v>
      </c>
      <c r="I33" s="39" t="n">
        <v>0</v>
      </c>
      <c r="J33" s="39" t="n">
        <v>0</v>
      </c>
      <c r="K33" s="38" t="n">
        <v>0</v>
      </c>
      <c r="L33" s="38" t="n">
        <v>0</v>
      </c>
      <c r="M33" s="61">
        <f>C33*100*'Item Budget'!$B$12+E33*100*'Item Budget'!$B$14+G33*100*'Item Budget'!$B$16+H33*100*'Item Budget'!$B$17+I33/100*'Item Budget'!$B$18+K33*100*'Item Budget'!$B$20</f>
        <v/>
      </c>
      <c r="N33" s="61">
        <f>D33*100*'Item Budget'!$B$13+F33*100*'Item Budget'!$B$15+H33*100*'Item Budget'!$B$17+I33/100*'Item Budget'!$B$18+J33/100*'Item Budget'!$B$19+K33*100*'Item Budget'!$B$20+L33*100*'Item Budget'!$B$21</f>
        <v/>
      </c>
      <c r="O33" s="61">
        <f>100*('Item Budget'!$R$7*(D33+F33)+H33*'Item Budget'!$R$8+K33*'Item Budget'!$B$20+L33*'Item Budget'!$B$21)</f>
        <v/>
      </c>
      <c r="P33" s="2" t="n"/>
      <c r="Q33" s="2" t="n"/>
      <c r="R33" s="2" t="n"/>
      <c r="S33" s="2" t="n"/>
      <c r="T33" s="2" t="n"/>
      <c r="U33" s="2" t="n"/>
      <c r="V33" s="2" t="n"/>
      <c r="W33" s="2" t="n"/>
      <c r="X33" s="2" t="n"/>
      <c r="Y33" s="2" t="n"/>
      <c r="Z33" s="2" t="n"/>
      <c r="AA33" s="2" t="n"/>
    </row>
    <row r="34">
      <c r="A34" s="21" t="n">
        <v>73</v>
      </c>
      <c r="B34" s="21" t="inlineStr">
        <is>
          <t>Haste V</t>
        </is>
      </c>
      <c r="C34" s="38" t="n">
        <v>0</v>
      </c>
      <c r="D34" s="38" t="n">
        <v>0</v>
      </c>
      <c r="E34" s="38" t="n">
        <v>0</v>
      </c>
      <c r="F34" s="38" t="n">
        <v>0</v>
      </c>
      <c r="G34" s="38" t="n">
        <v>0.05</v>
      </c>
      <c r="H34" s="38" t="n">
        <v>0</v>
      </c>
      <c r="I34" s="39" t="n">
        <v>0</v>
      </c>
      <c r="J34" s="39" t="n">
        <v>0</v>
      </c>
      <c r="K34" s="38" t="n">
        <v>0</v>
      </c>
      <c r="L34" s="38" t="n">
        <v>0</v>
      </c>
      <c r="M34" s="61">
        <f>C34*100*'Item Budget'!$B$12+E34*100*'Item Budget'!$B$14+G34*100*'Item Budget'!$B$16+H34*100*'Item Budget'!$B$17+I34/100*'Item Budget'!$B$18+K34*100*'Item Budget'!$B$20</f>
        <v/>
      </c>
      <c r="N34" s="61">
        <f>D34*100*'Item Budget'!$B$13+F34*100*'Item Budget'!$B$15+H34*100*'Item Budget'!$B$17+I34/100*'Item Budget'!$B$18+J34/100*'Item Budget'!$B$19+K34*100*'Item Budget'!$B$20+L34*100*'Item Budget'!$B$21</f>
        <v/>
      </c>
      <c r="O34" s="61">
        <f>100*('Item Budget'!$R$7*(D34+F34)+H34*'Item Budget'!$R$8+K34*'Item Budget'!$B$20+L34*'Item Budget'!$B$21)</f>
        <v/>
      </c>
      <c r="P34" s="2" t="n"/>
      <c r="Q34" s="2" t="n"/>
      <c r="R34" s="2" t="n"/>
      <c r="S34" s="2" t="n"/>
      <c r="T34" s="2" t="n"/>
      <c r="U34" s="2" t="n"/>
      <c r="V34" s="2" t="n"/>
      <c r="W34" s="2" t="n"/>
      <c r="X34" s="2" t="n"/>
      <c r="Y34" s="2" t="n"/>
      <c r="Z34" s="2" t="n"/>
      <c r="AA34" s="2" t="n"/>
    </row>
    <row r="35">
      <c r="A35" s="21" t="n">
        <v>74</v>
      </c>
      <c r="B35" s="21" t="inlineStr">
        <is>
          <t>Haste X</t>
        </is>
      </c>
      <c r="C35" s="38" t="n">
        <v>0</v>
      </c>
      <c r="D35" s="38" t="n">
        <v>0</v>
      </c>
      <c r="E35" s="38" t="n">
        <v>0</v>
      </c>
      <c r="F35" s="38" t="n">
        <v>0</v>
      </c>
      <c r="G35" s="38" t="n">
        <v>0.1</v>
      </c>
      <c r="H35" s="38" t="n">
        <v>0</v>
      </c>
      <c r="I35" s="39" t="n">
        <v>0</v>
      </c>
      <c r="J35" s="39" t="n">
        <v>0</v>
      </c>
      <c r="K35" s="38" t="n">
        <v>0</v>
      </c>
      <c r="L35" s="38" t="n">
        <v>0</v>
      </c>
      <c r="M35" s="61">
        <f>C35*100*'Item Budget'!$B$12+E35*100*'Item Budget'!$B$14+G35*100*'Item Budget'!$B$16+H35*100*'Item Budget'!$B$17+I35/100*'Item Budget'!$B$18+K35*100*'Item Budget'!$B$20</f>
        <v/>
      </c>
      <c r="N35" s="61">
        <f>D35*100*'Item Budget'!$B$13+F35*100*'Item Budget'!$B$15+H35*100*'Item Budget'!$B$17+I35/100*'Item Budget'!$B$18+J35/100*'Item Budget'!$B$19+K35*100*'Item Budget'!$B$20+L35*100*'Item Budget'!$B$21</f>
        <v/>
      </c>
      <c r="O35" s="61">
        <f>100*('Item Budget'!$R$7*(D35+F35)+H35*'Item Budget'!$R$8+K35*'Item Budget'!$B$20+L35*'Item Budget'!$B$21)</f>
        <v/>
      </c>
      <c r="P35" s="2" t="n"/>
      <c r="Q35" s="2" t="n"/>
      <c r="R35" s="2" t="n"/>
      <c r="S35" s="2" t="n"/>
      <c r="T35" s="2" t="n"/>
      <c r="U35" s="2" t="n"/>
      <c r="V35" s="2" t="n"/>
      <c r="W35" s="2" t="n"/>
      <c r="X35" s="2" t="n"/>
      <c r="Y35" s="2" t="n"/>
      <c r="Z35" s="2" t="n"/>
      <c r="AA35" s="2" t="n"/>
    </row>
    <row r="36">
      <c r="A36" s="21" t="n">
        <v>75</v>
      </c>
      <c r="B36" s="21" t="inlineStr">
        <is>
          <t>Haste XX</t>
        </is>
      </c>
      <c r="C36" s="38" t="n">
        <v>0</v>
      </c>
      <c r="D36" s="38" t="n">
        <v>0</v>
      </c>
      <c r="E36" s="38" t="n">
        <v>0</v>
      </c>
      <c r="F36" s="38" t="n">
        <v>0</v>
      </c>
      <c r="G36" s="38" t="n">
        <v>0.2</v>
      </c>
      <c r="H36" s="38" t="n">
        <v>0</v>
      </c>
      <c r="I36" s="39" t="n">
        <v>0</v>
      </c>
      <c r="J36" s="39" t="n">
        <v>0</v>
      </c>
      <c r="K36" s="38" t="n">
        <v>0</v>
      </c>
      <c r="L36" s="38" t="n">
        <v>0</v>
      </c>
      <c r="M36" s="61">
        <f>C36*100*'Item Budget'!$B$12+E36*100*'Item Budget'!$B$14+G36*100*'Item Budget'!$B$16+H36*100*'Item Budget'!$B$17+I36/100*'Item Budget'!$B$18+K36*100*'Item Budget'!$B$20</f>
        <v/>
      </c>
      <c r="N36" s="61">
        <f>D36*100*'Item Budget'!$B$13+F36*100*'Item Budget'!$B$15+H36*100*'Item Budget'!$B$17+I36/100*'Item Budget'!$B$18+J36/100*'Item Budget'!$B$19+K36*100*'Item Budget'!$B$20+L36*100*'Item Budget'!$B$21</f>
        <v/>
      </c>
      <c r="O36" s="61">
        <f>100*('Item Budget'!$R$7*(D36+F36)+H36*'Item Budget'!$R$8+K36*'Item Budget'!$B$20+L36*'Item Budget'!$B$21)</f>
        <v/>
      </c>
      <c r="P36" s="2" t="n"/>
      <c r="Q36" s="2" t="n"/>
      <c r="R36" s="2" t="n"/>
      <c r="S36" s="2" t="n"/>
      <c r="T36" s="2" t="n"/>
      <c r="U36" s="2" t="n"/>
      <c r="V36" s="2" t="n"/>
      <c r="W36" s="2" t="n"/>
      <c r="X36" s="2" t="n"/>
      <c r="Y36" s="2" t="n"/>
      <c r="Z36" s="2" t="n"/>
      <c r="AA36" s="2" t="n"/>
    </row>
    <row r="37">
      <c r="A37" s="21" t="n">
        <v>76</v>
      </c>
      <c r="B37" s="21" t="inlineStr">
        <is>
          <t>Spell Critical Damage V</t>
        </is>
      </c>
      <c r="C37" s="38" t="n">
        <v>0</v>
      </c>
      <c r="D37" s="38" t="n">
        <v>0</v>
      </c>
      <c r="E37" s="38" t="n">
        <v>0</v>
      </c>
      <c r="F37" s="38" t="n">
        <v>0.05</v>
      </c>
      <c r="G37" s="38" t="n">
        <v>0</v>
      </c>
      <c r="H37" s="38" t="n">
        <v>0</v>
      </c>
      <c r="I37" s="39" t="n">
        <v>0</v>
      </c>
      <c r="J37" s="39" t="n">
        <v>0</v>
      </c>
      <c r="K37" s="38" t="n">
        <v>0</v>
      </c>
      <c r="L37" s="38" t="n">
        <v>0</v>
      </c>
      <c r="M37" s="61">
        <f>C37*100*'Item Budget'!$B$12+E37*100*'Item Budget'!$B$14+G37*100*'Item Budget'!$B$16+H37*100*'Item Budget'!$B$17+I37/100*'Item Budget'!$B$18+K37*100*'Item Budget'!$B$20</f>
        <v/>
      </c>
      <c r="N37" s="61">
        <f>D37*100*'Item Budget'!$B$13+F37*100*'Item Budget'!$B$15+H37*100*'Item Budget'!$B$17+I37/100*'Item Budget'!$B$18+J37/100*'Item Budget'!$B$19+K37*100*'Item Budget'!$B$20+L37*100*'Item Budget'!$B$21</f>
        <v/>
      </c>
      <c r="O37" s="61">
        <f>100*('Item Budget'!$R$7*(D37+F37)+H37*'Item Budget'!$R$8+K37*'Item Budget'!$B$20+L37*'Item Budget'!$B$21)</f>
        <v/>
      </c>
      <c r="P37" s="2" t="n"/>
      <c r="Q37" s="2" t="n"/>
      <c r="R37" s="2" t="n"/>
      <c r="S37" s="2" t="n"/>
      <c r="T37" s="2" t="n"/>
      <c r="U37" s="2" t="n"/>
      <c r="V37" s="2" t="n"/>
      <c r="W37" s="2" t="n"/>
      <c r="X37" s="2" t="n"/>
      <c r="Y37" s="2" t="n"/>
      <c r="Z37" s="2" t="n"/>
      <c r="AA37" s="2" t="n"/>
    </row>
    <row r="38">
      <c r="A38" s="21" t="n">
        <v>77</v>
      </c>
      <c r="B38" s="21" t="inlineStr">
        <is>
          <t>Spell Critical Damage X</t>
        </is>
      </c>
      <c r="C38" s="38" t="n">
        <v>0</v>
      </c>
      <c r="D38" s="38" t="n">
        <v>0</v>
      </c>
      <c r="E38" s="38" t="n">
        <v>0</v>
      </c>
      <c r="F38" s="38" t="n">
        <v>0.1</v>
      </c>
      <c r="G38" s="38" t="n">
        <v>0</v>
      </c>
      <c r="H38" s="38" t="n">
        <v>0</v>
      </c>
      <c r="I38" s="39" t="n">
        <v>0</v>
      </c>
      <c r="J38" s="39" t="n">
        <v>0</v>
      </c>
      <c r="K38" s="38" t="n">
        <v>0</v>
      </c>
      <c r="L38" s="38" t="n">
        <v>0</v>
      </c>
      <c r="M38" s="61">
        <f>C38*100*'Item Budget'!$B$12+E38*100*'Item Budget'!$B$14+G38*100*'Item Budget'!$B$16+H38*100*'Item Budget'!$B$17+I38/100*'Item Budget'!$B$18+K38*100*'Item Budget'!$B$20</f>
        <v/>
      </c>
      <c r="N38" s="61">
        <f>D38*100*'Item Budget'!$B$13+F38*100*'Item Budget'!$B$15+H38*100*'Item Budget'!$B$17+I38/100*'Item Budget'!$B$18+J38/100*'Item Budget'!$B$19+K38*100*'Item Budget'!$B$20+L38*100*'Item Budget'!$B$21</f>
        <v/>
      </c>
      <c r="O38" s="61">
        <f>100*('Item Budget'!$R$7*(D38+F38)+H38*'Item Budget'!$R$8+K38*'Item Budget'!$B$20+L38*'Item Budget'!$B$21)</f>
        <v/>
      </c>
      <c r="P38" s="2" t="n"/>
      <c r="Q38" s="2" t="n"/>
      <c r="R38" s="2" t="n"/>
      <c r="S38" s="2" t="n"/>
      <c r="T38" s="2" t="n"/>
      <c r="U38" s="2" t="n"/>
      <c r="V38" s="2" t="n"/>
      <c r="W38" s="2" t="n"/>
      <c r="X38" s="2" t="n"/>
      <c r="Y38" s="2" t="n"/>
      <c r="Z38" s="2" t="n"/>
      <c r="AA38" s="2" t="n"/>
    </row>
    <row r="39">
      <c r="A39" s="21" t="n">
        <v>78</v>
      </c>
      <c r="B39" s="21" t="inlineStr">
        <is>
          <t>Melee Critical Damage V</t>
        </is>
      </c>
      <c r="C39" s="38" t="n">
        <v>0</v>
      </c>
      <c r="D39" s="38" t="n">
        <v>0</v>
      </c>
      <c r="E39" s="38" t="n">
        <v>0.05</v>
      </c>
      <c r="F39" s="38" t="n">
        <v>0</v>
      </c>
      <c r="G39" s="38" t="n">
        <v>0</v>
      </c>
      <c r="H39" s="38" t="n">
        <v>0</v>
      </c>
      <c r="I39" s="39" t="n">
        <v>0</v>
      </c>
      <c r="J39" s="39" t="n">
        <v>0</v>
      </c>
      <c r="K39" s="38" t="n">
        <v>0</v>
      </c>
      <c r="L39" s="38" t="n">
        <v>0</v>
      </c>
      <c r="M39" s="61">
        <f>C39*100*'Item Budget'!$B$12+E39*100*'Item Budget'!$B$14+G39*100*'Item Budget'!$B$16+H39*100*'Item Budget'!$B$17+I39/100*'Item Budget'!$B$18+K39*100*'Item Budget'!$B$20</f>
        <v/>
      </c>
      <c r="N39" s="61">
        <f>D39*100*'Item Budget'!$B$13+F39*100*'Item Budget'!$B$15+H39*100*'Item Budget'!$B$17+I39/100*'Item Budget'!$B$18+J39/100*'Item Budget'!$B$19+K39*100*'Item Budget'!$B$20+L39*100*'Item Budget'!$B$21</f>
        <v/>
      </c>
      <c r="O39" s="61">
        <f>100*('Item Budget'!$R$7*(D39+F39)+H39*'Item Budget'!$R$8+K39*'Item Budget'!$B$20+L39*'Item Budget'!$B$21)</f>
        <v/>
      </c>
      <c r="P39" s="2" t="n"/>
      <c r="Q39" s="2" t="n"/>
      <c r="R39" s="2" t="n"/>
      <c r="S39" s="2" t="n"/>
      <c r="T39" s="2" t="n"/>
      <c r="U39" s="2" t="n"/>
      <c r="V39" s="2" t="n"/>
      <c r="W39" s="2" t="n"/>
      <c r="X39" s="2" t="n"/>
      <c r="Y39" s="2" t="n"/>
      <c r="Z39" s="2" t="n"/>
      <c r="AA39" s="2" t="n"/>
    </row>
    <row r="40">
      <c r="A40" s="21" t="n">
        <v>79</v>
      </c>
      <c r="B40" s="21" t="inlineStr">
        <is>
          <t>Melee Critical Damage X</t>
        </is>
      </c>
      <c r="C40" s="38" t="n">
        <v>0</v>
      </c>
      <c r="D40" s="38" t="n">
        <v>0</v>
      </c>
      <c r="E40" s="38" t="n">
        <v>0.1</v>
      </c>
      <c r="F40" s="38" t="n">
        <v>0</v>
      </c>
      <c r="G40" s="38" t="n">
        <v>0</v>
      </c>
      <c r="H40" s="38" t="n">
        <v>0</v>
      </c>
      <c r="I40" s="39" t="n">
        <v>0</v>
      </c>
      <c r="J40" s="39" t="n">
        <v>0</v>
      </c>
      <c r="K40" s="38" t="n">
        <v>0</v>
      </c>
      <c r="L40" s="38" t="n">
        <v>0</v>
      </c>
      <c r="M40" s="61">
        <f>C40*100*'Item Budget'!$B$12+E40*100*'Item Budget'!$B$14+G40*100*'Item Budget'!$B$16+H40*100*'Item Budget'!$B$17+I40/100*'Item Budget'!$B$18+K40*100*'Item Budget'!$B$20</f>
        <v/>
      </c>
      <c r="N40" s="61">
        <f>D40*100*'Item Budget'!$B$13+F40*100*'Item Budget'!$B$15+H40*100*'Item Budget'!$B$17+I40/100*'Item Budget'!$B$18+J40/100*'Item Budget'!$B$19+K40*100*'Item Budget'!$B$20+L40*100*'Item Budget'!$B$21</f>
        <v/>
      </c>
      <c r="O40" s="61">
        <f>100*('Item Budget'!$R$7*(D40+F40)+H40*'Item Budget'!$R$8+K40*'Item Budget'!$B$20+L40*'Item Budget'!$B$21)</f>
        <v/>
      </c>
      <c r="P40" s="2" t="n"/>
      <c r="Q40" s="2" t="n"/>
      <c r="R40" s="2" t="n"/>
      <c r="S40" s="2" t="n"/>
      <c r="T40" s="2" t="n"/>
      <c r="U40" s="2" t="n"/>
      <c r="V40" s="2" t="n"/>
      <c r="W40" s="2" t="n"/>
      <c r="X40" s="2" t="n"/>
      <c r="Y40" s="2" t="n"/>
      <c r="Z40" s="2" t="n"/>
      <c r="AA40" s="2" t="n"/>
    </row>
    <row r="41">
      <c r="A41" s="21" t="n">
        <v>80</v>
      </c>
      <c r="B41" s="21" t="inlineStr">
        <is>
          <t>Mana Point Regeneration 1</t>
        </is>
      </c>
      <c r="C41" s="38" t="n">
        <v>0</v>
      </c>
      <c r="D41" s="38" t="n">
        <v>0</v>
      </c>
      <c r="E41" s="38" t="n">
        <v>0</v>
      </c>
      <c r="F41" s="38" t="n">
        <v>0</v>
      </c>
      <c r="G41" s="38" t="n">
        <v>0</v>
      </c>
      <c r="H41" s="38" t="n">
        <v>0</v>
      </c>
      <c r="I41" s="39" t="n">
        <v>0</v>
      </c>
      <c r="J41" s="39" t="n">
        <v>0</v>
      </c>
      <c r="K41" s="38" t="n">
        <v>0</v>
      </c>
      <c r="L41" s="38" t="n">
        <v>0.01</v>
      </c>
      <c r="M41" s="61">
        <f>C41*100*'Item Budget'!$B$12+E41*100*'Item Budget'!$B$14+G41*100*'Item Budget'!$B$16+H41*100*'Item Budget'!$B$17+I41/100*'Item Budget'!$B$18+K41*100*'Item Budget'!$B$20</f>
        <v/>
      </c>
      <c r="N41" s="61">
        <f>D41*100*'Item Budget'!$B$13+F41*100*'Item Budget'!$B$15+H41*100*'Item Budget'!$B$17+I41/100*'Item Budget'!$B$18+J41/100*'Item Budget'!$B$19+K41*100*'Item Budget'!$B$20+L41*100*'Item Budget'!$B$21</f>
        <v/>
      </c>
      <c r="O41" s="61">
        <f>100*('Item Budget'!$R$7*(D41+F41)+H41*'Item Budget'!$R$8+K41*'Item Budget'!$B$20+L41*'Item Budget'!$B$21)</f>
        <v/>
      </c>
      <c r="P41" s="2" t="n"/>
      <c r="Q41" s="2" t="n"/>
      <c r="R41" s="2" t="n"/>
      <c r="S41" s="2" t="n"/>
      <c r="T41" s="2" t="n"/>
      <c r="U41" s="2" t="n"/>
      <c r="V41" s="2" t="n"/>
      <c r="W41" s="2" t="n"/>
      <c r="X41" s="2" t="n"/>
      <c r="Y41" s="2" t="n"/>
      <c r="Z41" s="2" t="n"/>
      <c r="AA41" s="2" t="n"/>
    </row>
    <row r="42">
      <c r="A42" s="21" t="n">
        <v>81</v>
      </c>
      <c r="B42" s="21" t="inlineStr">
        <is>
          <t>Hit Point Regeneration 1</t>
        </is>
      </c>
      <c r="C42" s="38" t="n">
        <v>0</v>
      </c>
      <c r="D42" s="38" t="n">
        <v>0</v>
      </c>
      <c r="E42" s="38" t="n">
        <v>0</v>
      </c>
      <c r="F42" s="38" t="n">
        <v>0</v>
      </c>
      <c r="G42" s="38" t="n">
        <v>0</v>
      </c>
      <c r="H42" s="38" t="n">
        <v>0</v>
      </c>
      <c r="I42" s="39" t="n">
        <v>0</v>
      </c>
      <c r="J42" s="39" t="n">
        <v>0</v>
      </c>
      <c r="K42" s="38" t="n">
        <v>0.01</v>
      </c>
      <c r="L42" s="38" t="n">
        <v>0</v>
      </c>
      <c r="M42" s="61">
        <f>C42*100*'Item Budget'!$B$12+E42*100*'Item Budget'!$B$14+G42*100*'Item Budget'!$B$16+H42*100*'Item Budget'!$B$17+I42/100*'Item Budget'!$B$18+K42*100*'Item Budget'!$B$20</f>
        <v/>
      </c>
      <c r="N42" s="61">
        <f>D42*100*'Item Budget'!$B$13+F42*100*'Item Budget'!$B$15+H42*100*'Item Budget'!$B$17+I42/100*'Item Budget'!$B$18+J42/100*'Item Budget'!$B$19+K42*100*'Item Budget'!$B$20+L42*100*'Item Budget'!$B$21</f>
        <v/>
      </c>
      <c r="O42" s="61">
        <f>100*('Item Budget'!$R$7*(D42+F42)+H42*'Item Budget'!$R$8+K42*'Item Budget'!$B$20+L42*'Item Budget'!$B$21)</f>
        <v/>
      </c>
      <c r="P42" s="2" t="n"/>
      <c r="Q42" s="2" t="n"/>
      <c r="R42" s="2" t="n"/>
      <c r="S42" s="2" t="n"/>
      <c r="T42" s="2" t="n"/>
      <c r="U42" s="2" t="n"/>
      <c r="V42" s="2" t="n"/>
      <c r="W42" s="2" t="n"/>
      <c r="X42" s="2" t="n"/>
      <c r="Y42" s="2" t="n"/>
      <c r="Z42" s="2" t="n"/>
      <c r="AA42" s="2" t="n"/>
    </row>
    <row r="43">
      <c r="A43" s="21" t="n">
        <v>82</v>
      </c>
      <c r="B43" s="21" t="inlineStr">
        <is>
          <t>Mana Point Regeneration 2</t>
        </is>
      </c>
      <c r="C43" s="38" t="n">
        <v>0</v>
      </c>
      <c r="D43" s="38" t="n">
        <v>0</v>
      </c>
      <c r="E43" s="38" t="n">
        <v>0</v>
      </c>
      <c r="F43" s="38" t="n">
        <v>0</v>
      </c>
      <c r="G43" s="38" t="n">
        <v>0</v>
      </c>
      <c r="H43" s="38" t="n">
        <v>0</v>
      </c>
      <c r="I43" s="39" t="n">
        <v>0</v>
      </c>
      <c r="J43" s="39" t="n">
        <v>0</v>
      </c>
      <c r="K43" s="38" t="n">
        <v>0</v>
      </c>
      <c r="L43" s="38" t="n">
        <v>0.02</v>
      </c>
      <c r="M43" s="61">
        <f>C43*100*'Item Budget'!$B$12+E43*100*'Item Budget'!$B$14+G43*100*'Item Budget'!$B$16+H43*100*'Item Budget'!$B$17+I43/100*'Item Budget'!$B$18+K43*100*'Item Budget'!$B$20</f>
        <v/>
      </c>
      <c r="N43" s="61">
        <f>D43*100*'Item Budget'!$B$13+F43*100*'Item Budget'!$B$15+H43*100*'Item Budget'!$B$17+I43/100*'Item Budget'!$B$18+J43/100*'Item Budget'!$B$19+K43*100*'Item Budget'!$B$20+L43*100*'Item Budget'!$B$21</f>
        <v/>
      </c>
      <c r="O43" s="61">
        <f>100*('Item Budget'!$R$7*(D43+F43)+H43*'Item Budget'!$R$8+K43*'Item Budget'!$B$20+L43*'Item Budget'!$B$21)</f>
        <v/>
      </c>
      <c r="P43" s="2" t="n"/>
      <c r="Q43" s="2" t="n"/>
      <c r="R43" s="2" t="n"/>
      <c r="S43" s="2" t="n"/>
      <c r="T43" s="2" t="n"/>
      <c r="U43" s="2" t="n"/>
      <c r="V43" s="2" t="n"/>
      <c r="W43" s="2" t="n"/>
      <c r="X43" s="2" t="n"/>
      <c r="Y43" s="2" t="n"/>
      <c r="Z43" s="2" t="n"/>
      <c r="AA43" s="2" t="n"/>
    </row>
    <row r="44">
      <c r="A44" s="21" t="n">
        <v>83</v>
      </c>
      <c r="B44" s="21" t="inlineStr">
        <is>
          <t>Hit Point Regeneration 2</t>
        </is>
      </c>
      <c r="C44" s="38" t="n">
        <v>0</v>
      </c>
      <c r="D44" s="38" t="n">
        <v>0</v>
      </c>
      <c r="E44" s="38" t="n">
        <v>0</v>
      </c>
      <c r="F44" s="38" t="n">
        <v>0</v>
      </c>
      <c r="G44" s="38" t="n">
        <v>0</v>
      </c>
      <c r="H44" s="38" t="n">
        <v>0</v>
      </c>
      <c r="I44" s="39" t="n">
        <v>0</v>
      </c>
      <c r="J44" s="39" t="n">
        <v>0</v>
      </c>
      <c r="K44" s="38" t="n">
        <v>0.02</v>
      </c>
      <c r="L44" s="38" t="n">
        <v>0</v>
      </c>
      <c r="M44" s="61">
        <f>C44*100*'Item Budget'!$B$12+E44*100*'Item Budget'!$B$14+G44*100*'Item Budget'!$B$16+H44*100*'Item Budget'!$B$17+I44/100*'Item Budget'!$B$18+K44*100*'Item Budget'!$B$20</f>
        <v/>
      </c>
      <c r="N44" s="61">
        <f>D44*100*'Item Budget'!$B$13+F44*100*'Item Budget'!$B$15+H44*100*'Item Budget'!$B$17+I44/100*'Item Budget'!$B$18+J44/100*'Item Budget'!$B$19+K44*100*'Item Budget'!$B$20+L44*100*'Item Budget'!$B$21</f>
        <v/>
      </c>
      <c r="O44" s="61">
        <f>100*('Item Budget'!$R$7*(D44+F44)+H44*'Item Budget'!$R$8+K44*'Item Budget'!$B$20+L44*'Item Budget'!$B$21)</f>
        <v/>
      </c>
      <c r="P44" s="2" t="n"/>
      <c r="Q44" s="2" t="n"/>
      <c r="R44" s="2" t="n"/>
      <c r="S44" s="2" t="n"/>
      <c r="T44" s="2" t="n"/>
      <c r="U44" s="2" t="n"/>
      <c r="V44" s="2" t="n"/>
      <c r="W44" s="2" t="n"/>
      <c r="X44" s="2" t="n"/>
      <c r="Y44" s="2" t="n"/>
      <c r="Z44" s="2" t="n"/>
      <c r="AA44" s="2" t="n"/>
    </row>
    <row r="45">
      <c r="A45" s="21" t="n">
        <v>84</v>
      </c>
      <c r="B45" s="21" t="inlineStr">
        <is>
          <t>HP MP Regeneration</t>
        </is>
      </c>
      <c r="C45" s="38" t="n">
        <v>0</v>
      </c>
      <c r="D45" s="38" t="n">
        <v>0</v>
      </c>
      <c r="E45" s="38" t="n">
        <v>0</v>
      </c>
      <c r="F45" s="38" t="n">
        <v>0</v>
      </c>
      <c r="G45" s="38" t="n">
        <v>0</v>
      </c>
      <c r="H45" s="38" t="n">
        <v>0</v>
      </c>
      <c r="I45" s="39" t="n">
        <v>0</v>
      </c>
      <c r="J45" s="39" t="n">
        <v>0</v>
      </c>
      <c r="K45" s="38" t="n">
        <v>0.01</v>
      </c>
      <c r="L45" s="38" t="n">
        <v>0.01</v>
      </c>
      <c r="M45" s="61">
        <f>C45*100*'Item Budget'!$B$12+E45*100*'Item Budget'!$B$14+G45*100*'Item Budget'!$B$16+H45*100*'Item Budget'!$B$17+I45/100*'Item Budget'!$B$18+K45*100*'Item Budget'!$B$20</f>
        <v/>
      </c>
      <c r="N45" s="61">
        <f>D45*100*'Item Budget'!$B$13+F45*100*'Item Budget'!$B$15+H45*100*'Item Budget'!$B$17+I45/100*'Item Budget'!$B$18+J45/100*'Item Budget'!$B$19+K45*100*'Item Budget'!$B$20+L45*100*'Item Budget'!$B$21</f>
        <v/>
      </c>
      <c r="O45" s="61">
        <f>100*('Item Budget'!$R$7*(D45+F45)+H45*'Item Budget'!$R$8+K45*'Item Budget'!$B$20+L45*'Item Budget'!$B$21)</f>
        <v/>
      </c>
      <c r="P45" s="2" t="n"/>
      <c r="Q45" s="2" t="n"/>
      <c r="R45" s="2" t="n"/>
      <c r="S45" s="2" t="n"/>
      <c r="T45" s="2" t="n"/>
      <c r="U45" s="2" t="n"/>
      <c r="V45" s="2" t="n"/>
      <c r="W45" s="2" t="n"/>
      <c r="X45" s="2" t="n"/>
      <c r="Y45" s="2" t="n"/>
      <c r="Z45" s="2" t="n"/>
      <c r="AA45" s="2" t="n"/>
    </row>
    <row r="46">
      <c r="A46" s="21" t="n">
        <v>140</v>
      </c>
      <c r="B46" s="21" t="inlineStr">
        <is>
          <t>Damage Reduction X</t>
        </is>
      </c>
      <c r="C46" s="38" t="n">
        <v>0</v>
      </c>
      <c r="D46" s="38" t="n">
        <v>0</v>
      </c>
      <c r="E46" s="38" t="n">
        <v>0</v>
      </c>
      <c r="F46" s="38" t="n">
        <v>0</v>
      </c>
      <c r="G46" s="38" t="n">
        <v>0</v>
      </c>
      <c r="H46" s="38" t="n">
        <v>0.1</v>
      </c>
      <c r="I46" s="39" t="n">
        <v>0</v>
      </c>
      <c r="J46" s="39" t="n">
        <v>0</v>
      </c>
      <c r="K46" s="38" t="n">
        <v>0</v>
      </c>
      <c r="L46" s="38" t="n">
        <v>0</v>
      </c>
      <c r="M46" s="61">
        <f>C46*100*'Item Budget'!$B$12+E46*100*'Item Budget'!$B$14+G46*100*'Item Budget'!$B$16+H46*100*'Item Budget'!$B$17+I46/100*'Item Budget'!$B$18+K46*100*'Item Budget'!$B$20</f>
        <v/>
      </c>
      <c r="N46" s="61">
        <f>D46*100*'Item Budget'!$B$13+F46*100*'Item Budget'!$B$15+H46*100*'Item Budget'!$B$17+I46/100*'Item Budget'!$B$18+J46/100*'Item Budget'!$B$19+K46*100*'Item Budget'!$B$20+L46*100*'Item Budget'!$B$21</f>
        <v/>
      </c>
      <c r="O46" s="61">
        <f>100*('Item Budget'!$R$7*(D46+F46)+H46*'Item Budget'!$R$8+K46*'Item Budget'!$B$20+L46*'Item Budget'!$B$21)</f>
        <v/>
      </c>
      <c r="P46" s="2" t="n"/>
      <c r="Q46" s="2" t="n"/>
      <c r="R46" s="2" t="n"/>
      <c r="S46" s="2" t="n"/>
      <c r="T46" s="2" t="n"/>
      <c r="U46" s="2" t="n"/>
      <c r="V46" s="2" t="n"/>
      <c r="W46" s="2" t="n"/>
      <c r="X46" s="2" t="n"/>
      <c r="Y46" s="2" t="n"/>
      <c r="Z46" s="2" t="n"/>
      <c r="AA46" s="2" t="n"/>
    </row>
    <row r="47">
      <c r="A47" s="21" t="n">
        <v>142</v>
      </c>
      <c r="B47" s="21" t="inlineStr">
        <is>
          <t>Haste XXX</t>
        </is>
      </c>
      <c r="C47" s="38" t="n">
        <v>0</v>
      </c>
      <c r="D47" s="38" t="n">
        <v>0</v>
      </c>
      <c r="E47" s="38" t="n">
        <v>0</v>
      </c>
      <c r="F47" s="38" t="n">
        <v>0</v>
      </c>
      <c r="G47" s="38" t="n">
        <v>0.3</v>
      </c>
      <c r="H47" s="38" t="n">
        <v>0</v>
      </c>
      <c r="I47" s="39" t="n">
        <v>0</v>
      </c>
      <c r="J47" s="39" t="n">
        <v>0</v>
      </c>
      <c r="K47" s="38" t="n">
        <v>0</v>
      </c>
      <c r="L47" s="38" t="n">
        <v>0</v>
      </c>
      <c r="M47" s="61">
        <f>C47*100*'Item Budget'!$B$12+E47*100*'Item Budget'!$B$14+G47*100*'Item Budget'!$B$16+H47*100*'Item Budget'!$B$17+I47/100*'Item Budget'!$B$18+K47*100*'Item Budget'!$B$20</f>
        <v/>
      </c>
      <c r="N47" s="61">
        <f>D47*100*'Item Budget'!$B$13+F47*100*'Item Budget'!$B$15+H47*100*'Item Budget'!$B$17+I47/100*'Item Budget'!$B$18+J47/100*'Item Budget'!$B$19+K47*100*'Item Budget'!$B$20+L47*100*'Item Budget'!$B$21</f>
        <v/>
      </c>
      <c r="O47" s="61">
        <f>100*('Item Budget'!$R$7*(D47+F47)+H47*'Item Budget'!$R$8+K47*'Item Budget'!$B$20+L47*'Item Budget'!$B$21)</f>
        <v/>
      </c>
      <c r="P47" s="2" t="n"/>
      <c r="Q47" s="2" t="n"/>
      <c r="R47" s="2" t="n"/>
      <c r="S47" s="2" t="n"/>
      <c r="T47" s="2" t="n"/>
      <c r="U47" s="2" t="n"/>
      <c r="V47" s="2" t="n"/>
      <c r="W47" s="2" t="n"/>
      <c r="X47" s="2" t="n"/>
      <c r="Y47" s="2" t="n"/>
      <c r="Z47" s="2" t="n"/>
      <c r="AA47" s="2" t="n"/>
    </row>
    <row r="48">
      <c r="A48" s="21" t="n">
        <v>160</v>
      </c>
      <c r="B48" s="21" t="inlineStr">
        <is>
          <t>Hit Point Regeneration M</t>
        </is>
      </c>
      <c r="C48" s="38" t="n">
        <v>0</v>
      </c>
      <c r="D48" s="38" t="n">
        <v>0</v>
      </c>
      <c r="E48" s="38" t="n">
        <v>0</v>
      </c>
      <c r="F48" s="38" t="n">
        <v>0</v>
      </c>
      <c r="G48" s="38" t="n">
        <v>0</v>
      </c>
      <c r="H48" s="38" t="n">
        <v>0</v>
      </c>
      <c r="I48" s="39" t="n">
        <v>1000</v>
      </c>
      <c r="J48" s="39" t="n">
        <v>0</v>
      </c>
      <c r="K48" s="38" t="n">
        <v>0</v>
      </c>
      <c r="L48" s="38" t="n">
        <v>0</v>
      </c>
      <c r="M48" s="61">
        <f>C48*100*'Item Budget'!$B$12+E48*100*'Item Budget'!$B$14+G48*100*'Item Budget'!$B$16+H48*100*'Item Budget'!$B$17+I48/100*'Item Budget'!$B$18+K48*100*'Item Budget'!$B$20</f>
        <v/>
      </c>
      <c r="N48" s="61">
        <f>D48*100*'Item Budget'!$B$13+F48*100*'Item Budget'!$B$15+H48*100*'Item Budget'!$B$17+I48/100*'Item Budget'!$B$18+J48/100*'Item Budget'!$B$19+K48*100*'Item Budget'!$B$20+L48*100*'Item Budget'!$B$21</f>
        <v/>
      </c>
      <c r="O48" s="61">
        <f>100*('Item Budget'!$R$7*(D48+F48)+H48*'Item Budget'!$R$8+K48*'Item Budget'!$B$20+L48*'Item Budget'!$B$21)</f>
        <v/>
      </c>
      <c r="P48" s="2" t="n"/>
      <c r="Q48" s="2" t="n"/>
      <c r="R48" s="2" t="n"/>
      <c r="S48" s="2" t="n"/>
      <c r="T48" s="2" t="n"/>
      <c r="U48" s="2" t="n"/>
      <c r="V48" s="2" t="n"/>
      <c r="W48" s="2" t="n"/>
      <c r="X48" s="2" t="n"/>
      <c r="Y48" s="2" t="n"/>
      <c r="Z48" s="2" t="n"/>
      <c r="AA48" s="2" t="n"/>
    </row>
    <row r="49">
      <c r="A49" s="21" t="n">
        <v>161</v>
      </c>
      <c r="B49" s="21" t="inlineStr">
        <is>
          <t>Mana Point Regeneration M</t>
        </is>
      </c>
      <c r="C49" s="38" t="n">
        <v>0</v>
      </c>
      <c r="D49" s="38" t="n">
        <v>0</v>
      </c>
      <c r="E49" s="38" t="n">
        <v>0</v>
      </c>
      <c r="F49" s="38" t="n">
        <v>0</v>
      </c>
      <c r="G49" s="38" t="n">
        <v>0</v>
      </c>
      <c r="H49" s="38" t="n">
        <v>0</v>
      </c>
      <c r="I49" s="39" t="n">
        <v>0</v>
      </c>
      <c r="J49" s="39" t="n">
        <v>1000</v>
      </c>
      <c r="K49" s="38" t="n">
        <v>0</v>
      </c>
      <c r="L49" s="38" t="n">
        <v>0</v>
      </c>
      <c r="M49" s="61">
        <f>C49*100*'Item Budget'!$B$12+E49*100*'Item Budget'!$B$14+G49*100*'Item Budget'!$B$16+H49*100*'Item Budget'!$B$17+I49/100*'Item Budget'!$B$18+K49*100*'Item Budget'!$B$20</f>
        <v/>
      </c>
      <c r="N49" s="61">
        <f>D49*100*'Item Budget'!$B$13+F49*100*'Item Budget'!$B$15+H49*100*'Item Budget'!$B$17+I49/100*'Item Budget'!$B$18+J49/100*'Item Budget'!$B$19+K49*100*'Item Budget'!$B$20+L49*100*'Item Budget'!$B$21</f>
        <v/>
      </c>
      <c r="O49" s="61">
        <f>100*('Item Budget'!$R$7*(D49+F49)+H49*'Item Budget'!$R$8+K49*'Item Budget'!$B$20+L49*'Item Budget'!$B$21)</f>
        <v/>
      </c>
      <c r="P49" s="2" t="n"/>
      <c r="Q49" s="2" t="n"/>
      <c r="R49" s="2" t="n"/>
      <c r="S49" s="2" t="n"/>
      <c r="T49" s="2" t="n"/>
      <c r="U49" s="2" t="n"/>
      <c r="V49" s="2" t="n"/>
      <c r="W49" s="2" t="n"/>
      <c r="X49" s="2" t="n"/>
      <c r="Y49" s="2" t="n"/>
      <c r="Z49" s="2" t="n"/>
      <c r="AA49" s="2" t="n"/>
    </row>
    <row r="50">
      <c r="A50" s="21" t="n">
        <v>164</v>
      </c>
      <c r="B50" s="21" t="inlineStr">
        <is>
          <t>Increased Spell Damage XIII</t>
        </is>
      </c>
      <c r="C50" s="38" t="n">
        <v>0</v>
      </c>
      <c r="D50" s="38" t="n">
        <v>0.13</v>
      </c>
      <c r="E50" s="38" t="n">
        <v>0</v>
      </c>
      <c r="F50" s="38" t="n">
        <v>0</v>
      </c>
      <c r="G50" s="38" t="n">
        <v>0</v>
      </c>
      <c r="H50" s="38" t="n">
        <v>0</v>
      </c>
      <c r="I50" s="39" t="n">
        <v>0</v>
      </c>
      <c r="J50" s="39" t="n">
        <v>0</v>
      </c>
      <c r="K50" s="38" t="n">
        <v>0</v>
      </c>
      <c r="L50" s="38" t="n">
        <v>0</v>
      </c>
      <c r="M50" s="61">
        <f>C50*100*'Item Budget'!$B$12+E50*100*'Item Budget'!$B$14+G50*100*'Item Budget'!$B$16+H50*100*'Item Budget'!$B$17+I50/100*'Item Budget'!$B$18+K50*100*'Item Budget'!$B$20</f>
        <v/>
      </c>
      <c r="N50" s="61">
        <f>D50*100*'Item Budget'!$B$13+F50*100*'Item Budget'!$B$15+H50*100*'Item Budget'!$B$17+I50/100*'Item Budget'!$B$18+J50/100*'Item Budget'!$B$19+K50*100*'Item Budget'!$B$20+L50*100*'Item Budget'!$B$21</f>
        <v/>
      </c>
      <c r="O50" s="61">
        <f>100*('Item Budget'!$R$7*(D50+F50)+H50*'Item Budget'!$R$8+K50*'Item Budget'!$B$20+L50*'Item Budget'!$B$21)</f>
        <v/>
      </c>
      <c r="P50" s="2" t="n"/>
      <c r="Q50" s="2" t="n"/>
      <c r="R50" s="2" t="n"/>
      <c r="S50" s="2" t="n"/>
      <c r="T50" s="2" t="n"/>
      <c r="U50" s="2" t="n"/>
      <c r="V50" s="2" t="n"/>
      <c r="W50" s="2" t="n"/>
      <c r="X50" s="2" t="n"/>
      <c r="Y50" s="2" t="n"/>
      <c r="Z50" s="2" t="n"/>
      <c r="AA50" s="2" t="n"/>
    </row>
    <row r="51">
      <c r="A51" s="21" t="n">
        <v>173</v>
      </c>
      <c r="B51" s="21" t="inlineStr">
        <is>
          <t>Damage Reduction I</t>
        </is>
      </c>
      <c r="C51" s="38" t="n">
        <v>0</v>
      </c>
      <c r="D51" s="38" t="n">
        <v>0</v>
      </c>
      <c r="E51" s="38" t="n">
        <v>0</v>
      </c>
      <c r="F51" s="38" t="n">
        <v>0</v>
      </c>
      <c r="G51" s="38" t="n">
        <v>0</v>
      </c>
      <c r="H51" s="38" t="n">
        <v>0.01</v>
      </c>
      <c r="I51" s="39" t="n">
        <v>0</v>
      </c>
      <c r="J51" s="39" t="n">
        <v>0</v>
      </c>
      <c r="K51" s="38" t="n">
        <v>0</v>
      </c>
      <c r="L51" s="38" t="n">
        <v>0</v>
      </c>
      <c r="M51" s="61">
        <f>C51*100*'Item Budget'!$B$12+E51*100*'Item Budget'!$B$14+G51*100*'Item Budget'!$B$16+H51*100*'Item Budget'!$B$17+I51/100*'Item Budget'!$B$18+K51*100*'Item Budget'!$B$20</f>
        <v/>
      </c>
      <c r="N51" s="61">
        <f>D51*100*'Item Budget'!$B$13+F51*100*'Item Budget'!$B$15+H51*100*'Item Budget'!$B$17+I51/100*'Item Budget'!$B$18+J51/100*'Item Budget'!$B$19+K51*100*'Item Budget'!$B$20+L51*100*'Item Budget'!$B$21</f>
        <v/>
      </c>
      <c r="O51" s="61">
        <f>100*('Item Budget'!$R$7*(D51+F51)+H51*'Item Budget'!$R$8+K51*'Item Budget'!$B$20+L51*'Item Budget'!$B$21)</f>
        <v/>
      </c>
      <c r="P51" s="2" t="n"/>
      <c r="Q51" s="2" t="n"/>
      <c r="R51" s="2" t="n"/>
      <c r="S51" s="2" t="n"/>
      <c r="T51" s="2" t="n"/>
      <c r="U51" s="2" t="n"/>
      <c r="V51" s="2" t="n"/>
      <c r="W51" s="2" t="n"/>
      <c r="X51" s="2" t="n"/>
      <c r="Y51" s="2" t="n"/>
      <c r="Z51" s="2" t="n"/>
      <c r="AA51" s="2" t="n"/>
    </row>
    <row r="52">
      <c r="A52" s="21" t="n">
        <v>174</v>
      </c>
      <c r="B52" s="21" t="inlineStr">
        <is>
          <t>Damage Reduction II</t>
        </is>
      </c>
      <c r="C52" s="38" t="n">
        <v>0</v>
      </c>
      <c r="D52" s="38" t="n">
        <v>0</v>
      </c>
      <c r="E52" s="38" t="n">
        <v>0</v>
      </c>
      <c r="F52" s="38" t="n">
        <v>0</v>
      </c>
      <c r="G52" s="38" t="n">
        <v>0</v>
      </c>
      <c r="H52" s="38" t="n">
        <v>0.02</v>
      </c>
      <c r="I52" s="39" t="n">
        <v>0</v>
      </c>
      <c r="J52" s="39" t="n">
        <v>0</v>
      </c>
      <c r="K52" s="38" t="n">
        <v>0</v>
      </c>
      <c r="L52" s="38" t="n">
        <v>0</v>
      </c>
      <c r="M52" s="61">
        <f>C52*100*'Item Budget'!$B$12+E52*100*'Item Budget'!$B$14+G52*100*'Item Budget'!$B$16+H52*100*'Item Budget'!$B$17+I52/100*'Item Budget'!$B$18+K52*100*'Item Budget'!$B$20</f>
        <v/>
      </c>
      <c r="N52" s="61">
        <f>D52*100*'Item Budget'!$B$13+F52*100*'Item Budget'!$B$15+H52*100*'Item Budget'!$B$17+I52/100*'Item Budget'!$B$18+J52/100*'Item Budget'!$B$19+K52*100*'Item Budget'!$B$20+L52*100*'Item Budget'!$B$21</f>
        <v/>
      </c>
      <c r="O52" s="61">
        <f>100*('Item Budget'!$R$7*(D52+F52)+H52*'Item Budget'!$R$8+K52*'Item Budget'!$B$20+L52*'Item Budget'!$B$21)</f>
        <v/>
      </c>
      <c r="P52" s="2" t="n"/>
      <c r="Q52" s="2" t="n"/>
      <c r="R52" s="2" t="n"/>
      <c r="S52" s="2" t="n"/>
      <c r="T52" s="2" t="n"/>
      <c r="U52" s="2" t="n"/>
      <c r="V52" s="2" t="n"/>
      <c r="W52" s="2" t="n"/>
      <c r="X52" s="2" t="n"/>
      <c r="Y52" s="2" t="n"/>
      <c r="Z52" s="2" t="n"/>
      <c r="AA52" s="2" t="n"/>
    </row>
    <row r="53">
      <c r="A53" s="21" t="n">
        <v>175</v>
      </c>
      <c r="B53" s="21" t="inlineStr">
        <is>
          <t>Damage Reduction III</t>
        </is>
      </c>
      <c r="C53" s="38" t="n">
        <v>0</v>
      </c>
      <c r="D53" s="38" t="n">
        <v>0</v>
      </c>
      <c r="E53" s="38" t="n">
        <v>0</v>
      </c>
      <c r="F53" s="38" t="n">
        <v>0</v>
      </c>
      <c r="G53" s="38" t="n">
        <v>0</v>
      </c>
      <c r="H53" s="38" t="n">
        <v>0.03</v>
      </c>
      <c r="I53" s="39" t="n">
        <v>0</v>
      </c>
      <c r="J53" s="39" t="n">
        <v>0</v>
      </c>
      <c r="K53" s="38" t="n">
        <v>0</v>
      </c>
      <c r="L53" s="38" t="n">
        <v>0</v>
      </c>
      <c r="M53" s="61">
        <f>C53*100*'Item Budget'!$B$12+E53*100*'Item Budget'!$B$14+G53*100*'Item Budget'!$B$16+H53*100*'Item Budget'!$B$17+I53/100*'Item Budget'!$B$18+K53*100*'Item Budget'!$B$20</f>
        <v/>
      </c>
      <c r="N53" s="61">
        <f>D53*100*'Item Budget'!$B$13+F53*100*'Item Budget'!$B$15+H53*100*'Item Budget'!$B$17+I53/100*'Item Budget'!$B$18+J53/100*'Item Budget'!$B$19+K53*100*'Item Budget'!$B$20+L53*100*'Item Budget'!$B$21</f>
        <v/>
      </c>
      <c r="O53" s="61">
        <f>100*('Item Budget'!$R$7*(D53+F53)+H53*'Item Budget'!$R$8+K53*'Item Budget'!$B$20+L53*'Item Budget'!$B$21)</f>
        <v/>
      </c>
      <c r="P53" s="2" t="n"/>
      <c r="Q53" s="2" t="n"/>
      <c r="R53" s="2" t="n"/>
      <c r="S53" s="2" t="n"/>
      <c r="T53" s="2" t="n"/>
      <c r="U53" s="2" t="n"/>
      <c r="V53" s="2" t="n"/>
      <c r="W53" s="2" t="n"/>
      <c r="X53" s="2" t="n"/>
      <c r="Y53" s="2" t="n"/>
      <c r="Z53" s="2" t="n"/>
      <c r="AA53" s="2" t="n"/>
    </row>
    <row r="54">
      <c r="A54" s="21" t="n">
        <v>176</v>
      </c>
      <c r="B54" s="21" t="inlineStr">
        <is>
          <t>Damage Reduction IV</t>
        </is>
      </c>
      <c r="C54" s="38" t="n">
        <v>0</v>
      </c>
      <c r="D54" s="38" t="n">
        <v>0</v>
      </c>
      <c r="E54" s="38" t="n">
        <v>0</v>
      </c>
      <c r="F54" s="38" t="n">
        <v>0</v>
      </c>
      <c r="G54" s="38" t="n">
        <v>0</v>
      </c>
      <c r="H54" s="38" t="n">
        <v>0.04</v>
      </c>
      <c r="I54" s="39" t="n">
        <v>0</v>
      </c>
      <c r="J54" s="39" t="n">
        <v>0</v>
      </c>
      <c r="K54" s="38" t="n">
        <v>0</v>
      </c>
      <c r="L54" s="38" t="n">
        <v>0</v>
      </c>
      <c r="M54" s="61">
        <f>C54*100*'Item Budget'!$B$12+E54*100*'Item Budget'!$B$14+G54*100*'Item Budget'!$B$16+H54*100*'Item Budget'!$B$17+I54/100*'Item Budget'!$B$18+K54*100*'Item Budget'!$B$20</f>
        <v/>
      </c>
      <c r="N54" s="61">
        <f>D54*100*'Item Budget'!$B$13+F54*100*'Item Budget'!$B$15+H54*100*'Item Budget'!$B$17+I54/100*'Item Budget'!$B$18+J54/100*'Item Budget'!$B$19+K54*100*'Item Budget'!$B$20+L54*100*'Item Budget'!$B$21</f>
        <v/>
      </c>
      <c r="O54" s="61">
        <f>100*('Item Budget'!$R$7*(D54+F54)+H54*'Item Budget'!$R$8+K54*'Item Budget'!$B$20+L54*'Item Budget'!$B$21)</f>
        <v/>
      </c>
      <c r="P54" s="2" t="n"/>
      <c r="Q54" s="2" t="n"/>
      <c r="R54" s="2" t="n"/>
      <c r="S54" s="2" t="n"/>
      <c r="T54" s="2" t="n"/>
      <c r="U54" s="2" t="n"/>
      <c r="V54" s="2" t="n"/>
      <c r="W54" s="2" t="n"/>
      <c r="X54" s="2" t="n"/>
      <c r="Y54" s="2" t="n"/>
      <c r="Z54" s="2" t="n"/>
      <c r="AA54" s="2" t="n"/>
    </row>
    <row r="55">
      <c r="A55" s="21" t="n">
        <v>177</v>
      </c>
      <c r="B55" s="21" t="inlineStr">
        <is>
          <t>Damage Reduction V</t>
        </is>
      </c>
      <c r="C55" s="38" t="n">
        <v>0</v>
      </c>
      <c r="D55" s="38" t="n">
        <v>0</v>
      </c>
      <c r="E55" s="38" t="n">
        <v>0</v>
      </c>
      <c r="F55" s="38" t="n">
        <v>0</v>
      </c>
      <c r="G55" s="38" t="n">
        <v>0</v>
      </c>
      <c r="H55" s="38" t="n">
        <v>0.05</v>
      </c>
      <c r="I55" s="39" t="n">
        <v>0</v>
      </c>
      <c r="J55" s="39" t="n">
        <v>0</v>
      </c>
      <c r="K55" s="38" t="n">
        <v>0</v>
      </c>
      <c r="L55" s="38" t="n">
        <v>0</v>
      </c>
      <c r="M55" s="61">
        <f>C55*100*'Item Budget'!$B$12+E55*100*'Item Budget'!$B$14+G55*100*'Item Budget'!$B$16+H55*100*'Item Budget'!$B$17+I55/100*'Item Budget'!$B$18+K55*100*'Item Budget'!$B$20</f>
        <v/>
      </c>
      <c r="N55" s="61">
        <f>D55*100*'Item Budget'!$B$13+F55*100*'Item Budget'!$B$15+H55*100*'Item Budget'!$B$17+I55/100*'Item Budget'!$B$18+J55/100*'Item Budget'!$B$19+K55*100*'Item Budget'!$B$20+L55*100*'Item Budget'!$B$21</f>
        <v/>
      </c>
      <c r="O55" s="61">
        <f>100*('Item Budget'!$R$7*(D55+F55)+H55*'Item Budget'!$R$8+K55*'Item Budget'!$B$20+L55*'Item Budget'!$B$21)</f>
        <v/>
      </c>
      <c r="P55" s="2" t="n"/>
      <c r="Q55" s="2" t="n"/>
      <c r="R55" s="2" t="n"/>
      <c r="S55" s="2" t="n"/>
      <c r="T55" s="2" t="n"/>
      <c r="U55" s="2" t="n"/>
      <c r="V55" s="2" t="n"/>
      <c r="W55" s="2" t="n"/>
      <c r="X55" s="2" t="n"/>
      <c r="Y55" s="2" t="n"/>
      <c r="Z55" s="2" t="n"/>
      <c r="AA55" s="2" t="n"/>
    </row>
    <row r="56">
      <c r="A56" s="21" t="n">
        <v>182</v>
      </c>
      <c r="B56" s="21" t="inlineStr">
        <is>
          <t>Wolfs Essence</t>
        </is>
      </c>
      <c r="C56" s="38" t="n">
        <v>0</v>
      </c>
      <c r="D56" s="38" t="n">
        <v>0</v>
      </c>
      <c r="E56" s="38" t="n">
        <v>0</v>
      </c>
      <c r="F56" s="38" t="n">
        <v>0</v>
      </c>
      <c r="G56" s="38" t="n">
        <v>0.3</v>
      </c>
      <c r="H56" s="38" t="n">
        <v>0</v>
      </c>
      <c r="I56" s="39" t="n">
        <v>0</v>
      </c>
      <c r="J56" s="39" t="n">
        <v>0</v>
      </c>
      <c r="K56" s="38" t="n">
        <v>0</v>
      </c>
      <c r="L56" s="38" t="n">
        <v>0</v>
      </c>
      <c r="M56" s="61">
        <f>C56*100*'Item Budget'!$B$12+E56*100*'Item Budget'!$B$14+G56*100*'Item Budget'!$B$16+H56*100*'Item Budget'!$B$17+I56/100*'Item Budget'!$B$18+K56*100*'Item Budget'!$B$20</f>
        <v/>
      </c>
      <c r="N56" s="61">
        <f>D56*100*'Item Budget'!$B$13+F56*100*'Item Budget'!$B$15+H56*100*'Item Budget'!$B$17+I56/100*'Item Budget'!$B$18+J56/100*'Item Budget'!$B$19+K56*100*'Item Budget'!$B$20+L56*100*'Item Budget'!$B$21</f>
        <v/>
      </c>
      <c r="O56" s="61">
        <f>100*('Item Budget'!$R$7*(D56+F56)+H56*'Item Budget'!$R$8+K56*'Item Budget'!$B$20+L56*'Item Budget'!$B$21)</f>
        <v/>
      </c>
      <c r="P56" s="2" t="n"/>
      <c r="Q56" s="2" t="n"/>
      <c r="R56" s="2" t="n"/>
      <c r="S56" s="2" t="n"/>
      <c r="T56" s="2" t="n"/>
      <c r="U56" s="2" t="n"/>
      <c r="V56" s="2" t="n"/>
      <c r="W56" s="2" t="n"/>
      <c r="X56" s="2" t="n"/>
      <c r="Y56" s="2" t="n"/>
      <c r="Z56" s="2" t="n"/>
      <c r="AA56" s="2" t="n"/>
    </row>
    <row r="57">
      <c r="A57" s="21" t="n">
        <v>211</v>
      </c>
      <c r="B57" s="21" t="inlineStr">
        <is>
          <t>Spell Critical Damage III</t>
        </is>
      </c>
      <c r="C57" s="38" t="n">
        <v>0</v>
      </c>
      <c r="D57" s="38" t="n">
        <v>0</v>
      </c>
      <c r="E57" s="38" t="n">
        <v>0</v>
      </c>
      <c r="F57" s="38" t="n">
        <v>0.03</v>
      </c>
      <c r="G57" s="38" t="n">
        <v>0</v>
      </c>
      <c r="H57" s="38" t="n">
        <v>0</v>
      </c>
      <c r="I57" s="39" t="n">
        <v>0</v>
      </c>
      <c r="J57" s="39" t="n">
        <v>0</v>
      </c>
      <c r="K57" s="38" t="n">
        <v>0</v>
      </c>
      <c r="L57" s="38" t="n">
        <v>0</v>
      </c>
      <c r="M57" s="61">
        <f>C57*100*'Item Budget'!$B$12+E57*100*'Item Budget'!$B$14+G57*100*'Item Budget'!$B$16+H57*100*'Item Budget'!$B$17+I57/100*'Item Budget'!$B$18+K57*100*'Item Budget'!$B$20</f>
        <v/>
      </c>
      <c r="N57" s="61">
        <f>D57*100*'Item Budget'!$B$13+F57*100*'Item Budget'!$B$15+H57*100*'Item Budget'!$B$17+I57/100*'Item Budget'!$B$18+J57/100*'Item Budget'!$B$19+K57*100*'Item Budget'!$B$20+L57*100*'Item Budget'!$B$21</f>
        <v/>
      </c>
      <c r="O57" s="61">
        <f>100*('Item Budget'!$R$7*(D57+F57)+H57*'Item Budget'!$R$8+K57*'Item Budget'!$B$20+L57*'Item Budget'!$B$21)</f>
        <v/>
      </c>
      <c r="P57" s="2" t="n"/>
      <c r="Q57" s="2" t="n"/>
      <c r="R57" s="2" t="n"/>
      <c r="S57" s="2" t="n"/>
      <c r="T57" s="2" t="n"/>
      <c r="U57" s="2" t="n"/>
      <c r="V57" s="2" t="n"/>
      <c r="W57" s="2" t="n"/>
      <c r="X57" s="2" t="n"/>
      <c r="Y57" s="2" t="n"/>
      <c r="Z57" s="2" t="n"/>
      <c r="AA57" s="2" t="n"/>
    </row>
    <row r="58">
      <c r="A58" s="21" t="n">
        <v>212</v>
      </c>
      <c r="B58" s="21" t="inlineStr">
        <is>
          <t>Spell Critical and Damage III</t>
        </is>
      </c>
      <c r="C58" s="38" t="n">
        <v>0</v>
      </c>
      <c r="D58" s="38" t="n">
        <v>0.03</v>
      </c>
      <c r="E58" s="38" t="n">
        <v>0</v>
      </c>
      <c r="F58" s="38" t="n">
        <v>0.03</v>
      </c>
      <c r="G58" s="38" t="n">
        <v>0</v>
      </c>
      <c r="H58" s="38" t="n">
        <v>0</v>
      </c>
      <c r="I58" s="39" t="n">
        <v>0</v>
      </c>
      <c r="J58" s="39" t="n">
        <v>0</v>
      </c>
      <c r="K58" s="38" t="n">
        <v>0</v>
      </c>
      <c r="L58" s="38" t="n">
        <v>0</v>
      </c>
      <c r="M58" s="61">
        <f>C58*100*'Item Budget'!$B$12+E58*100*'Item Budget'!$B$14+G58*100*'Item Budget'!$B$16+H58*100*'Item Budget'!$B$17+I58/100*'Item Budget'!$B$18+K58*100*'Item Budget'!$B$20</f>
        <v/>
      </c>
      <c r="N58" s="61">
        <f>D58*100*'Item Budget'!$B$13+F58*100*'Item Budget'!$B$15+H58*100*'Item Budget'!$B$17+I58/100*'Item Budget'!$B$18+J58/100*'Item Budget'!$B$19+K58*100*'Item Budget'!$B$20+L58*100*'Item Budget'!$B$21</f>
        <v/>
      </c>
      <c r="O58" s="61">
        <f>100*('Item Budget'!$R$7*(D58+F58)+H58*'Item Budget'!$R$8+K58*'Item Budget'!$B$20+L58*'Item Budget'!$B$21)</f>
        <v/>
      </c>
      <c r="P58" s="2" t="n"/>
      <c r="Q58" s="2" t="n"/>
      <c r="R58" s="2" t="n"/>
      <c r="S58" s="2" t="n"/>
      <c r="T58" s="2" t="n"/>
      <c r="U58" s="2" t="n"/>
      <c r="V58" s="2" t="n"/>
      <c r="W58" s="2" t="n"/>
      <c r="X58" s="2" t="n"/>
      <c r="Y58" s="2" t="n"/>
      <c r="Z58" s="2" t="n"/>
      <c r="AA58" s="2" t="n"/>
    </row>
    <row r="59">
      <c r="A59" s="21" t="n">
        <v>213</v>
      </c>
      <c r="B59" s="21" t="inlineStr">
        <is>
          <t>Royal Mischief Blessing</t>
        </is>
      </c>
      <c r="C59" s="38" t="n">
        <v>0</v>
      </c>
      <c r="D59" s="38" t="n">
        <v>0.08</v>
      </c>
      <c r="E59" s="38" t="n">
        <v>0</v>
      </c>
      <c r="F59" s="38" t="n">
        <v>0</v>
      </c>
      <c r="G59" s="38" t="n">
        <v>0</v>
      </c>
      <c r="H59" s="38" t="n">
        <v>0.08</v>
      </c>
      <c r="I59" s="39" t="n">
        <v>0</v>
      </c>
      <c r="J59" s="39" t="n">
        <v>0</v>
      </c>
      <c r="K59" s="38" t="n">
        <v>0</v>
      </c>
      <c r="L59" s="38" t="n">
        <v>0</v>
      </c>
      <c r="M59" s="61">
        <f>C59*100*'Item Budget'!$B$12+E59*100*'Item Budget'!$B$14+G59*100*'Item Budget'!$B$16+H59*100*'Item Budget'!$B$17+I59/100*'Item Budget'!$B$18+K59*100*'Item Budget'!$B$20</f>
        <v/>
      </c>
      <c r="N59" s="61">
        <f>D59*100*'Item Budget'!$B$13+F59*100*'Item Budget'!$B$15+H59*100*'Item Budget'!$B$17+I59/100*'Item Budget'!$B$18+J59/100*'Item Budget'!$B$19+K59*100*'Item Budget'!$B$20+L59*100*'Item Budget'!$B$21</f>
        <v/>
      </c>
      <c r="O59" s="61">
        <f>100*('Item Budget'!$R$7*(D59+F59)+H59*'Item Budget'!$R$8+K59*'Item Budget'!$B$20+L59*'Item Budget'!$B$21)</f>
        <v/>
      </c>
      <c r="P59" s="2" t="n"/>
      <c r="Q59" s="2" t="n"/>
      <c r="R59" s="2" t="n"/>
      <c r="S59" s="2" t="n"/>
      <c r="T59" s="2" t="n"/>
      <c r="U59" s="2" t="n"/>
      <c r="V59" s="2" t="n"/>
      <c r="W59" s="2" t="n"/>
      <c r="X59" s="2" t="n"/>
      <c r="Y59" s="2" t="n"/>
      <c r="Z59" s="2" t="n"/>
      <c r="AA59" s="2" t="n"/>
    </row>
    <row r="60">
      <c r="A60" s="21" t="n">
        <v>214</v>
      </c>
      <c r="B60" s="21" t="inlineStr">
        <is>
          <t>Royal Knight Blessing</t>
        </is>
      </c>
      <c r="C60" s="38" t="n">
        <v>0</v>
      </c>
      <c r="D60" s="38" t="n">
        <v>0.02</v>
      </c>
      <c r="E60" s="38" t="n">
        <v>0</v>
      </c>
      <c r="F60" s="38" t="n">
        <v>0</v>
      </c>
      <c r="G60" s="38" t="n">
        <v>0</v>
      </c>
      <c r="H60" s="38" t="n">
        <v>0.13</v>
      </c>
      <c r="I60" s="39" t="n">
        <v>0</v>
      </c>
      <c r="J60" s="39" t="n">
        <v>0</v>
      </c>
      <c r="K60" s="38" t="n">
        <v>0</v>
      </c>
      <c r="L60" s="38" t="n">
        <v>0</v>
      </c>
      <c r="M60" s="61">
        <f>C60*100*'Item Budget'!$B$12+E60*100*'Item Budget'!$B$14+G60*100*'Item Budget'!$B$16+H60*100*'Item Budget'!$B$17+I60/100*'Item Budget'!$B$18+K60*100*'Item Budget'!$B$20</f>
        <v/>
      </c>
      <c r="N60" s="61">
        <f>D60*100*'Item Budget'!$B$13+F60*100*'Item Budget'!$B$15+H60*100*'Item Budget'!$B$17+I60/100*'Item Budget'!$B$18+J60/100*'Item Budget'!$B$19+K60*100*'Item Budget'!$B$20+L60*100*'Item Budget'!$B$21</f>
        <v/>
      </c>
      <c r="O60" s="61">
        <f>100*('Item Budget'!$R$7*(D60+F60)+H60*'Item Budget'!$R$8+K60*'Item Budget'!$B$20+L60*'Item Budget'!$B$21)</f>
        <v/>
      </c>
      <c r="P60" s="2" t="n"/>
      <c r="Q60" s="2" t="n"/>
      <c r="R60" s="2" t="n"/>
      <c r="S60" s="2" t="n"/>
      <c r="T60" s="2" t="n"/>
      <c r="U60" s="2" t="n"/>
      <c r="V60" s="2" t="n"/>
      <c r="W60" s="2" t="n"/>
      <c r="X60" s="2" t="n"/>
      <c r="Y60" s="2" t="n"/>
      <c r="Z60" s="2" t="n"/>
      <c r="AA60" s="2" t="n"/>
    </row>
    <row r="61">
      <c r="A61" s="21" t="n">
        <v>215</v>
      </c>
      <c r="B61" s="21" t="inlineStr">
        <is>
          <t>Increased Spell Damage XV</t>
        </is>
      </c>
      <c r="C61" s="38" t="n">
        <v>0</v>
      </c>
      <c r="D61" s="38" t="n">
        <v>0.15</v>
      </c>
      <c r="E61" s="38" t="n">
        <v>0</v>
      </c>
      <c r="F61" s="38" t="n">
        <v>0</v>
      </c>
      <c r="G61" s="38" t="n">
        <v>0</v>
      </c>
      <c r="H61" s="38" t="n">
        <v>0</v>
      </c>
      <c r="I61" s="39" t="n">
        <v>0</v>
      </c>
      <c r="J61" s="39" t="n">
        <v>0</v>
      </c>
      <c r="K61" s="38" t="n">
        <v>0</v>
      </c>
      <c r="L61" s="38" t="n">
        <v>0</v>
      </c>
      <c r="M61" s="61">
        <f>C61*100*'Item Budget'!$B$12+E61*100*'Item Budget'!$B$14+G61*100*'Item Budget'!$B$16+H61*100*'Item Budget'!$B$17+I61/100*'Item Budget'!$B$18+K61*100*'Item Budget'!$B$20</f>
        <v/>
      </c>
      <c r="N61" s="61">
        <f>D61*100*'Item Budget'!$B$13+F61*100*'Item Budget'!$B$15+H61*100*'Item Budget'!$B$17+I61/100*'Item Budget'!$B$18+J61/100*'Item Budget'!$B$19+K61*100*'Item Budget'!$B$20+L61*100*'Item Budget'!$B$21</f>
        <v/>
      </c>
      <c r="O61" s="61">
        <f>100*('Item Budget'!$R$7*(D61+F61)+H61*'Item Budget'!$R$8+K61*'Item Budget'!$B$20+L61*'Item Budget'!$B$21)</f>
        <v/>
      </c>
      <c r="P61" s="2" t="n"/>
      <c r="Q61" s="2" t="n"/>
      <c r="R61" s="2" t="n"/>
      <c r="S61" s="2" t="n"/>
      <c r="T61" s="2" t="n"/>
      <c r="U61" s="2" t="n"/>
      <c r="V61" s="2" t="n"/>
      <c r="W61" s="2" t="n"/>
      <c r="X61" s="2" t="n"/>
      <c r="Y61" s="2" t="n"/>
      <c r="Z61" s="2" t="n"/>
      <c r="AA61" s="2" t="n"/>
    </row>
    <row r="62">
      <c r="A62" s="21" t="n">
        <v>216</v>
      </c>
      <c r="B62" s="21" t="inlineStr">
        <is>
          <t>Spell Critical Damage VIII</t>
        </is>
      </c>
      <c r="C62" s="38" t="n">
        <v>0</v>
      </c>
      <c r="D62" s="38" t="n">
        <v>0</v>
      </c>
      <c r="E62" s="38" t="n">
        <v>0</v>
      </c>
      <c r="F62" s="38" t="n">
        <v>0.08</v>
      </c>
      <c r="G62" s="38" t="n">
        <v>0</v>
      </c>
      <c r="H62" s="38" t="n">
        <v>0</v>
      </c>
      <c r="I62" s="39" t="n">
        <v>0</v>
      </c>
      <c r="J62" s="39" t="n">
        <v>0</v>
      </c>
      <c r="K62" s="38" t="n">
        <v>0</v>
      </c>
      <c r="L62" s="38" t="n">
        <v>0</v>
      </c>
      <c r="M62" s="61">
        <f>C62*100*'Item Budget'!$B$12+E62*100*'Item Budget'!$B$14+G62*100*'Item Budget'!$B$16+H62*100*'Item Budget'!$B$17+I62/100*'Item Budget'!$B$18+K62*100*'Item Budget'!$B$20</f>
        <v/>
      </c>
      <c r="N62" s="61">
        <f>D62*100*'Item Budget'!$B$13+F62*100*'Item Budget'!$B$15+H62*100*'Item Budget'!$B$17+I62/100*'Item Budget'!$B$18+J62/100*'Item Budget'!$B$19+K62*100*'Item Budget'!$B$20+L62*100*'Item Budget'!$B$21</f>
        <v/>
      </c>
      <c r="O62" s="61">
        <f>100*('Item Budget'!$R$7*(D62+F62)+H62*'Item Budget'!$R$8+K62*'Item Budget'!$B$20+L62*'Item Budget'!$B$21)</f>
        <v/>
      </c>
      <c r="P62" s="2" t="n"/>
      <c r="Q62" s="2" t="n"/>
      <c r="R62" s="2" t="n"/>
      <c r="S62" s="2" t="n"/>
      <c r="T62" s="2" t="n"/>
      <c r="U62" s="2" t="n"/>
      <c r="V62" s="2" t="n"/>
      <c r="W62" s="2" t="n"/>
      <c r="X62" s="2" t="n"/>
      <c r="Y62" s="2" t="n"/>
      <c r="Z62" s="2" t="n"/>
      <c r="AA62" s="2" t="n"/>
    </row>
    <row r="63">
      <c r="A63" s="21" t="n">
        <v>217</v>
      </c>
      <c r="B63" s="21" t="inlineStr">
        <is>
          <t>Spell Critical V and Damage XX</t>
        </is>
      </c>
      <c r="C63" s="38" t="n">
        <v>0</v>
      </c>
      <c r="D63" s="38" t="n">
        <v>0.2</v>
      </c>
      <c r="E63" s="38" t="n">
        <v>0</v>
      </c>
      <c r="F63" s="38" t="n">
        <v>0.05</v>
      </c>
      <c r="G63" s="38" t="n">
        <v>0</v>
      </c>
      <c r="H63" s="38" t="n">
        <v>0</v>
      </c>
      <c r="I63" s="39" t="n">
        <v>0</v>
      </c>
      <c r="J63" s="39" t="n">
        <v>0</v>
      </c>
      <c r="K63" s="38" t="n">
        <v>0</v>
      </c>
      <c r="L63" s="38" t="n">
        <v>0</v>
      </c>
      <c r="M63" s="61">
        <f>C63*100*'Item Budget'!$B$12+E63*100*'Item Budget'!$B$14+G63*100*'Item Budget'!$B$16+H63*100*'Item Budget'!$B$17+I63/100*'Item Budget'!$B$18+K63*100*'Item Budget'!$B$20</f>
        <v/>
      </c>
      <c r="N63" s="61">
        <f>D63*100*'Item Budget'!$B$13+F63*100*'Item Budget'!$B$15+H63*100*'Item Budget'!$B$17+I63/100*'Item Budget'!$B$18+J63/100*'Item Budget'!$B$19+K63*100*'Item Budget'!$B$20+L63*100*'Item Budget'!$B$21</f>
        <v/>
      </c>
      <c r="O63" s="61">
        <f>100*('Item Budget'!$R$7*(D63+F63)+H63*'Item Budget'!$R$8+K63*'Item Budget'!$B$20+L63*'Item Budget'!$B$21)</f>
        <v/>
      </c>
      <c r="P63" s="2" t="n"/>
      <c r="Q63" s="2" t="n"/>
      <c r="R63" s="2" t="n"/>
      <c r="S63" s="2" t="n"/>
      <c r="T63" s="2" t="n"/>
      <c r="U63" s="2" t="n"/>
      <c r="V63" s="2" t="n"/>
      <c r="W63" s="2" t="n"/>
      <c r="X63" s="2" t="n"/>
      <c r="Y63" s="2" t="n"/>
      <c r="Z63" s="2" t="n"/>
      <c r="AA63" s="2" t="n"/>
    </row>
    <row r="64">
      <c r="A64" s="21" t="n">
        <v>218</v>
      </c>
      <c r="B64" s="21" t="inlineStr">
        <is>
          <t>Spell Critical V and Reduction XV</t>
        </is>
      </c>
      <c r="C64" s="38" t="n">
        <v>0</v>
      </c>
      <c r="D64" s="38" t="n">
        <v>0</v>
      </c>
      <c r="E64" s="38" t="n">
        <v>0</v>
      </c>
      <c r="F64" s="38" t="n">
        <v>0.05</v>
      </c>
      <c r="G64" s="38" t="n">
        <v>0</v>
      </c>
      <c r="H64" s="38" t="n">
        <v>0.15</v>
      </c>
      <c r="I64" s="39" t="n">
        <v>0</v>
      </c>
      <c r="J64" s="39" t="n">
        <v>0</v>
      </c>
      <c r="K64" s="38" t="n">
        <v>0</v>
      </c>
      <c r="L64" s="38" t="n">
        <v>0</v>
      </c>
      <c r="M64" s="61">
        <f>C64*100*'Item Budget'!$B$12+E64*100*'Item Budget'!$B$14+G64*100*'Item Budget'!$B$16+H64*100*'Item Budget'!$B$17+I64/100*'Item Budget'!$B$18+K64*100*'Item Budget'!$B$20</f>
        <v/>
      </c>
      <c r="N64" s="61">
        <f>D64*100*'Item Budget'!$B$13+F64*100*'Item Budget'!$B$15+H64*100*'Item Budget'!$B$17+I64/100*'Item Budget'!$B$18+J64/100*'Item Budget'!$B$19+K64*100*'Item Budget'!$B$20+L64*100*'Item Budget'!$B$21</f>
        <v/>
      </c>
      <c r="O64" s="61">
        <f>100*('Item Budget'!$R$7*(D64+F64)+H64*'Item Budget'!$R$8+K64*'Item Budget'!$B$20+L64*'Item Budget'!$B$21)</f>
        <v/>
      </c>
      <c r="P64" s="2" t="n"/>
      <c r="Q64" s="2" t="n"/>
      <c r="R64" s="2" t="n"/>
      <c r="S64" s="2" t="n"/>
      <c r="T64" s="2" t="n"/>
      <c r="U64" s="2" t="n"/>
      <c r="V64" s="2" t="n"/>
      <c r="W64" s="2" t="n"/>
      <c r="X64" s="2" t="n"/>
      <c r="Y64" s="2" t="n"/>
      <c r="Z64" s="2" t="n"/>
      <c r="AA64" s="2" t="n"/>
    </row>
    <row r="65">
      <c r="A65" s="21" t="n">
        <v>219</v>
      </c>
      <c r="B65" s="21" t="inlineStr">
        <is>
          <t>Slayers Blessing</t>
        </is>
      </c>
      <c r="C65" s="38" t="n">
        <v>0</v>
      </c>
      <c r="D65" s="38" t="n">
        <v>0.06</v>
      </c>
      <c r="E65" s="38" t="n">
        <v>0</v>
      </c>
      <c r="F65" s="38" t="n">
        <v>0.06</v>
      </c>
      <c r="G65" s="38" t="n">
        <v>0</v>
      </c>
      <c r="H65" s="38" t="n">
        <v>0.03</v>
      </c>
      <c r="I65" s="39" t="n">
        <v>0</v>
      </c>
      <c r="J65" s="39" t="n">
        <v>0</v>
      </c>
      <c r="K65" s="38" t="n">
        <v>0</v>
      </c>
      <c r="L65" s="38" t="n">
        <v>0</v>
      </c>
      <c r="M65" s="61">
        <f>C65*100*'Item Budget'!$B$12+E65*100*'Item Budget'!$B$14+G65*100*'Item Budget'!$B$16+H65*100*'Item Budget'!$B$17+I65/100*'Item Budget'!$B$18+K65*100*'Item Budget'!$B$20</f>
        <v/>
      </c>
      <c r="N65" s="61">
        <f>D65*100*'Item Budget'!$B$13+F65*100*'Item Budget'!$B$15+H65*100*'Item Budget'!$B$17+I65/100*'Item Budget'!$B$18+J65/100*'Item Budget'!$B$19+K65*100*'Item Budget'!$B$20+L65*100*'Item Budget'!$B$21</f>
        <v/>
      </c>
      <c r="O65" s="61">
        <f>100*('Item Budget'!$R$7*(D65+F65)+H65*'Item Budget'!$R$8+K65*'Item Budget'!$B$20+L65*'Item Budget'!$B$21)</f>
        <v/>
      </c>
      <c r="P65" s="2" t="n"/>
      <c r="Q65" s="2" t="n"/>
      <c r="R65" s="2" t="n"/>
      <c r="S65" s="2" t="n"/>
      <c r="T65" s="2" t="n"/>
      <c r="U65" s="2" t="n"/>
      <c r="V65" s="2" t="n"/>
      <c r="W65" s="2" t="n"/>
      <c r="X65" s="2" t="n"/>
      <c r="Y65" s="2" t="n"/>
      <c r="Z65" s="2" t="n"/>
      <c r="AA65" s="2" t="n"/>
    </row>
    <row r="66">
      <c r="A66" s="21" t="n">
        <v>244</v>
      </c>
      <c r="B66" s="21" t="inlineStr">
        <is>
          <t>Increased Spell Critical V</t>
        </is>
      </c>
      <c r="C66" s="38" t="n">
        <v>0</v>
      </c>
      <c r="D66" s="38" t="n">
        <v>0</v>
      </c>
      <c r="E66" s="38" t="n">
        <v>0</v>
      </c>
      <c r="F66" s="38" t="n">
        <v>0.05</v>
      </c>
      <c r="G66" s="38" t="n">
        <v>0</v>
      </c>
      <c r="H66" s="38" t="n">
        <v>0</v>
      </c>
      <c r="I66" s="39" t="n">
        <v>0</v>
      </c>
      <c r="J66" s="39" t="n">
        <v>0</v>
      </c>
      <c r="K66" s="38" t="n">
        <v>0</v>
      </c>
      <c r="L66" s="38" t="n">
        <v>0</v>
      </c>
      <c r="M66" s="61">
        <f>C66*100*'Item Budget'!$B$12+E66*100*'Item Budget'!$B$14+G66*100*'Item Budget'!$B$16+H66*100*'Item Budget'!$B$17+I66/100*'Item Budget'!$B$18+K66*100*'Item Budget'!$B$20</f>
        <v/>
      </c>
      <c r="N66" s="61">
        <f>D66*100*'Item Budget'!$B$13+F66*100*'Item Budget'!$B$15+H66*100*'Item Budget'!$B$17+I66/100*'Item Budget'!$B$18+J66/100*'Item Budget'!$B$19+K66*100*'Item Budget'!$B$20+L66*100*'Item Budget'!$B$21</f>
        <v/>
      </c>
      <c r="O66" s="61">
        <f>100*('Item Budget'!$R$7*(D66+F66)+H66*'Item Budget'!$R$8+K66*'Item Budget'!$B$20+L66*'Item Budget'!$B$21)</f>
        <v/>
      </c>
      <c r="P66" s="2" t="n"/>
      <c r="Q66" s="2" t="n"/>
      <c r="R66" s="2" t="n"/>
      <c r="S66" s="2" t="n"/>
      <c r="T66" s="2" t="n"/>
      <c r="U66" s="2" t="n"/>
      <c r="V66" s="2" t="n"/>
      <c r="W66" s="2" t="n"/>
      <c r="X66" s="2" t="n"/>
      <c r="Y66" s="2" t="n"/>
      <c r="Z66" s="2" t="n"/>
      <c r="AA66" s="2" t="n"/>
    </row>
    <row r="67">
      <c r="A67" s="21" t="n">
        <v>245</v>
      </c>
      <c r="B67" s="21" t="inlineStr">
        <is>
          <t>Spirit Power</t>
        </is>
      </c>
      <c r="C67" s="38" t="n">
        <v>0</v>
      </c>
      <c r="D67" s="38" t="n">
        <v>0.025</v>
      </c>
      <c r="E67" s="38" t="n">
        <v>0</v>
      </c>
      <c r="F67" s="38" t="n">
        <v>0.025</v>
      </c>
      <c r="G67" s="38" t="n">
        <v>0</v>
      </c>
      <c r="H67" s="38" t="n">
        <v>0.025</v>
      </c>
      <c r="I67" s="39" t="n">
        <v>500</v>
      </c>
      <c r="J67" s="39" t="n">
        <v>500</v>
      </c>
      <c r="K67" s="38" t="n">
        <v>0</v>
      </c>
      <c r="L67" s="38" t="n">
        <v>0</v>
      </c>
      <c r="M67" s="61">
        <f>C67*100*'Item Budget'!$B$12+E67*100*'Item Budget'!$B$14+G67*100*'Item Budget'!$B$16+H67*100*'Item Budget'!$B$17+I67/100*'Item Budget'!$B$18+K67*100*'Item Budget'!$B$20</f>
        <v/>
      </c>
      <c r="N67" s="61">
        <f>D67*100*'Item Budget'!$B$13+F67*100*'Item Budget'!$B$15+H67*100*'Item Budget'!$B$17+I67/100*'Item Budget'!$B$18+J67/100*'Item Budget'!$B$19+K67*100*'Item Budget'!$B$20+L67*100*'Item Budget'!$B$21</f>
        <v/>
      </c>
      <c r="O67" s="61">
        <f>100*('Item Budget'!$R$7*(D67+F67)+H67*'Item Budget'!$R$8+K67*'Item Budget'!$B$20+L67*'Item Budget'!$B$21)</f>
        <v/>
      </c>
      <c r="P67" s="2" t="n"/>
      <c r="Q67" s="2" t="n"/>
      <c r="R67" s="2" t="n"/>
      <c r="S67" s="2" t="n"/>
      <c r="T67" s="2" t="n"/>
      <c r="U67" s="2" t="n"/>
      <c r="V67" s="2" t="n"/>
      <c r="W67" s="2" t="n"/>
      <c r="X67" s="2" t="n"/>
      <c r="Y67" s="2" t="n"/>
      <c r="Z67" s="2" t="n"/>
      <c r="AA67" s="2" t="n"/>
    </row>
    <row r="68">
      <c r="A68" s="21" t="n">
        <v>256</v>
      </c>
      <c r="B68" s="21" t="inlineStr">
        <is>
          <t>Spell Critical XX and HP Reg</t>
        </is>
      </c>
      <c r="C68" s="38" t="n">
        <v>0</v>
      </c>
      <c r="D68" s="38" t="n">
        <v>0</v>
      </c>
      <c r="E68" s="38" t="n">
        <v>0</v>
      </c>
      <c r="F68" s="38" t="n">
        <v>0.2</v>
      </c>
      <c r="G68" s="38" t="n">
        <v>0</v>
      </c>
      <c r="H68" s="38" t="n">
        <v>0</v>
      </c>
      <c r="I68" s="39" t="n">
        <v>0</v>
      </c>
      <c r="J68" s="39" t="n">
        <v>0</v>
      </c>
      <c r="K68" s="38" t="n">
        <v>0.01</v>
      </c>
      <c r="L68" s="38" t="n">
        <v>0</v>
      </c>
      <c r="M68" s="61">
        <f>C68*100*'Item Budget'!$B$12+E68*100*'Item Budget'!$B$14+G68*100*'Item Budget'!$B$16+H68*100*'Item Budget'!$B$17+I68/100*'Item Budget'!$B$18+K68*100*'Item Budget'!$B$20</f>
        <v/>
      </c>
      <c r="N68" s="61">
        <f>D68*100*'Item Budget'!$B$13+F68*100*'Item Budget'!$B$15+H68*100*'Item Budget'!$B$17+I68/100*'Item Budget'!$B$18+J68/100*'Item Budget'!$B$19+K68*100*'Item Budget'!$B$20+L68*100*'Item Budget'!$B$21</f>
        <v/>
      </c>
      <c r="O68" s="61">
        <f>100*('Item Budget'!$R$7*(D68+F68)+H68*'Item Budget'!$R$8+K68*'Item Budget'!$B$20+L68*'Item Budget'!$B$21)</f>
        <v/>
      </c>
      <c r="P68" s="2" t="n"/>
      <c r="Q68" s="2" t="n"/>
      <c r="R68" s="2" t="n"/>
      <c r="S68" s="2" t="n"/>
      <c r="T68" s="2" t="n"/>
      <c r="U68" s="2" t="n"/>
      <c r="V68" s="2" t="n"/>
      <c r="W68" s="2" t="n"/>
      <c r="X68" s="2" t="n"/>
      <c r="Y68" s="2" t="n"/>
      <c r="Z68" s="2" t="n"/>
      <c r="AA68" s="2" t="n"/>
    </row>
    <row r="69">
      <c r="A69" s="21" t="n">
        <v>257</v>
      </c>
      <c r="B69" s="21" t="inlineStr">
        <is>
          <t>Spell Damage XX and MP Reg</t>
        </is>
      </c>
      <c r="C69" s="38" t="n">
        <v>0</v>
      </c>
      <c r="D69" s="38" t="n">
        <v>0.2</v>
      </c>
      <c r="E69" s="38" t="n">
        <v>0</v>
      </c>
      <c r="F69" s="38" t="n">
        <v>0</v>
      </c>
      <c r="G69" s="38" t="n">
        <v>0</v>
      </c>
      <c r="H69" s="38" t="n">
        <v>0</v>
      </c>
      <c r="I69" s="39" t="n">
        <v>0</v>
      </c>
      <c r="J69" s="39" t="n">
        <v>0</v>
      </c>
      <c r="K69" s="38" t="n">
        <v>0</v>
      </c>
      <c r="L69" s="38" t="n">
        <v>0.01</v>
      </c>
      <c r="M69" s="61">
        <f>C69*100*'Item Budget'!$B$12+E69*100*'Item Budget'!$B$14+G69*100*'Item Budget'!$B$16+H69*100*'Item Budget'!$B$17+I69/100*'Item Budget'!$B$18+K69*100*'Item Budget'!$B$20</f>
        <v/>
      </c>
      <c r="N69" s="61">
        <f>D69*100*'Item Budget'!$B$13+F69*100*'Item Budget'!$B$15+H69*100*'Item Budget'!$B$17+I69/100*'Item Budget'!$B$18+J69/100*'Item Budget'!$B$19+K69*100*'Item Budget'!$B$20+L69*100*'Item Budget'!$B$21</f>
        <v/>
      </c>
      <c r="O69" s="61">
        <f>100*('Item Budget'!$R$7*(D69+F69)+H69*'Item Budget'!$R$8+K69*'Item Budget'!$B$20+L69*'Item Budget'!$B$21)</f>
        <v/>
      </c>
      <c r="P69" s="2" t="n"/>
      <c r="Q69" s="2" t="n"/>
      <c r="R69" s="2" t="n"/>
      <c r="S69" s="2" t="n"/>
      <c r="T69" s="2" t="n"/>
      <c r="U69" s="2" t="n"/>
      <c r="V69" s="2" t="n"/>
      <c r="W69" s="2" t="n"/>
      <c r="X69" s="2" t="n"/>
      <c r="Y69" s="2" t="n"/>
      <c r="Z69" s="2" t="n"/>
      <c r="AA69" s="2" t="n"/>
    </row>
    <row r="70">
      <c r="A70" s="21" t="n">
        <v>258</v>
      </c>
      <c r="B70" s="21" t="inlineStr">
        <is>
          <t>Spell Critical XX</t>
        </is>
      </c>
      <c r="C70" s="38" t="n">
        <v>0</v>
      </c>
      <c r="D70" s="38" t="n">
        <v>0</v>
      </c>
      <c r="E70" s="38" t="n">
        <v>0</v>
      </c>
      <c r="F70" s="38" t="n">
        <v>0.2</v>
      </c>
      <c r="G70" s="38" t="n">
        <v>0</v>
      </c>
      <c r="H70" s="38" t="n">
        <v>0</v>
      </c>
      <c r="I70" s="39" t="n">
        <v>0</v>
      </c>
      <c r="J70" s="39" t="n">
        <v>0</v>
      </c>
      <c r="K70" s="38" t="n">
        <v>0</v>
      </c>
      <c r="L70" s="38" t="n">
        <v>0</v>
      </c>
      <c r="M70" s="61">
        <f>C70*100*'Item Budget'!$B$12+E70*100*'Item Budget'!$B$14+G70*100*'Item Budget'!$B$16+H70*100*'Item Budget'!$B$17+I70/100*'Item Budget'!$B$18+K70*100*'Item Budget'!$B$20</f>
        <v/>
      </c>
      <c r="N70" s="61">
        <f>D70*100*'Item Budget'!$B$13+F70*100*'Item Budget'!$B$15+H70*100*'Item Budget'!$B$17+I70/100*'Item Budget'!$B$18+J70/100*'Item Budget'!$B$19+K70*100*'Item Budget'!$B$20+L70*100*'Item Budget'!$B$21</f>
        <v/>
      </c>
      <c r="O70" s="61">
        <f>100*('Item Budget'!$R$7*(D70+F70)+H70*'Item Budget'!$R$8+K70*'Item Budget'!$B$20+L70*'Item Budget'!$B$21)</f>
        <v/>
      </c>
      <c r="P70" s="2" t="n"/>
      <c r="Q70" s="2" t="n"/>
      <c r="R70" s="2" t="n"/>
      <c r="S70" s="2" t="n"/>
      <c r="T70" s="2" t="n"/>
      <c r="U70" s="2" t="n"/>
      <c r="V70" s="2" t="n"/>
      <c r="W70" s="2" t="n"/>
      <c r="X70" s="2" t="n"/>
      <c r="Y70" s="2" t="n"/>
      <c r="Z70" s="2" t="n"/>
      <c r="AA70" s="2" t="n"/>
    </row>
    <row r="71">
      <c r="A71" s="21" t="n">
        <v>262</v>
      </c>
      <c r="B71" s="21" t="inlineStr">
        <is>
          <t>Mount Speed 0.9</t>
        </is>
      </c>
      <c r="C71" s="38" t="n">
        <v>0</v>
      </c>
      <c r="D71" s="38" t="n">
        <v>0</v>
      </c>
      <c r="E71" s="38" t="n">
        <v>0</v>
      </c>
      <c r="F71" s="38" t="n">
        <v>0</v>
      </c>
      <c r="G71" s="38" t="n">
        <v>0</v>
      </c>
      <c r="H71" s="38" t="n">
        <v>0.05</v>
      </c>
      <c r="I71" s="39" t="n">
        <v>0</v>
      </c>
      <c r="J71" s="39" t="n">
        <v>0</v>
      </c>
      <c r="K71" s="38" t="n">
        <v>0</v>
      </c>
      <c r="L71" s="38" t="n">
        <v>0</v>
      </c>
      <c r="M71" s="61">
        <f>C71*100*'Item Budget'!$B$12+E71*100*'Item Budget'!$B$14+G71*100*'Item Budget'!$B$16+H71*100*'Item Budget'!$B$17+I71/100*'Item Budget'!$B$18+K71*100*'Item Budget'!$B$20</f>
        <v/>
      </c>
      <c r="N71" s="61">
        <f>D71*100*'Item Budget'!$B$13+F71*100*'Item Budget'!$B$15+H71*100*'Item Budget'!$B$17+I71/100*'Item Budget'!$B$18+J71/100*'Item Budget'!$B$19+K71*100*'Item Budget'!$B$20+L71*100*'Item Budget'!$B$21</f>
        <v/>
      </c>
      <c r="O71" s="61">
        <f>100*('Item Budget'!$R$7*(D71+F71)+H71*'Item Budget'!$R$8+K71*'Item Budget'!$B$20+L71*'Item Budget'!$B$21)</f>
        <v/>
      </c>
      <c r="P71" s="2" t="n"/>
      <c r="Q71" s="2" t="n"/>
      <c r="R71" s="2" t="n"/>
      <c r="S71" s="2" t="n"/>
      <c r="T71" s="2" t="n"/>
      <c r="U71" s="2" t="n"/>
      <c r="V71" s="2" t="n"/>
      <c r="W71" s="2" t="n"/>
      <c r="X71" s="2" t="n"/>
      <c r="Y71" s="2" t="n"/>
      <c r="Z71" s="2" t="n"/>
      <c r="AA71" s="2" t="n"/>
    </row>
    <row r="72">
      <c r="A72" s="21" t="n">
        <v>263</v>
      </c>
      <c r="B72" s="21" t="inlineStr">
        <is>
          <t>Melee Damage II</t>
        </is>
      </c>
      <c r="C72" s="38" t="n">
        <v>0.02</v>
      </c>
      <c r="D72" s="38" t="n">
        <v>0</v>
      </c>
      <c r="E72" s="38" t="n">
        <v>0</v>
      </c>
      <c r="F72" s="38" t="n">
        <v>0</v>
      </c>
      <c r="G72" s="38" t="n">
        <v>0</v>
      </c>
      <c r="H72" s="38" t="n">
        <v>0</v>
      </c>
      <c r="I72" s="39" t="n">
        <v>0</v>
      </c>
      <c r="J72" s="39" t="n">
        <v>0</v>
      </c>
      <c r="K72" s="38" t="n">
        <v>0</v>
      </c>
      <c r="L72" s="38" t="n">
        <v>0</v>
      </c>
      <c r="M72" s="61">
        <f>C72*100*'Item Budget'!$B$12+E72*100*'Item Budget'!$B$14+G72*100*'Item Budget'!$B$16+H72*100*'Item Budget'!$B$17+I72/100*'Item Budget'!$B$18+K72*100*'Item Budget'!$B$20</f>
        <v/>
      </c>
      <c r="N72" s="61">
        <f>D72*100*'Item Budget'!$B$13+F72*100*'Item Budget'!$B$15+H72*100*'Item Budget'!$B$17+I72/100*'Item Budget'!$B$18+J72/100*'Item Budget'!$B$19+K72*100*'Item Budget'!$B$20+L72*100*'Item Budget'!$B$21</f>
        <v/>
      </c>
      <c r="O72" s="61">
        <f>100*('Item Budget'!$R$7*(D72+F72)+H72*'Item Budget'!$R$8+K72*'Item Budget'!$B$20+L72*'Item Budget'!$B$21)</f>
        <v/>
      </c>
      <c r="P72" s="2" t="n"/>
      <c r="Q72" s="2" t="n"/>
      <c r="R72" s="2" t="n"/>
      <c r="S72" s="2" t="n"/>
      <c r="T72" s="2" t="n"/>
      <c r="U72" s="2" t="n"/>
      <c r="V72" s="2" t="n"/>
      <c r="W72" s="2" t="n"/>
      <c r="X72" s="2" t="n"/>
      <c r="Y72" s="2" t="n"/>
      <c r="Z72" s="2" t="n"/>
      <c r="AA72" s="2" t="n"/>
    </row>
    <row r="73">
      <c r="A73" s="21" t="n">
        <v>264</v>
      </c>
      <c r="B73" s="21" t="inlineStr">
        <is>
          <t>Melee Damage III</t>
        </is>
      </c>
      <c r="C73" s="38" t="n">
        <v>0.03</v>
      </c>
      <c r="D73" s="38" t="n">
        <v>0</v>
      </c>
      <c r="E73" s="38" t="n">
        <v>0</v>
      </c>
      <c r="F73" s="38" t="n">
        <v>0</v>
      </c>
      <c r="G73" s="38" t="n">
        <v>0</v>
      </c>
      <c r="H73" s="38" t="n">
        <v>0</v>
      </c>
      <c r="I73" s="39" t="n">
        <v>0</v>
      </c>
      <c r="J73" s="39" t="n">
        <v>0</v>
      </c>
      <c r="K73" s="38" t="n">
        <v>0</v>
      </c>
      <c r="L73" s="38" t="n">
        <v>0</v>
      </c>
      <c r="M73" s="61">
        <f>C73*100*'Item Budget'!$B$12+E73*100*'Item Budget'!$B$14+G73*100*'Item Budget'!$B$16+H73*100*'Item Budget'!$B$17+I73/100*'Item Budget'!$B$18+K73*100*'Item Budget'!$B$20</f>
        <v/>
      </c>
      <c r="N73" s="61">
        <f>D73*100*'Item Budget'!$B$13+F73*100*'Item Budget'!$B$15+H73*100*'Item Budget'!$B$17+I73/100*'Item Budget'!$B$18+J73/100*'Item Budget'!$B$19+K73*100*'Item Budget'!$B$20+L73*100*'Item Budget'!$B$21</f>
        <v/>
      </c>
      <c r="O73" s="61">
        <f>100*('Item Budget'!$R$7*(D73+F73)+H73*'Item Budget'!$R$8+K73*'Item Budget'!$B$20+L73*'Item Budget'!$B$21)</f>
        <v/>
      </c>
      <c r="P73" s="2" t="n"/>
      <c r="Q73" s="2" t="n"/>
      <c r="R73" s="2" t="n"/>
      <c r="S73" s="2" t="n"/>
      <c r="T73" s="2" t="n"/>
      <c r="U73" s="2" t="n"/>
      <c r="V73" s="2" t="n"/>
      <c r="W73" s="2" t="n"/>
      <c r="X73" s="2" t="n"/>
      <c r="Y73" s="2" t="n"/>
      <c r="Z73" s="2" t="n"/>
      <c r="AA73" s="2" t="n"/>
    </row>
    <row r="74">
      <c r="A74" s="21" t="n">
        <v>265</v>
      </c>
      <c r="B74" s="21" t="inlineStr">
        <is>
          <t>Melee Damage IV</t>
        </is>
      </c>
      <c r="C74" s="38" t="n">
        <v>0.04</v>
      </c>
      <c r="D74" s="38" t="n">
        <v>0</v>
      </c>
      <c r="E74" s="38" t="n">
        <v>0</v>
      </c>
      <c r="F74" s="38" t="n">
        <v>0</v>
      </c>
      <c r="G74" s="38" t="n">
        <v>0</v>
      </c>
      <c r="H74" s="38" t="n">
        <v>0</v>
      </c>
      <c r="I74" s="39" t="n">
        <v>0</v>
      </c>
      <c r="J74" s="39" t="n">
        <v>0</v>
      </c>
      <c r="K74" s="38" t="n">
        <v>0</v>
      </c>
      <c r="L74" s="38" t="n">
        <v>0</v>
      </c>
      <c r="M74" s="61">
        <f>C74*100*'Item Budget'!$B$12+E74*100*'Item Budget'!$B$14+G74*100*'Item Budget'!$B$16+H74*100*'Item Budget'!$B$17+I74/100*'Item Budget'!$B$18+K74*100*'Item Budget'!$B$20</f>
        <v/>
      </c>
      <c r="N74" s="61">
        <f>D74*100*'Item Budget'!$B$13+F74*100*'Item Budget'!$B$15+H74*100*'Item Budget'!$B$17+I74/100*'Item Budget'!$B$18+J74/100*'Item Budget'!$B$19+K74*100*'Item Budget'!$B$20+L74*100*'Item Budget'!$B$21</f>
        <v/>
      </c>
      <c r="O74" s="61">
        <f>100*('Item Budget'!$R$7*(D74+F74)+H74*'Item Budget'!$R$8+K74*'Item Budget'!$B$20+L74*'Item Budget'!$B$21)</f>
        <v/>
      </c>
      <c r="P74" s="2" t="n"/>
      <c r="Q74" s="2" t="n"/>
      <c r="R74" s="2" t="n"/>
      <c r="S74" s="2" t="n"/>
      <c r="T74" s="2" t="n"/>
      <c r="U74" s="2" t="n"/>
      <c r="V74" s="2" t="n"/>
      <c r="W74" s="2" t="n"/>
      <c r="X74" s="2" t="n"/>
      <c r="Y74" s="2" t="n"/>
      <c r="Z74" s="2" t="n"/>
      <c r="AA74" s="2" t="n"/>
    </row>
    <row r="75">
      <c r="A75" s="21" t="n">
        <v>266</v>
      </c>
      <c r="B75" s="21" t="inlineStr">
        <is>
          <t>Melee Damage V</t>
        </is>
      </c>
      <c r="C75" s="38" t="n">
        <v>0.05</v>
      </c>
      <c r="D75" s="38" t="n">
        <v>0</v>
      </c>
      <c r="E75" s="38" t="n">
        <v>0</v>
      </c>
      <c r="F75" s="38" t="n">
        <v>0</v>
      </c>
      <c r="G75" s="38" t="n">
        <v>0</v>
      </c>
      <c r="H75" s="38" t="n">
        <v>0</v>
      </c>
      <c r="I75" s="39" t="n">
        <v>0</v>
      </c>
      <c r="J75" s="39" t="n">
        <v>0</v>
      </c>
      <c r="K75" s="38" t="n">
        <v>0</v>
      </c>
      <c r="L75" s="38" t="n">
        <v>0</v>
      </c>
      <c r="M75" s="61">
        <f>C75*100*'Item Budget'!$B$12+E75*100*'Item Budget'!$B$14+G75*100*'Item Budget'!$B$16+H75*100*'Item Budget'!$B$17+I75/100*'Item Budget'!$B$18+K75*100*'Item Budget'!$B$20</f>
        <v/>
      </c>
      <c r="N75" s="61">
        <f>D75*100*'Item Budget'!$B$13+F75*100*'Item Budget'!$B$15+H75*100*'Item Budget'!$B$17+I75/100*'Item Budget'!$B$18+J75/100*'Item Budget'!$B$19+K75*100*'Item Budget'!$B$20+L75*100*'Item Budget'!$B$21</f>
        <v/>
      </c>
      <c r="O75" s="61">
        <f>100*('Item Budget'!$R$7*(D75+F75)+H75*'Item Budget'!$R$8+K75*'Item Budget'!$B$20+L75*'Item Budget'!$B$21)</f>
        <v/>
      </c>
      <c r="P75" s="2" t="n"/>
      <c r="Q75" s="2" t="n"/>
      <c r="R75" s="2" t="n"/>
      <c r="S75" s="2" t="n"/>
      <c r="T75" s="2" t="n"/>
      <c r="U75" s="2" t="n"/>
      <c r="V75" s="2" t="n"/>
      <c r="W75" s="2" t="n"/>
      <c r="X75" s="2" t="n"/>
      <c r="Y75" s="2" t="n"/>
      <c r="Z75" s="2" t="n"/>
      <c r="AA75" s="2" t="n"/>
    </row>
    <row r="76">
      <c r="A76" s="21" t="n">
        <v>267</v>
      </c>
      <c r="B76" s="21" t="inlineStr">
        <is>
          <t>Melee Critical II</t>
        </is>
      </c>
      <c r="C76" s="38" t="n">
        <v>0</v>
      </c>
      <c r="D76" s="38" t="n">
        <v>0</v>
      </c>
      <c r="E76" s="38" t="n">
        <v>0.02</v>
      </c>
      <c r="F76" s="38" t="n">
        <v>0</v>
      </c>
      <c r="G76" s="38" t="n">
        <v>0</v>
      </c>
      <c r="H76" s="38" t="n">
        <v>0</v>
      </c>
      <c r="I76" s="39" t="n">
        <v>0</v>
      </c>
      <c r="J76" s="39" t="n">
        <v>0</v>
      </c>
      <c r="K76" s="38" t="n">
        <v>0</v>
      </c>
      <c r="L76" s="38" t="n">
        <v>0</v>
      </c>
      <c r="M76" s="61">
        <f>C76*100*'Item Budget'!$B$12+E76*100*'Item Budget'!$B$14+G76*100*'Item Budget'!$B$16+H76*100*'Item Budget'!$B$17+I76/100*'Item Budget'!$B$18+K76*100*'Item Budget'!$B$20</f>
        <v/>
      </c>
      <c r="N76" s="61">
        <f>D76*100*'Item Budget'!$B$13+F76*100*'Item Budget'!$B$15+H76*100*'Item Budget'!$B$17+I76/100*'Item Budget'!$B$18+J76/100*'Item Budget'!$B$19+K76*100*'Item Budget'!$B$20+L76*100*'Item Budget'!$B$21</f>
        <v/>
      </c>
      <c r="O76" s="61">
        <f>100*('Item Budget'!$R$7*(D76+F76)+H76*'Item Budget'!$R$8+K76*'Item Budget'!$B$20+L76*'Item Budget'!$B$21)</f>
        <v/>
      </c>
      <c r="P76" s="2" t="n"/>
      <c r="Q76" s="2" t="n"/>
      <c r="R76" s="2" t="n"/>
      <c r="S76" s="2" t="n"/>
      <c r="T76" s="2" t="n"/>
      <c r="U76" s="2" t="n"/>
      <c r="V76" s="2" t="n"/>
      <c r="W76" s="2" t="n"/>
      <c r="X76" s="2" t="n"/>
      <c r="Y76" s="2" t="n"/>
      <c r="Z76" s="2" t="n"/>
      <c r="AA76" s="2" t="n"/>
    </row>
    <row r="77">
      <c r="A77" s="21" t="n">
        <v>268</v>
      </c>
      <c r="B77" s="21" t="inlineStr">
        <is>
          <t>Melee Critical III</t>
        </is>
      </c>
      <c r="C77" s="38" t="n">
        <v>0</v>
      </c>
      <c r="D77" s="38" t="n">
        <v>0</v>
      </c>
      <c r="E77" s="38" t="n">
        <v>0.03</v>
      </c>
      <c r="F77" s="38" t="n">
        <v>0</v>
      </c>
      <c r="G77" s="38" t="n">
        <v>0</v>
      </c>
      <c r="H77" s="38" t="n">
        <v>0</v>
      </c>
      <c r="I77" s="39" t="n">
        <v>0</v>
      </c>
      <c r="J77" s="39" t="n">
        <v>0</v>
      </c>
      <c r="K77" s="38" t="n">
        <v>0</v>
      </c>
      <c r="L77" s="38" t="n">
        <v>0</v>
      </c>
      <c r="M77" s="61">
        <f>C77*100*'Item Budget'!$B$12+E77*100*'Item Budget'!$B$14+G77*100*'Item Budget'!$B$16+H77*100*'Item Budget'!$B$17+I77/100*'Item Budget'!$B$18+K77*100*'Item Budget'!$B$20</f>
        <v/>
      </c>
      <c r="N77" s="61">
        <f>D77*100*'Item Budget'!$B$13+F77*100*'Item Budget'!$B$15+H77*100*'Item Budget'!$B$17+I77/100*'Item Budget'!$B$18+J77/100*'Item Budget'!$B$19+K77*100*'Item Budget'!$B$20+L77*100*'Item Budget'!$B$21</f>
        <v/>
      </c>
      <c r="O77" s="61">
        <f>100*('Item Budget'!$R$7*(D77+F77)+H77*'Item Budget'!$R$8+K77*'Item Budget'!$B$20+L77*'Item Budget'!$B$21)</f>
        <v/>
      </c>
      <c r="P77" s="2" t="n"/>
      <c r="Q77" s="2" t="n"/>
      <c r="R77" s="2" t="n"/>
      <c r="S77" s="2" t="n"/>
      <c r="T77" s="2" t="n"/>
      <c r="U77" s="2" t="n"/>
      <c r="V77" s="2" t="n"/>
      <c r="W77" s="2" t="n"/>
      <c r="X77" s="2" t="n"/>
      <c r="Y77" s="2" t="n"/>
      <c r="Z77" s="2" t="n"/>
      <c r="AA77" s="2" t="n"/>
    </row>
    <row r="78">
      <c r="A78" s="21" t="n">
        <v>269</v>
      </c>
      <c r="B78" s="21" t="inlineStr">
        <is>
          <t>Melee Critical IV</t>
        </is>
      </c>
      <c r="C78" s="38" t="n">
        <v>0</v>
      </c>
      <c r="D78" s="38" t="n">
        <v>0</v>
      </c>
      <c r="E78" s="38" t="n">
        <v>0.04</v>
      </c>
      <c r="F78" s="38" t="n">
        <v>0</v>
      </c>
      <c r="G78" s="38" t="n">
        <v>0</v>
      </c>
      <c r="H78" s="38" t="n">
        <v>0</v>
      </c>
      <c r="I78" s="39" t="n">
        <v>0</v>
      </c>
      <c r="J78" s="39" t="n">
        <v>0</v>
      </c>
      <c r="K78" s="38" t="n">
        <v>0</v>
      </c>
      <c r="L78" s="38" t="n">
        <v>0</v>
      </c>
      <c r="M78" s="61">
        <f>C78*100*'Item Budget'!$B$12+E78*100*'Item Budget'!$B$14+G78*100*'Item Budget'!$B$16+H78*100*'Item Budget'!$B$17+I78/100*'Item Budget'!$B$18+K78*100*'Item Budget'!$B$20</f>
        <v/>
      </c>
      <c r="N78" s="61">
        <f>D78*100*'Item Budget'!$B$13+F78*100*'Item Budget'!$B$15+H78*100*'Item Budget'!$B$17+I78/100*'Item Budget'!$B$18+J78/100*'Item Budget'!$B$19+K78*100*'Item Budget'!$B$20+L78*100*'Item Budget'!$B$21</f>
        <v/>
      </c>
      <c r="O78" s="61">
        <f>100*('Item Budget'!$R$7*(D78+F78)+H78*'Item Budget'!$R$8+K78*'Item Budget'!$B$20+L78*'Item Budget'!$B$21)</f>
        <v/>
      </c>
      <c r="P78" s="2" t="n"/>
      <c r="Q78" s="2" t="n"/>
      <c r="R78" s="2" t="n"/>
      <c r="S78" s="2" t="n"/>
      <c r="T78" s="2" t="n"/>
      <c r="U78" s="2" t="n"/>
      <c r="V78" s="2" t="n"/>
      <c r="W78" s="2" t="n"/>
      <c r="X78" s="2" t="n"/>
      <c r="Y78" s="2" t="n"/>
      <c r="Z78" s="2" t="n"/>
      <c r="AA78" s="2" t="n"/>
    </row>
    <row r="79">
      <c r="A79" s="21" t="n">
        <v>270</v>
      </c>
      <c r="B79" s="21" t="inlineStr">
        <is>
          <t>Spell Critical II</t>
        </is>
      </c>
      <c r="C79" s="38" t="n">
        <v>0</v>
      </c>
      <c r="D79" s="38" t="n">
        <v>0</v>
      </c>
      <c r="E79" s="38" t="n">
        <v>0</v>
      </c>
      <c r="F79" s="38" t="n">
        <v>0.02</v>
      </c>
      <c r="G79" s="38" t="n">
        <v>0</v>
      </c>
      <c r="H79" s="38" t="n">
        <v>0</v>
      </c>
      <c r="I79" s="39" t="n">
        <v>0</v>
      </c>
      <c r="J79" s="39" t="n">
        <v>0</v>
      </c>
      <c r="K79" s="38" t="n">
        <v>0</v>
      </c>
      <c r="L79" s="38" t="n">
        <v>0</v>
      </c>
      <c r="M79" s="61">
        <f>C79*100*'Item Budget'!$B$12+E79*100*'Item Budget'!$B$14+G79*100*'Item Budget'!$B$16+H79*100*'Item Budget'!$B$17+I79/100*'Item Budget'!$B$18+K79*100*'Item Budget'!$B$20</f>
        <v/>
      </c>
      <c r="N79" s="61">
        <f>D79*100*'Item Budget'!$B$13+F79*100*'Item Budget'!$B$15+H79*100*'Item Budget'!$B$17+I79/100*'Item Budget'!$B$18+J79/100*'Item Budget'!$B$19+K79*100*'Item Budget'!$B$20+L79*100*'Item Budget'!$B$21</f>
        <v/>
      </c>
      <c r="O79" s="61">
        <f>100*('Item Budget'!$R$7*(D79+F79)+H79*'Item Budget'!$R$8+K79*'Item Budget'!$B$20+L79*'Item Budget'!$B$21)</f>
        <v/>
      </c>
      <c r="P79" s="2" t="n"/>
      <c r="Q79" s="2" t="n"/>
      <c r="R79" s="2" t="n"/>
      <c r="S79" s="2" t="n"/>
      <c r="T79" s="2" t="n"/>
      <c r="U79" s="2" t="n"/>
      <c r="V79" s="2" t="n"/>
      <c r="W79" s="2" t="n"/>
      <c r="X79" s="2" t="n"/>
      <c r="Y79" s="2" t="n"/>
      <c r="Z79" s="2" t="n"/>
      <c r="AA79" s="2" t="n"/>
    </row>
    <row r="80">
      <c r="A80" s="21" t="n">
        <v>271</v>
      </c>
      <c r="B80" s="21" t="inlineStr">
        <is>
          <t>Spell Critical III</t>
        </is>
      </c>
      <c r="C80" s="38" t="n">
        <v>0</v>
      </c>
      <c r="D80" s="38" t="n">
        <v>0</v>
      </c>
      <c r="E80" s="38" t="n">
        <v>0</v>
      </c>
      <c r="F80" s="38" t="n">
        <v>0.03</v>
      </c>
      <c r="G80" s="38" t="n">
        <v>0</v>
      </c>
      <c r="H80" s="38" t="n">
        <v>0</v>
      </c>
      <c r="I80" s="39" t="n">
        <v>0</v>
      </c>
      <c r="J80" s="39" t="n">
        <v>0</v>
      </c>
      <c r="K80" s="38" t="n">
        <v>0</v>
      </c>
      <c r="L80" s="38" t="n">
        <v>0</v>
      </c>
      <c r="M80" s="61">
        <f>C80*100*'Item Budget'!$B$12+E80*100*'Item Budget'!$B$14+G80*100*'Item Budget'!$B$16+H80*100*'Item Budget'!$B$17+I80/100*'Item Budget'!$B$18+K80*100*'Item Budget'!$B$20</f>
        <v/>
      </c>
      <c r="N80" s="61">
        <f>D80*100*'Item Budget'!$B$13+F80*100*'Item Budget'!$B$15+H80*100*'Item Budget'!$B$17+I80/100*'Item Budget'!$B$18+J80/100*'Item Budget'!$B$19+K80*100*'Item Budget'!$B$20+L80*100*'Item Budget'!$B$21</f>
        <v/>
      </c>
      <c r="O80" s="61">
        <f>100*('Item Budget'!$R$7*(D80+F80)+H80*'Item Budget'!$R$8+K80*'Item Budget'!$B$20+L80*'Item Budget'!$B$21)</f>
        <v/>
      </c>
      <c r="P80" s="2" t="n"/>
      <c r="Q80" s="2" t="n"/>
      <c r="R80" s="2" t="n"/>
      <c r="S80" s="2" t="n"/>
      <c r="T80" s="2" t="n"/>
      <c r="U80" s="2" t="n"/>
      <c r="V80" s="2" t="n"/>
      <c r="W80" s="2" t="n"/>
      <c r="X80" s="2" t="n"/>
      <c r="Y80" s="2" t="n"/>
      <c r="Z80" s="2" t="n"/>
      <c r="AA80" s="2" t="n"/>
    </row>
    <row r="81">
      <c r="A81" s="21" t="n">
        <v>272</v>
      </c>
      <c r="B81" s="21" t="inlineStr">
        <is>
          <t>Spell Critical IV</t>
        </is>
      </c>
      <c r="C81" s="38" t="n">
        <v>0</v>
      </c>
      <c r="D81" s="38" t="n">
        <v>0</v>
      </c>
      <c r="E81" s="38" t="n">
        <v>0</v>
      </c>
      <c r="F81" s="38" t="n">
        <v>0.04</v>
      </c>
      <c r="G81" s="38" t="n">
        <v>0</v>
      </c>
      <c r="H81" s="38" t="n">
        <v>0</v>
      </c>
      <c r="I81" s="39" t="n">
        <v>0</v>
      </c>
      <c r="J81" s="39" t="n">
        <v>0</v>
      </c>
      <c r="K81" s="38" t="n">
        <v>0</v>
      </c>
      <c r="L81" s="38" t="n">
        <v>0</v>
      </c>
      <c r="M81" s="61">
        <f>C81*100*'Item Budget'!$B$12+E81*100*'Item Budget'!$B$14+G81*100*'Item Budget'!$B$16+H81*100*'Item Budget'!$B$17+I81/100*'Item Budget'!$B$18+K81*100*'Item Budget'!$B$20</f>
        <v/>
      </c>
      <c r="N81" s="61">
        <f>D81*100*'Item Budget'!$B$13+F81*100*'Item Budget'!$B$15+H81*100*'Item Budget'!$B$17+I81/100*'Item Budget'!$B$18+J81/100*'Item Budget'!$B$19+K81*100*'Item Budget'!$B$20+L81*100*'Item Budget'!$B$21</f>
        <v/>
      </c>
      <c r="O81" s="61">
        <f>100*('Item Budget'!$R$7*(D81+F81)+H81*'Item Budget'!$R$8+K81*'Item Budget'!$B$20+L81*'Item Budget'!$B$21)</f>
        <v/>
      </c>
      <c r="P81" s="2" t="n"/>
      <c r="Q81" s="2" t="n"/>
      <c r="R81" s="2" t="n"/>
      <c r="S81" s="2" t="n"/>
      <c r="T81" s="2" t="n"/>
      <c r="U81" s="2" t="n"/>
      <c r="V81" s="2" t="n"/>
      <c r="W81" s="2" t="n"/>
      <c r="X81" s="2" t="n"/>
      <c r="Y81" s="2" t="n"/>
      <c r="Z81" s="2" t="n"/>
      <c r="AA81" s="2" t="n"/>
    </row>
    <row r="82">
      <c r="A82" s="21" t="n">
        <v>273</v>
      </c>
      <c r="B82" s="21" t="inlineStr">
        <is>
          <t>Spell Damage III</t>
        </is>
      </c>
      <c r="C82" s="38" t="n">
        <v>0</v>
      </c>
      <c r="D82" s="38" t="n">
        <v>0.03</v>
      </c>
      <c r="E82" s="38" t="n">
        <v>0</v>
      </c>
      <c r="F82" s="38" t="n">
        <v>0</v>
      </c>
      <c r="G82" s="38" t="n">
        <v>0</v>
      </c>
      <c r="H82" s="38" t="n">
        <v>0</v>
      </c>
      <c r="I82" s="39" t="n">
        <v>0</v>
      </c>
      <c r="J82" s="39" t="n">
        <v>0</v>
      </c>
      <c r="K82" s="38" t="n">
        <v>0</v>
      </c>
      <c r="L82" s="38" t="n">
        <v>0</v>
      </c>
      <c r="M82" s="61">
        <f>C82*100*'Item Budget'!$B$12+E82*100*'Item Budget'!$B$14+G82*100*'Item Budget'!$B$16+H82*100*'Item Budget'!$B$17+I82/100*'Item Budget'!$B$18+K82*100*'Item Budget'!$B$20</f>
        <v/>
      </c>
      <c r="N82" s="61">
        <f>D82*100*'Item Budget'!$B$13+F82*100*'Item Budget'!$B$15+H82*100*'Item Budget'!$B$17+I82/100*'Item Budget'!$B$18+J82/100*'Item Budget'!$B$19+K82*100*'Item Budget'!$B$20+L82*100*'Item Budget'!$B$21</f>
        <v/>
      </c>
      <c r="O82" s="61">
        <f>100*('Item Budget'!$R$7*(D82+F82)+H82*'Item Budget'!$R$8+K82*'Item Budget'!$B$20+L82*'Item Budget'!$B$21)</f>
        <v/>
      </c>
      <c r="P82" s="2" t="n"/>
      <c r="Q82" s="2" t="n"/>
      <c r="R82" s="2" t="n"/>
      <c r="S82" s="2" t="n"/>
      <c r="T82" s="2" t="n"/>
      <c r="U82" s="2" t="n"/>
      <c r="V82" s="2" t="n"/>
      <c r="W82" s="2" t="n"/>
      <c r="X82" s="2" t="n"/>
      <c r="Y82" s="2" t="n"/>
      <c r="Z82" s="2" t="n"/>
      <c r="AA82" s="2" t="n"/>
    </row>
    <row r="83">
      <c r="A83" s="21" t="n">
        <v>274</v>
      </c>
      <c r="B83" s="21" t="inlineStr">
        <is>
          <t>Spell Damage VII</t>
        </is>
      </c>
      <c r="C83" s="38" t="n">
        <v>0</v>
      </c>
      <c r="D83" s="38" t="n">
        <v>0.07000000000000001</v>
      </c>
      <c r="E83" s="38" t="n">
        <v>0</v>
      </c>
      <c r="F83" s="38" t="n">
        <v>0</v>
      </c>
      <c r="G83" s="38" t="n">
        <v>0</v>
      </c>
      <c r="H83" s="38" t="n">
        <v>0</v>
      </c>
      <c r="I83" s="39" t="n">
        <v>0</v>
      </c>
      <c r="J83" s="39" t="n">
        <v>0</v>
      </c>
      <c r="K83" s="38" t="n">
        <v>0</v>
      </c>
      <c r="L83" s="38" t="n">
        <v>0</v>
      </c>
      <c r="M83" s="61">
        <f>C83*100*'Item Budget'!$B$12+E83*100*'Item Budget'!$B$14+G83*100*'Item Budget'!$B$16+H83*100*'Item Budget'!$B$17+I83/100*'Item Budget'!$B$18+K83*100*'Item Budget'!$B$20</f>
        <v/>
      </c>
      <c r="N83" s="61">
        <f>D83*100*'Item Budget'!$B$13+F83*100*'Item Budget'!$B$15+H83*100*'Item Budget'!$B$17+I83/100*'Item Budget'!$B$18+J83/100*'Item Budget'!$B$19+K83*100*'Item Budget'!$B$20+L83*100*'Item Budget'!$B$21</f>
        <v/>
      </c>
      <c r="O83" s="61">
        <f>100*('Item Budget'!$R$7*(D83+F83)+H83*'Item Budget'!$R$8+K83*'Item Budget'!$B$20+L83*'Item Budget'!$B$21)</f>
        <v/>
      </c>
      <c r="P83" s="2" t="n"/>
      <c r="Q83" s="2" t="n"/>
      <c r="R83" s="2" t="n"/>
      <c r="S83" s="2" t="n"/>
      <c r="T83" s="2" t="n"/>
      <c r="U83" s="2" t="n"/>
      <c r="V83" s="2" t="n"/>
      <c r="W83" s="2" t="n"/>
      <c r="X83" s="2" t="n"/>
      <c r="Y83" s="2" t="n"/>
      <c r="Z83" s="2" t="n"/>
      <c r="AA83" s="2" t="n"/>
    </row>
    <row r="84">
      <c r="A84" s="21" t="n">
        <v>275</v>
      </c>
      <c r="B84" s="21" t="inlineStr">
        <is>
          <t>Spell Damage IX</t>
        </is>
      </c>
      <c r="C84" s="38" t="n">
        <v>0</v>
      </c>
      <c r="D84" s="38" t="n">
        <v>0.09</v>
      </c>
      <c r="E84" s="38" t="n">
        <v>0</v>
      </c>
      <c r="F84" s="38" t="n">
        <v>0</v>
      </c>
      <c r="G84" s="38" t="n">
        <v>0</v>
      </c>
      <c r="H84" s="38" t="n">
        <v>0</v>
      </c>
      <c r="I84" s="39" t="n">
        <v>0</v>
      </c>
      <c r="J84" s="39" t="n">
        <v>0</v>
      </c>
      <c r="K84" s="38" t="n">
        <v>0</v>
      </c>
      <c r="L84" s="38" t="n">
        <v>0</v>
      </c>
      <c r="M84" s="61">
        <f>C84*100*'Item Budget'!$B$12+E84*100*'Item Budget'!$B$14+G84*100*'Item Budget'!$B$16+H84*100*'Item Budget'!$B$17+I84/100*'Item Budget'!$B$18+K84*100*'Item Budget'!$B$20</f>
        <v/>
      </c>
      <c r="N84" s="61">
        <f>D84*100*'Item Budget'!$B$13+F84*100*'Item Budget'!$B$15+H84*100*'Item Budget'!$B$17+I84/100*'Item Budget'!$B$18+J84/100*'Item Budget'!$B$19+K84*100*'Item Budget'!$B$20+L84*100*'Item Budget'!$B$21</f>
        <v/>
      </c>
      <c r="O84" s="61">
        <f>100*('Item Budget'!$R$7*(D84+F84)+H84*'Item Budget'!$R$8+K84*'Item Budget'!$B$20+L84*'Item Budget'!$B$21)</f>
        <v/>
      </c>
      <c r="P84" s="2" t="n"/>
      <c r="Q84" s="2" t="n"/>
      <c r="R84" s="2" t="n"/>
      <c r="S84" s="2" t="n"/>
      <c r="T84" s="2" t="n"/>
      <c r="U84" s="2" t="n"/>
      <c r="V84" s="2" t="n"/>
      <c r="W84" s="2" t="n"/>
      <c r="X84" s="2" t="n"/>
      <c r="Y84" s="2" t="n"/>
      <c r="Z84" s="2" t="n"/>
      <c r="AA84" s="2" t="n"/>
    </row>
    <row r="85">
      <c r="A85" s="21" t="n">
        <v>276</v>
      </c>
      <c r="B85" s="21" t="inlineStr">
        <is>
          <t>Haste II</t>
        </is>
      </c>
      <c r="C85" s="38" t="n">
        <v>0</v>
      </c>
      <c r="D85" s="38" t="n">
        <v>0</v>
      </c>
      <c r="E85" s="38" t="n">
        <v>0</v>
      </c>
      <c r="F85" s="38" t="n">
        <v>0</v>
      </c>
      <c r="G85" s="38" t="n">
        <v>0.02</v>
      </c>
      <c r="H85" s="38" t="n">
        <v>0</v>
      </c>
      <c r="I85" s="39" t="n">
        <v>0</v>
      </c>
      <c r="J85" s="39" t="n">
        <v>0</v>
      </c>
      <c r="K85" s="38" t="n">
        <v>0</v>
      </c>
      <c r="L85" s="38" t="n">
        <v>0</v>
      </c>
      <c r="M85" s="61">
        <f>C85*100*'Item Budget'!$B$12+E85*100*'Item Budget'!$B$14+G85*100*'Item Budget'!$B$16+H85*100*'Item Budget'!$B$17+I85/100*'Item Budget'!$B$18+K85*100*'Item Budget'!$B$20</f>
        <v/>
      </c>
      <c r="N85" s="61">
        <f>D85*100*'Item Budget'!$B$13+F85*100*'Item Budget'!$B$15+H85*100*'Item Budget'!$B$17+I85/100*'Item Budget'!$B$18+J85/100*'Item Budget'!$B$19+K85*100*'Item Budget'!$B$20+L85*100*'Item Budget'!$B$21</f>
        <v/>
      </c>
      <c r="O85" s="61">
        <f>100*('Item Budget'!$R$7*(D85+F85)+H85*'Item Budget'!$R$8+K85*'Item Budget'!$B$20+L85*'Item Budget'!$B$21)</f>
        <v/>
      </c>
      <c r="P85" s="2" t="n"/>
      <c r="Q85" s="2" t="n"/>
      <c r="R85" s="2" t="n"/>
      <c r="S85" s="2" t="n"/>
      <c r="T85" s="2" t="n"/>
      <c r="U85" s="2" t="n"/>
      <c r="V85" s="2" t="n"/>
      <c r="W85" s="2" t="n"/>
      <c r="X85" s="2" t="n"/>
      <c r="Y85" s="2" t="n"/>
      <c r="Z85" s="2" t="n"/>
      <c r="AA85" s="2" t="n"/>
    </row>
    <row r="86">
      <c r="A86" s="21" t="n">
        <v>277</v>
      </c>
      <c r="B86" s="21" t="inlineStr">
        <is>
          <t>Haste III</t>
        </is>
      </c>
      <c r="C86" s="38" t="n">
        <v>0</v>
      </c>
      <c r="D86" s="38" t="n">
        <v>0</v>
      </c>
      <c r="E86" s="38" t="n">
        <v>0</v>
      </c>
      <c r="F86" s="38" t="n">
        <v>0</v>
      </c>
      <c r="G86" s="38" t="n">
        <v>0.03</v>
      </c>
      <c r="H86" s="38" t="n">
        <v>0</v>
      </c>
      <c r="I86" s="39" t="n">
        <v>0</v>
      </c>
      <c r="J86" s="39" t="n">
        <v>0</v>
      </c>
      <c r="K86" s="38" t="n">
        <v>0</v>
      </c>
      <c r="L86" s="38" t="n">
        <v>0</v>
      </c>
      <c r="M86" s="61">
        <f>C86*100*'Item Budget'!$B$12+E86*100*'Item Budget'!$B$14+G86*100*'Item Budget'!$B$16+H86*100*'Item Budget'!$B$17+I86/100*'Item Budget'!$B$18+K86*100*'Item Budget'!$B$20</f>
        <v/>
      </c>
      <c r="N86" s="61">
        <f>D86*100*'Item Budget'!$B$13+F86*100*'Item Budget'!$B$15+H86*100*'Item Budget'!$B$17+I86/100*'Item Budget'!$B$18+J86/100*'Item Budget'!$B$19+K86*100*'Item Budget'!$B$20+L86*100*'Item Budget'!$B$21</f>
        <v/>
      </c>
      <c r="O86" s="61">
        <f>100*('Item Budget'!$R$7*(D86+F86)+H86*'Item Budget'!$R$8+K86*'Item Budget'!$B$20+L86*'Item Budget'!$B$21)</f>
        <v/>
      </c>
      <c r="P86" s="2" t="n"/>
      <c r="Q86" s="2" t="n"/>
      <c r="R86" s="2" t="n"/>
      <c r="S86" s="2" t="n"/>
      <c r="T86" s="2" t="n"/>
      <c r="U86" s="2" t="n"/>
      <c r="V86" s="2" t="n"/>
      <c r="W86" s="2" t="n"/>
      <c r="X86" s="2" t="n"/>
      <c r="Y86" s="2" t="n"/>
      <c r="Z86" s="2" t="n"/>
      <c r="AA86" s="2" t="n"/>
    </row>
    <row r="87">
      <c r="A87" s="21" t="n">
        <v>278</v>
      </c>
      <c r="B87" s="21" t="inlineStr">
        <is>
          <t>Haste IV</t>
        </is>
      </c>
      <c r="C87" s="38" t="n">
        <v>0</v>
      </c>
      <c r="D87" s="38" t="n">
        <v>0</v>
      </c>
      <c r="E87" s="38" t="n">
        <v>0</v>
      </c>
      <c r="F87" s="38" t="n">
        <v>0</v>
      </c>
      <c r="G87" s="38" t="n">
        <v>0.04</v>
      </c>
      <c r="H87" s="38" t="n">
        <v>0</v>
      </c>
      <c r="I87" s="39" t="n">
        <v>0</v>
      </c>
      <c r="J87" s="39" t="n">
        <v>0</v>
      </c>
      <c r="K87" s="38" t="n">
        <v>0</v>
      </c>
      <c r="L87" s="38" t="n">
        <v>0</v>
      </c>
      <c r="M87" s="61">
        <f>C87*100*'Item Budget'!$B$12+E87*100*'Item Budget'!$B$14+G87*100*'Item Budget'!$B$16+H87*100*'Item Budget'!$B$17+I87/100*'Item Budget'!$B$18+K87*100*'Item Budget'!$B$20</f>
        <v/>
      </c>
      <c r="N87" s="61">
        <f>D87*100*'Item Budget'!$B$13+F87*100*'Item Budget'!$B$15+H87*100*'Item Budget'!$B$17+I87/100*'Item Budget'!$B$18+J87/100*'Item Budget'!$B$19+K87*100*'Item Budget'!$B$20+L87*100*'Item Budget'!$B$21</f>
        <v/>
      </c>
      <c r="O87" s="61">
        <f>100*('Item Budget'!$R$7*(D87+F87)+H87*'Item Budget'!$R$8+K87*'Item Budget'!$B$20+L87*'Item Budget'!$B$21)</f>
        <v/>
      </c>
      <c r="P87" s="2" t="n"/>
      <c r="Q87" s="2" t="n"/>
      <c r="R87" s="2" t="n"/>
      <c r="S87" s="2" t="n"/>
      <c r="T87" s="2" t="n"/>
      <c r="U87" s="2" t="n"/>
      <c r="V87" s="2" t="n"/>
      <c r="W87" s="2" t="n"/>
      <c r="X87" s="2" t="n"/>
      <c r="Y87" s="2" t="n"/>
      <c r="Z87" s="2" t="n"/>
      <c r="AA87" s="2" t="n"/>
    </row>
    <row r="88">
      <c r="A88" s="21" t="n">
        <v>279</v>
      </c>
      <c r="B88" s="21" t="inlineStr">
        <is>
          <t>Melee and Spell Damage II</t>
        </is>
      </c>
      <c r="C88" s="38" t="n">
        <v>0.02</v>
      </c>
      <c r="D88" s="38" t="n">
        <v>0.02</v>
      </c>
      <c r="E88" s="38" t="n">
        <v>0</v>
      </c>
      <c r="F88" s="38" t="n">
        <v>0</v>
      </c>
      <c r="G88" s="38" t="n">
        <v>0</v>
      </c>
      <c r="H88" s="38" t="n">
        <v>0</v>
      </c>
      <c r="I88" s="39" t="n">
        <v>0</v>
      </c>
      <c r="J88" s="39" t="n">
        <v>0</v>
      </c>
      <c r="K88" s="38" t="n">
        <v>0</v>
      </c>
      <c r="L88" s="38" t="n">
        <v>0</v>
      </c>
      <c r="M88" s="61">
        <f>C88*100*'Item Budget'!$B$12+E88*100*'Item Budget'!$B$14+G88*100*'Item Budget'!$B$16+H88*100*'Item Budget'!$B$17+I88/100*'Item Budget'!$B$18+K88*100*'Item Budget'!$B$20</f>
        <v/>
      </c>
      <c r="N88" s="61">
        <f>D88*100*'Item Budget'!$B$13+F88*100*'Item Budget'!$B$15+H88*100*'Item Budget'!$B$17+I88/100*'Item Budget'!$B$18+J88/100*'Item Budget'!$B$19+K88*100*'Item Budget'!$B$20+L88*100*'Item Budget'!$B$21</f>
        <v/>
      </c>
      <c r="O88" s="61">
        <f>100*('Item Budget'!$R$7*(D88+F88)+H88*'Item Budget'!$R$8+K88*'Item Budget'!$B$20+L88*'Item Budget'!$B$21)</f>
        <v/>
      </c>
      <c r="P88" s="2" t="n"/>
      <c r="Q88" s="2" t="n"/>
      <c r="R88" s="2" t="n"/>
      <c r="S88" s="2" t="n"/>
      <c r="T88" s="2" t="n"/>
      <c r="U88" s="2" t="n"/>
      <c r="V88" s="2" t="n"/>
      <c r="W88" s="2" t="n"/>
      <c r="X88" s="2" t="n"/>
      <c r="Y88" s="2" t="n"/>
      <c r="Z88" s="2" t="n"/>
      <c r="AA88" s="2" t="n"/>
    </row>
    <row r="89">
      <c r="A89" s="21" t="n">
        <v>280</v>
      </c>
      <c r="B89" s="21" t="inlineStr">
        <is>
          <t>Melee and Spell Damage III</t>
        </is>
      </c>
      <c r="C89" s="38" t="n">
        <v>0.03</v>
      </c>
      <c r="D89" s="38" t="n">
        <v>0.03</v>
      </c>
      <c r="E89" s="38" t="n">
        <v>0</v>
      </c>
      <c r="F89" s="38" t="n">
        <v>0</v>
      </c>
      <c r="G89" s="38" t="n">
        <v>0</v>
      </c>
      <c r="H89" s="38" t="n">
        <v>0</v>
      </c>
      <c r="I89" s="39" t="n">
        <v>0</v>
      </c>
      <c r="J89" s="39" t="n">
        <v>0</v>
      </c>
      <c r="K89" s="38" t="n">
        <v>0</v>
      </c>
      <c r="L89" s="38" t="n">
        <v>0</v>
      </c>
      <c r="M89" s="61">
        <f>C89*100*'Item Budget'!$B$12+E89*100*'Item Budget'!$B$14+G89*100*'Item Budget'!$B$16+H89*100*'Item Budget'!$B$17+I89/100*'Item Budget'!$B$18+K89*100*'Item Budget'!$B$20</f>
        <v/>
      </c>
      <c r="N89" s="61">
        <f>D89*100*'Item Budget'!$B$13+F89*100*'Item Budget'!$B$15+H89*100*'Item Budget'!$B$17+I89/100*'Item Budget'!$B$18+J89/100*'Item Budget'!$B$19+K89*100*'Item Budget'!$B$20+L89*100*'Item Budget'!$B$21</f>
        <v/>
      </c>
      <c r="O89" s="61">
        <f>100*('Item Budget'!$R$7*(D89+F89)+H89*'Item Budget'!$R$8+K89*'Item Budget'!$B$20+L89*'Item Budget'!$B$21)</f>
        <v/>
      </c>
      <c r="P89" s="2" t="n"/>
      <c r="Q89" s="2" t="n"/>
      <c r="R89" s="2" t="n"/>
      <c r="S89" s="2" t="n"/>
      <c r="T89" s="2" t="n"/>
      <c r="U89" s="2" t="n"/>
      <c r="V89" s="2" t="n"/>
      <c r="W89" s="2" t="n"/>
      <c r="X89" s="2" t="n"/>
      <c r="Y89" s="2" t="n"/>
      <c r="Z89" s="2" t="n"/>
      <c r="AA89" s="2" t="n"/>
    </row>
    <row r="90">
      <c r="A90" s="21" t="n">
        <v>281</v>
      </c>
      <c r="B90" s="21" t="inlineStr">
        <is>
          <t>Melee and Spell Damage IV</t>
        </is>
      </c>
      <c r="C90" s="38" t="n">
        <v>0.04</v>
      </c>
      <c r="D90" s="38" t="n">
        <v>0.04</v>
      </c>
      <c r="E90" s="38" t="n">
        <v>0</v>
      </c>
      <c r="F90" s="38" t="n">
        <v>0</v>
      </c>
      <c r="G90" s="38" t="n">
        <v>0</v>
      </c>
      <c r="H90" s="38" t="n">
        <v>0</v>
      </c>
      <c r="I90" s="39" t="n">
        <v>0</v>
      </c>
      <c r="J90" s="39" t="n">
        <v>0</v>
      </c>
      <c r="K90" s="38" t="n">
        <v>0</v>
      </c>
      <c r="L90" s="38" t="n">
        <v>0</v>
      </c>
      <c r="M90" s="61">
        <f>C90*100*'Item Budget'!$B$12+E90*100*'Item Budget'!$B$14+G90*100*'Item Budget'!$B$16+H90*100*'Item Budget'!$B$17+I90/100*'Item Budget'!$B$18+K90*100*'Item Budget'!$B$20</f>
        <v/>
      </c>
      <c r="N90" s="61">
        <f>D90*100*'Item Budget'!$B$13+F90*100*'Item Budget'!$B$15+H90*100*'Item Budget'!$B$17+I90/100*'Item Budget'!$B$18+J90/100*'Item Budget'!$B$19+K90*100*'Item Budget'!$B$20+L90*100*'Item Budget'!$B$21</f>
        <v/>
      </c>
      <c r="O90" s="61">
        <f>100*('Item Budget'!$R$7*(D90+F90)+H90*'Item Budget'!$R$8+K90*'Item Budget'!$B$20+L90*'Item Budget'!$B$21)</f>
        <v/>
      </c>
      <c r="P90" s="2" t="n"/>
      <c r="Q90" s="2" t="n"/>
      <c r="R90" s="2" t="n"/>
      <c r="S90" s="2" t="n"/>
      <c r="T90" s="2" t="n"/>
      <c r="U90" s="2" t="n"/>
      <c r="V90" s="2" t="n"/>
      <c r="W90" s="2" t="n"/>
      <c r="X90" s="2" t="n"/>
      <c r="Y90" s="2" t="n"/>
      <c r="Z90" s="2" t="n"/>
      <c r="AA90" s="2" t="n"/>
    </row>
    <row r="91">
      <c r="A91" s="21" t="n">
        <v>282</v>
      </c>
      <c r="B91" s="21" t="inlineStr">
        <is>
          <t>Melee and Spell Damage V</t>
        </is>
      </c>
      <c r="C91" s="38" t="n">
        <v>0.05</v>
      </c>
      <c r="D91" s="38" t="n">
        <v>0.05</v>
      </c>
      <c r="E91" s="38" t="n">
        <v>0</v>
      </c>
      <c r="F91" s="38" t="n">
        <v>0</v>
      </c>
      <c r="G91" s="38" t="n">
        <v>0</v>
      </c>
      <c r="H91" s="38" t="n">
        <v>0</v>
      </c>
      <c r="I91" s="39" t="n">
        <v>0</v>
      </c>
      <c r="J91" s="39" t="n">
        <v>0</v>
      </c>
      <c r="K91" s="38" t="n">
        <v>0</v>
      </c>
      <c r="L91" s="38" t="n">
        <v>0</v>
      </c>
      <c r="M91" s="61">
        <f>C91*100*'Item Budget'!$B$12+E91*100*'Item Budget'!$B$14+G91*100*'Item Budget'!$B$16+H91*100*'Item Budget'!$B$17+I91/100*'Item Budget'!$B$18+K91*100*'Item Budget'!$B$20</f>
        <v/>
      </c>
      <c r="N91" s="61">
        <f>D91*100*'Item Budget'!$B$13+F91*100*'Item Budget'!$B$15+H91*100*'Item Budget'!$B$17+I91/100*'Item Budget'!$B$18+J91/100*'Item Budget'!$B$19+K91*100*'Item Budget'!$B$20+L91*100*'Item Budget'!$B$21</f>
        <v/>
      </c>
      <c r="O91" s="61">
        <f>100*('Item Budget'!$R$7*(D91+F91)+H91*'Item Budget'!$R$8+K91*'Item Budget'!$B$20+L91*'Item Budget'!$B$21)</f>
        <v/>
      </c>
      <c r="P91" s="2" t="n"/>
      <c r="Q91" s="2" t="n"/>
      <c r="R91" s="2" t="n"/>
      <c r="S91" s="2" t="n"/>
      <c r="T91" s="2" t="n"/>
      <c r="U91" s="2" t="n"/>
      <c r="V91" s="2" t="n"/>
      <c r="W91" s="2" t="n"/>
      <c r="X91" s="2" t="n"/>
      <c r="Y91" s="2" t="n"/>
      <c r="Z91" s="2" t="n"/>
      <c r="AA91" s="2" t="n"/>
    </row>
    <row r="92">
      <c r="A92" s="21" t="n">
        <v>284</v>
      </c>
      <c r="B92" s="21" t="inlineStr">
        <is>
          <t>Increased Spell Damage XXV</t>
        </is>
      </c>
      <c r="C92" s="38" t="n">
        <v>0</v>
      </c>
      <c r="D92" s="38" t="n">
        <v>0.25</v>
      </c>
      <c r="E92" s="38" t="n">
        <v>0</v>
      </c>
      <c r="F92" s="38" t="n">
        <v>0</v>
      </c>
      <c r="G92" s="38" t="n">
        <v>0</v>
      </c>
      <c r="H92" s="38" t="n">
        <v>0</v>
      </c>
      <c r="I92" s="39" t="n">
        <v>0</v>
      </c>
      <c r="J92" s="39" t="n">
        <v>0</v>
      </c>
      <c r="K92" s="38" t="n">
        <v>0</v>
      </c>
      <c r="L92" s="38" t="n">
        <v>0</v>
      </c>
      <c r="M92" s="61">
        <f>C92*100*'Item Budget'!$B$12+E92*100*'Item Budget'!$B$14+G92*100*'Item Budget'!$B$16+H92*100*'Item Budget'!$B$17+I92/100*'Item Budget'!$B$18+K92*100*'Item Budget'!$B$20</f>
        <v/>
      </c>
      <c r="N92" s="61">
        <f>D92*100*'Item Budget'!$B$13+F92*100*'Item Budget'!$B$15+H92*100*'Item Budget'!$B$17+I92/100*'Item Budget'!$B$18+J92/100*'Item Budget'!$B$19+K92*100*'Item Budget'!$B$20+L92*100*'Item Budget'!$B$21</f>
        <v/>
      </c>
      <c r="O92" s="61">
        <f>100*('Item Budget'!$R$7*(D92+F92)+H92*'Item Budget'!$R$8+K92*'Item Budget'!$B$20+L92*'Item Budget'!$B$21)</f>
        <v/>
      </c>
      <c r="P92" s="2" t="n"/>
      <c r="Q92" s="2" t="n"/>
      <c r="R92" s="2" t="n"/>
      <c r="S92" s="2" t="n"/>
      <c r="T92" s="2" t="n"/>
      <c r="U92" s="2" t="n"/>
      <c r="V92" s="2" t="n"/>
      <c r="W92" s="2" t="n"/>
      <c r="X92" s="2" t="n"/>
      <c r="Y92" s="2" t="n"/>
      <c r="Z92" s="2" t="n"/>
      <c r="AA92" s="2" t="n"/>
    </row>
    <row r="93">
      <c r="A93" s="21" t="n">
        <v>286</v>
      </c>
      <c r="B93" s="21" t="inlineStr">
        <is>
          <t>HP MP Regeneration II</t>
        </is>
      </c>
      <c r="C93" s="38" t="n">
        <v>0</v>
      </c>
      <c r="D93" s="38" t="n">
        <v>0</v>
      </c>
      <c r="E93" s="38" t="n">
        <v>0</v>
      </c>
      <c r="F93" s="38" t="n">
        <v>0</v>
      </c>
      <c r="G93" s="38" t="n">
        <v>0</v>
      </c>
      <c r="H93" s="38" t="n">
        <v>0</v>
      </c>
      <c r="I93" s="39" t="n">
        <v>0</v>
      </c>
      <c r="J93" s="39" t="n">
        <v>0</v>
      </c>
      <c r="K93" s="38" t="n">
        <v>0.02</v>
      </c>
      <c r="L93" s="38" t="n">
        <v>0.02</v>
      </c>
      <c r="M93" s="61">
        <f>C93*100*'Item Budget'!$B$12+E93*100*'Item Budget'!$B$14+G93*100*'Item Budget'!$B$16+H93*100*'Item Budget'!$B$17+I93/100*'Item Budget'!$B$18+K93*100*'Item Budget'!$B$20</f>
        <v/>
      </c>
      <c r="N93" s="61">
        <f>D93*100*'Item Budget'!$B$13+F93*100*'Item Budget'!$B$15+H93*100*'Item Budget'!$B$17+I93/100*'Item Budget'!$B$18+J93/100*'Item Budget'!$B$19+K93*100*'Item Budget'!$B$20+L93*100*'Item Budget'!$B$21</f>
        <v/>
      </c>
      <c r="O93" s="61">
        <f>100*('Item Budget'!$R$7*(D93+F93)+H93*'Item Budget'!$R$8+K93*'Item Budget'!$B$20+L93*'Item Budget'!$B$21)</f>
        <v/>
      </c>
      <c r="P93" s="2" t="n"/>
      <c r="Q93" s="2" t="n"/>
      <c r="R93" s="2" t="n"/>
      <c r="S93" s="2" t="n"/>
      <c r="T93" s="2" t="n"/>
      <c r="U93" s="2" t="n"/>
      <c r="V93" s="2" t="n"/>
      <c r="W93" s="2" t="n"/>
      <c r="X93" s="2" t="n"/>
      <c r="Y93" s="2" t="n"/>
      <c r="Z93" s="2" t="n"/>
      <c r="AA93" s="2" t="n"/>
    </row>
    <row r="94">
      <c r="A94" s="21" t="n">
        <v>287</v>
      </c>
      <c r="B94" s="21" t="inlineStr">
        <is>
          <t>Damage Reduction IV and Spell Damage II</t>
        </is>
      </c>
      <c r="C94" s="38" t="n">
        <v>0</v>
      </c>
      <c r="D94" s="38" t="n">
        <v>0.02</v>
      </c>
      <c r="E94" s="38" t="n">
        <v>0</v>
      </c>
      <c r="F94" s="38" t="n">
        <v>0</v>
      </c>
      <c r="G94" s="38" t="n">
        <v>0</v>
      </c>
      <c r="H94" s="38" t="n">
        <v>0.04</v>
      </c>
      <c r="I94" s="39" t="n">
        <v>0</v>
      </c>
      <c r="J94" s="39" t="n">
        <v>0</v>
      </c>
      <c r="K94" s="38" t="n">
        <v>0</v>
      </c>
      <c r="L94" s="38" t="n">
        <v>0</v>
      </c>
      <c r="M94" s="61">
        <f>C94*100*'Item Budget'!$B$12+E94*100*'Item Budget'!$B$14+G94*100*'Item Budget'!$B$16+H94*100*'Item Budget'!$B$17+I94/100*'Item Budget'!$B$18+K94*100*'Item Budget'!$B$20</f>
        <v/>
      </c>
      <c r="N94" s="61">
        <f>D94*100*'Item Budget'!$B$13+F94*100*'Item Budget'!$B$15+H94*100*'Item Budget'!$B$17+I94/100*'Item Budget'!$B$18+J94/100*'Item Budget'!$B$19+K94*100*'Item Budget'!$B$20+L94*100*'Item Budget'!$B$21</f>
        <v/>
      </c>
      <c r="O94" s="61">
        <f>100*('Item Budget'!$R$7*(D94+F94)+H94*'Item Budget'!$R$8+K94*'Item Budget'!$B$20+L94*'Item Budget'!$B$21)</f>
        <v/>
      </c>
      <c r="P94" s="2" t="n"/>
      <c r="Q94" s="2" t="n"/>
      <c r="R94" s="2" t="n"/>
      <c r="S94" s="2" t="n"/>
      <c r="T94" s="2" t="n"/>
      <c r="U94" s="2" t="n"/>
      <c r="V94" s="2" t="n"/>
      <c r="W94" s="2" t="n"/>
      <c r="X94" s="2" t="n"/>
      <c r="Y94" s="2" t="n"/>
      <c r="Z94" s="2" t="n"/>
      <c r="AA94" s="2" t="n"/>
    </row>
    <row r="95">
      <c r="A95" s="63" t="inlineStr">
        <is>
          <t>edit 287</t>
        </is>
      </c>
      <c r="B95" s="63" t="inlineStr">
        <is>
          <t>Damage Reduction VI and Spell Damage II</t>
        </is>
      </c>
      <c r="C95" s="38" t="n">
        <v>0</v>
      </c>
      <c r="D95" s="38" t="n">
        <v>0.02</v>
      </c>
      <c r="E95" s="38" t="n">
        <v>0</v>
      </c>
      <c r="F95" s="38" t="n">
        <v>0</v>
      </c>
      <c r="G95" s="38" t="n">
        <v>0</v>
      </c>
      <c r="H95" s="38" t="n">
        <v>0.06</v>
      </c>
      <c r="I95" s="39" t="n">
        <v>0</v>
      </c>
      <c r="J95" s="39" t="n">
        <v>0</v>
      </c>
      <c r="K95" s="38" t="n">
        <v>0</v>
      </c>
      <c r="L95" s="38" t="n">
        <v>0</v>
      </c>
      <c r="M95" s="61">
        <f>C95*100*'Item Budget'!$B$12+E95*100*'Item Budget'!$B$14+G95*100*'Item Budget'!$B$16+H95*100*'Item Budget'!$B$17+I95/100*'Item Budget'!$B$18+K95*100*'Item Budget'!$B$20</f>
        <v/>
      </c>
      <c r="N95" s="61">
        <f>D95*100*'Item Budget'!$B$13+F95*100*'Item Budget'!$B$15+H95*100*'Item Budget'!$B$17+I95/100*'Item Budget'!$B$18+J95/100*'Item Budget'!$B$19+K95*100*'Item Budget'!$B$20+L95*100*'Item Budget'!$B$21</f>
        <v/>
      </c>
      <c r="O95" s="61">
        <f>100*('Item Budget'!$R$7*(D95+F95)+H95*'Item Budget'!$R$8+K95*'Item Budget'!$B$20+L95*'Item Budget'!$B$21)</f>
        <v/>
      </c>
      <c r="P95" s="2" t="n"/>
      <c r="Q95" s="2" t="n"/>
      <c r="R95" s="2" t="n"/>
      <c r="S95" s="2" t="n"/>
      <c r="T95" s="2" t="n"/>
      <c r="U95" s="2" t="n"/>
      <c r="V95" s="2" t="n"/>
      <c r="W95" s="2" t="n"/>
      <c r="X95" s="2" t="n"/>
      <c r="Y95" s="2" t="n"/>
      <c r="Z95" s="2" t="n"/>
      <c r="AA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c r="A97" s="3" t="inlineStr">
        <is>
          <t>Anchor: the new accessory line (items 661-696). The budget for each slot is a straight-line fit of Value against level.</t>
        </is>
      </c>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45" customHeight="1">
      <c r="A98" s="7" t="inlineStr">
        <is>
          <t>ID</t>
        </is>
      </c>
      <c r="B98" s="7" t="inlineStr">
        <is>
          <t>Item</t>
        </is>
      </c>
      <c r="C98" s="7" t="inlineStr">
        <is>
          <t>Slot</t>
        </is>
      </c>
      <c r="D98" s="7" t="inlineStr">
        <is>
          <t>Level</t>
        </is>
      </c>
      <c r="E98" s="7" t="inlineStr">
        <is>
          <t>HP</t>
        </is>
      </c>
      <c r="F98" s="7" t="inlineStr">
        <is>
          <t>MP</t>
        </is>
      </c>
      <c r="G98" s="7" t="inlineStr">
        <is>
          <t>AC</t>
        </is>
      </c>
      <c r="H98" s="7" t="inlineStr">
        <is>
          <t>STR</t>
        </is>
      </c>
      <c r="I98" s="7" t="inlineStr">
        <is>
          <t>STA</t>
        </is>
      </c>
      <c r="J98" s="7" t="inlineStr">
        <is>
          <t>DEX</t>
        </is>
      </c>
      <c r="K98" s="7" t="inlineStr">
        <is>
          <t>INT</t>
        </is>
      </c>
      <c r="L98" s="7" t="inlineStr">
        <is>
          <t>Effect</t>
        </is>
      </c>
      <c r="M98" s="7" t="inlineStr">
        <is>
          <t>Melee points</t>
        </is>
      </c>
      <c r="N98" s="7" t="inlineStr">
        <is>
          <t>Caster points</t>
        </is>
      </c>
      <c r="O98" s="7" t="inlineStr">
        <is>
          <t>Value</t>
        </is>
      </c>
      <c r="P98" s="2" t="n"/>
      <c r="Q98" s="2" t="n"/>
      <c r="R98" s="2" t="n"/>
      <c r="S98" s="2" t="n"/>
      <c r="T98" s="2" t="n"/>
      <c r="U98" s="2" t="n"/>
      <c r="V98" s="2" t="n"/>
      <c r="W98" s="2" t="n"/>
      <c r="X98" s="2" t="n"/>
      <c r="Y98" s="2" t="n"/>
      <c r="Z98" s="2" t="n"/>
      <c r="AA98" s="2" t="n"/>
    </row>
    <row r="99">
      <c r="A99" s="21" t="n">
        <v>667</v>
      </c>
      <c r="B99" s="21" t="inlineStr">
        <is>
          <t>Copper Band</t>
        </is>
      </c>
      <c r="C99" s="21" t="inlineStr">
        <is>
          <t>Ring</t>
        </is>
      </c>
      <c r="D99" s="21" t="n">
        <v>5</v>
      </c>
      <c r="E99" s="21" t="n">
        <v>25</v>
      </c>
      <c r="F99" s="21" t="n">
        <v>15</v>
      </c>
      <c r="G99" s="21" t="n">
        <v>4</v>
      </c>
      <c r="H99" s="21" t="n">
        <v>2</v>
      </c>
      <c r="I99" s="21" t="n">
        <v>0</v>
      </c>
      <c r="J99" s="21" t="n">
        <v>2</v>
      </c>
      <c r="K99" s="21" t="n">
        <v>0</v>
      </c>
      <c r="L99" s="21" t="inlineStr">
        <is>
          <t>(none)</t>
        </is>
      </c>
      <c r="M99" s="61">
        <f>E99*'Item Budget'!$B$5+I99*'Item Budget'!$B$7+G99*'Item Budget'!$B$11+J99*'Item Budget'!$B$10+H99*'Item Budget'!$B$9+IFERROR(INDEX('Item Budget'!$M$25:$M$95,MATCH(L99,'Item Budget'!$B$25:$B$95,0)),0)</f>
        <v/>
      </c>
      <c r="N99" s="61">
        <f>E99*'Item Budget'!$B$5+I99*'Item Budget'!$B$7+G99*'Item Budget'!$B$11+J99*'Item Budget'!$B$10+F99*'Item Budget'!$B$6+K99*'Item Budget'!$B$8+IFERROR(INDEX('Item Budget'!$N$25:$N$95,MATCH(L99,'Item Budget'!$B$25:$B$95,0)),0)</f>
        <v/>
      </c>
      <c r="O99" s="61">
        <f>MAX(M99,N99)</f>
        <v/>
      </c>
      <c r="P99" s="2" t="n"/>
      <c r="Q99" s="2" t="n"/>
      <c r="R99" s="2" t="n"/>
      <c r="S99" s="2" t="n"/>
      <c r="T99" s="2" t="n"/>
      <c r="U99" s="2" t="n"/>
      <c r="V99" s="2" t="n"/>
      <c r="W99" s="2" t="n"/>
      <c r="X99" s="2" t="n"/>
      <c r="Y99" s="2" t="n"/>
      <c r="Z99" s="2" t="n"/>
      <c r="AA99" s="2" t="n"/>
    </row>
    <row r="100">
      <c r="A100" s="21" t="n">
        <v>672</v>
      </c>
      <c r="B100" s="21" t="inlineStr">
        <is>
          <t>Beaded Bracelet</t>
        </is>
      </c>
      <c r="C100" s="21" t="inlineStr">
        <is>
          <t>Ring</t>
        </is>
      </c>
      <c r="D100" s="21" t="n">
        <v>5</v>
      </c>
      <c r="E100" s="21" t="n">
        <v>15</v>
      </c>
      <c r="F100" s="21" t="n">
        <v>30</v>
      </c>
      <c r="G100" s="21" t="n">
        <v>4</v>
      </c>
      <c r="H100" s="21" t="n">
        <v>0</v>
      </c>
      <c r="I100" s="21" t="n">
        <v>1</v>
      </c>
      <c r="J100" s="21" t="n">
        <v>0</v>
      </c>
      <c r="K100" s="21" t="n">
        <v>2</v>
      </c>
      <c r="L100" s="21" t="inlineStr">
        <is>
          <t>(none)</t>
        </is>
      </c>
      <c r="M100" s="61">
        <f>E100*'Item Budget'!$B$5+I100*'Item Budget'!$B$7+G100*'Item Budget'!$B$11+J100*'Item Budget'!$B$10+H100*'Item Budget'!$B$9+IFERROR(INDEX('Item Budget'!$M$25:$M$95,MATCH(L100,'Item Budget'!$B$25:$B$95,0)),0)</f>
        <v/>
      </c>
      <c r="N100" s="61">
        <f>E100*'Item Budget'!$B$5+I100*'Item Budget'!$B$7+G100*'Item Budget'!$B$11+J100*'Item Budget'!$B$10+F100*'Item Budget'!$B$6+K100*'Item Budget'!$B$8+IFERROR(INDEX('Item Budget'!$N$25:$N$95,MATCH(L100,'Item Budget'!$B$25:$B$95,0)),0)</f>
        <v/>
      </c>
      <c r="O100" s="61">
        <f>MAX(M100,N100)</f>
        <v/>
      </c>
      <c r="P100" s="2" t="n"/>
      <c r="Q100" s="2" t="n"/>
      <c r="R100" s="2" t="n"/>
      <c r="S100" s="2" t="n"/>
      <c r="T100" s="2" t="n"/>
      <c r="U100" s="2" t="n"/>
      <c r="V100" s="2" t="n"/>
      <c r="W100" s="2" t="n"/>
      <c r="X100" s="2" t="n"/>
      <c r="Y100" s="2" t="n"/>
      <c r="Z100" s="2" t="n"/>
      <c r="AA100" s="2" t="n"/>
    </row>
    <row r="101">
      <c r="A101" s="21" t="n">
        <v>668</v>
      </c>
      <c r="B101" s="21" t="inlineStr">
        <is>
          <t>Ring of the Trail</t>
        </is>
      </c>
      <c r="C101" s="21" t="inlineStr">
        <is>
          <t>Ring</t>
        </is>
      </c>
      <c r="D101" s="21" t="n">
        <v>13</v>
      </c>
      <c r="E101" s="21" t="n">
        <v>60</v>
      </c>
      <c r="F101" s="21" t="n">
        <v>40</v>
      </c>
      <c r="G101" s="21" t="n">
        <v>10</v>
      </c>
      <c r="H101" s="21" t="n">
        <v>5</v>
      </c>
      <c r="I101" s="21" t="n">
        <v>0</v>
      </c>
      <c r="J101" s="21" t="n">
        <v>5</v>
      </c>
      <c r="K101" s="21" t="n">
        <v>0</v>
      </c>
      <c r="L101" s="21" t="inlineStr">
        <is>
          <t>Melee Critical II</t>
        </is>
      </c>
      <c r="M101" s="61">
        <f>E101*'Item Budget'!$B$5+I101*'Item Budget'!$B$7+G101*'Item Budget'!$B$11+J101*'Item Budget'!$B$10+H101*'Item Budget'!$B$9+IFERROR(INDEX('Item Budget'!$M$25:$M$95,MATCH(L101,'Item Budget'!$B$25:$B$95,0)),0)</f>
        <v/>
      </c>
      <c r="N101" s="61">
        <f>E101*'Item Budget'!$B$5+I101*'Item Budget'!$B$7+G101*'Item Budget'!$B$11+J101*'Item Budget'!$B$10+F101*'Item Budget'!$B$6+K101*'Item Budget'!$B$8+IFERROR(INDEX('Item Budget'!$N$25:$N$95,MATCH(L101,'Item Budget'!$B$25:$B$95,0)),0)</f>
        <v/>
      </c>
      <c r="O101" s="61">
        <f>MAX(M101,N101)</f>
        <v/>
      </c>
      <c r="P101" s="2" t="n"/>
      <c r="Q101" s="2" t="n"/>
      <c r="R101" s="2" t="n"/>
      <c r="S101" s="2" t="n"/>
      <c r="T101" s="2" t="n"/>
      <c r="U101" s="2" t="n"/>
      <c r="V101" s="2" t="n"/>
      <c r="W101" s="2" t="n"/>
      <c r="X101" s="2" t="n"/>
      <c r="Y101" s="2" t="n"/>
      <c r="Z101" s="2" t="n"/>
      <c r="AA101" s="2" t="n"/>
    </row>
    <row r="102">
      <c r="A102" s="21" t="n">
        <v>673</v>
      </c>
      <c r="B102" s="21" t="inlineStr">
        <is>
          <t>Bracelet of Embers</t>
        </is>
      </c>
      <c r="C102" s="21" t="inlineStr">
        <is>
          <t>Ring</t>
        </is>
      </c>
      <c r="D102" s="21" t="n">
        <v>13</v>
      </c>
      <c r="E102" s="21" t="n">
        <v>40</v>
      </c>
      <c r="F102" s="21" t="n">
        <v>75</v>
      </c>
      <c r="G102" s="21" t="n">
        <v>10</v>
      </c>
      <c r="H102" s="21" t="n">
        <v>0</v>
      </c>
      <c r="I102" s="21" t="n">
        <v>3</v>
      </c>
      <c r="J102" s="21" t="n">
        <v>0</v>
      </c>
      <c r="K102" s="21" t="n">
        <v>6</v>
      </c>
      <c r="L102" s="21" t="inlineStr">
        <is>
          <t>Spell Critical II</t>
        </is>
      </c>
      <c r="M102" s="61">
        <f>E102*'Item Budget'!$B$5+I102*'Item Budget'!$B$7+G102*'Item Budget'!$B$11+J102*'Item Budget'!$B$10+H102*'Item Budget'!$B$9+IFERROR(INDEX('Item Budget'!$M$25:$M$95,MATCH(L102,'Item Budget'!$B$25:$B$95,0)),0)</f>
        <v/>
      </c>
      <c r="N102" s="61">
        <f>E102*'Item Budget'!$B$5+I102*'Item Budget'!$B$7+G102*'Item Budget'!$B$11+J102*'Item Budget'!$B$10+F102*'Item Budget'!$B$6+K102*'Item Budget'!$B$8+IFERROR(INDEX('Item Budget'!$N$25:$N$95,MATCH(L102,'Item Budget'!$B$25:$B$95,0)),0)</f>
        <v/>
      </c>
      <c r="O102" s="61">
        <f>MAX(M102,N102)</f>
        <v/>
      </c>
      <c r="P102" s="2" t="n"/>
      <c r="Q102" s="2" t="n"/>
      <c r="R102" s="2" t="n"/>
      <c r="S102" s="2" t="n"/>
      <c r="T102" s="2" t="n"/>
      <c r="U102" s="2" t="n"/>
      <c r="V102" s="2" t="n"/>
      <c r="W102" s="2" t="n"/>
      <c r="X102" s="2" t="n"/>
      <c r="Y102" s="2" t="n"/>
      <c r="Z102" s="2" t="n"/>
      <c r="AA102" s="2" t="n"/>
    </row>
    <row r="103">
      <c r="A103" s="21" t="n">
        <v>661</v>
      </c>
      <c r="B103" s="21" t="inlineStr">
        <is>
          <t>Cat's Eye Ring</t>
        </is>
      </c>
      <c r="C103" s="21" t="inlineStr">
        <is>
          <t>Ring</t>
        </is>
      </c>
      <c r="D103" s="21" t="n">
        <v>20</v>
      </c>
      <c r="E103" s="21" t="n">
        <v>75</v>
      </c>
      <c r="F103" s="21" t="n">
        <v>75</v>
      </c>
      <c r="G103" s="21" t="n">
        <v>15</v>
      </c>
      <c r="H103" s="21" t="n">
        <v>5</v>
      </c>
      <c r="I103" s="21" t="n">
        <v>0</v>
      </c>
      <c r="J103" s="21" t="n">
        <v>5</v>
      </c>
      <c r="K103" s="21" t="n">
        <v>0</v>
      </c>
      <c r="L103" s="21" t="inlineStr">
        <is>
          <t>(none)</t>
        </is>
      </c>
      <c r="M103" s="61">
        <f>E103*'Item Budget'!$B$5+I103*'Item Budget'!$B$7+G103*'Item Budget'!$B$11+J103*'Item Budget'!$B$10+H103*'Item Budget'!$B$9+IFERROR(INDEX('Item Budget'!$M$25:$M$95,MATCH(L103,'Item Budget'!$B$25:$B$95,0)),0)</f>
        <v/>
      </c>
      <c r="N103" s="61">
        <f>E103*'Item Budget'!$B$5+I103*'Item Budget'!$B$7+G103*'Item Budget'!$B$11+J103*'Item Budget'!$B$10+F103*'Item Budget'!$B$6+K103*'Item Budget'!$B$8+IFERROR(INDEX('Item Budget'!$N$25:$N$95,MATCH(L103,'Item Budget'!$B$25:$B$95,0)),0)</f>
        <v/>
      </c>
      <c r="O103" s="61">
        <f>MAX(M103,N103)</f>
        <v/>
      </c>
      <c r="P103" s="2" t="n"/>
      <c r="Q103" s="2" t="n"/>
      <c r="R103" s="2" t="n"/>
      <c r="S103" s="2" t="n"/>
      <c r="T103" s="2" t="n"/>
      <c r="U103" s="2" t="n"/>
      <c r="V103" s="2" t="n"/>
      <c r="W103" s="2" t="n"/>
      <c r="X103" s="2" t="n"/>
      <c r="Y103" s="2" t="n"/>
      <c r="Z103" s="2" t="n"/>
      <c r="AA103" s="2" t="n"/>
    </row>
    <row r="104">
      <c r="A104" s="21" t="n">
        <v>669</v>
      </c>
      <c r="B104" s="21" t="inlineStr">
        <is>
          <t>Ring of the Hunt</t>
        </is>
      </c>
      <c r="C104" s="21" t="inlineStr">
        <is>
          <t>Ring</t>
        </is>
      </c>
      <c r="D104" s="21" t="n">
        <v>23</v>
      </c>
      <c r="E104" s="21" t="n">
        <v>110</v>
      </c>
      <c r="F104" s="21" t="n">
        <v>70</v>
      </c>
      <c r="G104" s="21" t="n">
        <v>15</v>
      </c>
      <c r="H104" s="21" t="n">
        <v>8</v>
      </c>
      <c r="I104" s="21" t="n">
        <v>0</v>
      </c>
      <c r="J104" s="21" t="n">
        <v>8</v>
      </c>
      <c r="K104" s="21" t="n">
        <v>0</v>
      </c>
      <c r="L104" s="21" t="inlineStr">
        <is>
          <t>Melee Critical III</t>
        </is>
      </c>
      <c r="M104" s="61">
        <f>E104*'Item Budget'!$B$5+I104*'Item Budget'!$B$7+G104*'Item Budget'!$B$11+J104*'Item Budget'!$B$10+H104*'Item Budget'!$B$9+IFERROR(INDEX('Item Budget'!$M$25:$M$95,MATCH(L104,'Item Budget'!$B$25:$B$95,0)),0)</f>
        <v/>
      </c>
      <c r="N104" s="61">
        <f>E104*'Item Budget'!$B$5+I104*'Item Budget'!$B$7+G104*'Item Budget'!$B$11+J104*'Item Budget'!$B$10+F104*'Item Budget'!$B$6+K104*'Item Budget'!$B$8+IFERROR(INDEX('Item Budget'!$N$25:$N$95,MATCH(L104,'Item Budget'!$B$25:$B$95,0)),0)</f>
        <v/>
      </c>
      <c r="O104" s="61">
        <f>MAX(M104,N104)</f>
        <v/>
      </c>
      <c r="P104" s="2" t="n"/>
      <c r="Q104" s="2" t="n"/>
      <c r="R104" s="2" t="n"/>
      <c r="S104" s="2" t="n"/>
      <c r="T104" s="2" t="n"/>
      <c r="U104" s="2" t="n"/>
      <c r="V104" s="2" t="n"/>
      <c r="W104" s="2" t="n"/>
      <c r="X104" s="2" t="n"/>
      <c r="Y104" s="2" t="n"/>
      <c r="Z104" s="2" t="n"/>
      <c r="AA104" s="2" t="n"/>
    </row>
    <row r="105">
      <c r="A105" s="21" t="n">
        <v>674</v>
      </c>
      <c r="B105" s="21" t="inlineStr">
        <is>
          <t>Bracelet of Cinders</t>
        </is>
      </c>
      <c r="C105" s="21" t="inlineStr">
        <is>
          <t>Ring</t>
        </is>
      </c>
      <c r="D105" s="21" t="n">
        <v>23</v>
      </c>
      <c r="E105" s="21" t="n">
        <v>70</v>
      </c>
      <c r="F105" s="21" t="n">
        <v>125</v>
      </c>
      <c r="G105" s="21" t="n">
        <v>15</v>
      </c>
      <c r="H105" s="21" t="n">
        <v>0</v>
      </c>
      <c r="I105" s="21" t="n">
        <v>6</v>
      </c>
      <c r="J105" s="21" t="n">
        <v>0</v>
      </c>
      <c r="K105" s="21" t="n">
        <v>10</v>
      </c>
      <c r="L105" s="21" t="inlineStr">
        <is>
          <t>Spell Critical III</t>
        </is>
      </c>
      <c r="M105" s="61">
        <f>E105*'Item Budget'!$B$5+I105*'Item Budget'!$B$7+G105*'Item Budget'!$B$11+J105*'Item Budget'!$B$10+H105*'Item Budget'!$B$9+IFERROR(INDEX('Item Budget'!$M$25:$M$95,MATCH(L105,'Item Budget'!$B$25:$B$95,0)),0)</f>
        <v/>
      </c>
      <c r="N105" s="61">
        <f>E105*'Item Budget'!$B$5+I105*'Item Budget'!$B$7+G105*'Item Budget'!$B$11+J105*'Item Budget'!$B$10+F105*'Item Budget'!$B$6+K105*'Item Budget'!$B$8+IFERROR(INDEX('Item Budget'!$N$25:$N$95,MATCH(L105,'Item Budget'!$B$25:$B$95,0)),0)</f>
        <v/>
      </c>
      <c r="O105" s="61">
        <f>MAX(M105,N105)</f>
        <v/>
      </c>
      <c r="P105" s="2" t="n"/>
      <c r="Q105" s="2" t="n"/>
      <c r="R105" s="2" t="n"/>
      <c r="S105" s="2" t="n"/>
      <c r="T105" s="2" t="n"/>
      <c r="U105" s="2" t="n"/>
      <c r="V105" s="2" t="n"/>
      <c r="W105" s="2" t="n"/>
      <c r="X105" s="2" t="n"/>
      <c r="Y105" s="2" t="n"/>
      <c r="Z105" s="2" t="n"/>
      <c r="AA105" s="2" t="n"/>
    </row>
    <row r="106">
      <c r="A106" s="21" t="n">
        <v>670</v>
      </c>
      <c r="B106" s="21" t="inlineStr">
        <is>
          <t>Ring of the Vanguard</t>
        </is>
      </c>
      <c r="C106" s="21" t="inlineStr">
        <is>
          <t>Ring</t>
        </is>
      </c>
      <c r="D106" s="21" t="n">
        <v>33</v>
      </c>
      <c r="E106" s="21" t="n">
        <v>170</v>
      </c>
      <c r="F106" s="21" t="n">
        <v>110</v>
      </c>
      <c r="G106" s="21" t="n">
        <v>20</v>
      </c>
      <c r="H106" s="21" t="n">
        <v>12</v>
      </c>
      <c r="I106" s="21" t="n">
        <v>0</v>
      </c>
      <c r="J106" s="21" t="n">
        <v>12</v>
      </c>
      <c r="K106" s="21" t="n">
        <v>0</v>
      </c>
      <c r="L106" s="21" t="inlineStr">
        <is>
          <t>Melee Critical IV</t>
        </is>
      </c>
      <c r="M106" s="61">
        <f>E106*'Item Budget'!$B$5+I106*'Item Budget'!$B$7+G106*'Item Budget'!$B$11+J106*'Item Budget'!$B$10+H106*'Item Budget'!$B$9+IFERROR(INDEX('Item Budget'!$M$25:$M$95,MATCH(L106,'Item Budget'!$B$25:$B$95,0)),0)</f>
        <v/>
      </c>
      <c r="N106" s="61">
        <f>E106*'Item Budget'!$B$5+I106*'Item Budget'!$B$7+G106*'Item Budget'!$B$11+J106*'Item Budget'!$B$10+F106*'Item Budget'!$B$6+K106*'Item Budget'!$B$8+IFERROR(INDEX('Item Budget'!$N$25:$N$95,MATCH(L106,'Item Budget'!$B$25:$B$95,0)),0)</f>
        <v/>
      </c>
      <c r="O106" s="61">
        <f>MAX(M106,N106)</f>
        <v/>
      </c>
      <c r="P106" s="2" t="n"/>
      <c r="Q106" s="2" t="n"/>
      <c r="R106" s="2" t="n"/>
      <c r="S106" s="2" t="n"/>
      <c r="T106" s="2" t="n"/>
      <c r="U106" s="2" t="n"/>
      <c r="V106" s="2" t="n"/>
      <c r="W106" s="2" t="n"/>
      <c r="X106" s="2" t="n"/>
      <c r="Y106" s="2" t="n"/>
      <c r="Z106" s="2" t="n"/>
      <c r="AA106" s="2" t="n"/>
    </row>
    <row r="107">
      <c r="A107" s="21" t="n">
        <v>675</v>
      </c>
      <c r="B107" s="21" t="inlineStr">
        <is>
          <t>Bracelet of Flames</t>
        </is>
      </c>
      <c r="C107" s="21" t="inlineStr">
        <is>
          <t>Ring</t>
        </is>
      </c>
      <c r="D107" s="21" t="n">
        <v>33</v>
      </c>
      <c r="E107" s="21" t="n">
        <v>100</v>
      </c>
      <c r="F107" s="21" t="n">
        <v>175</v>
      </c>
      <c r="G107" s="21" t="n">
        <v>20</v>
      </c>
      <c r="H107" s="21" t="n">
        <v>0</v>
      </c>
      <c r="I107" s="21" t="n">
        <v>8</v>
      </c>
      <c r="J107" s="21" t="n">
        <v>0</v>
      </c>
      <c r="K107" s="21" t="n">
        <v>15</v>
      </c>
      <c r="L107" s="21" t="inlineStr">
        <is>
          <t>Spell Critical IV</t>
        </is>
      </c>
      <c r="M107" s="61">
        <f>E107*'Item Budget'!$B$5+I107*'Item Budget'!$B$7+G107*'Item Budget'!$B$11+J107*'Item Budget'!$B$10+H107*'Item Budget'!$B$9+IFERROR(INDEX('Item Budget'!$M$25:$M$95,MATCH(L107,'Item Budget'!$B$25:$B$95,0)),0)</f>
        <v/>
      </c>
      <c r="N107" s="61">
        <f>E107*'Item Budget'!$B$5+I107*'Item Budget'!$B$7+G107*'Item Budget'!$B$11+J107*'Item Budget'!$B$10+F107*'Item Budget'!$B$6+K107*'Item Budget'!$B$8+IFERROR(INDEX('Item Budget'!$N$25:$N$95,MATCH(L107,'Item Budget'!$B$25:$B$95,0)),0)</f>
        <v/>
      </c>
      <c r="O107" s="61">
        <f>MAX(M107,N107)</f>
        <v/>
      </c>
      <c r="P107" s="2" t="n"/>
      <c r="Q107" s="2" t="n"/>
      <c r="R107" s="2" t="n"/>
      <c r="S107" s="2" t="n"/>
      <c r="T107" s="2" t="n"/>
      <c r="U107" s="2" t="n"/>
      <c r="V107" s="2" t="n"/>
      <c r="W107" s="2" t="n"/>
      <c r="X107" s="2" t="n"/>
      <c r="Y107" s="2" t="n"/>
      <c r="Z107" s="2" t="n"/>
      <c r="AA107" s="2" t="n"/>
    </row>
    <row r="108">
      <c r="A108" s="21" t="n">
        <v>671</v>
      </c>
      <c r="B108" s="21" t="inlineStr">
        <is>
          <t>Ring of the Warlord</t>
        </is>
      </c>
      <c r="C108" s="21" t="inlineStr">
        <is>
          <t>Ring</t>
        </is>
      </c>
      <c r="D108" s="21" t="n">
        <v>43</v>
      </c>
      <c r="E108" s="21" t="n">
        <v>220</v>
      </c>
      <c r="F108" s="21" t="n">
        <v>140</v>
      </c>
      <c r="G108" s="21" t="n">
        <v>28</v>
      </c>
      <c r="H108" s="21" t="n">
        <v>16</v>
      </c>
      <c r="I108" s="21" t="n">
        <v>0</v>
      </c>
      <c r="J108" s="21" t="n">
        <v>16</v>
      </c>
      <c r="K108" s="21" t="n">
        <v>0</v>
      </c>
      <c r="L108" s="21" t="inlineStr">
        <is>
          <t>Melee Critical Damage V</t>
        </is>
      </c>
      <c r="M108" s="61">
        <f>E108*'Item Budget'!$B$5+I108*'Item Budget'!$B$7+G108*'Item Budget'!$B$11+J108*'Item Budget'!$B$10+H108*'Item Budget'!$B$9+IFERROR(INDEX('Item Budget'!$M$25:$M$95,MATCH(L108,'Item Budget'!$B$25:$B$95,0)),0)</f>
        <v/>
      </c>
      <c r="N108" s="61">
        <f>E108*'Item Budget'!$B$5+I108*'Item Budget'!$B$7+G108*'Item Budget'!$B$11+J108*'Item Budget'!$B$10+F108*'Item Budget'!$B$6+K108*'Item Budget'!$B$8+IFERROR(INDEX('Item Budget'!$N$25:$N$95,MATCH(L108,'Item Budget'!$B$25:$B$95,0)),0)</f>
        <v/>
      </c>
      <c r="O108" s="61">
        <f>MAX(M108,N108)</f>
        <v/>
      </c>
      <c r="P108" s="2" t="n"/>
      <c r="Q108" s="2" t="n"/>
      <c r="R108" s="2" t="n"/>
      <c r="S108" s="2" t="n"/>
      <c r="T108" s="2" t="n"/>
      <c r="U108" s="2" t="n"/>
      <c r="V108" s="2" t="n"/>
      <c r="W108" s="2" t="n"/>
      <c r="X108" s="2" t="n"/>
      <c r="Y108" s="2" t="n"/>
      <c r="Z108" s="2" t="n"/>
      <c r="AA108" s="2" t="n"/>
    </row>
    <row r="109">
      <c r="A109" s="21" t="n">
        <v>676</v>
      </c>
      <c r="B109" s="21" t="inlineStr">
        <is>
          <t>Bracelet of the Inferno</t>
        </is>
      </c>
      <c r="C109" s="21" t="inlineStr">
        <is>
          <t>Ring</t>
        </is>
      </c>
      <c r="D109" s="21" t="n">
        <v>43</v>
      </c>
      <c r="E109" s="21" t="n">
        <v>130</v>
      </c>
      <c r="F109" s="21" t="n">
        <v>230</v>
      </c>
      <c r="G109" s="21" t="n">
        <v>25</v>
      </c>
      <c r="H109" s="21" t="n">
        <v>0</v>
      </c>
      <c r="I109" s="21" t="n">
        <v>12</v>
      </c>
      <c r="J109" s="21" t="n">
        <v>0</v>
      </c>
      <c r="K109" s="21" t="n">
        <v>20</v>
      </c>
      <c r="L109" s="21" t="inlineStr">
        <is>
          <t>Spell Critical Damage V</t>
        </is>
      </c>
      <c r="M109" s="61">
        <f>E109*'Item Budget'!$B$5+I109*'Item Budget'!$B$7+G109*'Item Budget'!$B$11+J109*'Item Budget'!$B$10+H109*'Item Budget'!$B$9+IFERROR(INDEX('Item Budget'!$M$25:$M$95,MATCH(L109,'Item Budget'!$B$25:$B$95,0)),0)</f>
        <v/>
      </c>
      <c r="N109" s="61">
        <f>E109*'Item Budget'!$B$5+I109*'Item Budget'!$B$7+G109*'Item Budget'!$B$11+J109*'Item Budget'!$B$10+F109*'Item Budget'!$B$6+K109*'Item Budget'!$B$8+IFERROR(INDEX('Item Budget'!$N$25:$N$95,MATCH(L109,'Item Budget'!$B$25:$B$95,0)),0)</f>
        <v/>
      </c>
      <c r="O109" s="61">
        <f>MAX(M109,N109)</f>
        <v/>
      </c>
      <c r="P109" s="2" t="n"/>
      <c r="Q109" s="2" t="n"/>
      <c r="R109" s="2" t="n"/>
      <c r="S109" s="2" t="n"/>
      <c r="T109" s="2" t="n"/>
      <c r="U109" s="2" t="n"/>
      <c r="V109" s="2" t="n"/>
      <c r="W109" s="2" t="n"/>
      <c r="X109" s="2" t="n"/>
      <c r="Y109" s="2" t="n"/>
      <c r="Z109" s="2" t="n"/>
      <c r="AA109" s="2" t="n"/>
    </row>
    <row r="110">
      <c r="A110" s="21" t="n">
        <v>687</v>
      </c>
      <c r="B110" s="21" t="inlineStr">
        <is>
          <t>Simple Pendant</t>
        </is>
      </c>
      <c r="C110" s="21" t="inlineStr">
        <is>
          <t>Necklace</t>
        </is>
      </c>
      <c r="D110" s="21" t="n">
        <v>7</v>
      </c>
      <c r="E110" s="21" t="n">
        <v>25</v>
      </c>
      <c r="F110" s="21" t="n">
        <v>40</v>
      </c>
      <c r="G110" s="21" t="n">
        <v>5</v>
      </c>
      <c r="H110" s="21" t="n">
        <v>0</v>
      </c>
      <c r="I110" s="21" t="n">
        <v>0</v>
      </c>
      <c r="J110" s="21" t="n">
        <v>0</v>
      </c>
      <c r="K110" s="21" t="n">
        <v>4</v>
      </c>
      <c r="L110" s="21" t="inlineStr">
        <is>
          <t>(none)</t>
        </is>
      </c>
      <c r="M110" s="61">
        <f>E110*'Item Budget'!$B$5+I110*'Item Budget'!$B$7+G110*'Item Budget'!$B$11+J110*'Item Budget'!$B$10+H110*'Item Budget'!$B$9+IFERROR(INDEX('Item Budget'!$M$25:$M$95,MATCH(L110,'Item Budget'!$B$25:$B$95,0)),0)</f>
        <v/>
      </c>
      <c r="N110" s="61">
        <f>E110*'Item Budget'!$B$5+I110*'Item Budget'!$B$7+G110*'Item Budget'!$B$11+J110*'Item Budget'!$B$10+F110*'Item Budget'!$B$6+K110*'Item Budget'!$B$8+IFERROR(INDEX('Item Budget'!$N$25:$N$95,MATCH(L110,'Item Budget'!$B$25:$B$95,0)),0)</f>
        <v/>
      </c>
      <c r="O110" s="61">
        <f>MAX(M110,N110)</f>
        <v/>
      </c>
      <c r="P110" s="2" t="n"/>
      <c r="Q110" s="2" t="n"/>
      <c r="R110" s="2" t="n"/>
      <c r="S110" s="2" t="n"/>
      <c r="T110" s="2" t="n"/>
      <c r="U110" s="2" t="n"/>
      <c r="V110" s="2" t="n"/>
      <c r="W110" s="2" t="n"/>
      <c r="X110" s="2" t="n"/>
      <c r="Y110" s="2" t="n"/>
      <c r="Z110" s="2" t="n"/>
      <c r="AA110" s="2" t="n"/>
    </row>
    <row r="111">
      <c r="A111" s="21" t="n">
        <v>688</v>
      </c>
      <c r="B111" s="21" t="inlineStr">
        <is>
          <t>Charm of Focus</t>
        </is>
      </c>
      <c r="C111" s="21" t="inlineStr">
        <is>
          <t>Necklace</t>
        </is>
      </c>
      <c r="D111" s="21" t="n">
        <v>17</v>
      </c>
      <c r="E111" s="21" t="n">
        <v>60</v>
      </c>
      <c r="F111" s="21" t="n">
        <v>80</v>
      </c>
      <c r="G111" s="21" t="n">
        <v>12</v>
      </c>
      <c r="H111" s="21" t="n">
        <v>0</v>
      </c>
      <c r="I111" s="21" t="n">
        <v>0</v>
      </c>
      <c r="J111" s="21" t="n">
        <v>3</v>
      </c>
      <c r="K111" s="21" t="n">
        <v>8</v>
      </c>
      <c r="L111" s="21" t="inlineStr">
        <is>
          <t>Spell Damage III</t>
        </is>
      </c>
      <c r="M111" s="61">
        <f>E111*'Item Budget'!$B$5+I111*'Item Budget'!$B$7+G111*'Item Budget'!$B$11+J111*'Item Budget'!$B$10+H111*'Item Budget'!$B$9+IFERROR(INDEX('Item Budget'!$M$25:$M$95,MATCH(L111,'Item Budget'!$B$25:$B$95,0)),0)</f>
        <v/>
      </c>
      <c r="N111" s="61">
        <f>E111*'Item Budget'!$B$5+I111*'Item Budget'!$B$7+G111*'Item Budget'!$B$11+J111*'Item Budget'!$B$10+F111*'Item Budget'!$B$6+K111*'Item Budget'!$B$8+IFERROR(INDEX('Item Budget'!$N$25:$N$95,MATCH(L111,'Item Budget'!$B$25:$B$95,0)),0)</f>
        <v/>
      </c>
      <c r="O111" s="61">
        <f>MAX(M111,N111)</f>
        <v/>
      </c>
      <c r="P111" s="2" t="n"/>
      <c r="Q111" s="2" t="n"/>
      <c r="R111" s="2" t="n"/>
      <c r="S111" s="2" t="n"/>
      <c r="T111" s="2" t="n"/>
      <c r="U111" s="2" t="n"/>
      <c r="V111" s="2" t="n"/>
      <c r="W111" s="2" t="n"/>
      <c r="X111" s="2" t="n"/>
      <c r="Y111" s="2" t="n"/>
      <c r="Z111" s="2" t="n"/>
      <c r="AA111" s="2" t="n"/>
    </row>
    <row r="112">
      <c r="A112" s="21" t="n">
        <v>689</v>
      </c>
      <c r="B112" s="21" t="inlineStr">
        <is>
          <t>Charm of Insight</t>
        </is>
      </c>
      <c r="C112" s="21" t="inlineStr">
        <is>
          <t>Necklace</t>
        </is>
      </c>
      <c r="D112" s="21" t="n">
        <v>27</v>
      </c>
      <c r="E112" s="21" t="n">
        <v>100</v>
      </c>
      <c r="F112" s="21" t="n">
        <v>130</v>
      </c>
      <c r="G112" s="21" t="n">
        <v>18</v>
      </c>
      <c r="H112" s="21" t="n">
        <v>0</v>
      </c>
      <c r="I112" s="21" t="n">
        <v>0</v>
      </c>
      <c r="J112" s="21" t="n">
        <v>5</v>
      </c>
      <c r="K112" s="21" t="n">
        <v>13</v>
      </c>
      <c r="L112" s="21" t="inlineStr">
        <is>
          <t>Increased Spell Damage V</t>
        </is>
      </c>
      <c r="M112" s="61">
        <f>E112*'Item Budget'!$B$5+I112*'Item Budget'!$B$7+G112*'Item Budget'!$B$11+J112*'Item Budget'!$B$10+H112*'Item Budget'!$B$9+IFERROR(INDEX('Item Budget'!$M$25:$M$95,MATCH(L112,'Item Budget'!$B$25:$B$95,0)),0)</f>
        <v/>
      </c>
      <c r="N112" s="61">
        <f>E112*'Item Budget'!$B$5+I112*'Item Budget'!$B$7+G112*'Item Budget'!$B$11+J112*'Item Budget'!$B$10+F112*'Item Budget'!$B$6+K112*'Item Budget'!$B$8+IFERROR(INDEX('Item Budget'!$N$25:$N$95,MATCH(L112,'Item Budget'!$B$25:$B$95,0)),0)</f>
        <v/>
      </c>
      <c r="O112" s="61">
        <f>MAX(M112,N112)</f>
        <v/>
      </c>
      <c r="P112" s="2" t="n"/>
      <c r="Q112" s="2" t="n"/>
      <c r="R112" s="2" t="n"/>
      <c r="S112" s="2" t="n"/>
      <c r="T112" s="2" t="n"/>
      <c r="U112" s="2" t="n"/>
      <c r="V112" s="2" t="n"/>
      <c r="W112" s="2" t="n"/>
      <c r="X112" s="2" t="n"/>
      <c r="Y112" s="2" t="n"/>
      <c r="Z112" s="2" t="n"/>
      <c r="AA112" s="2" t="n"/>
    </row>
    <row r="113">
      <c r="A113" s="21" t="n">
        <v>690</v>
      </c>
      <c r="B113" s="21" t="inlineStr">
        <is>
          <t>Charm of Ascendance</t>
        </is>
      </c>
      <c r="C113" s="21" t="inlineStr">
        <is>
          <t>Necklace</t>
        </is>
      </c>
      <c r="D113" s="21" t="n">
        <v>37</v>
      </c>
      <c r="E113" s="21" t="n">
        <v>130</v>
      </c>
      <c r="F113" s="21" t="n">
        <v>190</v>
      </c>
      <c r="G113" s="21" t="n">
        <v>25</v>
      </c>
      <c r="H113" s="21" t="n">
        <v>0</v>
      </c>
      <c r="I113" s="21" t="n">
        <v>0</v>
      </c>
      <c r="J113" s="21" t="n">
        <v>7</v>
      </c>
      <c r="K113" s="21" t="n">
        <v>17</v>
      </c>
      <c r="L113" s="21" t="inlineStr">
        <is>
          <t>Spell Damage VII</t>
        </is>
      </c>
      <c r="M113" s="61">
        <f>E113*'Item Budget'!$B$5+I113*'Item Budget'!$B$7+G113*'Item Budget'!$B$11+J113*'Item Budget'!$B$10+H113*'Item Budget'!$B$9+IFERROR(INDEX('Item Budget'!$M$25:$M$95,MATCH(L113,'Item Budget'!$B$25:$B$95,0)),0)</f>
        <v/>
      </c>
      <c r="N113" s="61">
        <f>E113*'Item Budget'!$B$5+I113*'Item Budget'!$B$7+G113*'Item Budget'!$B$11+J113*'Item Budget'!$B$10+F113*'Item Budget'!$B$6+K113*'Item Budget'!$B$8+IFERROR(INDEX('Item Budget'!$N$25:$N$95,MATCH(L113,'Item Budget'!$B$25:$B$95,0)),0)</f>
        <v/>
      </c>
      <c r="O113" s="61">
        <f>MAX(M113,N113)</f>
        <v/>
      </c>
      <c r="P113" s="2" t="n"/>
      <c r="Q113" s="2" t="n"/>
      <c r="R113" s="2" t="n"/>
      <c r="S113" s="2" t="n"/>
      <c r="T113" s="2" t="n"/>
      <c r="U113" s="2" t="n"/>
      <c r="V113" s="2" t="n"/>
      <c r="W113" s="2" t="n"/>
      <c r="X113" s="2" t="n"/>
      <c r="Y113" s="2" t="n"/>
      <c r="Z113" s="2" t="n"/>
      <c r="AA113" s="2" t="n"/>
    </row>
    <row r="114">
      <c r="A114" s="21" t="n">
        <v>691</v>
      </c>
      <c r="B114" s="21" t="inlineStr">
        <is>
          <t>Charm of the Archon</t>
        </is>
      </c>
      <c r="C114" s="21" t="inlineStr">
        <is>
          <t>Necklace</t>
        </is>
      </c>
      <c r="D114" s="21" t="n">
        <v>47</v>
      </c>
      <c r="E114" s="21" t="n">
        <v>160</v>
      </c>
      <c r="F114" s="21" t="n">
        <v>220</v>
      </c>
      <c r="G114" s="21" t="n">
        <v>30</v>
      </c>
      <c r="H114" s="21" t="n">
        <v>0</v>
      </c>
      <c r="I114" s="21" t="n">
        <v>0</v>
      </c>
      <c r="J114" s="21" t="n">
        <v>8</v>
      </c>
      <c r="K114" s="21" t="n">
        <v>19</v>
      </c>
      <c r="L114" s="21" t="inlineStr">
        <is>
          <t>Spell Damage IX</t>
        </is>
      </c>
      <c r="M114" s="61">
        <f>E114*'Item Budget'!$B$5+I114*'Item Budget'!$B$7+G114*'Item Budget'!$B$11+J114*'Item Budget'!$B$10+H114*'Item Budget'!$B$9+IFERROR(INDEX('Item Budget'!$M$25:$M$95,MATCH(L114,'Item Budget'!$B$25:$B$95,0)),0)</f>
        <v/>
      </c>
      <c r="N114" s="61">
        <f>E114*'Item Budget'!$B$5+I114*'Item Budget'!$B$7+G114*'Item Budget'!$B$11+J114*'Item Budget'!$B$10+F114*'Item Budget'!$B$6+K114*'Item Budget'!$B$8+IFERROR(INDEX('Item Budget'!$N$25:$N$95,MATCH(L114,'Item Budget'!$B$25:$B$95,0)),0)</f>
        <v/>
      </c>
      <c r="O114" s="61">
        <f>MAX(M114,N114)</f>
        <v/>
      </c>
      <c r="P114" s="2" t="n"/>
      <c r="Q114" s="2" t="n"/>
      <c r="R114" s="2" t="n"/>
      <c r="S114" s="2" t="n"/>
      <c r="T114" s="2" t="n"/>
      <c r="U114" s="2" t="n"/>
      <c r="V114" s="2" t="n"/>
      <c r="W114" s="2" t="n"/>
      <c r="X114" s="2" t="n"/>
      <c r="Y114" s="2" t="n"/>
      <c r="Z114" s="2" t="n"/>
      <c r="AA114" s="2" t="n"/>
    </row>
    <row r="115">
      <c r="A115" s="21" t="n">
        <v>677</v>
      </c>
      <c r="B115" s="21" t="inlineStr">
        <is>
          <t>Worn Leather Belt</t>
        </is>
      </c>
      <c r="C115" s="21" t="inlineStr">
        <is>
          <t>Belt</t>
        </is>
      </c>
      <c r="D115" s="21" t="n">
        <v>5</v>
      </c>
      <c r="E115" s="21" t="n">
        <v>40</v>
      </c>
      <c r="F115" s="21" t="n">
        <v>0</v>
      </c>
      <c r="G115" s="21" t="n">
        <v>4</v>
      </c>
      <c r="H115" s="21" t="n">
        <v>1</v>
      </c>
      <c r="I115" s="21" t="n">
        <v>2</v>
      </c>
      <c r="J115" s="21" t="n">
        <v>0</v>
      </c>
      <c r="K115" s="21" t="n">
        <v>0</v>
      </c>
      <c r="L115" s="21" t="inlineStr">
        <is>
          <t>(none)</t>
        </is>
      </c>
      <c r="M115" s="61">
        <f>E115*'Item Budget'!$B$5+I115*'Item Budget'!$B$7+G115*'Item Budget'!$B$11+J115*'Item Budget'!$B$10+H115*'Item Budget'!$B$9+IFERROR(INDEX('Item Budget'!$M$25:$M$95,MATCH(L115,'Item Budget'!$B$25:$B$95,0)),0)</f>
        <v/>
      </c>
      <c r="N115" s="61">
        <f>E115*'Item Budget'!$B$5+I115*'Item Budget'!$B$7+G115*'Item Budget'!$B$11+J115*'Item Budget'!$B$10+F115*'Item Budget'!$B$6+K115*'Item Budget'!$B$8+IFERROR(INDEX('Item Budget'!$N$25:$N$95,MATCH(L115,'Item Budget'!$B$25:$B$95,0)),0)</f>
        <v/>
      </c>
      <c r="O115" s="61">
        <f>MAX(M115,N115)</f>
        <v/>
      </c>
      <c r="P115" s="2" t="n"/>
      <c r="Q115" s="2" t="n"/>
      <c r="R115" s="2" t="n"/>
      <c r="S115" s="2" t="n"/>
      <c r="T115" s="2" t="n"/>
      <c r="U115" s="2" t="n"/>
      <c r="V115" s="2" t="n"/>
      <c r="W115" s="2" t="n"/>
      <c r="X115" s="2" t="n"/>
      <c r="Y115" s="2" t="n"/>
      <c r="Z115" s="2" t="n"/>
      <c r="AA115" s="2" t="n"/>
    </row>
    <row r="116">
      <c r="A116" s="21" t="n">
        <v>678</v>
      </c>
      <c r="B116" s="21" t="inlineStr">
        <is>
          <t>Sturdy Belt</t>
        </is>
      </c>
      <c r="C116" s="21" t="inlineStr">
        <is>
          <t>Belt</t>
        </is>
      </c>
      <c r="D116" s="21" t="n">
        <v>20</v>
      </c>
      <c r="E116" s="21" t="n">
        <v>200</v>
      </c>
      <c r="F116" s="21" t="n">
        <v>0</v>
      </c>
      <c r="G116" s="21" t="n">
        <v>15</v>
      </c>
      <c r="H116" s="21" t="n">
        <v>5</v>
      </c>
      <c r="I116" s="21" t="n">
        <v>7</v>
      </c>
      <c r="J116" s="21" t="n">
        <v>0</v>
      </c>
      <c r="K116" s="21" t="n">
        <v>0</v>
      </c>
      <c r="L116" s="21" t="inlineStr">
        <is>
          <t>Melee and Spell Damage II</t>
        </is>
      </c>
      <c r="M116" s="61">
        <f>E116*'Item Budget'!$B$5+I116*'Item Budget'!$B$7+G116*'Item Budget'!$B$11+J116*'Item Budget'!$B$10+H116*'Item Budget'!$B$9+IFERROR(INDEX('Item Budget'!$M$25:$M$95,MATCH(L116,'Item Budget'!$B$25:$B$95,0)),0)</f>
        <v/>
      </c>
      <c r="N116" s="61">
        <f>E116*'Item Budget'!$B$5+I116*'Item Budget'!$B$7+G116*'Item Budget'!$B$11+J116*'Item Budget'!$B$10+F116*'Item Budget'!$B$6+K116*'Item Budget'!$B$8+IFERROR(INDEX('Item Budget'!$N$25:$N$95,MATCH(L116,'Item Budget'!$B$25:$B$95,0)),0)</f>
        <v/>
      </c>
      <c r="O116" s="61">
        <f>MAX(M116,N116)</f>
        <v/>
      </c>
      <c r="P116" s="2" t="n"/>
      <c r="Q116" s="2" t="n"/>
      <c r="R116" s="2" t="n"/>
      <c r="S116" s="2" t="n"/>
      <c r="T116" s="2" t="n"/>
      <c r="U116" s="2" t="n"/>
      <c r="V116" s="2" t="n"/>
      <c r="W116" s="2" t="n"/>
      <c r="X116" s="2" t="n"/>
      <c r="Y116" s="2" t="n"/>
      <c r="Z116" s="2" t="n"/>
      <c r="AA116" s="2" t="n"/>
    </row>
    <row r="117">
      <c r="A117" s="21" t="n">
        <v>679</v>
      </c>
      <c r="B117" s="21" t="inlineStr">
        <is>
          <t>Ironbound Belt</t>
        </is>
      </c>
      <c r="C117" s="21" t="inlineStr">
        <is>
          <t>Belt</t>
        </is>
      </c>
      <c r="D117" s="21" t="n">
        <v>30</v>
      </c>
      <c r="E117" s="21" t="n">
        <v>320</v>
      </c>
      <c r="F117" s="21" t="n">
        <v>0</v>
      </c>
      <c r="G117" s="21" t="n">
        <v>24</v>
      </c>
      <c r="H117" s="21" t="n">
        <v>8</v>
      </c>
      <c r="I117" s="21" t="n">
        <v>11</v>
      </c>
      <c r="J117" s="21" t="n">
        <v>0</v>
      </c>
      <c r="K117" s="21" t="n">
        <v>0</v>
      </c>
      <c r="L117" s="21" t="inlineStr">
        <is>
          <t>Melee and Spell Damage III</t>
        </is>
      </c>
      <c r="M117" s="61">
        <f>E117*'Item Budget'!$B$5+I117*'Item Budget'!$B$7+G117*'Item Budget'!$B$11+J117*'Item Budget'!$B$10+H117*'Item Budget'!$B$9+IFERROR(INDEX('Item Budget'!$M$25:$M$95,MATCH(L117,'Item Budget'!$B$25:$B$95,0)),0)</f>
        <v/>
      </c>
      <c r="N117" s="61">
        <f>E117*'Item Budget'!$B$5+I117*'Item Budget'!$B$7+G117*'Item Budget'!$B$11+J117*'Item Budget'!$B$10+F117*'Item Budget'!$B$6+K117*'Item Budget'!$B$8+IFERROR(INDEX('Item Budget'!$N$25:$N$95,MATCH(L117,'Item Budget'!$B$25:$B$95,0)),0)</f>
        <v/>
      </c>
      <c r="O117" s="61">
        <f>MAX(M117,N117)</f>
        <v/>
      </c>
      <c r="P117" s="2" t="n"/>
      <c r="Q117" s="2" t="n"/>
      <c r="R117" s="2" t="n"/>
      <c r="S117" s="2" t="n"/>
      <c r="T117" s="2" t="n"/>
      <c r="U117" s="2" t="n"/>
      <c r="V117" s="2" t="n"/>
      <c r="W117" s="2" t="n"/>
      <c r="X117" s="2" t="n"/>
      <c r="Y117" s="2" t="n"/>
      <c r="Z117" s="2" t="n"/>
      <c r="AA117" s="2" t="n"/>
    </row>
    <row r="118">
      <c r="A118" s="21" t="n">
        <v>680</v>
      </c>
      <c r="B118" s="21" t="inlineStr">
        <is>
          <t>Runeplate Belt</t>
        </is>
      </c>
      <c r="C118" s="21" t="inlineStr">
        <is>
          <t>Belt</t>
        </is>
      </c>
      <c r="D118" s="21" t="n">
        <v>40</v>
      </c>
      <c r="E118" s="21" t="n">
        <v>430</v>
      </c>
      <c r="F118" s="21" t="n">
        <v>0</v>
      </c>
      <c r="G118" s="21" t="n">
        <v>32</v>
      </c>
      <c r="H118" s="21" t="n">
        <v>10</v>
      </c>
      <c r="I118" s="21" t="n">
        <v>14</v>
      </c>
      <c r="J118" s="21" t="n">
        <v>0</v>
      </c>
      <c r="K118" s="21" t="n">
        <v>0</v>
      </c>
      <c r="L118" s="21" t="inlineStr">
        <is>
          <t>Melee and Spell Damage IV</t>
        </is>
      </c>
      <c r="M118" s="61">
        <f>E118*'Item Budget'!$B$5+I118*'Item Budget'!$B$7+G118*'Item Budget'!$B$11+J118*'Item Budget'!$B$10+H118*'Item Budget'!$B$9+IFERROR(INDEX('Item Budget'!$M$25:$M$95,MATCH(L118,'Item Budget'!$B$25:$B$95,0)),0)</f>
        <v/>
      </c>
      <c r="N118" s="61">
        <f>E118*'Item Budget'!$B$5+I118*'Item Budget'!$B$7+G118*'Item Budget'!$B$11+J118*'Item Budget'!$B$10+F118*'Item Budget'!$B$6+K118*'Item Budget'!$B$8+IFERROR(INDEX('Item Budget'!$N$25:$N$95,MATCH(L118,'Item Budget'!$B$25:$B$95,0)),0)</f>
        <v/>
      </c>
      <c r="O118" s="61">
        <f>MAX(M118,N118)</f>
        <v/>
      </c>
      <c r="P118" s="2" t="n"/>
      <c r="Q118" s="2" t="n"/>
      <c r="R118" s="2" t="n"/>
      <c r="S118" s="2" t="n"/>
      <c r="T118" s="2" t="n"/>
      <c r="U118" s="2" t="n"/>
      <c r="V118" s="2" t="n"/>
      <c r="W118" s="2" t="n"/>
      <c r="X118" s="2" t="n"/>
      <c r="Y118" s="2" t="n"/>
      <c r="Z118" s="2" t="n"/>
      <c r="AA118" s="2" t="n"/>
    </row>
    <row r="119">
      <c r="A119" s="21" t="n">
        <v>681</v>
      </c>
      <c r="B119" s="21" t="inlineStr">
        <is>
          <t>Bulwark Belt</t>
        </is>
      </c>
      <c r="C119" s="21" t="inlineStr">
        <is>
          <t>Belt</t>
        </is>
      </c>
      <c r="D119" s="21" t="n">
        <v>49</v>
      </c>
      <c r="E119" s="21" t="n">
        <v>540</v>
      </c>
      <c r="F119" s="21" t="n">
        <v>0</v>
      </c>
      <c r="G119" s="21" t="n">
        <v>40</v>
      </c>
      <c r="H119" s="21" t="n">
        <v>12</v>
      </c>
      <c r="I119" s="21" t="n">
        <v>18</v>
      </c>
      <c r="J119" s="21" t="n">
        <v>0</v>
      </c>
      <c r="K119" s="21" t="n">
        <v>0</v>
      </c>
      <c r="L119" s="21" t="inlineStr">
        <is>
          <t>Melee and Spell Damage V</t>
        </is>
      </c>
      <c r="M119" s="61">
        <f>E119*'Item Budget'!$B$5+I119*'Item Budget'!$B$7+G119*'Item Budget'!$B$11+J119*'Item Budget'!$B$10+H119*'Item Budget'!$B$9+IFERROR(INDEX('Item Budget'!$M$25:$M$95,MATCH(L119,'Item Budget'!$B$25:$B$95,0)),0)</f>
        <v/>
      </c>
      <c r="N119" s="61">
        <f>E119*'Item Budget'!$B$5+I119*'Item Budget'!$B$7+G119*'Item Budget'!$B$11+J119*'Item Budget'!$B$10+F119*'Item Budget'!$B$6+K119*'Item Budget'!$B$8+IFERROR(INDEX('Item Budget'!$N$25:$N$95,MATCH(L119,'Item Budget'!$B$25:$B$95,0)),0)</f>
        <v/>
      </c>
      <c r="O119" s="61">
        <f>MAX(M119,N119)</f>
        <v/>
      </c>
      <c r="P119" s="2" t="n"/>
      <c r="Q119" s="2" t="n"/>
      <c r="R119" s="2" t="n"/>
      <c r="S119" s="2" t="n"/>
      <c r="T119" s="2" t="n"/>
      <c r="U119" s="2" t="n"/>
      <c r="V119" s="2" t="n"/>
      <c r="W119" s="2" t="n"/>
      <c r="X119" s="2" t="n"/>
      <c r="Y119" s="2" t="n"/>
      <c r="Z119" s="2" t="n"/>
      <c r="AA119" s="2" t="n"/>
    </row>
    <row r="120">
      <c r="A120" s="21" t="n">
        <v>662</v>
      </c>
      <c r="B120" s="21" t="inlineStr">
        <is>
          <t>Worn Leather Gloves</t>
        </is>
      </c>
      <c r="C120" s="21" t="inlineStr">
        <is>
          <t>Gloves</t>
        </is>
      </c>
      <c r="D120" s="21" t="n">
        <v>4</v>
      </c>
      <c r="E120" s="21" t="n">
        <v>20</v>
      </c>
      <c r="F120" s="21" t="n">
        <v>0</v>
      </c>
      <c r="G120" s="21" t="n">
        <v>5</v>
      </c>
      <c r="H120" s="21" t="n">
        <v>2</v>
      </c>
      <c r="I120" s="21" t="n">
        <v>2</v>
      </c>
      <c r="J120" s="21" t="n">
        <v>0</v>
      </c>
      <c r="K120" s="21" t="n">
        <v>0</v>
      </c>
      <c r="L120" s="21" t="inlineStr">
        <is>
          <t>(none)</t>
        </is>
      </c>
      <c r="M120" s="61">
        <f>E120*'Item Budget'!$B$5+I120*'Item Budget'!$B$7+G120*'Item Budget'!$B$11+J120*'Item Budget'!$B$10+H120*'Item Budget'!$B$9+IFERROR(INDEX('Item Budget'!$M$25:$M$95,MATCH(L120,'Item Budget'!$B$25:$B$95,0)),0)</f>
        <v/>
      </c>
      <c r="N120" s="61">
        <f>E120*'Item Budget'!$B$5+I120*'Item Budget'!$B$7+G120*'Item Budget'!$B$11+J120*'Item Budget'!$B$10+F120*'Item Budget'!$B$6+K120*'Item Budget'!$B$8+IFERROR(INDEX('Item Budget'!$N$25:$N$95,MATCH(L120,'Item Budget'!$B$25:$B$95,0)),0)</f>
        <v/>
      </c>
      <c r="O120" s="61">
        <f>MAX(M120,N120)</f>
        <v/>
      </c>
      <c r="P120" s="2" t="n"/>
      <c r="Q120" s="2" t="n"/>
      <c r="R120" s="2" t="n"/>
      <c r="S120" s="2" t="n"/>
      <c r="T120" s="2" t="n"/>
      <c r="U120" s="2" t="n"/>
      <c r="V120" s="2" t="n"/>
      <c r="W120" s="2" t="n"/>
      <c r="X120" s="2" t="n"/>
      <c r="Y120" s="2" t="n"/>
      <c r="Z120" s="2" t="n"/>
      <c r="AA120" s="2" t="n"/>
    </row>
    <row r="121">
      <c r="A121" s="21" t="n">
        <v>663</v>
      </c>
      <c r="B121" s="21" t="inlineStr">
        <is>
          <t>Scout's Gloves</t>
        </is>
      </c>
      <c r="C121" s="21" t="inlineStr">
        <is>
          <t>Gloves</t>
        </is>
      </c>
      <c r="D121" s="21" t="n">
        <v>14</v>
      </c>
      <c r="E121" s="21" t="n">
        <v>60</v>
      </c>
      <c r="F121" s="21" t="n">
        <v>0</v>
      </c>
      <c r="G121" s="21" t="n">
        <v>15</v>
      </c>
      <c r="H121" s="21" t="n">
        <v>6</v>
      </c>
      <c r="I121" s="21" t="n">
        <v>3</v>
      </c>
      <c r="J121" s="21" t="n">
        <v>3</v>
      </c>
      <c r="K121" s="21" t="n">
        <v>0</v>
      </c>
      <c r="L121" s="21" t="inlineStr">
        <is>
          <t>Melee Damage II</t>
        </is>
      </c>
      <c r="M121" s="61">
        <f>E121*'Item Budget'!$B$5+I121*'Item Budget'!$B$7+G121*'Item Budget'!$B$11+J121*'Item Budget'!$B$10+H121*'Item Budget'!$B$9+IFERROR(INDEX('Item Budget'!$M$25:$M$95,MATCH(L121,'Item Budget'!$B$25:$B$95,0)),0)</f>
        <v/>
      </c>
      <c r="N121" s="61">
        <f>E121*'Item Budget'!$B$5+I121*'Item Budget'!$B$7+G121*'Item Budget'!$B$11+J121*'Item Budget'!$B$10+F121*'Item Budget'!$B$6+K121*'Item Budget'!$B$8+IFERROR(INDEX('Item Budget'!$N$25:$N$95,MATCH(L121,'Item Budget'!$B$25:$B$95,0)),0)</f>
        <v/>
      </c>
      <c r="O121" s="61">
        <f>MAX(M121,N121)</f>
        <v/>
      </c>
      <c r="P121" s="2" t="n"/>
      <c r="Q121" s="2" t="n"/>
      <c r="R121" s="2" t="n"/>
      <c r="S121" s="2" t="n"/>
      <c r="T121" s="2" t="n"/>
      <c r="U121" s="2" t="n"/>
      <c r="V121" s="2" t="n"/>
      <c r="W121" s="2" t="n"/>
      <c r="X121" s="2" t="n"/>
      <c r="Y121" s="2" t="n"/>
      <c r="Z121" s="2" t="n"/>
      <c r="AA121" s="2" t="n"/>
    </row>
    <row r="122">
      <c r="A122" s="21" t="n">
        <v>664</v>
      </c>
      <c r="B122" s="21" t="inlineStr">
        <is>
          <t>Reinforced War Gloves</t>
        </is>
      </c>
      <c r="C122" s="21" t="inlineStr">
        <is>
          <t>Gloves</t>
        </is>
      </c>
      <c r="D122" s="21" t="n">
        <v>24</v>
      </c>
      <c r="E122" s="21" t="n">
        <v>100</v>
      </c>
      <c r="F122" s="21" t="n">
        <v>0</v>
      </c>
      <c r="G122" s="21" t="n">
        <v>25</v>
      </c>
      <c r="H122" s="21" t="n">
        <v>10</v>
      </c>
      <c r="I122" s="21" t="n">
        <v>5</v>
      </c>
      <c r="J122" s="21" t="n">
        <v>5</v>
      </c>
      <c r="K122" s="21" t="n">
        <v>0</v>
      </c>
      <c r="L122" s="21" t="inlineStr">
        <is>
          <t>Melee Damage III</t>
        </is>
      </c>
      <c r="M122" s="61">
        <f>E122*'Item Budget'!$B$5+I122*'Item Budget'!$B$7+G122*'Item Budget'!$B$11+J122*'Item Budget'!$B$10+H122*'Item Budget'!$B$9+IFERROR(INDEX('Item Budget'!$M$25:$M$95,MATCH(L122,'Item Budget'!$B$25:$B$95,0)),0)</f>
        <v/>
      </c>
      <c r="N122" s="61">
        <f>E122*'Item Budget'!$B$5+I122*'Item Budget'!$B$7+G122*'Item Budget'!$B$11+J122*'Item Budget'!$B$10+F122*'Item Budget'!$B$6+K122*'Item Budget'!$B$8+IFERROR(INDEX('Item Budget'!$N$25:$N$95,MATCH(L122,'Item Budget'!$B$25:$B$95,0)),0)</f>
        <v/>
      </c>
      <c r="O122" s="61">
        <f>MAX(M122,N122)</f>
        <v/>
      </c>
      <c r="P122" s="2" t="n"/>
      <c r="Q122" s="2" t="n"/>
      <c r="R122" s="2" t="n"/>
      <c r="S122" s="2" t="n"/>
      <c r="T122" s="2" t="n"/>
      <c r="U122" s="2" t="n"/>
      <c r="V122" s="2" t="n"/>
      <c r="W122" s="2" t="n"/>
      <c r="X122" s="2" t="n"/>
      <c r="Y122" s="2" t="n"/>
      <c r="Z122" s="2" t="n"/>
      <c r="AA122" s="2" t="n"/>
    </row>
    <row r="123">
      <c r="A123" s="21" t="n">
        <v>665</v>
      </c>
      <c r="B123" s="21" t="inlineStr">
        <is>
          <t>Runed War Gloves</t>
        </is>
      </c>
      <c r="C123" s="21" t="inlineStr">
        <is>
          <t>Gloves</t>
        </is>
      </c>
      <c r="D123" s="21" t="n">
        <v>34</v>
      </c>
      <c r="E123" s="21" t="n">
        <v>140</v>
      </c>
      <c r="F123" s="21" t="n">
        <v>0</v>
      </c>
      <c r="G123" s="21" t="n">
        <v>35</v>
      </c>
      <c r="H123" s="21" t="n">
        <v>14</v>
      </c>
      <c r="I123" s="21" t="n">
        <v>7</v>
      </c>
      <c r="J123" s="21" t="n">
        <v>7</v>
      </c>
      <c r="K123" s="21" t="n">
        <v>0</v>
      </c>
      <c r="L123" s="21" t="inlineStr">
        <is>
          <t>Melee Damage IV</t>
        </is>
      </c>
      <c r="M123" s="61">
        <f>E123*'Item Budget'!$B$5+I123*'Item Budget'!$B$7+G123*'Item Budget'!$B$11+J123*'Item Budget'!$B$10+H123*'Item Budget'!$B$9+IFERROR(INDEX('Item Budget'!$M$25:$M$95,MATCH(L123,'Item Budget'!$B$25:$B$95,0)),0)</f>
        <v/>
      </c>
      <c r="N123" s="61">
        <f>E123*'Item Budget'!$B$5+I123*'Item Budget'!$B$7+G123*'Item Budget'!$B$11+J123*'Item Budget'!$B$10+F123*'Item Budget'!$B$6+K123*'Item Budget'!$B$8+IFERROR(INDEX('Item Budget'!$N$25:$N$95,MATCH(L123,'Item Budget'!$B$25:$B$95,0)),0)</f>
        <v/>
      </c>
      <c r="O123" s="61">
        <f>MAX(M123,N123)</f>
        <v/>
      </c>
      <c r="P123" s="2" t="n"/>
      <c r="Q123" s="2" t="n"/>
      <c r="R123" s="2" t="n"/>
      <c r="S123" s="2" t="n"/>
      <c r="T123" s="2" t="n"/>
      <c r="U123" s="2" t="n"/>
      <c r="V123" s="2" t="n"/>
      <c r="W123" s="2" t="n"/>
      <c r="X123" s="2" t="n"/>
      <c r="Y123" s="2" t="n"/>
      <c r="Z123" s="2" t="n"/>
      <c r="AA123" s="2" t="n"/>
    </row>
    <row r="124">
      <c r="A124" s="21" t="n">
        <v>666</v>
      </c>
      <c r="B124" s="21" t="inlineStr">
        <is>
          <t>Exalted War Gloves</t>
        </is>
      </c>
      <c r="C124" s="21" t="inlineStr">
        <is>
          <t>Gloves</t>
        </is>
      </c>
      <c r="D124" s="21" t="n">
        <v>44</v>
      </c>
      <c r="E124" s="21" t="n">
        <v>180</v>
      </c>
      <c r="F124" s="21" t="n">
        <v>0</v>
      </c>
      <c r="G124" s="21" t="n">
        <v>45</v>
      </c>
      <c r="H124" s="21" t="n">
        <v>18</v>
      </c>
      <c r="I124" s="21" t="n">
        <v>9</v>
      </c>
      <c r="J124" s="21" t="n">
        <v>9</v>
      </c>
      <c r="K124" s="21" t="n">
        <v>0</v>
      </c>
      <c r="L124" s="21" t="inlineStr">
        <is>
          <t>Melee Damage V</t>
        </is>
      </c>
      <c r="M124" s="61">
        <f>E124*'Item Budget'!$B$5+I124*'Item Budget'!$B$7+G124*'Item Budget'!$B$11+J124*'Item Budget'!$B$10+H124*'Item Budget'!$B$9+IFERROR(INDEX('Item Budget'!$M$25:$M$95,MATCH(L124,'Item Budget'!$B$25:$B$95,0)),0)</f>
        <v/>
      </c>
      <c r="N124" s="61">
        <f>E124*'Item Budget'!$B$5+I124*'Item Budget'!$B$7+G124*'Item Budget'!$B$11+J124*'Item Budget'!$B$10+F124*'Item Budget'!$B$6+K124*'Item Budget'!$B$8+IFERROR(INDEX('Item Budget'!$N$25:$N$95,MATCH(L124,'Item Budget'!$B$25:$B$95,0)),0)</f>
        <v/>
      </c>
      <c r="O124" s="61">
        <f>MAX(M124,N124)</f>
        <v/>
      </c>
      <c r="P124" s="2" t="n"/>
      <c r="Q124" s="2" t="n"/>
      <c r="R124" s="2" t="n"/>
      <c r="S124" s="2" t="n"/>
      <c r="T124" s="2" t="n"/>
      <c r="U124" s="2" t="n"/>
      <c r="V124" s="2" t="n"/>
      <c r="W124" s="2" t="n"/>
      <c r="X124" s="2" t="n"/>
      <c r="Y124" s="2" t="n"/>
      <c r="Z124" s="2" t="n"/>
      <c r="AA124" s="2" t="n"/>
    </row>
    <row r="125">
      <c r="A125" s="21" t="n">
        <v>682</v>
      </c>
      <c r="B125" s="21" t="inlineStr">
        <is>
          <t>Threadbare Cloak</t>
        </is>
      </c>
      <c r="C125" s="21" t="inlineStr">
        <is>
          <t>Cloak</t>
        </is>
      </c>
      <c r="D125" s="21" t="n">
        <v>6</v>
      </c>
      <c r="E125" s="21" t="n">
        <v>20</v>
      </c>
      <c r="F125" s="21" t="n">
        <v>20</v>
      </c>
      <c r="G125" s="21" t="n">
        <v>8</v>
      </c>
      <c r="H125" s="21" t="n">
        <v>0</v>
      </c>
      <c r="I125" s="21" t="n">
        <v>0</v>
      </c>
      <c r="J125" s="21" t="n">
        <v>0</v>
      </c>
      <c r="K125" s="21" t="n">
        <v>0</v>
      </c>
      <c r="L125" s="21" t="inlineStr">
        <is>
          <t>(none)</t>
        </is>
      </c>
      <c r="M125" s="61">
        <f>E125*'Item Budget'!$B$5+I125*'Item Budget'!$B$7+G125*'Item Budget'!$B$11+J125*'Item Budget'!$B$10+H125*'Item Budget'!$B$9+IFERROR(INDEX('Item Budget'!$M$25:$M$95,MATCH(L125,'Item Budget'!$B$25:$B$95,0)),0)</f>
        <v/>
      </c>
      <c r="N125" s="61">
        <f>E125*'Item Budget'!$B$5+I125*'Item Budget'!$B$7+G125*'Item Budget'!$B$11+J125*'Item Budget'!$B$10+F125*'Item Budget'!$B$6+K125*'Item Budget'!$B$8+IFERROR(INDEX('Item Budget'!$N$25:$N$95,MATCH(L125,'Item Budget'!$B$25:$B$95,0)),0)</f>
        <v/>
      </c>
      <c r="O125" s="61">
        <f>MAX(M125,N125)</f>
        <v/>
      </c>
      <c r="P125" s="2" t="n"/>
      <c r="Q125" s="2" t="n"/>
      <c r="R125" s="2" t="n"/>
      <c r="S125" s="2" t="n"/>
      <c r="T125" s="2" t="n"/>
      <c r="U125" s="2" t="n"/>
      <c r="V125" s="2" t="n"/>
      <c r="W125" s="2" t="n"/>
      <c r="X125" s="2" t="n"/>
      <c r="Y125" s="2" t="n"/>
      <c r="Z125" s="2" t="n"/>
      <c r="AA125" s="2" t="n"/>
    </row>
    <row r="126">
      <c r="A126" s="21" t="n">
        <v>683</v>
      </c>
      <c r="B126" s="21" t="inlineStr">
        <is>
          <t>Traveler's Cloak</t>
        </is>
      </c>
      <c r="C126" s="21" t="inlineStr">
        <is>
          <t>Cloak</t>
        </is>
      </c>
      <c r="D126" s="21" t="n">
        <v>16</v>
      </c>
      <c r="E126" s="21" t="n">
        <v>50</v>
      </c>
      <c r="F126" s="21" t="n">
        <v>50</v>
      </c>
      <c r="G126" s="21" t="n">
        <v>15</v>
      </c>
      <c r="H126" s="21" t="n">
        <v>0</v>
      </c>
      <c r="I126" s="21" t="n">
        <v>0</v>
      </c>
      <c r="J126" s="21" t="n">
        <v>2</v>
      </c>
      <c r="K126" s="21" t="n">
        <v>0</v>
      </c>
      <c r="L126" s="21" t="inlineStr">
        <is>
          <t>Haste II</t>
        </is>
      </c>
      <c r="M126" s="61">
        <f>E126*'Item Budget'!$B$5+I126*'Item Budget'!$B$7+G126*'Item Budget'!$B$11+J126*'Item Budget'!$B$10+H126*'Item Budget'!$B$9+IFERROR(INDEX('Item Budget'!$M$25:$M$95,MATCH(L126,'Item Budget'!$B$25:$B$95,0)),0)</f>
        <v/>
      </c>
      <c r="N126" s="61">
        <f>E126*'Item Budget'!$B$5+I126*'Item Budget'!$B$7+G126*'Item Budget'!$B$11+J126*'Item Budget'!$B$10+F126*'Item Budget'!$B$6+K126*'Item Budget'!$B$8+IFERROR(INDEX('Item Budget'!$N$25:$N$95,MATCH(L126,'Item Budget'!$B$25:$B$95,0)),0)</f>
        <v/>
      </c>
      <c r="O126" s="61">
        <f>MAX(M126,N126)</f>
        <v/>
      </c>
      <c r="P126" s="2" t="n"/>
      <c r="Q126" s="2" t="n"/>
      <c r="R126" s="2" t="n"/>
      <c r="S126" s="2" t="n"/>
      <c r="T126" s="2" t="n"/>
      <c r="U126" s="2" t="n"/>
      <c r="V126" s="2" t="n"/>
      <c r="W126" s="2" t="n"/>
      <c r="X126" s="2" t="n"/>
      <c r="Y126" s="2" t="n"/>
      <c r="Z126" s="2" t="n"/>
      <c r="AA126" s="2" t="n"/>
    </row>
    <row r="127">
      <c r="A127" s="21" t="n">
        <v>684</v>
      </c>
      <c r="B127" s="21" t="inlineStr">
        <is>
          <t>Warden's Cloak</t>
        </is>
      </c>
      <c r="C127" s="21" t="inlineStr">
        <is>
          <t>Cloak</t>
        </is>
      </c>
      <c r="D127" s="21" t="n">
        <v>26</v>
      </c>
      <c r="E127" s="21" t="n">
        <v>90</v>
      </c>
      <c r="F127" s="21" t="n">
        <v>90</v>
      </c>
      <c r="G127" s="21" t="n">
        <v>24</v>
      </c>
      <c r="H127" s="21" t="n">
        <v>0</v>
      </c>
      <c r="I127" s="21" t="n">
        <v>0</v>
      </c>
      <c r="J127" s="21" t="n">
        <v>4</v>
      </c>
      <c r="K127" s="21" t="n">
        <v>0</v>
      </c>
      <c r="L127" s="21" t="inlineStr">
        <is>
          <t>Haste III</t>
        </is>
      </c>
      <c r="M127" s="61">
        <f>E127*'Item Budget'!$B$5+I127*'Item Budget'!$B$7+G127*'Item Budget'!$B$11+J127*'Item Budget'!$B$10+H127*'Item Budget'!$B$9+IFERROR(INDEX('Item Budget'!$M$25:$M$95,MATCH(L127,'Item Budget'!$B$25:$B$95,0)),0)</f>
        <v/>
      </c>
      <c r="N127" s="61">
        <f>E127*'Item Budget'!$B$5+I127*'Item Budget'!$B$7+G127*'Item Budget'!$B$11+J127*'Item Budget'!$B$10+F127*'Item Budget'!$B$6+K127*'Item Budget'!$B$8+IFERROR(INDEX('Item Budget'!$N$25:$N$95,MATCH(L127,'Item Budget'!$B$25:$B$95,0)),0)</f>
        <v/>
      </c>
      <c r="O127" s="61">
        <f>MAX(M127,N127)</f>
        <v/>
      </c>
      <c r="P127" s="2" t="n"/>
      <c r="Q127" s="2" t="n"/>
      <c r="R127" s="2" t="n"/>
      <c r="S127" s="2" t="n"/>
      <c r="T127" s="2" t="n"/>
      <c r="U127" s="2" t="n"/>
      <c r="V127" s="2" t="n"/>
      <c r="W127" s="2" t="n"/>
      <c r="X127" s="2" t="n"/>
      <c r="Y127" s="2" t="n"/>
      <c r="Z127" s="2" t="n"/>
      <c r="AA127" s="2" t="n"/>
    </row>
    <row r="128">
      <c r="A128" s="21" t="n">
        <v>685</v>
      </c>
      <c r="B128" s="21" t="inlineStr">
        <is>
          <t>Stormward Cloak</t>
        </is>
      </c>
      <c r="C128" s="21" t="inlineStr">
        <is>
          <t>Cloak</t>
        </is>
      </c>
      <c r="D128" s="21" t="n">
        <v>36</v>
      </c>
      <c r="E128" s="21" t="n">
        <v>125</v>
      </c>
      <c r="F128" s="21" t="n">
        <v>125</v>
      </c>
      <c r="G128" s="21" t="n">
        <v>34</v>
      </c>
      <c r="H128" s="21" t="n">
        <v>0</v>
      </c>
      <c r="I128" s="21" t="n">
        <v>0</v>
      </c>
      <c r="J128" s="21" t="n">
        <v>6</v>
      </c>
      <c r="K128" s="21" t="n">
        <v>0</v>
      </c>
      <c r="L128" s="21" t="inlineStr">
        <is>
          <t>Haste IV</t>
        </is>
      </c>
      <c r="M128" s="61">
        <f>E128*'Item Budget'!$B$5+I128*'Item Budget'!$B$7+G128*'Item Budget'!$B$11+J128*'Item Budget'!$B$10+H128*'Item Budget'!$B$9+IFERROR(INDEX('Item Budget'!$M$25:$M$95,MATCH(L128,'Item Budget'!$B$25:$B$95,0)),0)</f>
        <v/>
      </c>
      <c r="N128" s="61">
        <f>E128*'Item Budget'!$B$5+I128*'Item Budget'!$B$7+G128*'Item Budget'!$B$11+J128*'Item Budget'!$B$10+F128*'Item Budget'!$B$6+K128*'Item Budget'!$B$8+IFERROR(INDEX('Item Budget'!$N$25:$N$95,MATCH(L128,'Item Budget'!$B$25:$B$95,0)),0)</f>
        <v/>
      </c>
      <c r="O128" s="61">
        <f>MAX(M128,N128)</f>
        <v/>
      </c>
      <c r="P128" s="2" t="n"/>
      <c r="Q128" s="2" t="n"/>
      <c r="R128" s="2" t="n"/>
      <c r="S128" s="2" t="n"/>
      <c r="T128" s="2" t="n"/>
      <c r="U128" s="2" t="n"/>
      <c r="V128" s="2" t="n"/>
      <c r="W128" s="2" t="n"/>
      <c r="X128" s="2" t="n"/>
      <c r="Y128" s="2" t="n"/>
      <c r="Z128" s="2" t="n"/>
      <c r="AA128" s="2" t="n"/>
    </row>
    <row r="129">
      <c r="A129" s="21" t="n">
        <v>686</v>
      </c>
      <c r="B129" s="21" t="inlineStr">
        <is>
          <t>Skyweave Cloak</t>
        </is>
      </c>
      <c r="C129" s="21" t="inlineStr">
        <is>
          <t>Cloak</t>
        </is>
      </c>
      <c r="D129" s="21" t="n">
        <v>46</v>
      </c>
      <c r="E129" s="21" t="n">
        <v>160</v>
      </c>
      <c r="F129" s="21" t="n">
        <v>160</v>
      </c>
      <c r="G129" s="21" t="n">
        <v>42</v>
      </c>
      <c r="H129" s="21" t="n">
        <v>0</v>
      </c>
      <c r="I129" s="21" t="n">
        <v>0</v>
      </c>
      <c r="J129" s="21" t="n">
        <v>8</v>
      </c>
      <c r="K129" s="21" t="n">
        <v>0</v>
      </c>
      <c r="L129" s="21" t="inlineStr">
        <is>
          <t>Haste V</t>
        </is>
      </c>
      <c r="M129" s="61">
        <f>E129*'Item Budget'!$B$5+I129*'Item Budget'!$B$7+G129*'Item Budget'!$B$11+J129*'Item Budget'!$B$10+H129*'Item Budget'!$B$9+IFERROR(INDEX('Item Budget'!$M$25:$M$95,MATCH(L129,'Item Budget'!$B$25:$B$95,0)),0)</f>
        <v/>
      </c>
      <c r="N129" s="61">
        <f>E129*'Item Budget'!$B$5+I129*'Item Budget'!$B$7+G129*'Item Budget'!$B$11+J129*'Item Budget'!$B$10+F129*'Item Budget'!$B$6+K129*'Item Budget'!$B$8+IFERROR(INDEX('Item Budget'!$N$25:$N$95,MATCH(L129,'Item Budget'!$B$25:$B$95,0)),0)</f>
        <v/>
      </c>
      <c r="O129" s="61">
        <f>MAX(M129,N129)</f>
        <v/>
      </c>
      <c r="P129" s="2" t="n"/>
      <c r="Q129" s="2" t="n"/>
      <c r="R129" s="2" t="n"/>
      <c r="S129" s="2" t="n"/>
      <c r="T129" s="2" t="n"/>
      <c r="U129" s="2" t="n"/>
      <c r="V129" s="2" t="n"/>
      <c r="W129" s="2" t="n"/>
      <c r="X129" s="2" t="n"/>
      <c r="Y129" s="2" t="n"/>
      <c r="Z129" s="2" t="n"/>
      <c r="AA129" s="2" t="n"/>
    </row>
    <row r="130">
      <c r="A130" s="21" t="n">
        <v>692</v>
      </c>
      <c r="B130" s="21" t="inlineStr">
        <is>
          <t>Patchwork Pauldrons</t>
        </is>
      </c>
      <c r="C130" s="21" t="inlineStr">
        <is>
          <t>Pauldrons</t>
        </is>
      </c>
      <c r="D130" s="21" t="n">
        <v>8</v>
      </c>
      <c r="E130" s="21" t="n">
        <v>40</v>
      </c>
      <c r="F130" s="21" t="n">
        <v>0</v>
      </c>
      <c r="G130" s="21" t="n">
        <v>12</v>
      </c>
      <c r="H130" s="21" t="n">
        <v>2</v>
      </c>
      <c r="I130" s="21" t="n">
        <v>2</v>
      </c>
      <c r="J130" s="21" t="n">
        <v>0</v>
      </c>
      <c r="K130" s="21" t="n">
        <v>0</v>
      </c>
      <c r="L130" s="21" t="inlineStr">
        <is>
          <t>(none)</t>
        </is>
      </c>
      <c r="M130" s="61">
        <f>E130*'Item Budget'!$B$5+I130*'Item Budget'!$B$7+G130*'Item Budget'!$B$11+J130*'Item Budget'!$B$10+H130*'Item Budget'!$B$9+IFERROR(INDEX('Item Budget'!$M$25:$M$95,MATCH(L130,'Item Budget'!$B$25:$B$95,0)),0)</f>
        <v/>
      </c>
      <c r="N130" s="61">
        <f>E130*'Item Budget'!$B$5+I130*'Item Budget'!$B$7+G130*'Item Budget'!$B$11+J130*'Item Budget'!$B$10+F130*'Item Budget'!$B$6+K130*'Item Budget'!$B$8+IFERROR(INDEX('Item Budget'!$N$25:$N$95,MATCH(L130,'Item Budget'!$B$25:$B$95,0)),0)</f>
        <v/>
      </c>
      <c r="O130" s="61">
        <f>MAX(M130,N130)</f>
        <v/>
      </c>
      <c r="P130" s="2" t="n"/>
      <c r="Q130" s="2" t="n"/>
      <c r="R130" s="2" t="n"/>
      <c r="S130" s="2" t="n"/>
      <c r="T130" s="2" t="n"/>
      <c r="U130" s="2" t="n"/>
      <c r="V130" s="2" t="n"/>
      <c r="W130" s="2" t="n"/>
      <c r="X130" s="2" t="n"/>
      <c r="Y130" s="2" t="n"/>
      <c r="Z130" s="2" t="n"/>
      <c r="AA130" s="2" t="n"/>
    </row>
    <row r="131">
      <c r="A131" s="21" t="n">
        <v>693</v>
      </c>
      <c r="B131" s="21" t="inlineStr">
        <is>
          <t>Cold Iron Pauldrons</t>
        </is>
      </c>
      <c r="C131" s="21" t="inlineStr">
        <is>
          <t>Pauldrons</t>
        </is>
      </c>
      <c r="D131" s="21" t="n">
        <v>18</v>
      </c>
      <c r="E131" s="21" t="n">
        <v>130</v>
      </c>
      <c r="F131" s="21" t="n">
        <v>0</v>
      </c>
      <c r="G131" s="21" t="n">
        <v>28</v>
      </c>
      <c r="H131" s="21" t="n">
        <v>5</v>
      </c>
      <c r="I131" s="21" t="n">
        <v>5</v>
      </c>
      <c r="J131" s="21" t="n">
        <v>0</v>
      </c>
      <c r="K131" s="21" t="n">
        <v>0</v>
      </c>
      <c r="L131" s="21" t="inlineStr">
        <is>
          <t>Damage Reduction II</t>
        </is>
      </c>
      <c r="M131" s="61">
        <f>E131*'Item Budget'!$B$5+I131*'Item Budget'!$B$7+G131*'Item Budget'!$B$11+J131*'Item Budget'!$B$10+H131*'Item Budget'!$B$9+IFERROR(INDEX('Item Budget'!$M$25:$M$95,MATCH(L131,'Item Budget'!$B$25:$B$95,0)),0)</f>
        <v/>
      </c>
      <c r="N131" s="61">
        <f>E131*'Item Budget'!$B$5+I131*'Item Budget'!$B$7+G131*'Item Budget'!$B$11+J131*'Item Budget'!$B$10+F131*'Item Budget'!$B$6+K131*'Item Budget'!$B$8+IFERROR(INDEX('Item Budget'!$N$25:$N$95,MATCH(L131,'Item Budget'!$B$25:$B$95,0)),0)</f>
        <v/>
      </c>
      <c r="O131" s="61">
        <f>MAX(M131,N131)</f>
        <v/>
      </c>
      <c r="P131" s="2" t="n"/>
      <c r="Q131" s="2" t="n"/>
      <c r="R131" s="2" t="n"/>
      <c r="S131" s="2" t="n"/>
      <c r="T131" s="2" t="n"/>
      <c r="U131" s="2" t="n"/>
      <c r="V131" s="2" t="n"/>
      <c r="W131" s="2" t="n"/>
      <c r="X131" s="2" t="n"/>
      <c r="Y131" s="2" t="n"/>
      <c r="Z131" s="2" t="n"/>
      <c r="AA131" s="2" t="n"/>
    </row>
    <row r="132">
      <c r="A132" s="21" t="n">
        <v>694</v>
      </c>
      <c r="B132" s="21" t="inlineStr">
        <is>
          <t>Tempered Pauldrons</t>
        </is>
      </c>
      <c r="C132" s="21" t="inlineStr">
        <is>
          <t>Pauldrons</t>
        </is>
      </c>
      <c r="D132" s="21" t="n">
        <v>28</v>
      </c>
      <c r="E132" s="21" t="n">
        <v>210</v>
      </c>
      <c r="F132" s="21" t="n">
        <v>0</v>
      </c>
      <c r="G132" s="21" t="n">
        <v>45</v>
      </c>
      <c r="H132" s="21" t="n">
        <v>7</v>
      </c>
      <c r="I132" s="21" t="n">
        <v>9</v>
      </c>
      <c r="J132" s="21" t="n">
        <v>0</v>
      </c>
      <c r="K132" s="21" t="n">
        <v>0</v>
      </c>
      <c r="L132" s="21" t="inlineStr">
        <is>
          <t>Damage Reduction III</t>
        </is>
      </c>
      <c r="M132" s="61">
        <f>E132*'Item Budget'!$B$5+I132*'Item Budget'!$B$7+G132*'Item Budget'!$B$11+J132*'Item Budget'!$B$10+H132*'Item Budget'!$B$9+IFERROR(INDEX('Item Budget'!$M$25:$M$95,MATCH(L132,'Item Budget'!$B$25:$B$95,0)),0)</f>
        <v/>
      </c>
      <c r="N132" s="61">
        <f>E132*'Item Budget'!$B$5+I132*'Item Budget'!$B$7+G132*'Item Budget'!$B$11+J132*'Item Budget'!$B$10+F132*'Item Budget'!$B$6+K132*'Item Budget'!$B$8+IFERROR(INDEX('Item Budget'!$N$25:$N$95,MATCH(L132,'Item Budget'!$B$25:$B$95,0)),0)</f>
        <v/>
      </c>
      <c r="O132" s="61">
        <f>MAX(M132,N132)</f>
        <v/>
      </c>
      <c r="P132" s="2" t="n"/>
      <c r="Q132" s="2" t="n"/>
      <c r="R132" s="2" t="n"/>
      <c r="S132" s="2" t="n"/>
      <c r="T132" s="2" t="n"/>
      <c r="U132" s="2" t="n"/>
      <c r="V132" s="2" t="n"/>
      <c r="W132" s="2" t="n"/>
      <c r="X132" s="2" t="n"/>
      <c r="Y132" s="2" t="n"/>
      <c r="Z132" s="2" t="n"/>
      <c r="AA132" s="2" t="n"/>
    </row>
    <row r="133">
      <c r="A133" s="21" t="n">
        <v>695</v>
      </c>
      <c r="B133" s="21" t="inlineStr">
        <is>
          <t>Runeplate Pauldrons</t>
        </is>
      </c>
      <c r="C133" s="21" t="inlineStr">
        <is>
          <t>Pauldrons</t>
        </is>
      </c>
      <c r="D133" s="21" t="n">
        <v>38</v>
      </c>
      <c r="E133" s="21" t="n">
        <v>290</v>
      </c>
      <c r="F133" s="21" t="n">
        <v>0</v>
      </c>
      <c r="G133" s="21" t="n">
        <v>60</v>
      </c>
      <c r="H133" s="21" t="n">
        <v>9</v>
      </c>
      <c r="I133" s="21" t="n">
        <v>12</v>
      </c>
      <c r="J133" s="21" t="n">
        <v>0</v>
      </c>
      <c r="K133" s="21" t="n">
        <v>0</v>
      </c>
      <c r="L133" s="21" t="inlineStr">
        <is>
          <t>Damage Reduction IV</t>
        </is>
      </c>
      <c r="M133" s="61">
        <f>E133*'Item Budget'!$B$5+I133*'Item Budget'!$B$7+G133*'Item Budget'!$B$11+J133*'Item Budget'!$B$10+H133*'Item Budget'!$B$9+IFERROR(INDEX('Item Budget'!$M$25:$M$95,MATCH(L133,'Item Budget'!$B$25:$B$95,0)),0)</f>
        <v/>
      </c>
      <c r="N133" s="61">
        <f>E133*'Item Budget'!$B$5+I133*'Item Budget'!$B$7+G133*'Item Budget'!$B$11+J133*'Item Budget'!$B$10+F133*'Item Budget'!$B$6+K133*'Item Budget'!$B$8+IFERROR(INDEX('Item Budget'!$N$25:$N$95,MATCH(L133,'Item Budget'!$B$25:$B$95,0)),0)</f>
        <v/>
      </c>
      <c r="O133" s="61">
        <f>MAX(M133,N133)</f>
        <v/>
      </c>
      <c r="P133" s="2" t="n"/>
      <c r="Q133" s="2" t="n"/>
      <c r="R133" s="2" t="n"/>
      <c r="S133" s="2" t="n"/>
      <c r="T133" s="2" t="n"/>
      <c r="U133" s="2" t="n"/>
      <c r="V133" s="2" t="n"/>
      <c r="W133" s="2" t="n"/>
      <c r="X133" s="2" t="n"/>
      <c r="Y133" s="2" t="n"/>
      <c r="Z133" s="2" t="n"/>
      <c r="AA133" s="2" t="n"/>
    </row>
    <row r="134">
      <c r="A134" s="21" t="n">
        <v>696</v>
      </c>
      <c r="B134" s="21" t="inlineStr">
        <is>
          <t>Bulwark Pauldrons</t>
        </is>
      </c>
      <c r="C134" s="21" t="inlineStr">
        <is>
          <t>Pauldrons</t>
        </is>
      </c>
      <c r="D134" s="21" t="n">
        <v>48</v>
      </c>
      <c r="E134" s="21" t="n">
        <v>370</v>
      </c>
      <c r="F134" s="21" t="n">
        <v>0</v>
      </c>
      <c r="G134" s="21" t="n">
        <v>78</v>
      </c>
      <c r="H134" s="21" t="n">
        <v>11</v>
      </c>
      <c r="I134" s="21" t="n">
        <v>15</v>
      </c>
      <c r="J134" s="21" t="n">
        <v>0</v>
      </c>
      <c r="K134" s="21" t="n">
        <v>0</v>
      </c>
      <c r="L134" s="21" t="inlineStr">
        <is>
          <t>Damage Reduction V</t>
        </is>
      </c>
      <c r="M134" s="61">
        <f>E134*'Item Budget'!$B$5+I134*'Item Budget'!$B$7+G134*'Item Budget'!$B$11+J134*'Item Budget'!$B$10+H134*'Item Budget'!$B$9+IFERROR(INDEX('Item Budget'!$M$25:$M$95,MATCH(L134,'Item Budget'!$B$25:$B$95,0)),0)</f>
        <v/>
      </c>
      <c r="N134" s="61">
        <f>E134*'Item Budget'!$B$5+I134*'Item Budget'!$B$7+G134*'Item Budget'!$B$11+J134*'Item Budget'!$B$10+F134*'Item Budget'!$B$6+K134*'Item Budget'!$B$8+IFERROR(INDEX('Item Budget'!$N$25:$N$95,MATCH(L134,'Item Budget'!$B$25:$B$95,0)),0)</f>
        <v/>
      </c>
      <c r="O134" s="61">
        <f>MAX(M134,N134)</f>
        <v/>
      </c>
      <c r="P134" s="2" t="n"/>
      <c r="Q134" s="2" t="n"/>
      <c r="R134" s="2" t="n"/>
      <c r="S134" s="2" t="n"/>
      <c r="T134" s="2" t="n"/>
      <c r="U134" s="2" t="n"/>
      <c r="V134" s="2" t="n"/>
      <c r="W134" s="2" t="n"/>
      <c r="X134" s="2" t="n"/>
      <c r="Y134" s="2" t="n"/>
      <c r="Z134" s="2" t="n"/>
      <c r="AA134" s="2"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S10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10" customWidth="1" min="3" max="3"/>
    <col width="14" customWidth="1" min="4" max="4"/>
    <col width="34" customWidth="1" min="5" max="5"/>
    <col width="8" customWidth="1" min="6" max="6"/>
    <col width="16" customWidth="1" min="7" max="7"/>
    <col width="9"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26"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26" customWidth="1" min="31" max="31"/>
    <col width="7" customWidth="1" min="32" max="32"/>
    <col width="7" customWidth="1" min="33" max="33"/>
    <col width="7" customWidth="1" min="34" max="34"/>
    <col width="7" customWidth="1" min="35" max="35"/>
    <col width="7" customWidth="1" min="36" max="36"/>
    <col width="110" customWidth="1" min="37" max="37"/>
    <col width="9" customWidth="1" min="38" max="38"/>
    <col width="10" customWidth="1" min="39" max="39"/>
    <col width="14" customWidth="1" min="40" max="40"/>
    <col width="10" customWidth="1" min="41" max="41"/>
    <col width="10" customWidth="1" min="42" max="42"/>
    <col width="10" customWidth="1" min="43" max="43"/>
    <col width="9" customWidth="1" min="44" max="44"/>
    <col width="20" customWidth="1" min="45" max="45"/>
  </cols>
  <sheetData>
    <row r="1">
      <c r="A1" s="1" t="inlineStr">
        <is>
          <t>Accessory proposals: current vs proposed, scored against the new-accessory budget</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row>
    <row r="2">
      <c r="A2" s="42" t="inlineStr">
        <is>
          <t>Current = live game data after pass 1 (pulled 2026-09-29). Proposed = balancing pass 2 (yellow where changed). Target = slot budget at the item level x source multiplier. Green 85-115% of target, red under 85%, orange over 115%. Proposed cells are blue: edit them and the % updates.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row>
    <row r="3">
      <c r="A3" s="40" t="inlineStr">
        <is>
          <t>Item</t>
        </is>
      </c>
      <c r="I3" s="40" t="inlineStr">
        <is>
          <t>Current (game data)</t>
        </is>
      </c>
      <c r="W3" s="40" t="inlineStr">
        <is>
          <t>Proposed</t>
        </is>
      </c>
      <c r="AK3" s="40" t="inlineStr"/>
      <c r="AO3" s="40" t="inlineStr">
        <is>
          <t>Endgame (reference player, L40+ items)</t>
        </is>
      </c>
    </row>
    <row r="4" ht="45" customHeight="1">
      <c r="A4" s="7" t="inlineStr">
        <is>
          <t>ID</t>
        </is>
      </c>
      <c r="B4" s="7" t="inlineStr">
        <is>
          <t>Item</t>
        </is>
      </c>
      <c r="C4" s="7" t="inlineStr">
        <is>
          <t>Slot</t>
        </is>
      </c>
      <c r="D4" s="7" t="inlineStr">
        <is>
          <t>Classes</t>
        </is>
      </c>
      <c r="E4" s="7" t="inlineStr">
        <is>
          <t>Source</t>
        </is>
      </c>
      <c r="F4" s="7" t="inlineStr">
        <is>
          <t>Status</t>
        </is>
      </c>
      <c r="G4" s="7" t="inlineStr">
        <is>
          <t>Source tier</t>
        </is>
      </c>
      <c r="H4" s="7" t="inlineStr">
        <is>
          <t>Multiplier</t>
        </is>
      </c>
      <c r="I4" s="7" t="inlineStr">
        <is>
          <t>Level</t>
        </is>
      </c>
      <c r="J4" s="7" t="inlineStr">
        <is>
          <t>HP</t>
        </is>
      </c>
      <c r="K4" s="7" t="inlineStr">
        <is>
          <t>MP</t>
        </is>
      </c>
      <c r="L4" s="7" t="inlineStr">
        <is>
          <t>AC</t>
        </is>
      </c>
      <c r="M4" s="7" t="inlineStr">
        <is>
          <t>STR</t>
        </is>
      </c>
      <c r="N4" s="7" t="inlineStr">
        <is>
          <t>STA</t>
        </is>
      </c>
      <c r="O4" s="7" t="inlineStr">
        <is>
          <t>DEX</t>
        </is>
      </c>
      <c r="P4" s="7" t="inlineStr">
        <is>
          <t>INT</t>
        </is>
      </c>
      <c r="Q4" s="7" t="inlineStr">
        <is>
          <t>Effect</t>
        </is>
      </c>
      <c r="R4" s="7" t="inlineStr">
        <is>
          <t>Melee pts</t>
        </is>
      </c>
      <c r="S4" s="7" t="inlineStr">
        <is>
          <t>Caster pts</t>
        </is>
      </c>
      <c r="T4" s="7" t="inlineStr">
        <is>
          <t>Budget</t>
        </is>
      </c>
      <c r="U4" s="7" t="inlineStr">
        <is>
          <t>Target</t>
        </is>
      </c>
      <c r="V4" s="7" t="inlineStr">
        <is>
          <t>% of target</t>
        </is>
      </c>
      <c r="W4" s="7" t="inlineStr">
        <is>
          <t>Level</t>
        </is>
      </c>
      <c r="X4" s="7" t="inlineStr">
        <is>
          <t>HP</t>
        </is>
      </c>
      <c r="Y4" s="7" t="inlineStr">
        <is>
          <t>MP</t>
        </is>
      </c>
      <c r="Z4" s="7" t="inlineStr">
        <is>
          <t>AC</t>
        </is>
      </c>
      <c r="AA4" s="7" t="inlineStr">
        <is>
          <t>STR</t>
        </is>
      </c>
      <c r="AB4" s="7" t="inlineStr">
        <is>
          <t>STA</t>
        </is>
      </c>
      <c r="AC4" s="7" t="inlineStr">
        <is>
          <t>DEX</t>
        </is>
      </c>
      <c r="AD4" s="7" t="inlineStr">
        <is>
          <t>INT</t>
        </is>
      </c>
      <c r="AE4" s="7" t="inlineStr">
        <is>
          <t>Effect</t>
        </is>
      </c>
      <c r="AF4" s="7" t="inlineStr">
        <is>
          <t>Melee pts</t>
        </is>
      </c>
      <c r="AG4" s="7" t="inlineStr">
        <is>
          <t>Caster pts</t>
        </is>
      </c>
      <c r="AH4" s="7" t="inlineStr">
        <is>
          <t>Budget</t>
        </is>
      </c>
      <c r="AI4" s="7" t="inlineStr">
        <is>
          <t>Target</t>
        </is>
      </c>
      <c r="AJ4" s="7" t="inlineStr">
        <is>
          <t>% of target</t>
        </is>
      </c>
      <c r="AK4" s="7" t="inlineStr">
        <is>
          <t>Notes</t>
        </is>
      </c>
      <c r="AL4" s="7" t="inlineStr">
        <is>
          <t>DR now</t>
        </is>
      </c>
      <c r="AM4" s="7" t="inlineStr">
        <is>
          <t>DR proposed</t>
        </is>
      </c>
      <c r="AN4" s="7" t="inlineStr">
        <is>
          <t>XP required</t>
        </is>
      </c>
      <c r="AO4" s="7" t="inlineStr">
        <is>
          <t>Endgame pts now</t>
        </is>
      </c>
      <c r="AP4" s="7" t="inlineStr">
        <is>
          <t>Endgame pts proposed</t>
        </is>
      </c>
      <c r="AQ4" s="7" t="inlineStr">
        <is>
          <t>Best lower-XP item in slot</t>
        </is>
      </c>
      <c r="AR4" s="7" t="inlineStr">
        <is>
          <t>Best of this XP tier vs it</t>
        </is>
      </c>
      <c r="AS4" s="7" t="inlineStr">
        <is>
          <t>XP tier check</t>
        </is>
      </c>
    </row>
    <row r="5">
      <c r="A5" s="21" t="n">
        <v>358</v>
      </c>
      <c r="B5" s="21" t="inlineStr">
        <is>
          <t>Crude Gold Ring</t>
        </is>
      </c>
      <c r="C5" s="21" t="inlineStr">
        <is>
          <t>Ring</t>
        </is>
      </c>
      <c r="D5" s="21" t="inlineStr">
        <is>
          <t>All</t>
        </is>
      </c>
      <c r="E5" s="21" t="inlineStr">
        <is>
          <t>craft:Crude Gold Ring</t>
        </is>
      </c>
      <c r="F5" s="3" t="inlineStr">
        <is>
          <t>Buff</t>
        </is>
      </c>
      <c r="G5" s="21" t="inlineStr">
        <is>
          <t>Crafted</t>
        </is>
      </c>
      <c r="H5" s="31">
        <f>INDEX('Item Budget'!$F$5:$F$13,MATCH(G5,'Item Budget'!$E$5:$E$13,0))+IF(D5="All",0,'Item Budget'!$F$15)+LOOKUP(AN5,'Item Budget'!$E$19:$E$23,'Item Budget'!$F$19:$F$23)</f>
        <v/>
      </c>
      <c r="I5" s="21" t="n">
        <v>1</v>
      </c>
      <c r="J5" s="21" t="n">
        <v>15</v>
      </c>
      <c r="K5" s="21" t="n">
        <v>15</v>
      </c>
      <c r="L5" s="21" t="n">
        <v>5</v>
      </c>
      <c r="M5" s="21" t="n">
        <v>1</v>
      </c>
      <c r="N5" s="21" t="n">
        <v>1</v>
      </c>
      <c r="O5" s="21" t="n">
        <v>1</v>
      </c>
      <c r="P5" s="21" t="n">
        <v>1</v>
      </c>
      <c r="Q5" s="21" t="inlineStr">
        <is>
          <t>(none)</t>
        </is>
      </c>
      <c r="R5" s="61">
        <f>J5*'Item Budget'!$B$5+N5*'Item Budget'!$B$7+L5*'Item Budget'!$B$11+O5*'Item Budget'!$B$10+M5*'Item Budget'!$B$9+IFERROR(INDEX('Item Budget'!$M$25:$M$95,MATCH(Q5,'Item Budget'!$B$25:$B$95,0)),0)</f>
        <v/>
      </c>
      <c r="S5" s="61">
        <f>J5*'Item Budget'!$B$5+N5*'Item Budget'!$B$7+L5*'Item Budget'!$B$11+O5*'Item Budget'!$B$10+K5*'Item Budget'!$B$6+P5*'Item Budget'!$B$8+IFERROR(INDEX('Item Budget'!$N$25:$N$95,MATCH(Q5,'Item Budget'!$B$25:$B$95,0)),0)</f>
        <v/>
      </c>
      <c r="T5" s="61">
        <f>MAX('Item Budget'!$F$16,INDEX('Item Budget'!$J$5:$J$10,MATCH($C5,'Item Budget'!$I$5:$I$10,0))+INDEX('Item Budget'!$K$5:$K$10,MATCH($C5,'Item Budget'!$I$5:$I$10,0))*MIN(I5,50))</f>
        <v/>
      </c>
      <c r="U5" s="61">
        <f>T5*$H5</f>
        <v/>
      </c>
      <c r="V5" s="41">
        <f>MAX(R5,S5)/U5</f>
        <v/>
      </c>
      <c r="W5" s="21" t="n">
        <v>1</v>
      </c>
      <c r="X5" s="21" t="n">
        <v>15</v>
      </c>
      <c r="Y5" s="21" t="n">
        <v>15</v>
      </c>
      <c r="Z5" s="21" t="n">
        <v>5</v>
      </c>
      <c r="AA5" s="21" t="n">
        <v>1</v>
      </c>
      <c r="AB5" s="21" t="n">
        <v>1</v>
      </c>
      <c r="AC5" s="21" t="n">
        <v>1</v>
      </c>
      <c r="AD5" s="21" t="n">
        <v>1</v>
      </c>
      <c r="AE5" s="21" t="inlineStr">
        <is>
          <t>(none)</t>
        </is>
      </c>
      <c r="AF5" s="61">
        <f>X5*'Item Budget'!$B$5+AB5*'Item Budget'!$B$7+Z5*'Item Budget'!$B$11+AC5*'Item Budget'!$B$10+AA5*'Item Budget'!$B$9+IFERROR(INDEX('Item Budget'!$M$25:$M$95,MATCH(AE5,'Item Budget'!$B$25:$B$95,0)),0)</f>
        <v/>
      </c>
      <c r="AG5" s="61">
        <f>X5*'Item Budget'!$B$5+AB5*'Item Budget'!$B$7+Z5*'Item Budget'!$B$11+AC5*'Item Budget'!$B$10+Y5*'Item Budget'!$B$6+AD5*'Item Budget'!$B$8+IFERROR(INDEX('Item Budget'!$N$25:$N$95,MATCH(AE5,'Item Budget'!$B$25:$B$95,0)),0)</f>
        <v/>
      </c>
      <c r="AH5" s="61">
        <f>MAX('Item Budget'!$F$16,INDEX('Item Budget'!$J$5:$J$10,MATCH($C5,'Item Budget'!$I$5:$I$10,0))+INDEX('Item Budget'!$K$5:$K$10,MATCH($C5,'Item Budget'!$I$5:$I$10,0))*MIN(W5,50))</f>
        <v/>
      </c>
      <c r="AI5" s="61">
        <f>AH5*$H5</f>
        <v/>
      </c>
      <c r="AJ5" s="41">
        <f>MAX(AF5,AG5)/AI5</f>
        <v/>
      </c>
      <c r="AK5" s="64" t="inlineStr">
        <is>
          <t>Pass 1 (applied): Tiny starter craft; now worth a slot for a few levels.</t>
        </is>
      </c>
      <c r="AL5" s="43">
        <f>IFERROR(INDEX('Item Budget'!$H$25:$H$95,MATCH(Q5,'Item Budget'!$B$25:$B$95,0)),0)</f>
        <v/>
      </c>
      <c r="AM5" s="43">
        <f>IFERROR(INDEX('Item Budget'!$H$25:$H$95,MATCH(AE5,'Item Budget'!$B$25:$B$95,0)),0)</f>
        <v/>
      </c>
      <c r="AN5" s="37" t="n">
        <v>0</v>
      </c>
      <c r="AO5" s="44">
        <f>IF(I5&lt;'Item Budget'!$R$10,0,'Item Budget'!$R$7*100*MAX(('Item Budget'!$R$14*(J5+25*N5)+'Item Budget'!$S$14*(K5+25*P5))/'Item Budget'!$Z$14,('Item Budget'!$R$15*(J5+25*N5)+'Item Budget'!$S$15*(K5+25*P5))/'Item Budget'!$Z$15,('Item Budget'!$R$16*(J5+25*N5)+'Item Budget'!$S$16*(K5+25*P5))/'Item Budget'!$Z$16,('Item Budget'!$R$17*(J5+25*N5)+'Item Budget'!$S$17*(K5+25*P5))/'Item Budget'!$Z$17)+'Item Budget'!$R$9*L5+IFERROR(INDEX('Item Budget'!$O$25:$O$95,MATCH(Q5,'Item Budget'!$B$25:$B$95,0)),0))</f>
        <v/>
      </c>
      <c r="AP5" s="44">
        <f>IF(W5&lt;'Item Budget'!$R$10,0,'Item Budget'!$R$7*100*MAX(('Item Budget'!$R$14*(X5+25*AB5)+'Item Budget'!$S$14*(Y5+25*AD5))/'Item Budget'!$Z$14,('Item Budget'!$R$15*(X5+25*AB5)+'Item Budget'!$S$15*(Y5+25*AD5))/'Item Budget'!$Z$15,('Item Budget'!$R$16*(X5+25*AB5)+'Item Budget'!$S$16*(Y5+25*AD5))/'Item Budget'!$Z$16,('Item Budget'!$R$17*(X5+25*AB5)+'Item Budget'!$S$17*(Y5+25*AD5))/'Item Budget'!$Z$17)+'Item Budget'!$R$9*Z5+IFERROR(INDEX('Item Budget'!$O$25:$O$95,MATCH(AE5,'Item Budget'!$B$25:$B$95,0)),0))</f>
        <v/>
      </c>
      <c r="AQ5" s="61">
        <f>IF(OR(AN5=0,AP5=0),"",SUMPRODUCT(MAX(($C$5:$C$88=C5)*($AN$5:$AN$88&lt;AN5)*$AP$5:$AP$88)))</f>
        <v/>
      </c>
      <c r="AR5" s="41">
        <f>IF(AQ5="","",IF(AQ5=0,1,SUMPRODUCT(MAX(($C$5:$C$88=C5)*($AN$5:$AN$88=AN5)*$AP$5:$AP$88))/AQ5-1))</f>
        <v/>
      </c>
      <c r="AS5" s="19">
        <f>IF(AR5="","",IF(AR5&gt;='Item Budget'!$R$11,"OK","Not above lower tier"))</f>
        <v/>
      </c>
    </row>
    <row r="6">
      <c r="A6" s="45" t="n">
        <v>667</v>
      </c>
      <c r="B6" s="45" t="inlineStr">
        <is>
          <t>Copper Band</t>
        </is>
      </c>
      <c r="C6" s="45" t="inlineStr">
        <is>
          <t>Ring</t>
        </is>
      </c>
      <c r="D6" s="45" t="inlineStr">
        <is>
          <t>All</t>
        </is>
      </c>
      <c r="E6" s="45" t="inlineStr">
        <is>
          <t>drop:Cottontail(L9) 15%</t>
        </is>
      </c>
      <c r="F6" s="46" t="inlineStr">
        <is>
          <t>Anchor</t>
        </is>
      </c>
      <c r="G6" s="45" t="inlineStr">
        <is>
          <t>Common drop</t>
        </is>
      </c>
      <c r="H6" s="47">
        <f>INDEX('Item Budget'!$F$5:$F$13,MATCH(G6,'Item Budget'!$E$5:$E$13,0))+IF(D6="All",0,'Item Budget'!$F$15)+LOOKUP(AN6,'Item Budget'!$E$19:$E$23,'Item Budget'!$F$19:$F$23)</f>
        <v/>
      </c>
      <c r="I6" s="45" t="n">
        <v>5</v>
      </c>
      <c r="J6" s="45" t="n">
        <v>25</v>
      </c>
      <c r="K6" s="45" t="n">
        <v>15</v>
      </c>
      <c r="L6" s="45" t="n">
        <v>4</v>
      </c>
      <c r="M6" s="45" t="n">
        <v>2</v>
      </c>
      <c r="N6" s="45" t="n">
        <v>0</v>
      </c>
      <c r="O6" s="45" t="n">
        <v>2</v>
      </c>
      <c r="P6" s="45" t="n">
        <v>0</v>
      </c>
      <c r="Q6" s="45" t="inlineStr">
        <is>
          <t>(none)</t>
        </is>
      </c>
      <c r="R6" s="65">
        <f>J6*'Item Budget'!$B$5+N6*'Item Budget'!$B$7+L6*'Item Budget'!$B$11+O6*'Item Budget'!$B$10+M6*'Item Budget'!$B$9+IFERROR(INDEX('Item Budget'!$M$25:$M$95,MATCH(Q6,'Item Budget'!$B$25:$B$95,0)),0)</f>
        <v/>
      </c>
      <c r="S6" s="65">
        <f>J6*'Item Budget'!$B$5+N6*'Item Budget'!$B$7+L6*'Item Budget'!$B$11+O6*'Item Budget'!$B$10+K6*'Item Budget'!$B$6+P6*'Item Budget'!$B$8+IFERROR(INDEX('Item Budget'!$N$25:$N$95,MATCH(Q6,'Item Budget'!$B$25:$B$95,0)),0)</f>
        <v/>
      </c>
      <c r="T6" s="65">
        <f>MAX('Item Budget'!$F$16,INDEX('Item Budget'!$J$5:$J$10,MATCH($C6,'Item Budget'!$I$5:$I$10,0))+INDEX('Item Budget'!$K$5:$K$10,MATCH($C6,'Item Budget'!$I$5:$I$10,0))*MIN(I6,50))</f>
        <v/>
      </c>
      <c r="U6" s="65">
        <f>T6*$H6</f>
        <v/>
      </c>
      <c r="V6" s="49">
        <f>MAX(R6,S6)/U6</f>
        <v/>
      </c>
      <c r="W6" s="21" t="n">
        <v>5</v>
      </c>
      <c r="X6" s="21" t="n">
        <v>25</v>
      </c>
      <c r="Y6" s="21" t="n">
        <v>15</v>
      </c>
      <c r="Z6" s="21" t="n">
        <v>4</v>
      </c>
      <c r="AA6" s="21" t="n">
        <v>2</v>
      </c>
      <c r="AB6" s="21" t="n">
        <v>0</v>
      </c>
      <c r="AC6" s="21" t="n">
        <v>2</v>
      </c>
      <c r="AD6" s="21" t="n">
        <v>0</v>
      </c>
      <c r="AE6" s="21" t="inlineStr">
        <is>
          <t>(none)</t>
        </is>
      </c>
      <c r="AF6" s="65">
        <f>X6*'Item Budget'!$B$5+AB6*'Item Budget'!$B$7+Z6*'Item Budget'!$B$11+AC6*'Item Budget'!$B$10+AA6*'Item Budget'!$B$9+IFERROR(INDEX('Item Budget'!$M$25:$M$95,MATCH(AE6,'Item Budget'!$B$25:$B$95,0)),0)</f>
        <v/>
      </c>
      <c r="AG6" s="65">
        <f>X6*'Item Budget'!$B$5+AB6*'Item Budget'!$B$7+Z6*'Item Budget'!$B$11+AC6*'Item Budget'!$B$10+Y6*'Item Budget'!$B$6+AD6*'Item Budget'!$B$8+IFERROR(INDEX('Item Budget'!$N$25:$N$95,MATCH(AE6,'Item Budget'!$B$25:$B$95,0)),0)</f>
        <v/>
      </c>
      <c r="AH6" s="65">
        <f>MAX('Item Budget'!$F$16,INDEX('Item Budget'!$J$5:$J$10,MATCH($C6,'Item Budget'!$I$5:$I$10,0))+INDEX('Item Budget'!$K$5:$K$10,MATCH($C6,'Item Budget'!$I$5:$I$10,0))*MIN(W6,50))</f>
        <v/>
      </c>
      <c r="AI6" s="65">
        <f>AH6*$H6</f>
        <v/>
      </c>
      <c r="AJ6" s="49">
        <f>MAX(AF6,AG6)/AI6</f>
        <v/>
      </c>
      <c r="AK6" s="64" t="inlineStr">
        <is>
          <t>Pass 1 (applied): New accessory (anchor). Unchanged.</t>
        </is>
      </c>
      <c r="AL6" s="43">
        <f>IFERROR(INDEX('Item Budget'!$H$25:$H$95,MATCH(Q6,'Item Budget'!$B$25:$B$95,0)),0)</f>
        <v/>
      </c>
      <c r="AM6" s="43">
        <f>IFERROR(INDEX('Item Budget'!$H$25:$H$95,MATCH(AE6,'Item Budget'!$B$25:$B$95,0)),0)</f>
        <v/>
      </c>
      <c r="AN6" s="37" t="n">
        <v>0</v>
      </c>
      <c r="AO6" s="44">
        <f>IF(I6&lt;'Item Budget'!$R$10,0,'Item Budget'!$R$7*100*MAX(('Item Budget'!$R$14*(J6+25*N6)+'Item Budget'!$S$14*(K6+25*P6))/'Item Budget'!$Z$14,('Item Budget'!$R$15*(J6+25*N6)+'Item Budget'!$S$15*(K6+25*P6))/'Item Budget'!$Z$15,('Item Budget'!$R$16*(J6+25*N6)+'Item Budget'!$S$16*(K6+25*P6))/'Item Budget'!$Z$16,('Item Budget'!$R$17*(J6+25*N6)+'Item Budget'!$S$17*(K6+25*P6))/'Item Budget'!$Z$17)+'Item Budget'!$R$9*L6+IFERROR(INDEX('Item Budget'!$O$25:$O$95,MATCH(Q6,'Item Budget'!$B$25:$B$95,0)),0))</f>
        <v/>
      </c>
      <c r="AP6" s="44">
        <f>IF(W6&lt;'Item Budget'!$R$10,0,'Item Budget'!$R$7*100*MAX(('Item Budget'!$R$14*(X6+25*AB6)+'Item Budget'!$S$14*(Y6+25*AD6))/'Item Budget'!$Z$14,('Item Budget'!$R$15*(X6+25*AB6)+'Item Budget'!$S$15*(Y6+25*AD6))/'Item Budget'!$Z$15,('Item Budget'!$R$16*(X6+25*AB6)+'Item Budget'!$S$16*(Y6+25*AD6))/'Item Budget'!$Z$16,('Item Budget'!$R$17*(X6+25*AB6)+'Item Budget'!$S$17*(Y6+25*AD6))/'Item Budget'!$Z$17)+'Item Budget'!$R$9*Z6+IFERROR(INDEX('Item Budget'!$O$25:$O$95,MATCH(AE6,'Item Budget'!$B$25:$B$95,0)),0))</f>
        <v/>
      </c>
      <c r="AQ6" s="61">
        <f>IF(OR(AN6=0,AP6=0),"",SUMPRODUCT(MAX(($C$5:$C$88=C6)*($AN$5:$AN$88&lt;AN6)*$AP$5:$AP$88)))</f>
        <v/>
      </c>
      <c r="AR6" s="41">
        <f>IF(AQ6="","",IF(AQ6=0,1,SUMPRODUCT(MAX(($C$5:$C$88=C6)*($AN$5:$AN$88=AN6)*$AP$5:$AP$88))/AQ6-1))</f>
        <v/>
      </c>
      <c r="AS6" s="19">
        <f>IF(AR6="","",IF(AR6&gt;='Item Budget'!$R$11,"OK","Not above lower tier"))</f>
        <v/>
      </c>
    </row>
    <row r="7">
      <c r="A7" s="45" t="n">
        <v>672</v>
      </c>
      <c r="B7" s="45" t="inlineStr">
        <is>
          <t>Beaded Bracelet</t>
        </is>
      </c>
      <c r="C7" s="45" t="inlineStr">
        <is>
          <t>Ring</t>
        </is>
      </c>
      <c r="D7" s="45" t="inlineStr">
        <is>
          <t>All</t>
        </is>
      </c>
      <c r="E7" s="45" t="inlineStr">
        <is>
          <t>drop:The Big Cheese(L5) 15%</t>
        </is>
      </c>
      <c r="F7" s="46" t="inlineStr">
        <is>
          <t>Anchor</t>
        </is>
      </c>
      <c r="G7" s="45" t="inlineStr">
        <is>
          <t>Common drop</t>
        </is>
      </c>
      <c r="H7" s="47">
        <f>INDEX('Item Budget'!$F$5:$F$13,MATCH(G7,'Item Budget'!$E$5:$E$13,0))+IF(D7="All",0,'Item Budget'!$F$15)+LOOKUP(AN7,'Item Budget'!$E$19:$E$23,'Item Budget'!$F$19:$F$23)</f>
        <v/>
      </c>
      <c r="I7" s="45" t="n">
        <v>5</v>
      </c>
      <c r="J7" s="45" t="n">
        <v>15</v>
      </c>
      <c r="K7" s="45" t="n">
        <v>30</v>
      </c>
      <c r="L7" s="45" t="n">
        <v>4</v>
      </c>
      <c r="M7" s="45" t="n">
        <v>0</v>
      </c>
      <c r="N7" s="45" t="n">
        <v>1</v>
      </c>
      <c r="O7" s="45" t="n">
        <v>0</v>
      </c>
      <c r="P7" s="45" t="n">
        <v>2</v>
      </c>
      <c r="Q7" s="45" t="inlineStr">
        <is>
          <t>(none)</t>
        </is>
      </c>
      <c r="R7" s="65">
        <f>J7*'Item Budget'!$B$5+N7*'Item Budget'!$B$7+L7*'Item Budget'!$B$11+O7*'Item Budget'!$B$10+M7*'Item Budget'!$B$9+IFERROR(INDEX('Item Budget'!$M$25:$M$95,MATCH(Q7,'Item Budget'!$B$25:$B$95,0)),0)</f>
        <v/>
      </c>
      <c r="S7" s="65">
        <f>J7*'Item Budget'!$B$5+N7*'Item Budget'!$B$7+L7*'Item Budget'!$B$11+O7*'Item Budget'!$B$10+K7*'Item Budget'!$B$6+P7*'Item Budget'!$B$8+IFERROR(INDEX('Item Budget'!$N$25:$N$95,MATCH(Q7,'Item Budget'!$B$25:$B$95,0)),0)</f>
        <v/>
      </c>
      <c r="T7" s="65">
        <f>MAX('Item Budget'!$F$16,INDEX('Item Budget'!$J$5:$J$10,MATCH($C7,'Item Budget'!$I$5:$I$10,0))+INDEX('Item Budget'!$K$5:$K$10,MATCH($C7,'Item Budget'!$I$5:$I$10,0))*MIN(I7,50))</f>
        <v/>
      </c>
      <c r="U7" s="65">
        <f>T7*$H7</f>
        <v/>
      </c>
      <c r="V7" s="49">
        <f>MAX(R7,S7)/U7</f>
        <v/>
      </c>
      <c r="W7" s="21" t="n">
        <v>5</v>
      </c>
      <c r="X7" s="21" t="n">
        <v>15</v>
      </c>
      <c r="Y7" s="21" t="n">
        <v>30</v>
      </c>
      <c r="Z7" s="21" t="n">
        <v>4</v>
      </c>
      <c r="AA7" s="21" t="n">
        <v>0</v>
      </c>
      <c r="AB7" s="21" t="n">
        <v>1</v>
      </c>
      <c r="AC7" s="21" t="n">
        <v>0</v>
      </c>
      <c r="AD7" s="21" t="n">
        <v>2</v>
      </c>
      <c r="AE7" s="21" t="inlineStr">
        <is>
          <t>(none)</t>
        </is>
      </c>
      <c r="AF7" s="65">
        <f>X7*'Item Budget'!$B$5+AB7*'Item Budget'!$B$7+Z7*'Item Budget'!$B$11+AC7*'Item Budget'!$B$10+AA7*'Item Budget'!$B$9+IFERROR(INDEX('Item Budget'!$M$25:$M$95,MATCH(AE7,'Item Budget'!$B$25:$B$95,0)),0)</f>
        <v/>
      </c>
      <c r="AG7" s="65">
        <f>X7*'Item Budget'!$B$5+AB7*'Item Budget'!$B$7+Z7*'Item Budget'!$B$11+AC7*'Item Budget'!$B$10+Y7*'Item Budget'!$B$6+AD7*'Item Budget'!$B$8+IFERROR(INDEX('Item Budget'!$N$25:$N$95,MATCH(AE7,'Item Budget'!$B$25:$B$95,0)),0)</f>
        <v/>
      </c>
      <c r="AH7" s="65">
        <f>MAX('Item Budget'!$F$16,INDEX('Item Budget'!$J$5:$J$10,MATCH($C7,'Item Budget'!$I$5:$I$10,0))+INDEX('Item Budget'!$K$5:$K$10,MATCH($C7,'Item Budget'!$I$5:$I$10,0))*MIN(W7,50))</f>
        <v/>
      </c>
      <c r="AI7" s="65">
        <f>AH7*$H7</f>
        <v/>
      </c>
      <c r="AJ7" s="49">
        <f>MAX(AF7,AG7)/AI7</f>
        <v/>
      </c>
      <c r="AK7" s="64" t="inlineStr">
        <is>
          <t>Pass 1 (applied): New accessory (anchor). Unchanged.</t>
        </is>
      </c>
      <c r="AL7" s="43">
        <f>IFERROR(INDEX('Item Budget'!$H$25:$H$95,MATCH(Q7,'Item Budget'!$B$25:$B$95,0)),0)</f>
        <v/>
      </c>
      <c r="AM7" s="43">
        <f>IFERROR(INDEX('Item Budget'!$H$25:$H$95,MATCH(AE7,'Item Budget'!$B$25:$B$95,0)),0)</f>
        <v/>
      </c>
      <c r="AN7" s="37" t="n">
        <v>0</v>
      </c>
      <c r="AO7" s="44">
        <f>IF(I7&lt;'Item Budget'!$R$10,0,'Item Budget'!$R$7*100*MAX(('Item Budget'!$R$14*(J7+25*N7)+'Item Budget'!$S$14*(K7+25*P7))/'Item Budget'!$Z$14,('Item Budget'!$R$15*(J7+25*N7)+'Item Budget'!$S$15*(K7+25*P7))/'Item Budget'!$Z$15,('Item Budget'!$R$16*(J7+25*N7)+'Item Budget'!$S$16*(K7+25*P7))/'Item Budget'!$Z$16,('Item Budget'!$R$17*(J7+25*N7)+'Item Budget'!$S$17*(K7+25*P7))/'Item Budget'!$Z$17)+'Item Budget'!$R$9*L7+IFERROR(INDEX('Item Budget'!$O$25:$O$95,MATCH(Q7,'Item Budget'!$B$25:$B$95,0)),0))</f>
        <v/>
      </c>
      <c r="AP7" s="44">
        <f>IF(W7&lt;'Item Budget'!$R$10,0,'Item Budget'!$R$7*100*MAX(('Item Budget'!$R$14*(X7+25*AB7)+'Item Budget'!$S$14*(Y7+25*AD7))/'Item Budget'!$Z$14,('Item Budget'!$R$15*(X7+25*AB7)+'Item Budget'!$S$15*(Y7+25*AD7))/'Item Budget'!$Z$15,('Item Budget'!$R$16*(X7+25*AB7)+'Item Budget'!$S$16*(Y7+25*AD7))/'Item Budget'!$Z$16,('Item Budget'!$R$17*(X7+25*AB7)+'Item Budget'!$S$17*(Y7+25*AD7))/'Item Budget'!$Z$17)+'Item Budget'!$R$9*Z7+IFERROR(INDEX('Item Budget'!$O$25:$O$95,MATCH(AE7,'Item Budget'!$B$25:$B$95,0)),0))</f>
        <v/>
      </c>
      <c r="AQ7" s="61">
        <f>IF(OR(AN7=0,AP7=0),"",SUMPRODUCT(MAX(($C$5:$C$88=C7)*($AN$5:$AN$88&lt;AN7)*$AP$5:$AP$88)))</f>
        <v/>
      </c>
      <c r="AR7" s="41">
        <f>IF(AQ7="","",IF(AQ7=0,1,SUMPRODUCT(MAX(($C$5:$C$88=C7)*($AN$5:$AN$88=AN7)*$AP$5:$AP$88))/AQ7-1))</f>
        <v/>
      </c>
      <c r="AS7" s="19">
        <f>IF(AR7="","",IF(AR7&gt;='Item Budget'!$R$11,"OK","Not above lower tier"))</f>
        <v/>
      </c>
    </row>
    <row r="8">
      <c r="A8" s="21" t="n">
        <v>357</v>
      </c>
      <c r="B8" s="21" t="inlineStr">
        <is>
          <t>Crude Pearl Ring</t>
        </is>
      </c>
      <c r="C8" s="21" t="inlineStr">
        <is>
          <t>Ring</t>
        </is>
      </c>
      <c r="D8" s="21" t="inlineStr">
        <is>
          <t>All</t>
        </is>
      </c>
      <c r="E8" s="21" t="inlineStr">
        <is>
          <t>craft:Crude Pearl Ring</t>
        </is>
      </c>
      <c r="F8" s="3" t="inlineStr">
        <is>
          <t>Buff</t>
        </is>
      </c>
      <c r="G8" s="21" t="inlineStr">
        <is>
          <t>Crafted</t>
        </is>
      </c>
      <c r="H8" s="31">
        <f>INDEX('Item Budget'!$F$5:$F$13,MATCH(G8,'Item Budget'!$E$5:$E$13,0))+IF(D8="All",0,'Item Budget'!$F$15)+LOOKUP(AN8,'Item Budget'!$E$19:$E$23,'Item Budget'!$F$19:$F$23)</f>
        <v/>
      </c>
      <c r="I8" s="21" t="n">
        <v>10</v>
      </c>
      <c r="J8" s="21" t="n">
        <v>30</v>
      </c>
      <c r="K8" s="21" t="n">
        <v>50</v>
      </c>
      <c r="L8" s="21" t="n">
        <v>12</v>
      </c>
      <c r="M8" s="21" t="n">
        <v>0</v>
      </c>
      <c r="N8" s="21" t="n">
        <v>4</v>
      </c>
      <c r="O8" s="21" t="n">
        <v>2</v>
      </c>
      <c r="P8" s="21" t="n">
        <v>6</v>
      </c>
      <c r="Q8" s="21" t="inlineStr">
        <is>
          <t>(none)</t>
        </is>
      </c>
      <c r="R8" s="61">
        <f>J8*'Item Budget'!$B$5+N8*'Item Budget'!$B$7+L8*'Item Budget'!$B$11+O8*'Item Budget'!$B$10+M8*'Item Budget'!$B$9+IFERROR(INDEX('Item Budget'!$M$25:$M$95,MATCH(Q8,'Item Budget'!$B$25:$B$95,0)),0)</f>
        <v/>
      </c>
      <c r="S8" s="61">
        <f>J8*'Item Budget'!$B$5+N8*'Item Budget'!$B$7+L8*'Item Budget'!$B$11+O8*'Item Budget'!$B$10+K8*'Item Budget'!$B$6+P8*'Item Budget'!$B$8+IFERROR(INDEX('Item Budget'!$N$25:$N$95,MATCH(Q8,'Item Budget'!$B$25:$B$95,0)),0)</f>
        <v/>
      </c>
      <c r="T8" s="61">
        <f>MAX('Item Budget'!$F$16,INDEX('Item Budget'!$J$5:$J$10,MATCH($C8,'Item Budget'!$I$5:$I$10,0))+INDEX('Item Budget'!$K$5:$K$10,MATCH($C8,'Item Budget'!$I$5:$I$10,0))*MIN(I8,50))</f>
        <v/>
      </c>
      <c r="U8" s="61">
        <f>T8*$H8</f>
        <v/>
      </c>
      <c r="V8" s="41">
        <f>MAX(R8,S8)/U8</f>
        <v/>
      </c>
      <c r="W8" s="21" t="n">
        <v>10</v>
      </c>
      <c r="X8" s="21" t="n">
        <v>30</v>
      </c>
      <c r="Y8" s="21" t="n">
        <v>50</v>
      </c>
      <c r="Z8" s="21" t="n">
        <v>12</v>
      </c>
      <c r="AA8" s="21" t="n">
        <v>0</v>
      </c>
      <c r="AB8" s="21" t="n">
        <v>4</v>
      </c>
      <c r="AC8" s="21" t="n">
        <v>2</v>
      </c>
      <c r="AD8" s="21" t="n">
        <v>6</v>
      </c>
      <c r="AE8" s="21" t="inlineStr">
        <is>
          <t>(none)</t>
        </is>
      </c>
      <c r="AF8" s="61">
        <f>X8*'Item Budget'!$B$5+AB8*'Item Budget'!$B$7+Z8*'Item Budget'!$B$11+AC8*'Item Budget'!$B$10+AA8*'Item Budget'!$B$9+IFERROR(INDEX('Item Budget'!$M$25:$M$95,MATCH(AE8,'Item Budget'!$B$25:$B$95,0)),0)</f>
        <v/>
      </c>
      <c r="AG8" s="61">
        <f>X8*'Item Budget'!$B$5+AB8*'Item Budget'!$B$7+Z8*'Item Budget'!$B$11+AC8*'Item Budget'!$B$10+Y8*'Item Budget'!$B$6+AD8*'Item Budget'!$B$8+IFERROR(INDEX('Item Budget'!$N$25:$N$95,MATCH(AE8,'Item Budget'!$B$25:$B$95,0)),0)</f>
        <v/>
      </c>
      <c r="AH8" s="61">
        <f>MAX('Item Budget'!$F$16,INDEX('Item Budget'!$J$5:$J$10,MATCH($C8,'Item Budget'!$I$5:$I$10,0))+INDEX('Item Budget'!$K$5:$K$10,MATCH($C8,'Item Budget'!$I$5:$I$10,0))*MIN(W8,50))</f>
        <v/>
      </c>
      <c r="AI8" s="61">
        <f>AH8*$H8</f>
        <v/>
      </c>
      <c r="AJ8" s="41">
        <f>MAX(AF8,AG8)/AI8</f>
        <v/>
      </c>
      <c r="AK8" s="64" t="inlineStr">
        <is>
          <t>Pass 1 (applied): Pearl and Ruby were identical. Pearl becomes the caster ring...</t>
        </is>
      </c>
      <c r="AL8" s="43">
        <f>IFERROR(INDEX('Item Budget'!$H$25:$H$95,MATCH(Q8,'Item Budget'!$B$25:$B$95,0)),0)</f>
        <v/>
      </c>
      <c r="AM8" s="43">
        <f>IFERROR(INDEX('Item Budget'!$H$25:$H$95,MATCH(AE8,'Item Budget'!$B$25:$B$95,0)),0)</f>
        <v/>
      </c>
      <c r="AN8" s="37" t="n">
        <v>0</v>
      </c>
      <c r="AO8" s="44">
        <f>IF(I8&lt;'Item Budget'!$R$10,0,'Item Budget'!$R$7*100*MAX(('Item Budget'!$R$14*(J8+25*N8)+'Item Budget'!$S$14*(K8+25*P8))/'Item Budget'!$Z$14,('Item Budget'!$R$15*(J8+25*N8)+'Item Budget'!$S$15*(K8+25*P8))/'Item Budget'!$Z$15,('Item Budget'!$R$16*(J8+25*N8)+'Item Budget'!$S$16*(K8+25*P8))/'Item Budget'!$Z$16,('Item Budget'!$R$17*(J8+25*N8)+'Item Budget'!$S$17*(K8+25*P8))/'Item Budget'!$Z$17)+'Item Budget'!$R$9*L8+IFERROR(INDEX('Item Budget'!$O$25:$O$95,MATCH(Q8,'Item Budget'!$B$25:$B$95,0)),0))</f>
        <v/>
      </c>
      <c r="AP8" s="44">
        <f>IF(W8&lt;'Item Budget'!$R$10,0,'Item Budget'!$R$7*100*MAX(('Item Budget'!$R$14*(X8+25*AB8)+'Item Budget'!$S$14*(Y8+25*AD8))/'Item Budget'!$Z$14,('Item Budget'!$R$15*(X8+25*AB8)+'Item Budget'!$S$15*(Y8+25*AD8))/'Item Budget'!$Z$15,('Item Budget'!$R$16*(X8+25*AB8)+'Item Budget'!$S$16*(Y8+25*AD8))/'Item Budget'!$Z$16,('Item Budget'!$R$17*(X8+25*AB8)+'Item Budget'!$S$17*(Y8+25*AD8))/'Item Budget'!$Z$17)+'Item Budget'!$R$9*Z8+IFERROR(INDEX('Item Budget'!$O$25:$O$95,MATCH(AE8,'Item Budget'!$B$25:$B$95,0)),0))</f>
        <v/>
      </c>
      <c r="AQ8" s="61">
        <f>IF(OR(AN8=0,AP8=0),"",SUMPRODUCT(MAX(($C$5:$C$88=C8)*($AN$5:$AN$88&lt;AN8)*$AP$5:$AP$88)))</f>
        <v/>
      </c>
      <c r="AR8" s="41">
        <f>IF(AQ8="","",IF(AQ8=0,1,SUMPRODUCT(MAX(($C$5:$C$88=C8)*($AN$5:$AN$88=AN8)*$AP$5:$AP$88))/AQ8-1))</f>
        <v/>
      </c>
      <c r="AS8" s="19">
        <f>IF(AR8="","",IF(AR8&gt;='Item Budget'!$R$11,"OK","Not above lower tier"))</f>
        <v/>
      </c>
    </row>
    <row r="9">
      <c r="A9" s="21" t="n">
        <v>359</v>
      </c>
      <c r="B9" s="21" t="inlineStr">
        <is>
          <t>Crude Ruby Ring</t>
        </is>
      </c>
      <c r="C9" s="21" t="inlineStr">
        <is>
          <t>Ring</t>
        </is>
      </c>
      <c r="D9" s="21" t="inlineStr">
        <is>
          <t>All</t>
        </is>
      </c>
      <c r="E9" s="21" t="inlineStr">
        <is>
          <t>craft:Crude Ruby Ring</t>
        </is>
      </c>
      <c r="F9" s="3" t="inlineStr">
        <is>
          <t>Buff</t>
        </is>
      </c>
      <c r="G9" s="21" t="inlineStr">
        <is>
          <t>Crafted</t>
        </is>
      </c>
      <c r="H9" s="31">
        <f>INDEX('Item Budget'!$F$5:$F$13,MATCH(G9,'Item Budget'!$E$5:$E$13,0))+IF(D9="All",0,'Item Budget'!$F$15)+LOOKUP(AN9,'Item Budget'!$E$19:$E$23,'Item Budget'!$F$19:$F$23)</f>
        <v/>
      </c>
      <c r="I9" s="21" t="n">
        <v>10</v>
      </c>
      <c r="J9" s="21" t="n">
        <v>50</v>
      </c>
      <c r="K9" s="21" t="n">
        <v>20</v>
      </c>
      <c r="L9" s="21" t="n">
        <v>12</v>
      </c>
      <c r="M9" s="21" t="n">
        <v>5</v>
      </c>
      <c r="N9" s="21" t="n">
        <v>4</v>
      </c>
      <c r="O9" s="21" t="n">
        <v>2</v>
      </c>
      <c r="P9" s="21" t="n">
        <v>0</v>
      </c>
      <c r="Q9" s="21" t="inlineStr">
        <is>
          <t>(none)</t>
        </is>
      </c>
      <c r="R9" s="61">
        <f>J9*'Item Budget'!$B$5+N9*'Item Budget'!$B$7+L9*'Item Budget'!$B$11+O9*'Item Budget'!$B$10+M9*'Item Budget'!$B$9+IFERROR(INDEX('Item Budget'!$M$25:$M$95,MATCH(Q9,'Item Budget'!$B$25:$B$95,0)),0)</f>
        <v/>
      </c>
      <c r="S9" s="61">
        <f>J9*'Item Budget'!$B$5+N9*'Item Budget'!$B$7+L9*'Item Budget'!$B$11+O9*'Item Budget'!$B$10+K9*'Item Budget'!$B$6+P9*'Item Budget'!$B$8+IFERROR(INDEX('Item Budget'!$N$25:$N$95,MATCH(Q9,'Item Budget'!$B$25:$B$95,0)),0)</f>
        <v/>
      </c>
      <c r="T9" s="61">
        <f>MAX('Item Budget'!$F$16,INDEX('Item Budget'!$J$5:$J$10,MATCH($C9,'Item Budget'!$I$5:$I$10,0))+INDEX('Item Budget'!$K$5:$K$10,MATCH($C9,'Item Budget'!$I$5:$I$10,0))*MIN(I9,50))</f>
        <v/>
      </c>
      <c r="U9" s="61">
        <f>T9*$H9</f>
        <v/>
      </c>
      <c r="V9" s="41">
        <f>MAX(R9,S9)/U9</f>
        <v/>
      </c>
      <c r="W9" s="21" t="n">
        <v>10</v>
      </c>
      <c r="X9" s="21" t="n">
        <v>50</v>
      </c>
      <c r="Y9" s="21" t="n">
        <v>20</v>
      </c>
      <c r="Z9" s="21" t="n">
        <v>12</v>
      </c>
      <c r="AA9" s="21" t="n">
        <v>5</v>
      </c>
      <c r="AB9" s="21" t="n">
        <v>4</v>
      </c>
      <c r="AC9" s="21" t="n">
        <v>2</v>
      </c>
      <c r="AD9" s="21" t="n">
        <v>0</v>
      </c>
      <c r="AE9" s="21" t="inlineStr">
        <is>
          <t>(none)</t>
        </is>
      </c>
      <c r="AF9" s="61">
        <f>X9*'Item Budget'!$B$5+AB9*'Item Budget'!$B$7+Z9*'Item Budget'!$B$11+AC9*'Item Budget'!$B$10+AA9*'Item Budget'!$B$9+IFERROR(INDEX('Item Budget'!$M$25:$M$95,MATCH(AE9,'Item Budget'!$B$25:$B$95,0)),0)</f>
        <v/>
      </c>
      <c r="AG9" s="61">
        <f>X9*'Item Budget'!$B$5+AB9*'Item Budget'!$B$7+Z9*'Item Budget'!$B$11+AC9*'Item Budget'!$B$10+Y9*'Item Budget'!$B$6+AD9*'Item Budget'!$B$8+IFERROR(INDEX('Item Budget'!$N$25:$N$95,MATCH(AE9,'Item Budget'!$B$25:$B$95,0)),0)</f>
        <v/>
      </c>
      <c r="AH9" s="61">
        <f>MAX('Item Budget'!$F$16,INDEX('Item Budget'!$J$5:$J$10,MATCH($C9,'Item Budget'!$I$5:$I$10,0))+INDEX('Item Budget'!$K$5:$K$10,MATCH($C9,'Item Budget'!$I$5:$I$10,0))*MIN(W9,50))</f>
        <v/>
      </c>
      <c r="AI9" s="61">
        <f>AH9*$H9</f>
        <v/>
      </c>
      <c r="AJ9" s="41">
        <f>MAX(AF9,AG9)/AI9</f>
        <v/>
      </c>
      <c r="AK9" s="64" t="inlineStr">
        <is>
          <t>Pass 1 (applied): ...and Ruby the melee ring.</t>
        </is>
      </c>
      <c r="AL9" s="43">
        <f>IFERROR(INDEX('Item Budget'!$H$25:$H$95,MATCH(Q9,'Item Budget'!$B$25:$B$95,0)),0)</f>
        <v/>
      </c>
      <c r="AM9" s="43">
        <f>IFERROR(INDEX('Item Budget'!$H$25:$H$95,MATCH(AE9,'Item Budget'!$B$25:$B$95,0)),0)</f>
        <v/>
      </c>
      <c r="AN9" s="37" t="n">
        <v>0</v>
      </c>
      <c r="AO9" s="44">
        <f>IF(I9&lt;'Item Budget'!$R$10,0,'Item Budget'!$R$7*100*MAX(('Item Budget'!$R$14*(J9+25*N9)+'Item Budget'!$S$14*(K9+25*P9))/'Item Budget'!$Z$14,('Item Budget'!$R$15*(J9+25*N9)+'Item Budget'!$S$15*(K9+25*P9))/'Item Budget'!$Z$15,('Item Budget'!$R$16*(J9+25*N9)+'Item Budget'!$S$16*(K9+25*P9))/'Item Budget'!$Z$16,('Item Budget'!$R$17*(J9+25*N9)+'Item Budget'!$S$17*(K9+25*P9))/'Item Budget'!$Z$17)+'Item Budget'!$R$9*L9+IFERROR(INDEX('Item Budget'!$O$25:$O$95,MATCH(Q9,'Item Budget'!$B$25:$B$95,0)),0))</f>
        <v/>
      </c>
      <c r="AP9" s="44">
        <f>IF(W9&lt;'Item Budget'!$R$10,0,'Item Budget'!$R$7*100*MAX(('Item Budget'!$R$14*(X9+25*AB9)+'Item Budget'!$S$14*(Y9+25*AD9))/'Item Budget'!$Z$14,('Item Budget'!$R$15*(X9+25*AB9)+'Item Budget'!$S$15*(Y9+25*AD9))/'Item Budget'!$Z$15,('Item Budget'!$R$16*(X9+25*AB9)+'Item Budget'!$S$16*(Y9+25*AD9))/'Item Budget'!$Z$16,('Item Budget'!$R$17*(X9+25*AB9)+'Item Budget'!$S$17*(Y9+25*AD9))/'Item Budget'!$Z$17)+'Item Budget'!$R$9*Z9+IFERROR(INDEX('Item Budget'!$O$25:$O$95,MATCH(AE9,'Item Budget'!$B$25:$B$95,0)),0))</f>
        <v/>
      </c>
      <c r="AQ9" s="61">
        <f>IF(OR(AN9=0,AP9=0),"",SUMPRODUCT(MAX(($C$5:$C$88=C9)*($AN$5:$AN$88&lt;AN9)*$AP$5:$AP$88)))</f>
        <v/>
      </c>
      <c r="AR9" s="41">
        <f>IF(AQ9="","",IF(AQ9=0,1,SUMPRODUCT(MAX(($C$5:$C$88=C9)*($AN$5:$AN$88=AN9)*$AP$5:$AP$88))/AQ9-1))</f>
        <v/>
      </c>
      <c r="AS9" s="19">
        <f>IF(AR9="","",IF(AR9&gt;='Item Budget'!$R$11,"OK","Not above lower tier"))</f>
        <v/>
      </c>
    </row>
    <row r="10">
      <c r="A10" s="21" t="n">
        <v>360</v>
      </c>
      <c r="B10" s="21" t="inlineStr">
        <is>
          <t>Pearl Bracelet</t>
        </is>
      </c>
      <c r="C10" s="21" t="inlineStr">
        <is>
          <t>Ring</t>
        </is>
      </c>
      <c r="D10" s="21" t="inlineStr">
        <is>
          <t>All</t>
        </is>
      </c>
      <c r="E10" s="21" t="inlineStr">
        <is>
          <t>craft:Pearl Bracelet</t>
        </is>
      </c>
      <c r="F10" s="19" t="inlineStr">
        <is>
          <t>Leave</t>
        </is>
      </c>
      <c r="G10" s="21" t="inlineStr">
        <is>
          <t>Crafted</t>
        </is>
      </c>
      <c r="H10" s="31">
        <f>INDEX('Item Budget'!$F$5:$F$13,MATCH(G10,'Item Budget'!$E$5:$E$13,0))+IF(D10="All",0,'Item Budget'!$F$15)+LOOKUP(AN10,'Item Budget'!$E$19:$E$23,'Item Budget'!$F$19:$F$23)</f>
        <v/>
      </c>
      <c r="I10" s="21" t="n">
        <v>10</v>
      </c>
      <c r="J10" s="21" t="n">
        <v>50</v>
      </c>
      <c r="K10" s="21" t="n">
        <v>50</v>
      </c>
      <c r="L10" s="21" t="n">
        <v>15</v>
      </c>
      <c r="M10" s="21" t="n">
        <v>4</v>
      </c>
      <c r="N10" s="21" t="n">
        <v>4</v>
      </c>
      <c r="O10" s="21" t="n">
        <v>4</v>
      </c>
      <c r="P10" s="21" t="n">
        <v>4</v>
      </c>
      <c r="Q10" s="21" t="inlineStr">
        <is>
          <t>(none)</t>
        </is>
      </c>
      <c r="R10" s="61">
        <f>J10*'Item Budget'!$B$5+N10*'Item Budget'!$B$7+L10*'Item Budget'!$B$11+O10*'Item Budget'!$B$10+M10*'Item Budget'!$B$9+IFERROR(INDEX('Item Budget'!$M$25:$M$95,MATCH(Q10,'Item Budget'!$B$25:$B$95,0)),0)</f>
        <v/>
      </c>
      <c r="S10" s="61">
        <f>J10*'Item Budget'!$B$5+N10*'Item Budget'!$B$7+L10*'Item Budget'!$B$11+O10*'Item Budget'!$B$10+K10*'Item Budget'!$B$6+P10*'Item Budget'!$B$8+IFERROR(INDEX('Item Budget'!$N$25:$N$95,MATCH(Q10,'Item Budget'!$B$25:$B$95,0)),0)</f>
        <v/>
      </c>
      <c r="T10" s="61">
        <f>MAX('Item Budget'!$F$16,INDEX('Item Budget'!$J$5:$J$10,MATCH($C10,'Item Budget'!$I$5:$I$10,0))+INDEX('Item Budget'!$K$5:$K$10,MATCH($C10,'Item Budget'!$I$5:$I$10,0))*MIN(I10,50))</f>
        <v/>
      </c>
      <c r="U10" s="61">
        <f>T10*$H10</f>
        <v/>
      </c>
      <c r="V10" s="41">
        <f>MAX(R10,S10)/U10</f>
        <v/>
      </c>
      <c r="W10" s="21" t="n">
        <v>10</v>
      </c>
      <c r="X10" s="21" t="n">
        <v>50</v>
      </c>
      <c r="Y10" s="21" t="n">
        <v>50</v>
      </c>
      <c r="Z10" s="21" t="n">
        <v>15</v>
      </c>
      <c r="AA10" s="21" t="n">
        <v>4</v>
      </c>
      <c r="AB10" s="21" t="n">
        <v>4</v>
      </c>
      <c r="AC10" s="21" t="n">
        <v>4</v>
      </c>
      <c r="AD10" s="21" t="n">
        <v>4</v>
      </c>
      <c r="AE10" s="21" t="inlineStr">
        <is>
          <t>(none)</t>
        </is>
      </c>
      <c r="AF10" s="61">
        <f>X10*'Item Budget'!$B$5+AB10*'Item Budget'!$B$7+Z10*'Item Budget'!$B$11+AC10*'Item Budget'!$B$10+AA10*'Item Budget'!$B$9+IFERROR(INDEX('Item Budget'!$M$25:$M$95,MATCH(AE10,'Item Budget'!$B$25:$B$95,0)),0)</f>
        <v/>
      </c>
      <c r="AG10" s="61">
        <f>X10*'Item Budget'!$B$5+AB10*'Item Budget'!$B$7+Z10*'Item Budget'!$B$11+AC10*'Item Budget'!$B$10+Y10*'Item Budget'!$B$6+AD10*'Item Budget'!$B$8+IFERROR(INDEX('Item Budget'!$N$25:$N$95,MATCH(AE10,'Item Budget'!$B$25:$B$95,0)),0)</f>
        <v/>
      </c>
      <c r="AH10" s="61">
        <f>MAX('Item Budget'!$F$16,INDEX('Item Budget'!$J$5:$J$10,MATCH($C10,'Item Budget'!$I$5:$I$10,0))+INDEX('Item Budget'!$K$5:$K$10,MATCH($C10,'Item Budget'!$I$5:$I$10,0))*MIN(W10,50))</f>
        <v/>
      </c>
      <c r="AI10" s="61">
        <f>AH10*$H10</f>
        <v/>
      </c>
      <c r="AJ10" s="41">
        <f>MAX(AF10,AG10)/AI10</f>
        <v/>
      </c>
      <c r="AK10" s="64" t="inlineStr">
        <is>
          <t>Pass 1 (applied): Already on target.</t>
        </is>
      </c>
      <c r="AL10" s="43">
        <f>IFERROR(INDEX('Item Budget'!$H$25:$H$95,MATCH(Q10,'Item Budget'!$B$25:$B$95,0)),0)</f>
        <v/>
      </c>
      <c r="AM10" s="43">
        <f>IFERROR(INDEX('Item Budget'!$H$25:$H$95,MATCH(AE10,'Item Budget'!$B$25:$B$95,0)),0)</f>
        <v/>
      </c>
      <c r="AN10" s="37" t="n">
        <v>0</v>
      </c>
      <c r="AO10" s="44">
        <f>IF(I10&lt;'Item Budget'!$R$10,0,'Item Budget'!$R$7*100*MAX(('Item Budget'!$R$14*(J10+25*N10)+'Item Budget'!$S$14*(K10+25*P10))/'Item Budget'!$Z$14,('Item Budget'!$R$15*(J10+25*N10)+'Item Budget'!$S$15*(K10+25*P10))/'Item Budget'!$Z$15,('Item Budget'!$R$16*(J10+25*N10)+'Item Budget'!$S$16*(K10+25*P10))/'Item Budget'!$Z$16,('Item Budget'!$R$17*(J10+25*N10)+'Item Budget'!$S$17*(K10+25*P10))/'Item Budget'!$Z$17)+'Item Budget'!$R$9*L10+IFERROR(INDEX('Item Budget'!$O$25:$O$95,MATCH(Q10,'Item Budget'!$B$25:$B$95,0)),0))</f>
        <v/>
      </c>
      <c r="AP10" s="44">
        <f>IF(W10&lt;'Item Budget'!$R$10,0,'Item Budget'!$R$7*100*MAX(('Item Budget'!$R$14*(X10+25*AB10)+'Item Budget'!$S$14*(Y10+25*AD10))/'Item Budget'!$Z$14,('Item Budget'!$R$15*(X10+25*AB10)+'Item Budget'!$S$15*(Y10+25*AD10))/'Item Budget'!$Z$15,('Item Budget'!$R$16*(X10+25*AB10)+'Item Budget'!$S$16*(Y10+25*AD10))/'Item Budget'!$Z$16,('Item Budget'!$R$17*(X10+25*AB10)+'Item Budget'!$S$17*(Y10+25*AD10))/'Item Budget'!$Z$17)+'Item Budget'!$R$9*Z10+IFERROR(INDEX('Item Budget'!$O$25:$O$95,MATCH(AE10,'Item Budget'!$B$25:$B$95,0)),0))</f>
        <v/>
      </c>
      <c r="AQ10" s="61">
        <f>IF(OR(AN10=0,AP10=0),"",SUMPRODUCT(MAX(($C$5:$C$88=C10)*($AN$5:$AN$88&lt;AN10)*$AP$5:$AP$88)))</f>
        <v/>
      </c>
      <c r="AR10" s="41">
        <f>IF(AQ10="","",IF(AQ10=0,1,SUMPRODUCT(MAX(($C$5:$C$88=C10)*($AN$5:$AN$88=AN10)*$AP$5:$AP$88))/AQ10-1))</f>
        <v/>
      </c>
      <c r="AS10" s="19">
        <f>IF(AR10="","",IF(AR10&gt;='Item Budget'!$R$11,"OK","Not above lower tier"))</f>
        <v/>
      </c>
    </row>
    <row r="11">
      <c r="A11" s="45" t="n">
        <v>668</v>
      </c>
      <c r="B11" s="45" t="inlineStr">
        <is>
          <t>Ring of the Trail</t>
        </is>
      </c>
      <c r="C11" s="45" t="inlineStr">
        <is>
          <t>Ring</t>
        </is>
      </c>
      <c r="D11" s="45" t="inlineStr">
        <is>
          <t>All</t>
        </is>
      </c>
      <c r="E11" s="45" t="inlineStr">
        <is>
          <t>drop:Roger(L14) 25%</t>
        </is>
      </c>
      <c r="F11" s="46" t="inlineStr">
        <is>
          <t>Anchor</t>
        </is>
      </c>
      <c r="G11" s="45" t="inlineStr">
        <is>
          <t>Common drop</t>
        </is>
      </c>
      <c r="H11" s="47">
        <f>INDEX('Item Budget'!$F$5:$F$13,MATCH(G11,'Item Budget'!$E$5:$E$13,0))+IF(D11="All",0,'Item Budget'!$F$15)+LOOKUP(AN11,'Item Budget'!$E$19:$E$23,'Item Budget'!$F$19:$F$23)</f>
        <v/>
      </c>
      <c r="I11" s="45" t="n">
        <v>13</v>
      </c>
      <c r="J11" s="45" t="n">
        <v>60</v>
      </c>
      <c r="K11" s="45" t="n">
        <v>40</v>
      </c>
      <c r="L11" s="45" t="n">
        <v>10</v>
      </c>
      <c r="M11" s="45" t="n">
        <v>5</v>
      </c>
      <c r="N11" s="45" t="n">
        <v>0</v>
      </c>
      <c r="O11" s="45" t="n">
        <v>5</v>
      </c>
      <c r="P11" s="45" t="n">
        <v>0</v>
      </c>
      <c r="Q11" s="45" t="inlineStr">
        <is>
          <t>Melee Critical II</t>
        </is>
      </c>
      <c r="R11" s="65">
        <f>J11*'Item Budget'!$B$5+N11*'Item Budget'!$B$7+L11*'Item Budget'!$B$11+O11*'Item Budget'!$B$10+M11*'Item Budget'!$B$9+IFERROR(INDEX('Item Budget'!$M$25:$M$95,MATCH(Q11,'Item Budget'!$B$25:$B$95,0)),0)</f>
        <v/>
      </c>
      <c r="S11" s="65">
        <f>J11*'Item Budget'!$B$5+N11*'Item Budget'!$B$7+L11*'Item Budget'!$B$11+O11*'Item Budget'!$B$10+K11*'Item Budget'!$B$6+P11*'Item Budget'!$B$8+IFERROR(INDEX('Item Budget'!$N$25:$N$95,MATCH(Q11,'Item Budget'!$B$25:$B$95,0)),0)</f>
        <v/>
      </c>
      <c r="T11" s="65">
        <f>MAX('Item Budget'!$F$16,INDEX('Item Budget'!$J$5:$J$10,MATCH($C11,'Item Budget'!$I$5:$I$10,0))+INDEX('Item Budget'!$K$5:$K$10,MATCH($C11,'Item Budget'!$I$5:$I$10,0))*MIN(I11,50))</f>
        <v/>
      </c>
      <c r="U11" s="65">
        <f>T11*$H11</f>
        <v/>
      </c>
      <c r="V11" s="49">
        <f>MAX(R11,S11)/U11</f>
        <v/>
      </c>
      <c r="W11" s="21" t="n">
        <v>13</v>
      </c>
      <c r="X11" s="21" t="n">
        <v>60</v>
      </c>
      <c r="Y11" s="21" t="n">
        <v>40</v>
      </c>
      <c r="Z11" s="21" t="n">
        <v>10</v>
      </c>
      <c r="AA11" s="21" t="n">
        <v>5</v>
      </c>
      <c r="AB11" s="21" t="n">
        <v>0</v>
      </c>
      <c r="AC11" s="21" t="n">
        <v>5</v>
      </c>
      <c r="AD11" s="21" t="n">
        <v>0</v>
      </c>
      <c r="AE11" s="21" t="inlineStr">
        <is>
          <t>Melee Critical II</t>
        </is>
      </c>
      <c r="AF11" s="65">
        <f>X11*'Item Budget'!$B$5+AB11*'Item Budget'!$B$7+Z11*'Item Budget'!$B$11+AC11*'Item Budget'!$B$10+AA11*'Item Budget'!$B$9+IFERROR(INDEX('Item Budget'!$M$25:$M$95,MATCH(AE11,'Item Budget'!$B$25:$B$95,0)),0)</f>
        <v/>
      </c>
      <c r="AG11" s="65">
        <f>X11*'Item Budget'!$B$5+AB11*'Item Budget'!$B$7+Z11*'Item Budget'!$B$11+AC11*'Item Budget'!$B$10+Y11*'Item Budget'!$B$6+AD11*'Item Budget'!$B$8+IFERROR(INDEX('Item Budget'!$N$25:$N$95,MATCH(AE11,'Item Budget'!$B$25:$B$95,0)),0)</f>
        <v/>
      </c>
      <c r="AH11" s="65">
        <f>MAX('Item Budget'!$F$16,INDEX('Item Budget'!$J$5:$J$10,MATCH($C11,'Item Budget'!$I$5:$I$10,0))+INDEX('Item Budget'!$K$5:$K$10,MATCH($C11,'Item Budget'!$I$5:$I$10,0))*MIN(W11,50))</f>
        <v/>
      </c>
      <c r="AI11" s="65">
        <f>AH11*$H11</f>
        <v/>
      </c>
      <c r="AJ11" s="49">
        <f>MAX(AF11,AG11)/AI11</f>
        <v/>
      </c>
      <c r="AK11" s="64" t="inlineStr">
        <is>
          <t>Pass 1 (applied): New accessory (anchor). Unchanged.</t>
        </is>
      </c>
      <c r="AL11" s="43">
        <f>IFERROR(INDEX('Item Budget'!$H$25:$H$95,MATCH(Q11,'Item Budget'!$B$25:$B$95,0)),0)</f>
        <v/>
      </c>
      <c r="AM11" s="43">
        <f>IFERROR(INDEX('Item Budget'!$H$25:$H$95,MATCH(AE11,'Item Budget'!$B$25:$B$95,0)),0)</f>
        <v/>
      </c>
      <c r="AN11" s="37" t="n">
        <v>0</v>
      </c>
      <c r="AO11" s="44">
        <f>IF(I11&lt;'Item Budget'!$R$10,0,'Item Budget'!$R$7*100*MAX(('Item Budget'!$R$14*(J11+25*N11)+'Item Budget'!$S$14*(K11+25*P11))/'Item Budget'!$Z$14,('Item Budget'!$R$15*(J11+25*N11)+'Item Budget'!$S$15*(K11+25*P11))/'Item Budget'!$Z$15,('Item Budget'!$R$16*(J11+25*N11)+'Item Budget'!$S$16*(K11+25*P11))/'Item Budget'!$Z$16,('Item Budget'!$R$17*(J11+25*N11)+'Item Budget'!$S$17*(K11+25*P11))/'Item Budget'!$Z$17)+'Item Budget'!$R$9*L11+IFERROR(INDEX('Item Budget'!$O$25:$O$95,MATCH(Q11,'Item Budget'!$B$25:$B$95,0)),0))</f>
        <v/>
      </c>
      <c r="AP11" s="44">
        <f>IF(W11&lt;'Item Budget'!$R$10,0,'Item Budget'!$R$7*100*MAX(('Item Budget'!$R$14*(X11+25*AB11)+'Item Budget'!$S$14*(Y11+25*AD11))/'Item Budget'!$Z$14,('Item Budget'!$R$15*(X11+25*AB11)+'Item Budget'!$S$15*(Y11+25*AD11))/'Item Budget'!$Z$15,('Item Budget'!$R$16*(X11+25*AB11)+'Item Budget'!$S$16*(Y11+25*AD11))/'Item Budget'!$Z$16,('Item Budget'!$R$17*(X11+25*AB11)+'Item Budget'!$S$17*(Y11+25*AD11))/'Item Budget'!$Z$17)+'Item Budget'!$R$9*Z11+IFERROR(INDEX('Item Budget'!$O$25:$O$95,MATCH(AE11,'Item Budget'!$B$25:$B$95,0)),0))</f>
        <v/>
      </c>
      <c r="AQ11" s="61">
        <f>IF(OR(AN11=0,AP11=0),"",SUMPRODUCT(MAX(($C$5:$C$88=C11)*($AN$5:$AN$88&lt;AN11)*$AP$5:$AP$88)))</f>
        <v/>
      </c>
      <c r="AR11" s="41">
        <f>IF(AQ11="","",IF(AQ11=0,1,SUMPRODUCT(MAX(($C$5:$C$88=C11)*($AN$5:$AN$88=AN11)*$AP$5:$AP$88))/AQ11-1))</f>
        <v/>
      </c>
      <c r="AS11" s="19">
        <f>IF(AR11="","",IF(AR11&gt;='Item Budget'!$R$11,"OK","Not above lower tier"))</f>
        <v/>
      </c>
    </row>
    <row r="12">
      <c r="A12" s="45" t="n">
        <v>673</v>
      </c>
      <c r="B12" s="45" t="inlineStr">
        <is>
          <t>Bracelet of Embers</t>
        </is>
      </c>
      <c r="C12" s="45" t="inlineStr">
        <is>
          <t>Ring</t>
        </is>
      </c>
      <c r="D12" s="45" t="inlineStr">
        <is>
          <t>All</t>
        </is>
      </c>
      <c r="E12" s="45" t="inlineStr">
        <is>
          <t>drop:Flying Pipsqueek(L14) 15%</t>
        </is>
      </c>
      <c r="F12" s="46" t="inlineStr">
        <is>
          <t>Anchor</t>
        </is>
      </c>
      <c r="G12" s="45" t="inlineStr">
        <is>
          <t>Common drop</t>
        </is>
      </c>
      <c r="H12" s="47">
        <f>INDEX('Item Budget'!$F$5:$F$13,MATCH(G12,'Item Budget'!$E$5:$E$13,0))+IF(D12="All",0,'Item Budget'!$F$15)+LOOKUP(AN12,'Item Budget'!$E$19:$E$23,'Item Budget'!$F$19:$F$23)</f>
        <v/>
      </c>
      <c r="I12" s="45" t="n">
        <v>13</v>
      </c>
      <c r="J12" s="45" t="n">
        <v>40</v>
      </c>
      <c r="K12" s="45" t="n">
        <v>75</v>
      </c>
      <c r="L12" s="45" t="n">
        <v>10</v>
      </c>
      <c r="M12" s="45" t="n">
        <v>0</v>
      </c>
      <c r="N12" s="45" t="n">
        <v>3</v>
      </c>
      <c r="O12" s="45" t="n">
        <v>0</v>
      </c>
      <c r="P12" s="45" t="n">
        <v>6</v>
      </c>
      <c r="Q12" s="45" t="inlineStr">
        <is>
          <t>Spell Critical II</t>
        </is>
      </c>
      <c r="R12" s="65">
        <f>J12*'Item Budget'!$B$5+N12*'Item Budget'!$B$7+L12*'Item Budget'!$B$11+O12*'Item Budget'!$B$10+M12*'Item Budget'!$B$9+IFERROR(INDEX('Item Budget'!$M$25:$M$95,MATCH(Q12,'Item Budget'!$B$25:$B$95,0)),0)</f>
        <v/>
      </c>
      <c r="S12" s="65">
        <f>J12*'Item Budget'!$B$5+N12*'Item Budget'!$B$7+L12*'Item Budget'!$B$11+O12*'Item Budget'!$B$10+K12*'Item Budget'!$B$6+P12*'Item Budget'!$B$8+IFERROR(INDEX('Item Budget'!$N$25:$N$95,MATCH(Q12,'Item Budget'!$B$25:$B$95,0)),0)</f>
        <v/>
      </c>
      <c r="T12" s="65">
        <f>MAX('Item Budget'!$F$16,INDEX('Item Budget'!$J$5:$J$10,MATCH($C12,'Item Budget'!$I$5:$I$10,0))+INDEX('Item Budget'!$K$5:$K$10,MATCH($C12,'Item Budget'!$I$5:$I$10,0))*MIN(I12,50))</f>
        <v/>
      </c>
      <c r="U12" s="65">
        <f>T12*$H12</f>
        <v/>
      </c>
      <c r="V12" s="49">
        <f>MAX(R12,S12)/U12</f>
        <v/>
      </c>
      <c r="W12" s="21" t="n">
        <v>13</v>
      </c>
      <c r="X12" s="21" t="n">
        <v>40</v>
      </c>
      <c r="Y12" s="21" t="n">
        <v>75</v>
      </c>
      <c r="Z12" s="21" t="n">
        <v>10</v>
      </c>
      <c r="AA12" s="21" t="n">
        <v>0</v>
      </c>
      <c r="AB12" s="21" t="n">
        <v>3</v>
      </c>
      <c r="AC12" s="21" t="n">
        <v>0</v>
      </c>
      <c r="AD12" s="21" t="n">
        <v>6</v>
      </c>
      <c r="AE12" s="21" t="inlineStr">
        <is>
          <t>Spell Critical II</t>
        </is>
      </c>
      <c r="AF12" s="65">
        <f>X12*'Item Budget'!$B$5+AB12*'Item Budget'!$B$7+Z12*'Item Budget'!$B$11+AC12*'Item Budget'!$B$10+AA12*'Item Budget'!$B$9+IFERROR(INDEX('Item Budget'!$M$25:$M$95,MATCH(AE12,'Item Budget'!$B$25:$B$95,0)),0)</f>
        <v/>
      </c>
      <c r="AG12" s="65">
        <f>X12*'Item Budget'!$B$5+AB12*'Item Budget'!$B$7+Z12*'Item Budget'!$B$11+AC12*'Item Budget'!$B$10+Y12*'Item Budget'!$B$6+AD12*'Item Budget'!$B$8+IFERROR(INDEX('Item Budget'!$N$25:$N$95,MATCH(AE12,'Item Budget'!$B$25:$B$95,0)),0)</f>
        <v/>
      </c>
      <c r="AH12" s="65">
        <f>MAX('Item Budget'!$F$16,INDEX('Item Budget'!$J$5:$J$10,MATCH($C12,'Item Budget'!$I$5:$I$10,0))+INDEX('Item Budget'!$K$5:$K$10,MATCH($C12,'Item Budget'!$I$5:$I$10,0))*MIN(W12,50))</f>
        <v/>
      </c>
      <c r="AI12" s="65">
        <f>AH12*$H12</f>
        <v/>
      </c>
      <c r="AJ12" s="49">
        <f>MAX(AF12,AG12)/AI12</f>
        <v/>
      </c>
      <c r="AK12" s="64" t="inlineStr">
        <is>
          <t>Pass 1 (applied): New accessory (anchor). Unchanged.</t>
        </is>
      </c>
      <c r="AL12" s="43">
        <f>IFERROR(INDEX('Item Budget'!$H$25:$H$95,MATCH(Q12,'Item Budget'!$B$25:$B$95,0)),0)</f>
        <v/>
      </c>
      <c r="AM12" s="43">
        <f>IFERROR(INDEX('Item Budget'!$H$25:$H$95,MATCH(AE12,'Item Budget'!$B$25:$B$95,0)),0)</f>
        <v/>
      </c>
      <c r="AN12" s="37" t="n">
        <v>0</v>
      </c>
      <c r="AO12" s="44">
        <f>IF(I12&lt;'Item Budget'!$R$10,0,'Item Budget'!$R$7*100*MAX(('Item Budget'!$R$14*(J12+25*N12)+'Item Budget'!$S$14*(K12+25*P12))/'Item Budget'!$Z$14,('Item Budget'!$R$15*(J12+25*N12)+'Item Budget'!$S$15*(K12+25*P12))/'Item Budget'!$Z$15,('Item Budget'!$R$16*(J12+25*N12)+'Item Budget'!$S$16*(K12+25*P12))/'Item Budget'!$Z$16,('Item Budget'!$R$17*(J12+25*N12)+'Item Budget'!$S$17*(K12+25*P12))/'Item Budget'!$Z$17)+'Item Budget'!$R$9*L12+IFERROR(INDEX('Item Budget'!$O$25:$O$95,MATCH(Q12,'Item Budget'!$B$25:$B$95,0)),0))</f>
        <v/>
      </c>
      <c r="AP12" s="44">
        <f>IF(W12&lt;'Item Budget'!$R$10,0,'Item Budget'!$R$7*100*MAX(('Item Budget'!$R$14*(X12+25*AB12)+'Item Budget'!$S$14*(Y12+25*AD12))/'Item Budget'!$Z$14,('Item Budget'!$R$15*(X12+25*AB12)+'Item Budget'!$S$15*(Y12+25*AD12))/'Item Budget'!$Z$15,('Item Budget'!$R$16*(X12+25*AB12)+'Item Budget'!$S$16*(Y12+25*AD12))/'Item Budget'!$Z$16,('Item Budget'!$R$17*(X12+25*AB12)+'Item Budget'!$S$17*(Y12+25*AD12))/'Item Budget'!$Z$17)+'Item Budget'!$R$9*Z12+IFERROR(INDEX('Item Budget'!$O$25:$O$95,MATCH(AE12,'Item Budget'!$B$25:$B$95,0)),0))</f>
        <v/>
      </c>
      <c r="AQ12" s="61">
        <f>IF(OR(AN12=0,AP12=0),"",SUMPRODUCT(MAX(($C$5:$C$88=C12)*($AN$5:$AN$88&lt;AN12)*$AP$5:$AP$88)))</f>
        <v/>
      </c>
      <c r="AR12" s="41">
        <f>IF(AQ12="","",IF(AQ12=0,1,SUMPRODUCT(MAX(($C$5:$C$88=C12)*($AN$5:$AN$88=AN12)*$AP$5:$AP$88))/AQ12-1))</f>
        <v/>
      </c>
      <c r="AS12" s="19">
        <f>IF(AR12="","",IF(AR12&gt;='Item Budget'!$R$11,"OK","Not above lower tier"))</f>
        <v/>
      </c>
    </row>
    <row r="13">
      <c r="A13" s="45" t="n">
        <v>661</v>
      </c>
      <c r="B13" s="45" t="inlineStr">
        <is>
          <t>Cat's Eye Ring</t>
        </is>
      </c>
      <c r="C13" s="45" t="inlineStr">
        <is>
          <t>Ring</t>
        </is>
      </c>
      <c r="D13" s="45" t="inlineStr">
        <is>
          <t>All</t>
        </is>
      </c>
      <c r="E13" s="45" t="inlineStr">
        <is>
          <t>quest:Cat Ears for Nell</t>
        </is>
      </c>
      <c r="F13" s="46" t="inlineStr">
        <is>
          <t>Anchor</t>
        </is>
      </c>
      <c r="G13" s="45" t="inlineStr">
        <is>
          <t>Common drop</t>
        </is>
      </c>
      <c r="H13" s="47">
        <f>INDEX('Item Budget'!$F$5:$F$13,MATCH(G13,'Item Budget'!$E$5:$E$13,0))+IF(D13="All",0,'Item Budget'!$F$15)+LOOKUP(AN13,'Item Budget'!$E$19:$E$23,'Item Budget'!$F$19:$F$23)</f>
        <v/>
      </c>
      <c r="I13" s="45" t="n">
        <v>20</v>
      </c>
      <c r="J13" s="45" t="n">
        <v>75</v>
      </c>
      <c r="K13" s="45" t="n">
        <v>75</v>
      </c>
      <c r="L13" s="45" t="n">
        <v>15</v>
      </c>
      <c r="M13" s="45" t="n">
        <v>5</v>
      </c>
      <c r="N13" s="45" t="n">
        <v>0</v>
      </c>
      <c r="O13" s="45" t="n">
        <v>5</v>
      </c>
      <c r="P13" s="45" t="n">
        <v>0</v>
      </c>
      <c r="Q13" s="45" t="inlineStr">
        <is>
          <t>(none)</t>
        </is>
      </c>
      <c r="R13" s="65">
        <f>J13*'Item Budget'!$B$5+N13*'Item Budget'!$B$7+L13*'Item Budget'!$B$11+O13*'Item Budget'!$B$10+M13*'Item Budget'!$B$9+IFERROR(INDEX('Item Budget'!$M$25:$M$95,MATCH(Q13,'Item Budget'!$B$25:$B$95,0)),0)</f>
        <v/>
      </c>
      <c r="S13" s="65">
        <f>J13*'Item Budget'!$B$5+N13*'Item Budget'!$B$7+L13*'Item Budget'!$B$11+O13*'Item Budget'!$B$10+K13*'Item Budget'!$B$6+P13*'Item Budget'!$B$8+IFERROR(INDEX('Item Budget'!$N$25:$N$95,MATCH(Q13,'Item Budget'!$B$25:$B$95,0)),0)</f>
        <v/>
      </c>
      <c r="T13" s="65">
        <f>MAX('Item Budget'!$F$16,INDEX('Item Budget'!$J$5:$J$10,MATCH($C13,'Item Budget'!$I$5:$I$10,0))+INDEX('Item Budget'!$K$5:$K$10,MATCH($C13,'Item Budget'!$I$5:$I$10,0))*MIN(I13,50))</f>
        <v/>
      </c>
      <c r="U13" s="65">
        <f>T13*$H13</f>
        <v/>
      </c>
      <c r="V13" s="49">
        <f>MAX(R13,S13)/U13</f>
        <v/>
      </c>
      <c r="W13" s="21" t="n">
        <v>20</v>
      </c>
      <c r="X13" s="20" t="n">
        <v>115</v>
      </c>
      <c r="Y13" s="20" t="n">
        <v>115</v>
      </c>
      <c r="Z13" s="20" t="n">
        <v>23</v>
      </c>
      <c r="AA13" s="20" t="n">
        <v>8</v>
      </c>
      <c r="AB13" s="21" t="n">
        <v>0</v>
      </c>
      <c r="AC13" s="20" t="n">
        <v>8</v>
      </c>
      <c r="AD13" s="21" t="n">
        <v>0</v>
      </c>
      <c r="AE13" s="21" t="inlineStr">
        <is>
          <t>(none)</t>
        </is>
      </c>
      <c r="AF13" s="65">
        <f>X13*'Item Budget'!$B$5+AB13*'Item Budget'!$B$7+Z13*'Item Budget'!$B$11+AC13*'Item Budget'!$B$10+AA13*'Item Budget'!$B$9+IFERROR(INDEX('Item Budget'!$M$25:$M$95,MATCH(AE13,'Item Budget'!$B$25:$B$95,0)),0)</f>
        <v/>
      </c>
      <c r="AG13" s="65">
        <f>X13*'Item Budget'!$B$5+AB13*'Item Budget'!$B$7+Z13*'Item Budget'!$B$11+AC13*'Item Budget'!$B$10+Y13*'Item Budget'!$B$6+AD13*'Item Budget'!$B$8+IFERROR(INDEX('Item Budget'!$N$25:$N$95,MATCH(AE13,'Item Budget'!$B$25:$B$95,0)),0)</f>
        <v/>
      </c>
      <c r="AH13" s="65">
        <f>MAX('Item Budget'!$F$16,INDEX('Item Budget'!$J$5:$J$10,MATCH($C13,'Item Budget'!$I$5:$I$10,0))+INDEX('Item Budget'!$K$5:$K$10,MATCH($C13,'Item Budget'!$I$5:$I$10,0))*MIN(W13,50))</f>
        <v/>
      </c>
      <c r="AI13" s="65">
        <f>AH13*$H13</f>
        <v/>
      </c>
      <c r="AJ13" s="49">
        <f>MAX(AF13,AG13)/AI13</f>
        <v/>
      </c>
      <c r="AK13" s="64" t="inlineStr">
        <is>
          <t>Cats Eye Ring (L20 quest): was below the L13 Ring of the Trail</t>
        </is>
      </c>
      <c r="AL13" s="43">
        <f>IFERROR(INDEX('Item Budget'!$H$25:$H$95,MATCH(Q13,'Item Budget'!$B$25:$B$95,0)),0)</f>
        <v/>
      </c>
      <c r="AM13" s="43">
        <f>IFERROR(INDEX('Item Budget'!$H$25:$H$95,MATCH(AE13,'Item Budget'!$B$25:$B$95,0)),0)</f>
        <v/>
      </c>
      <c r="AN13" s="37" t="n">
        <v>0</v>
      </c>
      <c r="AO13" s="44">
        <f>IF(I13&lt;'Item Budget'!$R$10,0,'Item Budget'!$R$7*100*MAX(('Item Budget'!$R$14*(J13+25*N13)+'Item Budget'!$S$14*(K13+25*P13))/'Item Budget'!$Z$14,('Item Budget'!$R$15*(J13+25*N13)+'Item Budget'!$S$15*(K13+25*P13))/'Item Budget'!$Z$15,('Item Budget'!$R$16*(J13+25*N13)+'Item Budget'!$S$16*(K13+25*P13))/'Item Budget'!$Z$16,('Item Budget'!$R$17*(J13+25*N13)+'Item Budget'!$S$17*(K13+25*P13))/'Item Budget'!$Z$17)+'Item Budget'!$R$9*L13+IFERROR(INDEX('Item Budget'!$O$25:$O$95,MATCH(Q13,'Item Budget'!$B$25:$B$95,0)),0))</f>
        <v/>
      </c>
      <c r="AP13" s="44">
        <f>IF(W13&lt;'Item Budget'!$R$10,0,'Item Budget'!$R$7*100*MAX(('Item Budget'!$R$14*(X13+25*AB13)+'Item Budget'!$S$14*(Y13+25*AD13))/'Item Budget'!$Z$14,('Item Budget'!$R$15*(X13+25*AB13)+'Item Budget'!$S$15*(Y13+25*AD13))/'Item Budget'!$Z$15,('Item Budget'!$R$16*(X13+25*AB13)+'Item Budget'!$S$16*(Y13+25*AD13))/'Item Budget'!$Z$16,('Item Budget'!$R$17*(X13+25*AB13)+'Item Budget'!$S$17*(Y13+25*AD13))/'Item Budget'!$Z$17)+'Item Budget'!$R$9*Z13+IFERROR(INDEX('Item Budget'!$O$25:$O$95,MATCH(AE13,'Item Budget'!$B$25:$B$95,0)),0))</f>
        <v/>
      </c>
      <c r="AQ13" s="61">
        <f>IF(OR(AN13=0,AP13=0),"",SUMPRODUCT(MAX(($C$5:$C$88=C13)*($AN$5:$AN$88&lt;AN13)*$AP$5:$AP$88)))</f>
        <v/>
      </c>
      <c r="AR13" s="41">
        <f>IF(AQ13="","",IF(AQ13=0,1,SUMPRODUCT(MAX(($C$5:$C$88=C13)*($AN$5:$AN$88=AN13)*$AP$5:$AP$88))/AQ13-1))</f>
        <v/>
      </c>
      <c r="AS13" s="19">
        <f>IF(AR13="","",IF(AR13&gt;='Item Budget'!$R$11,"OK","Not above lower tier"))</f>
        <v/>
      </c>
    </row>
    <row r="14">
      <c r="A14" s="45" t="n">
        <v>669</v>
      </c>
      <c r="B14" s="45" t="inlineStr">
        <is>
          <t>Ring of the Hunt</t>
        </is>
      </c>
      <c r="C14" s="45" t="inlineStr">
        <is>
          <t>Ring</t>
        </is>
      </c>
      <c r="D14" s="45" t="inlineStr">
        <is>
          <t>All</t>
        </is>
      </c>
      <c r="E14" s="45" t="inlineStr">
        <is>
          <t>drop:King Goo(L20) 15%; drop:Sliminator(L22) 15%</t>
        </is>
      </c>
      <c r="F14" s="46" t="inlineStr">
        <is>
          <t>Anchor</t>
        </is>
      </c>
      <c r="G14" s="45" t="inlineStr">
        <is>
          <t>Common drop</t>
        </is>
      </c>
      <c r="H14" s="47">
        <f>INDEX('Item Budget'!$F$5:$F$13,MATCH(G14,'Item Budget'!$E$5:$E$13,0))+IF(D14="All",0,'Item Budget'!$F$15)+LOOKUP(AN14,'Item Budget'!$E$19:$E$23,'Item Budget'!$F$19:$F$23)</f>
        <v/>
      </c>
      <c r="I14" s="45" t="n">
        <v>23</v>
      </c>
      <c r="J14" s="45" t="n">
        <v>110</v>
      </c>
      <c r="K14" s="45" t="n">
        <v>70</v>
      </c>
      <c r="L14" s="45" t="n">
        <v>15</v>
      </c>
      <c r="M14" s="45" t="n">
        <v>8</v>
      </c>
      <c r="N14" s="45" t="n">
        <v>0</v>
      </c>
      <c r="O14" s="45" t="n">
        <v>8</v>
      </c>
      <c r="P14" s="45" t="n">
        <v>0</v>
      </c>
      <c r="Q14" s="45" t="inlineStr">
        <is>
          <t>Melee Critical III</t>
        </is>
      </c>
      <c r="R14" s="65">
        <f>J14*'Item Budget'!$B$5+N14*'Item Budget'!$B$7+L14*'Item Budget'!$B$11+O14*'Item Budget'!$B$10+M14*'Item Budget'!$B$9+IFERROR(INDEX('Item Budget'!$M$25:$M$95,MATCH(Q14,'Item Budget'!$B$25:$B$95,0)),0)</f>
        <v/>
      </c>
      <c r="S14" s="65">
        <f>J14*'Item Budget'!$B$5+N14*'Item Budget'!$B$7+L14*'Item Budget'!$B$11+O14*'Item Budget'!$B$10+K14*'Item Budget'!$B$6+P14*'Item Budget'!$B$8+IFERROR(INDEX('Item Budget'!$N$25:$N$95,MATCH(Q14,'Item Budget'!$B$25:$B$95,0)),0)</f>
        <v/>
      </c>
      <c r="T14" s="65">
        <f>MAX('Item Budget'!$F$16,INDEX('Item Budget'!$J$5:$J$10,MATCH($C14,'Item Budget'!$I$5:$I$10,0))+INDEX('Item Budget'!$K$5:$K$10,MATCH($C14,'Item Budget'!$I$5:$I$10,0))*MIN(I14,50))</f>
        <v/>
      </c>
      <c r="U14" s="65">
        <f>T14*$H14</f>
        <v/>
      </c>
      <c r="V14" s="49">
        <f>MAX(R14,S14)/U14</f>
        <v/>
      </c>
      <c r="W14" s="21" t="n">
        <v>23</v>
      </c>
      <c r="X14" s="21" t="n">
        <v>110</v>
      </c>
      <c r="Y14" s="21" t="n">
        <v>70</v>
      </c>
      <c r="Z14" s="21" t="n">
        <v>15</v>
      </c>
      <c r="AA14" s="21" t="n">
        <v>8</v>
      </c>
      <c r="AB14" s="21" t="n">
        <v>0</v>
      </c>
      <c r="AC14" s="21" t="n">
        <v>8</v>
      </c>
      <c r="AD14" s="21" t="n">
        <v>0</v>
      </c>
      <c r="AE14" s="21" t="inlineStr">
        <is>
          <t>Melee Critical III</t>
        </is>
      </c>
      <c r="AF14" s="65">
        <f>X14*'Item Budget'!$B$5+AB14*'Item Budget'!$B$7+Z14*'Item Budget'!$B$11+AC14*'Item Budget'!$B$10+AA14*'Item Budget'!$B$9+IFERROR(INDEX('Item Budget'!$M$25:$M$95,MATCH(AE14,'Item Budget'!$B$25:$B$95,0)),0)</f>
        <v/>
      </c>
      <c r="AG14" s="65">
        <f>X14*'Item Budget'!$B$5+AB14*'Item Budget'!$B$7+Z14*'Item Budget'!$B$11+AC14*'Item Budget'!$B$10+Y14*'Item Budget'!$B$6+AD14*'Item Budget'!$B$8+IFERROR(INDEX('Item Budget'!$N$25:$N$95,MATCH(AE14,'Item Budget'!$B$25:$B$95,0)),0)</f>
        <v/>
      </c>
      <c r="AH14" s="65">
        <f>MAX('Item Budget'!$F$16,INDEX('Item Budget'!$J$5:$J$10,MATCH($C14,'Item Budget'!$I$5:$I$10,0))+INDEX('Item Budget'!$K$5:$K$10,MATCH($C14,'Item Budget'!$I$5:$I$10,0))*MIN(W14,50))</f>
        <v/>
      </c>
      <c r="AI14" s="65">
        <f>AH14*$H14</f>
        <v/>
      </c>
      <c r="AJ14" s="49">
        <f>MAX(AF14,AG14)/AI14</f>
        <v/>
      </c>
      <c r="AK14" s="64" t="inlineStr">
        <is>
          <t>Pass 1 (applied): New accessory (anchor). Unchanged.</t>
        </is>
      </c>
      <c r="AL14" s="43">
        <f>IFERROR(INDEX('Item Budget'!$H$25:$H$95,MATCH(Q14,'Item Budget'!$B$25:$B$95,0)),0)</f>
        <v/>
      </c>
      <c r="AM14" s="43">
        <f>IFERROR(INDEX('Item Budget'!$H$25:$H$95,MATCH(AE14,'Item Budget'!$B$25:$B$95,0)),0)</f>
        <v/>
      </c>
      <c r="AN14" s="37" t="n">
        <v>0</v>
      </c>
      <c r="AO14" s="44">
        <f>IF(I14&lt;'Item Budget'!$R$10,0,'Item Budget'!$R$7*100*MAX(('Item Budget'!$R$14*(J14+25*N14)+'Item Budget'!$S$14*(K14+25*P14))/'Item Budget'!$Z$14,('Item Budget'!$R$15*(J14+25*N14)+'Item Budget'!$S$15*(K14+25*P14))/'Item Budget'!$Z$15,('Item Budget'!$R$16*(J14+25*N14)+'Item Budget'!$S$16*(K14+25*P14))/'Item Budget'!$Z$16,('Item Budget'!$R$17*(J14+25*N14)+'Item Budget'!$S$17*(K14+25*P14))/'Item Budget'!$Z$17)+'Item Budget'!$R$9*L14+IFERROR(INDEX('Item Budget'!$O$25:$O$95,MATCH(Q14,'Item Budget'!$B$25:$B$95,0)),0))</f>
        <v/>
      </c>
      <c r="AP14" s="44">
        <f>IF(W14&lt;'Item Budget'!$R$10,0,'Item Budget'!$R$7*100*MAX(('Item Budget'!$R$14*(X14+25*AB14)+'Item Budget'!$S$14*(Y14+25*AD14))/'Item Budget'!$Z$14,('Item Budget'!$R$15*(X14+25*AB14)+'Item Budget'!$S$15*(Y14+25*AD14))/'Item Budget'!$Z$15,('Item Budget'!$R$16*(X14+25*AB14)+'Item Budget'!$S$16*(Y14+25*AD14))/'Item Budget'!$Z$16,('Item Budget'!$R$17*(X14+25*AB14)+'Item Budget'!$S$17*(Y14+25*AD14))/'Item Budget'!$Z$17)+'Item Budget'!$R$9*Z14+IFERROR(INDEX('Item Budget'!$O$25:$O$95,MATCH(AE14,'Item Budget'!$B$25:$B$95,0)),0))</f>
        <v/>
      </c>
      <c r="AQ14" s="61">
        <f>IF(OR(AN14=0,AP14=0),"",SUMPRODUCT(MAX(($C$5:$C$88=C14)*($AN$5:$AN$88&lt;AN14)*$AP$5:$AP$88)))</f>
        <v/>
      </c>
      <c r="AR14" s="41">
        <f>IF(AQ14="","",IF(AQ14=0,1,SUMPRODUCT(MAX(($C$5:$C$88=C14)*($AN$5:$AN$88=AN14)*$AP$5:$AP$88))/AQ14-1))</f>
        <v/>
      </c>
      <c r="AS14" s="19">
        <f>IF(AR14="","",IF(AR14&gt;='Item Budget'!$R$11,"OK","Not above lower tier"))</f>
        <v/>
      </c>
    </row>
    <row r="15">
      <c r="A15" s="45" t="n">
        <v>674</v>
      </c>
      <c r="B15" s="45" t="inlineStr">
        <is>
          <t>Bracelet of Cinders</t>
        </is>
      </c>
      <c r="C15" s="45" t="inlineStr">
        <is>
          <t>Ring</t>
        </is>
      </c>
      <c r="D15" s="45" t="inlineStr">
        <is>
          <t>All</t>
        </is>
      </c>
      <c r="E15" s="45" t="inlineStr">
        <is>
          <t>drop:Flying Piglet(L23) 15%</t>
        </is>
      </c>
      <c r="F15" s="46" t="inlineStr">
        <is>
          <t>Anchor</t>
        </is>
      </c>
      <c r="G15" s="45" t="inlineStr">
        <is>
          <t>Common drop</t>
        </is>
      </c>
      <c r="H15" s="47">
        <f>INDEX('Item Budget'!$F$5:$F$13,MATCH(G15,'Item Budget'!$E$5:$E$13,0))+IF(D15="All",0,'Item Budget'!$F$15)+LOOKUP(AN15,'Item Budget'!$E$19:$E$23,'Item Budget'!$F$19:$F$23)</f>
        <v/>
      </c>
      <c r="I15" s="45" t="n">
        <v>23</v>
      </c>
      <c r="J15" s="45" t="n">
        <v>70</v>
      </c>
      <c r="K15" s="45" t="n">
        <v>125</v>
      </c>
      <c r="L15" s="45" t="n">
        <v>15</v>
      </c>
      <c r="M15" s="45" t="n">
        <v>0</v>
      </c>
      <c r="N15" s="45" t="n">
        <v>6</v>
      </c>
      <c r="O15" s="45" t="n">
        <v>0</v>
      </c>
      <c r="P15" s="45" t="n">
        <v>10</v>
      </c>
      <c r="Q15" s="45" t="inlineStr">
        <is>
          <t>Spell Critical III</t>
        </is>
      </c>
      <c r="R15" s="65">
        <f>J15*'Item Budget'!$B$5+N15*'Item Budget'!$B$7+L15*'Item Budget'!$B$11+O15*'Item Budget'!$B$10+M15*'Item Budget'!$B$9+IFERROR(INDEX('Item Budget'!$M$25:$M$95,MATCH(Q15,'Item Budget'!$B$25:$B$95,0)),0)</f>
        <v/>
      </c>
      <c r="S15" s="65">
        <f>J15*'Item Budget'!$B$5+N15*'Item Budget'!$B$7+L15*'Item Budget'!$B$11+O15*'Item Budget'!$B$10+K15*'Item Budget'!$B$6+P15*'Item Budget'!$B$8+IFERROR(INDEX('Item Budget'!$N$25:$N$95,MATCH(Q15,'Item Budget'!$B$25:$B$95,0)),0)</f>
        <v/>
      </c>
      <c r="T15" s="65">
        <f>MAX('Item Budget'!$F$16,INDEX('Item Budget'!$J$5:$J$10,MATCH($C15,'Item Budget'!$I$5:$I$10,0))+INDEX('Item Budget'!$K$5:$K$10,MATCH($C15,'Item Budget'!$I$5:$I$10,0))*MIN(I15,50))</f>
        <v/>
      </c>
      <c r="U15" s="65">
        <f>T15*$H15</f>
        <v/>
      </c>
      <c r="V15" s="49">
        <f>MAX(R15,S15)/U15</f>
        <v/>
      </c>
      <c r="W15" s="21" t="n">
        <v>23</v>
      </c>
      <c r="X15" s="21" t="n">
        <v>70</v>
      </c>
      <c r="Y15" s="21" t="n">
        <v>125</v>
      </c>
      <c r="Z15" s="21" t="n">
        <v>15</v>
      </c>
      <c r="AA15" s="21" t="n">
        <v>0</v>
      </c>
      <c r="AB15" s="21" t="n">
        <v>6</v>
      </c>
      <c r="AC15" s="21" t="n">
        <v>0</v>
      </c>
      <c r="AD15" s="21" t="n">
        <v>10</v>
      </c>
      <c r="AE15" s="21" t="inlineStr">
        <is>
          <t>Spell Critical III</t>
        </is>
      </c>
      <c r="AF15" s="65">
        <f>X15*'Item Budget'!$B$5+AB15*'Item Budget'!$B$7+Z15*'Item Budget'!$B$11+AC15*'Item Budget'!$B$10+AA15*'Item Budget'!$B$9+IFERROR(INDEX('Item Budget'!$M$25:$M$95,MATCH(AE15,'Item Budget'!$B$25:$B$95,0)),0)</f>
        <v/>
      </c>
      <c r="AG15" s="65">
        <f>X15*'Item Budget'!$B$5+AB15*'Item Budget'!$B$7+Z15*'Item Budget'!$B$11+AC15*'Item Budget'!$B$10+Y15*'Item Budget'!$B$6+AD15*'Item Budget'!$B$8+IFERROR(INDEX('Item Budget'!$N$25:$N$95,MATCH(AE15,'Item Budget'!$B$25:$B$95,0)),0)</f>
        <v/>
      </c>
      <c r="AH15" s="65">
        <f>MAX('Item Budget'!$F$16,INDEX('Item Budget'!$J$5:$J$10,MATCH($C15,'Item Budget'!$I$5:$I$10,0))+INDEX('Item Budget'!$K$5:$K$10,MATCH($C15,'Item Budget'!$I$5:$I$10,0))*MIN(W15,50))</f>
        <v/>
      </c>
      <c r="AI15" s="65">
        <f>AH15*$H15</f>
        <v/>
      </c>
      <c r="AJ15" s="49">
        <f>MAX(AF15,AG15)/AI15</f>
        <v/>
      </c>
      <c r="AK15" s="64" t="inlineStr">
        <is>
          <t>Pass 1 (applied): New accessory (anchor). Unchanged.</t>
        </is>
      </c>
      <c r="AL15" s="43">
        <f>IFERROR(INDEX('Item Budget'!$H$25:$H$95,MATCH(Q15,'Item Budget'!$B$25:$B$95,0)),0)</f>
        <v/>
      </c>
      <c r="AM15" s="43">
        <f>IFERROR(INDEX('Item Budget'!$H$25:$H$95,MATCH(AE15,'Item Budget'!$B$25:$B$95,0)),0)</f>
        <v/>
      </c>
      <c r="AN15" s="37" t="n">
        <v>0</v>
      </c>
      <c r="AO15" s="44">
        <f>IF(I15&lt;'Item Budget'!$R$10,0,'Item Budget'!$R$7*100*MAX(('Item Budget'!$R$14*(J15+25*N15)+'Item Budget'!$S$14*(K15+25*P15))/'Item Budget'!$Z$14,('Item Budget'!$R$15*(J15+25*N15)+'Item Budget'!$S$15*(K15+25*P15))/'Item Budget'!$Z$15,('Item Budget'!$R$16*(J15+25*N15)+'Item Budget'!$S$16*(K15+25*P15))/'Item Budget'!$Z$16,('Item Budget'!$R$17*(J15+25*N15)+'Item Budget'!$S$17*(K15+25*P15))/'Item Budget'!$Z$17)+'Item Budget'!$R$9*L15+IFERROR(INDEX('Item Budget'!$O$25:$O$95,MATCH(Q15,'Item Budget'!$B$25:$B$95,0)),0))</f>
        <v/>
      </c>
      <c r="AP15" s="44">
        <f>IF(W15&lt;'Item Budget'!$R$10,0,'Item Budget'!$R$7*100*MAX(('Item Budget'!$R$14*(X15+25*AB15)+'Item Budget'!$S$14*(Y15+25*AD15))/'Item Budget'!$Z$14,('Item Budget'!$R$15*(X15+25*AB15)+'Item Budget'!$S$15*(Y15+25*AD15))/'Item Budget'!$Z$15,('Item Budget'!$R$16*(X15+25*AB15)+'Item Budget'!$S$16*(Y15+25*AD15))/'Item Budget'!$Z$16,('Item Budget'!$R$17*(X15+25*AB15)+'Item Budget'!$S$17*(Y15+25*AD15))/'Item Budget'!$Z$17)+'Item Budget'!$R$9*Z15+IFERROR(INDEX('Item Budget'!$O$25:$O$95,MATCH(AE15,'Item Budget'!$B$25:$B$95,0)),0))</f>
        <v/>
      </c>
      <c r="AQ15" s="61">
        <f>IF(OR(AN15=0,AP15=0),"",SUMPRODUCT(MAX(($C$5:$C$88=C15)*($AN$5:$AN$88&lt;AN15)*$AP$5:$AP$88)))</f>
        <v/>
      </c>
      <c r="AR15" s="41">
        <f>IF(AQ15="","",IF(AQ15=0,1,SUMPRODUCT(MAX(($C$5:$C$88=C15)*($AN$5:$AN$88=AN15)*$AP$5:$AP$88))/AQ15-1))</f>
        <v/>
      </c>
      <c r="AS15" s="19">
        <f>IF(AR15="","",IF(AR15&gt;='Item Budget'!$R$11,"OK","Not above lower tier"))</f>
        <v/>
      </c>
    </row>
    <row r="16">
      <c r="A16" s="45" t="n">
        <v>670</v>
      </c>
      <c r="B16" s="45" t="inlineStr">
        <is>
          <t>Ring of the Vanguard</t>
        </is>
      </c>
      <c r="C16" s="45" t="inlineStr">
        <is>
          <t>Ring</t>
        </is>
      </c>
      <c r="D16" s="45" t="inlineStr">
        <is>
          <t>All</t>
        </is>
      </c>
      <c r="E16" s="45" t="inlineStr">
        <is>
          <t>drop:Fluffzilla(L32) 30%</t>
        </is>
      </c>
      <c r="F16" s="46" t="inlineStr">
        <is>
          <t>Anchor</t>
        </is>
      </c>
      <c r="G16" s="45" t="inlineStr">
        <is>
          <t>Common drop</t>
        </is>
      </c>
      <c r="H16" s="47">
        <f>INDEX('Item Budget'!$F$5:$F$13,MATCH(G16,'Item Budget'!$E$5:$E$13,0))+IF(D16="All",0,'Item Budget'!$F$15)+LOOKUP(AN16,'Item Budget'!$E$19:$E$23,'Item Budget'!$F$19:$F$23)</f>
        <v/>
      </c>
      <c r="I16" s="45" t="n">
        <v>33</v>
      </c>
      <c r="J16" s="45" t="n">
        <v>170</v>
      </c>
      <c r="K16" s="45" t="n">
        <v>110</v>
      </c>
      <c r="L16" s="45" t="n">
        <v>20</v>
      </c>
      <c r="M16" s="45" t="n">
        <v>12</v>
      </c>
      <c r="N16" s="45" t="n">
        <v>0</v>
      </c>
      <c r="O16" s="45" t="n">
        <v>12</v>
      </c>
      <c r="P16" s="45" t="n">
        <v>0</v>
      </c>
      <c r="Q16" s="45" t="inlineStr">
        <is>
          <t>Melee Critical IV</t>
        </is>
      </c>
      <c r="R16" s="65">
        <f>J16*'Item Budget'!$B$5+N16*'Item Budget'!$B$7+L16*'Item Budget'!$B$11+O16*'Item Budget'!$B$10+M16*'Item Budget'!$B$9+IFERROR(INDEX('Item Budget'!$M$25:$M$95,MATCH(Q16,'Item Budget'!$B$25:$B$95,0)),0)</f>
        <v/>
      </c>
      <c r="S16" s="65">
        <f>J16*'Item Budget'!$B$5+N16*'Item Budget'!$B$7+L16*'Item Budget'!$B$11+O16*'Item Budget'!$B$10+K16*'Item Budget'!$B$6+P16*'Item Budget'!$B$8+IFERROR(INDEX('Item Budget'!$N$25:$N$95,MATCH(Q16,'Item Budget'!$B$25:$B$95,0)),0)</f>
        <v/>
      </c>
      <c r="T16" s="65">
        <f>MAX('Item Budget'!$F$16,INDEX('Item Budget'!$J$5:$J$10,MATCH($C16,'Item Budget'!$I$5:$I$10,0))+INDEX('Item Budget'!$K$5:$K$10,MATCH($C16,'Item Budget'!$I$5:$I$10,0))*MIN(I16,50))</f>
        <v/>
      </c>
      <c r="U16" s="65">
        <f>T16*$H16</f>
        <v/>
      </c>
      <c r="V16" s="49">
        <f>MAX(R16,S16)/U16</f>
        <v/>
      </c>
      <c r="W16" s="21" t="n">
        <v>33</v>
      </c>
      <c r="X16" s="21" t="n">
        <v>170</v>
      </c>
      <c r="Y16" s="21" t="n">
        <v>110</v>
      </c>
      <c r="Z16" s="21" t="n">
        <v>20</v>
      </c>
      <c r="AA16" s="21" t="n">
        <v>12</v>
      </c>
      <c r="AB16" s="21" t="n">
        <v>0</v>
      </c>
      <c r="AC16" s="21" t="n">
        <v>12</v>
      </c>
      <c r="AD16" s="21" t="n">
        <v>0</v>
      </c>
      <c r="AE16" s="21" t="inlineStr">
        <is>
          <t>Melee Critical IV</t>
        </is>
      </c>
      <c r="AF16" s="65">
        <f>X16*'Item Budget'!$B$5+AB16*'Item Budget'!$B$7+Z16*'Item Budget'!$B$11+AC16*'Item Budget'!$B$10+AA16*'Item Budget'!$B$9+IFERROR(INDEX('Item Budget'!$M$25:$M$95,MATCH(AE16,'Item Budget'!$B$25:$B$95,0)),0)</f>
        <v/>
      </c>
      <c r="AG16" s="65">
        <f>X16*'Item Budget'!$B$5+AB16*'Item Budget'!$B$7+Z16*'Item Budget'!$B$11+AC16*'Item Budget'!$B$10+Y16*'Item Budget'!$B$6+AD16*'Item Budget'!$B$8+IFERROR(INDEX('Item Budget'!$N$25:$N$95,MATCH(AE16,'Item Budget'!$B$25:$B$95,0)),0)</f>
        <v/>
      </c>
      <c r="AH16" s="65">
        <f>MAX('Item Budget'!$F$16,INDEX('Item Budget'!$J$5:$J$10,MATCH($C16,'Item Budget'!$I$5:$I$10,0))+INDEX('Item Budget'!$K$5:$K$10,MATCH($C16,'Item Budget'!$I$5:$I$10,0))*MIN(W16,50))</f>
        <v/>
      </c>
      <c r="AI16" s="65">
        <f>AH16*$H16</f>
        <v/>
      </c>
      <c r="AJ16" s="49">
        <f>MAX(AF16,AG16)/AI16</f>
        <v/>
      </c>
      <c r="AK16" s="64" t="inlineStr">
        <is>
          <t>Pass 1 (applied): New accessory (anchor). Unchanged.</t>
        </is>
      </c>
      <c r="AL16" s="43">
        <f>IFERROR(INDEX('Item Budget'!$H$25:$H$95,MATCH(Q16,'Item Budget'!$B$25:$B$95,0)),0)</f>
        <v/>
      </c>
      <c r="AM16" s="43">
        <f>IFERROR(INDEX('Item Budget'!$H$25:$H$95,MATCH(AE16,'Item Budget'!$B$25:$B$95,0)),0)</f>
        <v/>
      </c>
      <c r="AN16" s="37" t="n">
        <v>0</v>
      </c>
      <c r="AO16" s="44">
        <f>IF(I16&lt;'Item Budget'!$R$10,0,'Item Budget'!$R$7*100*MAX(('Item Budget'!$R$14*(J16+25*N16)+'Item Budget'!$S$14*(K16+25*P16))/'Item Budget'!$Z$14,('Item Budget'!$R$15*(J16+25*N16)+'Item Budget'!$S$15*(K16+25*P16))/'Item Budget'!$Z$15,('Item Budget'!$R$16*(J16+25*N16)+'Item Budget'!$S$16*(K16+25*P16))/'Item Budget'!$Z$16,('Item Budget'!$R$17*(J16+25*N16)+'Item Budget'!$S$17*(K16+25*P16))/'Item Budget'!$Z$17)+'Item Budget'!$R$9*L16+IFERROR(INDEX('Item Budget'!$O$25:$O$95,MATCH(Q16,'Item Budget'!$B$25:$B$95,0)),0))</f>
        <v/>
      </c>
      <c r="AP16" s="44">
        <f>IF(W16&lt;'Item Budget'!$R$10,0,'Item Budget'!$R$7*100*MAX(('Item Budget'!$R$14*(X16+25*AB16)+'Item Budget'!$S$14*(Y16+25*AD16))/'Item Budget'!$Z$14,('Item Budget'!$R$15*(X16+25*AB16)+'Item Budget'!$S$15*(Y16+25*AD16))/'Item Budget'!$Z$15,('Item Budget'!$R$16*(X16+25*AB16)+'Item Budget'!$S$16*(Y16+25*AD16))/'Item Budget'!$Z$16,('Item Budget'!$R$17*(X16+25*AB16)+'Item Budget'!$S$17*(Y16+25*AD16))/'Item Budget'!$Z$17)+'Item Budget'!$R$9*Z16+IFERROR(INDEX('Item Budget'!$O$25:$O$95,MATCH(AE16,'Item Budget'!$B$25:$B$95,0)),0))</f>
        <v/>
      </c>
      <c r="AQ16" s="61">
        <f>IF(OR(AN16=0,AP16=0),"",SUMPRODUCT(MAX(($C$5:$C$88=C16)*($AN$5:$AN$88&lt;AN16)*$AP$5:$AP$88)))</f>
        <v/>
      </c>
      <c r="AR16" s="41">
        <f>IF(AQ16="","",IF(AQ16=0,1,SUMPRODUCT(MAX(($C$5:$C$88=C16)*($AN$5:$AN$88=AN16)*$AP$5:$AP$88))/AQ16-1))</f>
        <v/>
      </c>
      <c r="AS16" s="19">
        <f>IF(AR16="","",IF(AR16&gt;='Item Budget'!$R$11,"OK","Not above lower tier"))</f>
        <v/>
      </c>
    </row>
    <row r="17">
      <c r="A17" s="45" t="n">
        <v>675</v>
      </c>
      <c r="B17" s="45" t="inlineStr">
        <is>
          <t>Bracelet of Flames</t>
        </is>
      </c>
      <c r="C17" s="45" t="inlineStr">
        <is>
          <t>Ring</t>
        </is>
      </c>
      <c r="D17" s="45" t="inlineStr">
        <is>
          <t>All</t>
        </is>
      </c>
      <c r="E17" s="45" t="inlineStr">
        <is>
          <t>drop:Carrots(L33) 30%</t>
        </is>
      </c>
      <c r="F17" s="46" t="inlineStr">
        <is>
          <t>Anchor</t>
        </is>
      </c>
      <c r="G17" s="45" t="inlineStr">
        <is>
          <t>Common drop</t>
        </is>
      </c>
      <c r="H17" s="47">
        <f>INDEX('Item Budget'!$F$5:$F$13,MATCH(G17,'Item Budget'!$E$5:$E$13,0))+IF(D17="All",0,'Item Budget'!$F$15)+LOOKUP(AN17,'Item Budget'!$E$19:$E$23,'Item Budget'!$F$19:$F$23)</f>
        <v/>
      </c>
      <c r="I17" s="45" t="n">
        <v>33</v>
      </c>
      <c r="J17" s="45" t="n">
        <v>100</v>
      </c>
      <c r="K17" s="45" t="n">
        <v>175</v>
      </c>
      <c r="L17" s="45" t="n">
        <v>20</v>
      </c>
      <c r="M17" s="45" t="n">
        <v>0</v>
      </c>
      <c r="N17" s="45" t="n">
        <v>8</v>
      </c>
      <c r="O17" s="45" t="n">
        <v>0</v>
      </c>
      <c r="P17" s="45" t="n">
        <v>15</v>
      </c>
      <c r="Q17" s="45" t="inlineStr">
        <is>
          <t>Spell Critical IV</t>
        </is>
      </c>
      <c r="R17" s="65">
        <f>J17*'Item Budget'!$B$5+N17*'Item Budget'!$B$7+L17*'Item Budget'!$B$11+O17*'Item Budget'!$B$10+M17*'Item Budget'!$B$9+IFERROR(INDEX('Item Budget'!$M$25:$M$95,MATCH(Q17,'Item Budget'!$B$25:$B$95,0)),0)</f>
        <v/>
      </c>
      <c r="S17" s="65">
        <f>J17*'Item Budget'!$B$5+N17*'Item Budget'!$B$7+L17*'Item Budget'!$B$11+O17*'Item Budget'!$B$10+K17*'Item Budget'!$B$6+P17*'Item Budget'!$B$8+IFERROR(INDEX('Item Budget'!$N$25:$N$95,MATCH(Q17,'Item Budget'!$B$25:$B$95,0)),0)</f>
        <v/>
      </c>
      <c r="T17" s="65">
        <f>MAX('Item Budget'!$F$16,INDEX('Item Budget'!$J$5:$J$10,MATCH($C17,'Item Budget'!$I$5:$I$10,0))+INDEX('Item Budget'!$K$5:$K$10,MATCH($C17,'Item Budget'!$I$5:$I$10,0))*MIN(I17,50))</f>
        <v/>
      </c>
      <c r="U17" s="65">
        <f>T17*$H17</f>
        <v/>
      </c>
      <c r="V17" s="49">
        <f>MAX(R17,S17)/U17</f>
        <v/>
      </c>
      <c r="W17" s="21" t="n">
        <v>33</v>
      </c>
      <c r="X17" s="21" t="n">
        <v>100</v>
      </c>
      <c r="Y17" s="21" t="n">
        <v>175</v>
      </c>
      <c r="Z17" s="21" t="n">
        <v>20</v>
      </c>
      <c r="AA17" s="21" t="n">
        <v>0</v>
      </c>
      <c r="AB17" s="21" t="n">
        <v>8</v>
      </c>
      <c r="AC17" s="21" t="n">
        <v>0</v>
      </c>
      <c r="AD17" s="21" t="n">
        <v>15</v>
      </c>
      <c r="AE17" s="21" t="inlineStr">
        <is>
          <t>Spell Critical IV</t>
        </is>
      </c>
      <c r="AF17" s="65">
        <f>X17*'Item Budget'!$B$5+AB17*'Item Budget'!$B$7+Z17*'Item Budget'!$B$11+AC17*'Item Budget'!$B$10+AA17*'Item Budget'!$B$9+IFERROR(INDEX('Item Budget'!$M$25:$M$95,MATCH(AE17,'Item Budget'!$B$25:$B$95,0)),0)</f>
        <v/>
      </c>
      <c r="AG17" s="65">
        <f>X17*'Item Budget'!$B$5+AB17*'Item Budget'!$B$7+Z17*'Item Budget'!$B$11+AC17*'Item Budget'!$B$10+Y17*'Item Budget'!$B$6+AD17*'Item Budget'!$B$8+IFERROR(INDEX('Item Budget'!$N$25:$N$95,MATCH(AE17,'Item Budget'!$B$25:$B$95,0)),0)</f>
        <v/>
      </c>
      <c r="AH17" s="65">
        <f>MAX('Item Budget'!$F$16,INDEX('Item Budget'!$J$5:$J$10,MATCH($C17,'Item Budget'!$I$5:$I$10,0))+INDEX('Item Budget'!$K$5:$K$10,MATCH($C17,'Item Budget'!$I$5:$I$10,0))*MIN(W17,50))</f>
        <v/>
      </c>
      <c r="AI17" s="65">
        <f>AH17*$H17</f>
        <v/>
      </c>
      <c r="AJ17" s="49">
        <f>MAX(AF17,AG17)/AI17</f>
        <v/>
      </c>
      <c r="AK17" s="64" t="inlineStr">
        <is>
          <t>Pass 1 (applied): New accessory (anchor). Unchanged.</t>
        </is>
      </c>
      <c r="AL17" s="43">
        <f>IFERROR(INDEX('Item Budget'!$H$25:$H$95,MATCH(Q17,'Item Budget'!$B$25:$B$95,0)),0)</f>
        <v/>
      </c>
      <c r="AM17" s="43">
        <f>IFERROR(INDEX('Item Budget'!$H$25:$H$95,MATCH(AE17,'Item Budget'!$B$25:$B$95,0)),0)</f>
        <v/>
      </c>
      <c r="AN17" s="37" t="n">
        <v>0</v>
      </c>
      <c r="AO17" s="44">
        <f>IF(I17&lt;'Item Budget'!$R$10,0,'Item Budget'!$R$7*100*MAX(('Item Budget'!$R$14*(J17+25*N17)+'Item Budget'!$S$14*(K17+25*P17))/'Item Budget'!$Z$14,('Item Budget'!$R$15*(J17+25*N17)+'Item Budget'!$S$15*(K17+25*P17))/'Item Budget'!$Z$15,('Item Budget'!$R$16*(J17+25*N17)+'Item Budget'!$S$16*(K17+25*P17))/'Item Budget'!$Z$16,('Item Budget'!$R$17*(J17+25*N17)+'Item Budget'!$S$17*(K17+25*P17))/'Item Budget'!$Z$17)+'Item Budget'!$R$9*L17+IFERROR(INDEX('Item Budget'!$O$25:$O$95,MATCH(Q17,'Item Budget'!$B$25:$B$95,0)),0))</f>
        <v/>
      </c>
      <c r="AP17" s="44">
        <f>IF(W17&lt;'Item Budget'!$R$10,0,'Item Budget'!$R$7*100*MAX(('Item Budget'!$R$14*(X17+25*AB17)+'Item Budget'!$S$14*(Y17+25*AD17))/'Item Budget'!$Z$14,('Item Budget'!$R$15*(X17+25*AB17)+'Item Budget'!$S$15*(Y17+25*AD17))/'Item Budget'!$Z$15,('Item Budget'!$R$16*(X17+25*AB17)+'Item Budget'!$S$16*(Y17+25*AD17))/'Item Budget'!$Z$16,('Item Budget'!$R$17*(X17+25*AB17)+'Item Budget'!$S$17*(Y17+25*AD17))/'Item Budget'!$Z$17)+'Item Budget'!$R$9*Z17+IFERROR(INDEX('Item Budget'!$O$25:$O$95,MATCH(AE17,'Item Budget'!$B$25:$B$95,0)),0))</f>
        <v/>
      </c>
      <c r="AQ17" s="61">
        <f>IF(OR(AN17=0,AP17=0),"",SUMPRODUCT(MAX(($C$5:$C$88=C17)*($AN$5:$AN$88&lt;AN17)*$AP$5:$AP$88)))</f>
        <v/>
      </c>
      <c r="AR17" s="41">
        <f>IF(AQ17="","",IF(AQ17=0,1,SUMPRODUCT(MAX(($C$5:$C$88=C17)*($AN$5:$AN$88=AN17)*$AP$5:$AP$88))/AQ17-1))</f>
        <v/>
      </c>
      <c r="AS17" s="19">
        <f>IF(AR17="","",IF(AR17&gt;='Item Budget'!$R$11,"OK","Not above lower tier"))</f>
        <v/>
      </c>
    </row>
    <row r="18">
      <c r="A18" s="21" t="n">
        <v>137</v>
      </c>
      <c r="B18" s="21" t="inlineStr">
        <is>
          <t>Bracelet of Valiance</t>
        </is>
      </c>
      <c r="C18" s="21" t="inlineStr">
        <is>
          <t>Ring</t>
        </is>
      </c>
      <c r="D18" s="21" t="inlineStr">
        <is>
          <t>All</t>
        </is>
      </c>
      <c r="E18" s="21" t="inlineStr">
        <is>
          <t>drop:Nibbles(L45) 5%</t>
        </is>
      </c>
      <c r="F18" s="3" t="inlineStr">
        <is>
          <t>Buff</t>
        </is>
      </c>
      <c r="G18" s="21" t="inlineStr">
        <is>
          <t>Rare boss drop</t>
        </is>
      </c>
      <c r="H18" s="31">
        <f>INDEX('Item Budget'!$F$5:$F$13,MATCH(G18,'Item Budget'!$E$5:$E$13,0))+IF(D18="All",0,'Item Budget'!$F$15)+LOOKUP(AN18,'Item Budget'!$E$19:$E$23,'Item Budget'!$F$19:$F$23)</f>
        <v/>
      </c>
      <c r="I18" s="21" t="n">
        <v>40</v>
      </c>
      <c r="J18" s="21" t="n">
        <v>400</v>
      </c>
      <c r="K18" s="21" t="n">
        <v>0</v>
      </c>
      <c r="L18" s="21" t="n">
        <v>30</v>
      </c>
      <c r="M18" s="21" t="n">
        <v>12</v>
      </c>
      <c r="N18" s="21" t="n">
        <v>20</v>
      </c>
      <c r="O18" s="21" t="n">
        <v>5</v>
      </c>
      <c r="P18" s="21" t="n">
        <v>0</v>
      </c>
      <c r="Q18" s="21" t="inlineStr">
        <is>
          <t>Hit Point Regeneration D</t>
        </is>
      </c>
      <c r="R18" s="61">
        <f>J18*'Item Budget'!$B$5+N18*'Item Budget'!$B$7+L18*'Item Budget'!$B$11+O18*'Item Budget'!$B$10+M18*'Item Budget'!$B$9+IFERROR(INDEX('Item Budget'!$M$25:$M$95,MATCH(Q18,'Item Budget'!$B$25:$B$95,0)),0)</f>
        <v/>
      </c>
      <c r="S18" s="61">
        <f>J18*'Item Budget'!$B$5+N18*'Item Budget'!$B$7+L18*'Item Budget'!$B$11+O18*'Item Budget'!$B$10+K18*'Item Budget'!$B$6+P18*'Item Budget'!$B$8+IFERROR(INDEX('Item Budget'!$N$25:$N$95,MATCH(Q18,'Item Budget'!$B$25:$B$95,0)),0)</f>
        <v/>
      </c>
      <c r="T18" s="61">
        <f>MAX('Item Budget'!$F$16,INDEX('Item Budget'!$J$5:$J$10,MATCH($C18,'Item Budget'!$I$5:$I$10,0))+INDEX('Item Budget'!$K$5:$K$10,MATCH($C18,'Item Budget'!$I$5:$I$10,0))*MIN(I18,50))</f>
        <v/>
      </c>
      <c r="U18" s="61">
        <f>T18*$H18</f>
        <v/>
      </c>
      <c r="V18" s="41">
        <f>MAX(R18,S18)/U18</f>
        <v/>
      </c>
      <c r="W18" s="21" t="n">
        <v>40</v>
      </c>
      <c r="X18" s="21" t="n">
        <v>400</v>
      </c>
      <c r="Y18" s="21" t="n">
        <v>0</v>
      </c>
      <c r="Z18" s="21" t="n">
        <v>30</v>
      </c>
      <c r="AA18" s="21" t="n">
        <v>12</v>
      </c>
      <c r="AB18" s="21" t="n">
        <v>20</v>
      </c>
      <c r="AC18" s="21" t="n">
        <v>5</v>
      </c>
      <c r="AD18" s="21" t="n">
        <v>0</v>
      </c>
      <c r="AE18" s="21" t="inlineStr">
        <is>
          <t>Hit Point Regeneration D</t>
        </is>
      </c>
      <c r="AF18" s="61">
        <f>X18*'Item Budget'!$B$5+AB18*'Item Budget'!$B$7+Z18*'Item Budget'!$B$11+AC18*'Item Budget'!$B$10+AA18*'Item Budget'!$B$9+IFERROR(INDEX('Item Budget'!$M$25:$M$95,MATCH(AE18,'Item Budget'!$B$25:$B$95,0)),0)</f>
        <v/>
      </c>
      <c r="AG18" s="61">
        <f>X18*'Item Budget'!$B$5+AB18*'Item Budget'!$B$7+Z18*'Item Budget'!$B$11+AC18*'Item Budget'!$B$10+Y18*'Item Budget'!$B$6+AD18*'Item Budget'!$B$8+IFERROR(INDEX('Item Budget'!$N$25:$N$95,MATCH(AE18,'Item Budget'!$B$25:$B$95,0)),0)</f>
        <v/>
      </c>
      <c r="AH18" s="61">
        <f>MAX('Item Budget'!$F$16,INDEX('Item Budget'!$J$5:$J$10,MATCH($C18,'Item Budget'!$I$5:$I$10,0))+INDEX('Item Budget'!$K$5:$K$10,MATCH($C18,'Item Budget'!$I$5:$I$10,0))*MIN(W18,50))</f>
        <v/>
      </c>
      <c r="AI18" s="61">
        <f>AH18*$H18</f>
        <v/>
      </c>
      <c r="AJ18" s="41">
        <f>MAX(AF18,AG18)/AI18</f>
        <v/>
      </c>
      <c r="AK18" s="64" t="inlineStr">
        <is>
          <t>Pass 1 (applied): Was regen only (no stats). Keeps 500 HP/tick and gains Bulwark-style HP/STR.</t>
        </is>
      </c>
      <c r="AL18" s="43">
        <f>IFERROR(INDEX('Item Budget'!$H$25:$H$95,MATCH(Q18,'Item Budget'!$B$25:$B$95,0)),0)</f>
        <v/>
      </c>
      <c r="AM18" s="43">
        <f>IFERROR(INDEX('Item Budget'!$H$25:$H$95,MATCH(AE18,'Item Budget'!$B$25:$B$95,0)),0)</f>
        <v/>
      </c>
      <c r="AN18" s="37" t="n">
        <v>0</v>
      </c>
      <c r="AO18" s="44">
        <f>IF(I18&lt;'Item Budget'!$R$10,0,'Item Budget'!$R$7*100*MAX(('Item Budget'!$R$14*(J18+25*N18)+'Item Budget'!$S$14*(K18+25*P18))/'Item Budget'!$Z$14,('Item Budget'!$R$15*(J18+25*N18)+'Item Budget'!$S$15*(K18+25*P18))/'Item Budget'!$Z$15,('Item Budget'!$R$16*(J18+25*N18)+'Item Budget'!$S$16*(K18+25*P18))/'Item Budget'!$Z$16,('Item Budget'!$R$17*(J18+25*N18)+'Item Budget'!$S$17*(K18+25*P18))/'Item Budget'!$Z$17)+'Item Budget'!$R$9*L18+IFERROR(INDEX('Item Budget'!$O$25:$O$95,MATCH(Q18,'Item Budget'!$B$25:$B$95,0)),0))</f>
        <v/>
      </c>
      <c r="AP18" s="44">
        <f>IF(W18&lt;'Item Budget'!$R$10,0,'Item Budget'!$R$7*100*MAX(('Item Budget'!$R$14*(X18+25*AB18)+'Item Budget'!$S$14*(Y18+25*AD18))/'Item Budget'!$Z$14,('Item Budget'!$R$15*(X18+25*AB18)+'Item Budget'!$S$15*(Y18+25*AD18))/'Item Budget'!$Z$15,('Item Budget'!$R$16*(X18+25*AB18)+'Item Budget'!$S$16*(Y18+25*AD18))/'Item Budget'!$Z$16,('Item Budget'!$R$17*(X18+25*AB18)+'Item Budget'!$S$17*(Y18+25*AD18))/'Item Budget'!$Z$17)+'Item Budget'!$R$9*Z18+IFERROR(INDEX('Item Budget'!$O$25:$O$95,MATCH(AE18,'Item Budget'!$B$25:$B$95,0)),0))</f>
        <v/>
      </c>
      <c r="AQ18" s="61">
        <f>IF(OR(AN18=0,AP18=0),"",SUMPRODUCT(MAX(($C$5:$C$88=C18)*($AN$5:$AN$88&lt;AN18)*$AP$5:$AP$88)))</f>
        <v/>
      </c>
      <c r="AR18" s="41">
        <f>IF(AQ18="","",IF(AQ18=0,1,SUMPRODUCT(MAX(($C$5:$C$88=C18)*($AN$5:$AN$88=AN18)*$AP$5:$AP$88))/AQ18-1))</f>
        <v/>
      </c>
      <c r="AS18" s="19">
        <f>IF(AR18="","",IF(AR18&gt;='Item Budget'!$R$11,"OK","Not above lower tier"))</f>
        <v/>
      </c>
    </row>
    <row r="19">
      <c r="A19" s="21" t="n">
        <v>144</v>
      </c>
      <c r="B19" s="21" t="inlineStr">
        <is>
          <t>Ring of Valiance</t>
        </is>
      </c>
      <c r="C19" s="21" t="inlineStr">
        <is>
          <t>Ring</t>
        </is>
      </c>
      <c r="D19" s="21" t="inlineStr">
        <is>
          <t>All</t>
        </is>
      </c>
      <c r="E19" s="21" t="inlineStr">
        <is>
          <t>drop:Nibbles(L45) 5%</t>
        </is>
      </c>
      <c r="F19" s="3" t="inlineStr">
        <is>
          <t>Buff</t>
        </is>
      </c>
      <c r="G19" s="21" t="inlineStr">
        <is>
          <t>Rare boss drop</t>
        </is>
      </c>
      <c r="H19" s="31">
        <f>INDEX('Item Budget'!$F$5:$F$13,MATCH(G19,'Item Budget'!$E$5:$E$13,0))+IF(D19="All",0,'Item Budget'!$F$15)+LOOKUP(AN19,'Item Budget'!$E$19:$E$23,'Item Budget'!$F$19:$F$23)</f>
        <v/>
      </c>
      <c r="I19" s="21" t="n">
        <v>40</v>
      </c>
      <c r="J19" s="21" t="n">
        <v>150</v>
      </c>
      <c r="K19" s="21" t="n">
        <v>450</v>
      </c>
      <c r="L19" s="21" t="n">
        <v>25</v>
      </c>
      <c r="M19" s="21" t="n">
        <v>0</v>
      </c>
      <c r="N19" s="21" t="n">
        <v>10</v>
      </c>
      <c r="O19" s="21" t="n">
        <v>0</v>
      </c>
      <c r="P19" s="21" t="n">
        <v>28</v>
      </c>
      <c r="Q19" s="21" t="inlineStr">
        <is>
          <t>Mana Point Regeneration D</t>
        </is>
      </c>
      <c r="R19" s="61">
        <f>J19*'Item Budget'!$B$5+N19*'Item Budget'!$B$7+L19*'Item Budget'!$B$11+O19*'Item Budget'!$B$10+M19*'Item Budget'!$B$9+IFERROR(INDEX('Item Budget'!$M$25:$M$95,MATCH(Q19,'Item Budget'!$B$25:$B$95,0)),0)</f>
        <v/>
      </c>
      <c r="S19" s="61">
        <f>J19*'Item Budget'!$B$5+N19*'Item Budget'!$B$7+L19*'Item Budget'!$B$11+O19*'Item Budget'!$B$10+K19*'Item Budget'!$B$6+P19*'Item Budget'!$B$8+IFERROR(INDEX('Item Budget'!$N$25:$N$95,MATCH(Q19,'Item Budget'!$B$25:$B$95,0)),0)</f>
        <v/>
      </c>
      <c r="T19" s="61">
        <f>MAX('Item Budget'!$F$16,INDEX('Item Budget'!$J$5:$J$10,MATCH($C19,'Item Budget'!$I$5:$I$10,0))+INDEX('Item Budget'!$K$5:$K$10,MATCH($C19,'Item Budget'!$I$5:$I$10,0))*MIN(I19,50))</f>
        <v/>
      </c>
      <c r="U19" s="61">
        <f>T19*$H19</f>
        <v/>
      </c>
      <c r="V19" s="41">
        <f>MAX(R19,S19)/U19</f>
        <v/>
      </c>
      <c r="W19" s="21" t="n">
        <v>40</v>
      </c>
      <c r="X19" s="21" t="n">
        <v>150</v>
      </c>
      <c r="Y19" s="21" t="n">
        <v>450</v>
      </c>
      <c r="Z19" s="21" t="n">
        <v>25</v>
      </c>
      <c r="AA19" s="21" t="n">
        <v>0</v>
      </c>
      <c r="AB19" s="21" t="n">
        <v>10</v>
      </c>
      <c r="AC19" s="21" t="n">
        <v>0</v>
      </c>
      <c r="AD19" s="21" t="n">
        <v>28</v>
      </c>
      <c r="AE19" s="21" t="inlineStr">
        <is>
          <t>Mana Point Regeneration D</t>
        </is>
      </c>
      <c r="AF19" s="61">
        <f>X19*'Item Budget'!$B$5+AB19*'Item Budget'!$B$7+Z19*'Item Budget'!$B$11+AC19*'Item Budget'!$B$10+AA19*'Item Budget'!$B$9+IFERROR(INDEX('Item Budget'!$M$25:$M$95,MATCH(AE19,'Item Budget'!$B$25:$B$95,0)),0)</f>
        <v/>
      </c>
      <c r="AG19" s="61">
        <f>X19*'Item Budget'!$B$5+AB19*'Item Budget'!$B$7+Z19*'Item Budget'!$B$11+AC19*'Item Budget'!$B$10+Y19*'Item Budget'!$B$6+AD19*'Item Budget'!$B$8+IFERROR(INDEX('Item Budget'!$N$25:$N$95,MATCH(AE19,'Item Budget'!$B$25:$B$95,0)),0)</f>
        <v/>
      </c>
      <c r="AH19" s="61">
        <f>MAX('Item Budget'!$F$16,INDEX('Item Budget'!$J$5:$J$10,MATCH($C19,'Item Budget'!$I$5:$I$10,0))+INDEX('Item Budget'!$K$5:$K$10,MATCH($C19,'Item Budget'!$I$5:$I$10,0))*MIN(W19,50))</f>
        <v/>
      </c>
      <c r="AI19" s="61">
        <f>AH19*$H19</f>
        <v/>
      </c>
      <c r="AJ19" s="41">
        <f>MAX(AF19,AG19)/AI19</f>
        <v/>
      </c>
      <c r="AK19" s="64" t="inlineStr">
        <is>
          <t>Pass 1 (applied): Caster twin of the Bracelet: keeps 500 MP/tick and gains MP/INT.</t>
        </is>
      </c>
      <c r="AL19" s="43">
        <f>IFERROR(INDEX('Item Budget'!$H$25:$H$95,MATCH(Q19,'Item Budget'!$B$25:$B$95,0)),0)</f>
        <v/>
      </c>
      <c r="AM19" s="43">
        <f>IFERROR(INDEX('Item Budget'!$H$25:$H$95,MATCH(AE19,'Item Budget'!$B$25:$B$95,0)),0)</f>
        <v/>
      </c>
      <c r="AN19" s="37" t="n">
        <v>0</v>
      </c>
      <c r="AO19" s="44">
        <f>IF(I19&lt;'Item Budget'!$R$10,0,'Item Budget'!$R$7*100*MAX(('Item Budget'!$R$14*(J19+25*N19)+'Item Budget'!$S$14*(K19+25*P19))/'Item Budget'!$Z$14,('Item Budget'!$R$15*(J19+25*N19)+'Item Budget'!$S$15*(K19+25*P19))/'Item Budget'!$Z$15,('Item Budget'!$R$16*(J19+25*N19)+'Item Budget'!$S$16*(K19+25*P19))/'Item Budget'!$Z$16,('Item Budget'!$R$17*(J19+25*N19)+'Item Budget'!$S$17*(K19+25*P19))/'Item Budget'!$Z$17)+'Item Budget'!$R$9*L19+IFERROR(INDEX('Item Budget'!$O$25:$O$95,MATCH(Q19,'Item Budget'!$B$25:$B$95,0)),0))</f>
        <v/>
      </c>
      <c r="AP19" s="44">
        <f>IF(W19&lt;'Item Budget'!$R$10,0,'Item Budget'!$R$7*100*MAX(('Item Budget'!$R$14*(X19+25*AB19)+'Item Budget'!$S$14*(Y19+25*AD19))/'Item Budget'!$Z$14,('Item Budget'!$R$15*(X19+25*AB19)+'Item Budget'!$S$15*(Y19+25*AD19))/'Item Budget'!$Z$15,('Item Budget'!$R$16*(X19+25*AB19)+'Item Budget'!$S$16*(Y19+25*AD19))/'Item Budget'!$Z$16,('Item Budget'!$R$17*(X19+25*AB19)+'Item Budget'!$S$17*(Y19+25*AD19))/'Item Budget'!$Z$17)+'Item Budget'!$R$9*Z19+IFERROR(INDEX('Item Budget'!$O$25:$O$95,MATCH(AE19,'Item Budget'!$B$25:$B$95,0)),0))</f>
        <v/>
      </c>
      <c r="AQ19" s="61">
        <f>IF(OR(AN19=0,AP19=0),"",SUMPRODUCT(MAX(($C$5:$C$88=C19)*($AN$5:$AN$88&lt;AN19)*$AP$5:$AP$88)))</f>
        <v/>
      </c>
      <c r="AR19" s="41">
        <f>IF(AQ19="","",IF(AQ19=0,1,SUMPRODUCT(MAX(($C$5:$C$88=C19)*($AN$5:$AN$88=AN19)*$AP$5:$AP$88))/AQ19-1))</f>
        <v/>
      </c>
      <c r="AS19" s="19">
        <f>IF(AR19="","",IF(AR19&gt;='Item Budget'!$R$11,"OK","Not above lower tier"))</f>
        <v/>
      </c>
    </row>
    <row r="20">
      <c r="A20" s="45" t="n">
        <v>671</v>
      </c>
      <c r="B20" s="45" t="inlineStr">
        <is>
          <t>Ring of the Warlord</t>
        </is>
      </c>
      <c r="C20" s="45" t="inlineStr">
        <is>
          <t>Ring</t>
        </is>
      </c>
      <c r="D20" s="45" t="inlineStr">
        <is>
          <t>All</t>
        </is>
      </c>
      <c r="E20" s="45" t="inlineStr">
        <is>
          <t>drop:Captain Persecution(L46) 15%</t>
        </is>
      </c>
      <c r="F20" s="46" t="inlineStr">
        <is>
          <t>Anchor</t>
        </is>
      </c>
      <c r="G20" s="45" t="inlineStr">
        <is>
          <t>Common drop</t>
        </is>
      </c>
      <c r="H20" s="47">
        <f>INDEX('Item Budget'!$F$5:$F$13,MATCH(G20,'Item Budget'!$E$5:$E$13,0))+IF(D20="All",0,'Item Budget'!$F$15)+LOOKUP(AN20,'Item Budget'!$E$19:$E$23,'Item Budget'!$F$19:$F$23)</f>
        <v/>
      </c>
      <c r="I20" s="45" t="n">
        <v>43</v>
      </c>
      <c r="J20" s="45" t="n">
        <v>220</v>
      </c>
      <c r="K20" s="45" t="n">
        <v>140</v>
      </c>
      <c r="L20" s="45" t="n">
        <v>28</v>
      </c>
      <c r="M20" s="45" t="n">
        <v>16</v>
      </c>
      <c r="N20" s="45" t="n">
        <v>0</v>
      </c>
      <c r="O20" s="45" t="n">
        <v>16</v>
      </c>
      <c r="P20" s="45" t="n">
        <v>0</v>
      </c>
      <c r="Q20" s="45" t="inlineStr">
        <is>
          <t>Melee Critical Damage V</t>
        </is>
      </c>
      <c r="R20" s="65">
        <f>J20*'Item Budget'!$B$5+N20*'Item Budget'!$B$7+L20*'Item Budget'!$B$11+O20*'Item Budget'!$B$10+M20*'Item Budget'!$B$9+IFERROR(INDEX('Item Budget'!$M$25:$M$95,MATCH(Q20,'Item Budget'!$B$25:$B$95,0)),0)</f>
        <v/>
      </c>
      <c r="S20" s="65">
        <f>J20*'Item Budget'!$B$5+N20*'Item Budget'!$B$7+L20*'Item Budget'!$B$11+O20*'Item Budget'!$B$10+K20*'Item Budget'!$B$6+P20*'Item Budget'!$B$8+IFERROR(INDEX('Item Budget'!$N$25:$N$95,MATCH(Q20,'Item Budget'!$B$25:$B$95,0)),0)</f>
        <v/>
      </c>
      <c r="T20" s="65">
        <f>MAX('Item Budget'!$F$16,INDEX('Item Budget'!$J$5:$J$10,MATCH($C20,'Item Budget'!$I$5:$I$10,0))+INDEX('Item Budget'!$K$5:$K$10,MATCH($C20,'Item Budget'!$I$5:$I$10,0))*MIN(I20,50))</f>
        <v/>
      </c>
      <c r="U20" s="65">
        <f>T20*$H20</f>
        <v/>
      </c>
      <c r="V20" s="49">
        <f>MAX(R20,S20)/U20</f>
        <v/>
      </c>
      <c r="W20" s="21" t="n">
        <v>43</v>
      </c>
      <c r="X20" s="21" t="n">
        <v>220</v>
      </c>
      <c r="Y20" s="21" t="n">
        <v>140</v>
      </c>
      <c r="Z20" s="21" t="n">
        <v>28</v>
      </c>
      <c r="AA20" s="21" t="n">
        <v>16</v>
      </c>
      <c r="AB20" s="21" t="n">
        <v>0</v>
      </c>
      <c r="AC20" s="21" t="n">
        <v>16</v>
      </c>
      <c r="AD20" s="21" t="n">
        <v>0</v>
      </c>
      <c r="AE20" s="21" t="inlineStr">
        <is>
          <t>Melee Critical Damage V</t>
        </is>
      </c>
      <c r="AF20" s="65">
        <f>X20*'Item Budget'!$B$5+AB20*'Item Budget'!$B$7+Z20*'Item Budget'!$B$11+AC20*'Item Budget'!$B$10+AA20*'Item Budget'!$B$9+IFERROR(INDEX('Item Budget'!$M$25:$M$95,MATCH(AE20,'Item Budget'!$B$25:$B$95,0)),0)</f>
        <v/>
      </c>
      <c r="AG20" s="65">
        <f>X20*'Item Budget'!$B$5+AB20*'Item Budget'!$B$7+Z20*'Item Budget'!$B$11+AC20*'Item Budget'!$B$10+Y20*'Item Budget'!$B$6+AD20*'Item Budget'!$B$8+IFERROR(INDEX('Item Budget'!$N$25:$N$95,MATCH(AE20,'Item Budget'!$B$25:$B$95,0)),0)</f>
        <v/>
      </c>
      <c r="AH20" s="65">
        <f>MAX('Item Budget'!$F$16,INDEX('Item Budget'!$J$5:$J$10,MATCH($C20,'Item Budget'!$I$5:$I$10,0))+INDEX('Item Budget'!$K$5:$K$10,MATCH($C20,'Item Budget'!$I$5:$I$10,0))*MIN(W20,50))</f>
        <v/>
      </c>
      <c r="AI20" s="65">
        <f>AH20*$H20</f>
        <v/>
      </c>
      <c r="AJ20" s="49">
        <f>MAX(AF20,AG20)/AI20</f>
        <v/>
      </c>
      <c r="AK20" s="64" t="inlineStr">
        <is>
          <t>Pass 1 (applied): New accessory (anchor). Unchanged.</t>
        </is>
      </c>
      <c r="AL20" s="43">
        <f>IFERROR(INDEX('Item Budget'!$H$25:$H$95,MATCH(Q20,'Item Budget'!$B$25:$B$95,0)),0)</f>
        <v/>
      </c>
      <c r="AM20" s="43">
        <f>IFERROR(INDEX('Item Budget'!$H$25:$H$95,MATCH(AE20,'Item Budget'!$B$25:$B$95,0)),0)</f>
        <v/>
      </c>
      <c r="AN20" s="37" t="n">
        <v>0</v>
      </c>
      <c r="AO20" s="44">
        <f>IF(I20&lt;'Item Budget'!$R$10,0,'Item Budget'!$R$7*100*MAX(('Item Budget'!$R$14*(J20+25*N20)+'Item Budget'!$S$14*(K20+25*P20))/'Item Budget'!$Z$14,('Item Budget'!$R$15*(J20+25*N20)+'Item Budget'!$S$15*(K20+25*P20))/'Item Budget'!$Z$15,('Item Budget'!$R$16*(J20+25*N20)+'Item Budget'!$S$16*(K20+25*P20))/'Item Budget'!$Z$16,('Item Budget'!$R$17*(J20+25*N20)+'Item Budget'!$S$17*(K20+25*P20))/'Item Budget'!$Z$17)+'Item Budget'!$R$9*L20+IFERROR(INDEX('Item Budget'!$O$25:$O$95,MATCH(Q20,'Item Budget'!$B$25:$B$95,0)),0))</f>
        <v/>
      </c>
      <c r="AP20" s="44">
        <f>IF(W20&lt;'Item Budget'!$R$10,0,'Item Budget'!$R$7*100*MAX(('Item Budget'!$R$14*(X20+25*AB20)+'Item Budget'!$S$14*(Y20+25*AD20))/'Item Budget'!$Z$14,('Item Budget'!$R$15*(X20+25*AB20)+'Item Budget'!$S$15*(Y20+25*AD20))/'Item Budget'!$Z$15,('Item Budget'!$R$16*(X20+25*AB20)+'Item Budget'!$S$16*(Y20+25*AD20))/'Item Budget'!$Z$16,('Item Budget'!$R$17*(X20+25*AB20)+'Item Budget'!$S$17*(Y20+25*AD20))/'Item Budget'!$Z$17)+'Item Budget'!$R$9*Z20+IFERROR(INDEX('Item Budget'!$O$25:$O$95,MATCH(AE20,'Item Budget'!$B$25:$B$95,0)),0))</f>
        <v/>
      </c>
      <c r="AQ20" s="61">
        <f>IF(OR(AN20=0,AP20=0),"",SUMPRODUCT(MAX(($C$5:$C$88=C20)*($AN$5:$AN$88&lt;AN20)*$AP$5:$AP$88)))</f>
        <v/>
      </c>
      <c r="AR20" s="41">
        <f>IF(AQ20="","",IF(AQ20=0,1,SUMPRODUCT(MAX(($C$5:$C$88=C20)*($AN$5:$AN$88=AN20)*$AP$5:$AP$88))/AQ20-1))</f>
        <v/>
      </c>
      <c r="AS20" s="19">
        <f>IF(AR20="","",IF(AR20&gt;='Item Budget'!$R$11,"OK","Not above lower tier"))</f>
        <v/>
      </c>
    </row>
    <row r="21">
      <c r="A21" s="45" t="n">
        <v>676</v>
      </c>
      <c r="B21" s="45" t="inlineStr">
        <is>
          <t>Bracelet of the Inferno</t>
        </is>
      </c>
      <c r="C21" s="45" t="inlineStr">
        <is>
          <t>Ring</t>
        </is>
      </c>
      <c r="D21" s="45" t="inlineStr">
        <is>
          <t>All</t>
        </is>
      </c>
      <c r="E21" s="45" t="inlineStr">
        <is>
          <t>drop:Captain Persecution(L46) 15%</t>
        </is>
      </c>
      <c r="F21" s="46" t="inlineStr">
        <is>
          <t>Anchor</t>
        </is>
      </c>
      <c r="G21" s="45" t="inlineStr">
        <is>
          <t>Common drop</t>
        </is>
      </c>
      <c r="H21" s="47">
        <f>INDEX('Item Budget'!$F$5:$F$13,MATCH(G21,'Item Budget'!$E$5:$E$13,0))+IF(D21="All",0,'Item Budget'!$F$15)+LOOKUP(AN21,'Item Budget'!$E$19:$E$23,'Item Budget'!$F$19:$F$23)</f>
        <v/>
      </c>
      <c r="I21" s="45" t="n">
        <v>43</v>
      </c>
      <c r="J21" s="45" t="n">
        <v>130</v>
      </c>
      <c r="K21" s="45" t="n">
        <v>230</v>
      </c>
      <c r="L21" s="45" t="n">
        <v>25</v>
      </c>
      <c r="M21" s="45" t="n">
        <v>0</v>
      </c>
      <c r="N21" s="45" t="n">
        <v>12</v>
      </c>
      <c r="O21" s="45" t="n">
        <v>0</v>
      </c>
      <c r="P21" s="45" t="n">
        <v>20</v>
      </c>
      <c r="Q21" s="45" t="inlineStr">
        <is>
          <t>Spell Critical Damage V</t>
        </is>
      </c>
      <c r="R21" s="65">
        <f>J21*'Item Budget'!$B$5+N21*'Item Budget'!$B$7+L21*'Item Budget'!$B$11+O21*'Item Budget'!$B$10+M21*'Item Budget'!$B$9+IFERROR(INDEX('Item Budget'!$M$25:$M$95,MATCH(Q21,'Item Budget'!$B$25:$B$95,0)),0)</f>
        <v/>
      </c>
      <c r="S21" s="65">
        <f>J21*'Item Budget'!$B$5+N21*'Item Budget'!$B$7+L21*'Item Budget'!$B$11+O21*'Item Budget'!$B$10+K21*'Item Budget'!$B$6+P21*'Item Budget'!$B$8+IFERROR(INDEX('Item Budget'!$N$25:$N$95,MATCH(Q21,'Item Budget'!$B$25:$B$95,0)),0)</f>
        <v/>
      </c>
      <c r="T21" s="65">
        <f>MAX('Item Budget'!$F$16,INDEX('Item Budget'!$J$5:$J$10,MATCH($C21,'Item Budget'!$I$5:$I$10,0))+INDEX('Item Budget'!$K$5:$K$10,MATCH($C21,'Item Budget'!$I$5:$I$10,0))*MIN(I21,50))</f>
        <v/>
      </c>
      <c r="U21" s="65">
        <f>T21*$H21</f>
        <v/>
      </c>
      <c r="V21" s="49">
        <f>MAX(R21,S21)/U21</f>
        <v/>
      </c>
      <c r="W21" s="21" t="n">
        <v>43</v>
      </c>
      <c r="X21" s="21" t="n">
        <v>130</v>
      </c>
      <c r="Y21" s="21" t="n">
        <v>230</v>
      </c>
      <c r="Z21" s="21" t="n">
        <v>25</v>
      </c>
      <c r="AA21" s="21" t="n">
        <v>0</v>
      </c>
      <c r="AB21" s="21" t="n">
        <v>12</v>
      </c>
      <c r="AC21" s="21" t="n">
        <v>0</v>
      </c>
      <c r="AD21" s="21" t="n">
        <v>20</v>
      </c>
      <c r="AE21" s="21" t="inlineStr">
        <is>
          <t>Spell Critical Damage V</t>
        </is>
      </c>
      <c r="AF21" s="65">
        <f>X21*'Item Budget'!$B$5+AB21*'Item Budget'!$B$7+Z21*'Item Budget'!$B$11+AC21*'Item Budget'!$B$10+AA21*'Item Budget'!$B$9+IFERROR(INDEX('Item Budget'!$M$25:$M$95,MATCH(AE21,'Item Budget'!$B$25:$B$95,0)),0)</f>
        <v/>
      </c>
      <c r="AG21" s="65">
        <f>X21*'Item Budget'!$B$5+AB21*'Item Budget'!$B$7+Z21*'Item Budget'!$B$11+AC21*'Item Budget'!$B$10+Y21*'Item Budget'!$B$6+AD21*'Item Budget'!$B$8+IFERROR(INDEX('Item Budget'!$N$25:$N$95,MATCH(AE21,'Item Budget'!$B$25:$B$95,0)),0)</f>
        <v/>
      </c>
      <c r="AH21" s="65">
        <f>MAX('Item Budget'!$F$16,INDEX('Item Budget'!$J$5:$J$10,MATCH($C21,'Item Budget'!$I$5:$I$10,0))+INDEX('Item Budget'!$K$5:$K$10,MATCH($C21,'Item Budget'!$I$5:$I$10,0))*MIN(W21,50))</f>
        <v/>
      </c>
      <c r="AI21" s="65">
        <f>AH21*$H21</f>
        <v/>
      </c>
      <c r="AJ21" s="49">
        <f>MAX(AF21,AG21)/AI21</f>
        <v/>
      </c>
      <c r="AK21" s="64" t="inlineStr">
        <is>
          <t>Pass 1 (applied): New accessory (anchor). Unchanged.</t>
        </is>
      </c>
      <c r="AL21" s="43">
        <f>IFERROR(INDEX('Item Budget'!$H$25:$H$95,MATCH(Q21,'Item Budget'!$B$25:$B$95,0)),0)</f>
        <v/>
      </c>
      <c r="AM21" s="43">
        <f>IFERROR(INDEX('Item Budget'!$H$25:$H$95,MATCH(AE21,'Item Budget'!$B$25:$B$95,0)),0)</f>
        <v/>
      </c>
      <c r="AN21" s="37" t="n">
        <v>0</v>
      </c>
      <c r="AO21" s="44">
        <f>IF(I21&lt;'Item Budget'!$R$10,0,'Item Budget'!$R$7*100*MAX(('Item Budget'!$R$14*(J21+25*N21)+'Item Budget'!$S$14*(K21+25*P21))/'Item Budget'!$Z$14,('Item Budget'!$R$15*(J21+25*N21)+'Item Budget'!$S$15*(K21+25*P21))/'Item Budget'!$Z$15,('Item Budget'!$R$16*(J21+25*N21)+'Item Budget'!$S$16*(K21+25*P21))/'Item Budget'!$Z$16,('Item Budget'!$R$17*(J21+25*N21)+'Item Budget'!$S$17*(K21+25*P21))/'Item Budget'!$Z$17)+'Item Budget'!$R$9*L21+IFERROR(INDEX('Item Budget'!$O$25:$O$95,MATCH(Q21,'Item Budget'!$B$25:$B$95,0)),0))</f>
        <v/>
      </c>
      <c r="AP21" s="44">
        <f>IF(W21&lt;'Item Budget'!$R$10,0,'Item Budget'!$R$7*100*MAX(('Item Budget'!$R$14*(X21+25*AB21)+'Item Budget'!$S$14*(Y21+25*AD21))/'Item Budget'!$Z$14,('Item Budget'!$R$15*(X21+25*AB21)+'Item Budget'!$S$15*(Y21+25*AD21))/'Item Budget'!$Z$15,('Item Budget'!$R$16*(X21+25*AB21)+'Item Budget'!$S$16*(Y21+25*AD21))/'Item Budget'!$Z$16,('Item Budget'!$R$17*(X21+25*AB21)+'Item Budget'!$S$17*(Y21+25*AD21))/'Item Budget'!$Z$17)+'Item Budget'!$R$9*Z21+IFERROR(INDEX('Item Budget'!$O$25:$O$95,MATCH(AE21,'Item Budget'!$B$25:$B$95,0)),0))</f>
        <v/>
      </c>
      <c r="AQ21" s="61">
        <f>IF(OR(AN21=0,AP21=0),"",SUMPRODUCT(MAX(($C$5:$C$88=C21)*($AN$5:$AN$88&lt;AN21)*$AP$5:$AP$88)))</f>
        <v/>
      </c>
      <c r="AR21" s="41">
        <f>IF(AQ21="","",IF(AQ21=0,1,SUMPRODUCT(MAX(($C$5:$C$88=C21)*($AN$5:$AN$88=AN21)*$AP$5:$AP$88))/AQ21-1))</f>
        <v/>
      </c>
      <c r="AS21" s="19">
        <f>IF(AR21="","",IF(AR21&gt;='Item Budget'!$R$11,"OK","Not above lower tier"))</f>
        <v/>
      </c>
    </row>
    <row r="22">
      <c r="A22" s="21" t="n">
        <v>135</v>
      </c>
      <c r="B22" s="21" t="inlineStr">
        <is>
          <t>Beefs Immortality</t>
        </is>
      </c>
      <c r="C22" s="21" t="inlineStr">
        <is>
          <t>Ring</t>
        </is>
      </c>
      <c r="D22" s="21" t="inlineStr">
        <is>
          <t>All</t>
        </is>
      </c>
      <c r="E22" s="21" t="inlineStr">
        <is>
          <t>drop:Beefcake(L50) 5%</t>
        </is>
      </c>
      <c r="F22" s="3" t="inlineStr">
        <is>
          <t>Buff</t>
        </is>
      </c>
      <c r="G22" s="21" t="inlineStr">
        <is>
          <t>Rare boss drop</t>
        </is>
      </c>
      <c r="H22" s="31">
        <f>INDEX('Item Budget'!$F$5:$F$13,MATCH(G22,'Item Budget'!$E$5:$E$13,0))+IF(D22="All",0,'Item Budget'!$F$15)+LOOKUP(AN22,'Item Budget'!$E$19:$E$23,'Item Budget'!$F$19:$F$23)</f>
        <v/>
      </c>
      <c r="I22" s="21" t="n">
        <v>50</v>
      </c>
      <c r="J22" s="21" t="n">
        <v>600</v>
      </c>
      <c r="K22" s="21" t="n">
        <v>600</v>
      </c>
      <c r="L22" s="21" t="n">
        <v>80</v>
      </c>
      <c r="M22" s="21" t="n">
        <v>20</v>
      </c>
      <c r="N22" s="21" t="n">
        <v>20</v>
      </c>
      <c r="O22" s="21" t="n">
        <v>20</v>
      </c>
      <c r="P22" s="21" t="n">
        <v>20</v>
      </c>
      <c r="Q22" s="21" t="inlineStr">
        <is>
          <t>Spell Critical and Damage III</t>
        </is>
      </c>
      <c r="R22" s="61">
        <f>J22*'Item Budget'!$B$5+N22*'Item Budget'!$B$7+L22*'Item Budget'!$B$11+O22*'Item Budget'!$B$10+M22*'Item Budget'!$B$9+IFERROR(INDEX('Item Budget'!$M$25:$M$95,MATCH(Q22,'Item Budget'!$B$25:$B$95,0)),0)</f>
        <v/>
      </c>
      <c r="S22" s="61">
        <f>J22*'Item Budget'!$B$5+N22*'Item Budget'!$B$7+L22*'Item Budget'!$B$11+O22*'Item Budget'!$B$10+K22*'Item Budget'!$B$6+P22*'Item Budget'!$B$8+IFERROR(INDEX('Item Budget'!$N$25:$N$95,MATCH(Q22,'Item Budget'!$B$25:$B$95,0)),0)</f>
        <v/>
      </c>
      <c r="T22" s="61">
        <f>MAX('Item Budget'!$F$16,INDEX('Item Budget'!$J$5:$J$10,MATCH($C22,'Item Budget'!$I$5:$I$10,0))+INDEX('Item Budget'!$K$5:$K$10,MATCH($C22,'Item Budget'!$I$5:$I$10,0))*MIN(I22,50))</f>
        <v/>
      </c>
      <c r="U22" s="61">
        <f>T22*$H22</f>
        <v/>
      </c>
      <c r="V22" s="41">
        <f>MAX(R22,S22)/U22</f>
        <v/>
      </c>
      <c r="W22" s="21" t="n">
        <v>50</v>
      </c>
      <c r="X22" s="21" t="n">
        <v>600</v>
      </c>
      <c r="Y22" s="21" t="n">
        <v>600</v>
      </c>
      <c r="Z22" s="21" t="n">
        <v>80</v>
      </c>
      <c r="AA22" s="21" t="n">
        <v>20</v>
      </c>
      <c r="AB22" s="21" t="n">
        <v>20</v>
      </c>
      <c r="AC22" s="21" t="n">
        <v>20</v>
      </c>
      <c r="AD22" s="21" t="n">
        <v>20</v>
      </c>
      <c r="AE22" s="21" t="inlineStr">
        <is>
          <t>Spell Critical and Damage III</t>
        </is>
      </c>
      <c r="AF22" s="61">
        <f>X22*'Item Budget'!$B$5+AB22*'Item Budget'!$B$7+Z22*'Item Budget'!$B$11+AC22*'Item Budget'!$B$10+AA22*'Item Budget'!$B$9+IFERROR(INDEX('Item Budget'!$M$25:$M$95,MATCH(AE22,'Item Budget'!$B$25:$B$95,0)),0)</f>
        <v/>
      </c>
      <c r="AG22" s="61">
        <f>X22*'Item Budget'!$B$5+AB22*'Item Budget'!$B$7+Z22*'Item Budget'!$B$11+AC22*'Item Budget'!$B$10+Y22*'Item Budget'!$B$6+AD22*'Item Budget'!$B$8+IFERROR(INDEX('Item Budget'!$N$25:$N$95,MATCH(AE22,'Item Budget'!$B$25:$B$95,0)),0)</f>
        <v/>
      </c>
      <c r="AH22" s="61">
        <f>MAX('Item Budget'!$F$16,INDEX('Item Budget'!$J$5:$J$10,MATCH($C22,'Item Budget'!$I$5:$I$10,0))+INDEX('Item Budget'!$K$5:$K$10,MATCH($C22,'Item Budget'!$I$5:$I$10,0))*MIN(W22,50))</f>
        <v/>
      </c>
      <c r="AI22" s="61">
        <f>AH22*$H22</f>
        <v/>
      </c>
      <c r="AJ22" s="41">
        <f>MAX(AF22,AG22)/AI22</f>
        <v/>
      </c>
      <c r="AK22" s="64" t="inlineStr">
        <is>
          <t>Pass 1 (applied): 5% boss drop: 3% spell damage + 3% spell crit, a real upgrade for 10M+ players.</t>
        </is>
      </c>
      <c r="AL22" s="43">
        <f>IFERROR(INDEX('Item Budget'!$H$25:$H$95,MATCH(Q22,'Item Budget'!$B$25:$B$95,0)),0)</f>
        <v/>
      </c>
      <c r="AM22" s="43">
        <f>IFERROR(INDEX('Item Budget'!$H$25:$H$95,MATCH(AE22,'Item Budget'!$B$25:$B$95,0)),0)</f>
        <v/>
      </c>
      <c r="AN22" s="37" t="n">
        <v>0</v>
      </c>
      <c r="AO22" s="44">
        <f>IF(I22&lt;'Item Budget'!$R$10,0,'Item Budget'!$R$7*100*MAX(('Item Budget'!$R$14*(J22+25*N22)+'Item Budget'!$S$14*(K22+25*P22))/'Item Budget'!$Z$14,('Item Budget'!$R$15*(J22+25*N22)+'Item Budget'!$S$15*(K22+25*P22))/'Item Budget'!$Z$15,('Item Budget'!$R$16*(J22+25*N22)+'Item Budget'!$S$16*(K22+25*P22))/'Item Budget'!$Z$16,('Item Budget'!$R$17*(J22+25*N22)+'Item Budget'!$S$17*(K22+25*P22))/'Item Budget'!$Z$17)+'Item Budget'!$R$9*L22+IFERROR(INDEX('Item Budget'!$O$25:$O$95,MATCH(Q22,'Item Budget'!$B$25:$B$95,0)),0))</f>
        <v/>
      </c>
      <c r="AP22" s="44">
        <f>IF(W22&lt;'Item Budget'!$R$10,0,'Item Budget'!$R$7*100*MAX(('Item Budget'!$R$14*(X22+25*AB22)+'Item Budget'!$S$14*(Y22+25*AD22))/'Item Budget'!$Z$14,('Item Budget'!$R$15*(X22+25*AB22)+'Item Budget'!$S$15*(Y22+25*AD22))/'Item Budget'!$Z$15,('Item Budget'!$R$16*(X22+25*AB22)+'Item Budget'!$S$16*(Y22+25*AD22))/'Item Budget'!$Z$16,('Item Budget'!$R$17*(X22+25*AB22)+'Item Budget'!$S$17*(Y22+25*AD22))/'Item Budget'!$Z$17)+'Item Budget'!$R$9*Z22+IFERROR(INDEX('Item Budget'!$O$25:$O$95,MATCH(AE22,'Item Budget'!$B$25:$B$95,0)),0))</f>
        <v/>
      </c>
      <c r="AQ22" s="61">
        <f>IF(OR(AN22=0,AP22=0),"",SUMPRODUCT(MAX(($C$5:$C$88=C22)*($AN$5:$AN$88&lt;AN22)*$AP$5:$AP$88)))</f>
        <v/>
      </c>
      <c r="AR22" s="41">
        <f>IF(AQ22="","",IF(AQ22=0,1,SUMPRODUCT(MAX(($C$5:$C$88=C22)*($AN$5:$AN$88=AN22)*$AP$5:$AP$88))/AQ22-1))</f>
        <v/>
      </c>
      <c r="AS22" s="19">
        <f>IF(AR22="","",IF(AR22&gt;='Item Budget'!$R$11,"OK","Not above lower tier"))</f>
        <v/>
      </c>
    </row>
    <row r="23">
      <c r="A23" s="21" t="n">
        <v>304</v>
      </c>
      <c r="B23" s="21" t="inlineStr">
        <is>
          <t>Bracelet of Fire</t>
        </is>
      </c>
      <c r="C23" s="21" t="inlineStr">
        <is>
          <t>Ring</t>
        </is>
      </c>
      <c r="D23" s="21" t="inlineStr">
        <is>
          <t>All</t>
        </is>
      </c>
      <c r="E23" s="21" t="inlineStr">
        <is>
          <t>drop:Sir Insidious(L50) 20%</t>
        </is>
      </c>
      <c r="F23" s="3" t="inlineStr">
        <is>
          <t>Buff</t>
        </is>
      </c>
      <c r="G23" s="21" t="inlineStr">
        <is>
          <t>Uncommon drop</t>
        </is>
      </c>
      <c r="H23" s="31">
        <f>INDEX('Item Budget'!$F$5:$F$13,MATCH(G23,'Item Budget'!$E$5:$E$13,0))+IF(D23="All",0,'Item Budget'!$F$15)+LOOKUP(AN23,'Item Budget'!$E$19:$E$23,'Item Budget'!$F$19:$F$23)</f>
        <v/>
      </c>
      <c r="I23" s="21" t="n">
        <v>50</v>
      </c>
      <c r="J23" s="21" t="n">
        <v>500</v>
      </c>
      <c r="K23" s="21" t="n">
        <v>500</v>
      </c>
      <c r="L23" s="21" t="n">
        <v>40</v>
      </c>
      <c r="M23" s="21" t="n">
        <v>22</v>
      </c>
      <c r="N23" s="21" t="n">
        <v>22</v>
      </c>
      <c r="O23" s="21" t="n">
        <v>22</v>
      </c>
      <c r="P23" s="21" t="n">
        <v>22</v>
      </c>
      <c r="Q23" s="21" t="inlineStr">
        <is>
          <t>Damage Reduction IV</t>
        </is>
      </c>
      <c r="R23" s="61">
        <f>J23*'Item Budget'!$B$5+N23*'Item Budget'!$B$7+L23*'Item Budget'!$B$11+O23*'Item Budget'!$B$10+M23*'Item Budget'!$B$9+IFERROR(INDEX('Item Budget'!$M$25:$M$95,MATCH(Q23,'Item Budget'!$B$25:$B$95,0)),0)</f>
        <v/>
      </c>
      <c r="S23" s="61">
        <f>J23*'Item Budget'!$B$5+N23*'Item Budget'!$B$7+L23*'Item Budget'!$B$11+O23*'Item Budget'!$B$10+K23*'Item Budget'!$B$6+P23*'Item Budget'!$B$8+IFERROR(INDEX('Item Budget'!$N$25:$N$95,MATCH(Q23,'Item Budget'!$B$25:$B$95,0)),0)</f>
        <v/>
      </c>
      <c r="T23" s="61">
        <f>MAX('Item Budget'!$F$16,INDEX('Item Budget'!$J$5:$J$10,MATCH($C23,'Item Budget'!$I$5:$I$10,0))+INDEX('Item Budget'!$K$5:$K$10,MATCH($C23,'Item Budget'!$I$5:$I$10,0))*MIN(I23,50))</f>
        <v/>
      </c>
      <c r="U23" s="61">
        <f>T23*$H23</f>
        <v/>
      </c>
      <c r="V23" s="41">
        <f>MAX(R23,S23)/U23</f>
        <v/>
      </c>
      <c r="W23" s="21" t="n">
        <v>50</v>
      </c>
      <c r="X23" s="21" t="n">
        <v>500</v>
      </c>
      <c r="Y23" s="21" t="n">
        <v>500</v>
      </c>
      <c r="Z23" s="21" t="n">
        <v>40</v>
      </c>
      <c r="AA23" s="21" t="n">
        <v>22</v>
      </c>
      <c r="AB23" s="21" t="n">
        <v>22</v>
      </c>
      <c r="AC23" s="21" t="n">
        <v>22</v>
      </c>
      <c r="AD23" s="21" t="n">
        <v>22</v>
      </c>
      <c r="AE23" s="21" t="inlineStr">
        <is>
          <t>Damage Reduction IV</t>
        </is>
      </c>
      <c r="AF23" s="61">
        <f>X23*'Item Budget'!$B$5+AB23*'Item Budget'!$B$7+Z23*'Item Budget'!$B$11+AC23*'Item Budget'!$B$10+AA23*'Item Budget'!$B$9+IFERROR(INDEX('Item Budget'!$M$25:$M$95,MATCH(AE23,'Item Budget'!$B$25:$B$95,0)),0)</f>
        <v/>
      </c>
      <c r="AG23" s="61">
        <f>X23*'Item Budget'!$B$5+AB23*'Item Budget'!$B$7+Z23*'Item Budget'!$B$11+AC23*'Item Budget'!$B$10+Y23*'Item Budget'!$B$6+AD23*'Item Budget'!$B$8+IFERROR(INDEX('Item Budget'!$N$25:$N$95,MATCH(AE23,'Item Budget'!$B$25:$B$95,0)),0)</f>
        <v/>
      </c>
      <c r="AH23" s="61">
        <f>MAX('Item Budget'!$F$16,INDEX('Item Budget'!$J$5:$J$10,MATCH($C23,'Item Budget'!$I$5:$I$10,0))+INDEX('Item Budget'!$K$5:$K$10,MATCH($C23,'Item Budget'!$I$5:$I$10,0))*MIN(W23,50))</f>
        <v/>
      </c>
      <c r="AI23" s="61">
        <f>AH23*$H23</f>
        <v/>
      </c>
      <c r="AJ23" s="41">
        <f>MAX(AF23,AG23)/AI23</f>
        <v/>
      </c>
      <c r="AK23" s="64" t="inlineStr">
        <is>
          <t>Pass 1 (applied): 20M XP, so above every no-XP ring (incl. Beef's). Each is a lighter version of its Enchanted form. Fire = DR (4%, under Enchanted Fire, so the DR ceiling does not move).</t>
        </is>
      </c>
      <c r="AL23" s="43">
        <f>IFERROR(INDEX('Item Budget'!$H$25:$H$95,MATCH(Q23,'Item Budget'!$B$25:$B$95,0)),0)</f>
        <v/>
      </c>
      <c r="AM23" s="43">
        <f>IFERROR(INDEX('Item Budget'!$H$25:$H$95,MATCH(AE23,'Item Budget'!$B$25:$B$95,0)),0)</f>
        <v/>
      </c>
      <c r="AN23" s="37" t="n">
        <v>20000000</v>
      </c>
      <c r="AO23" s="44">
        <f>IF(I23&lt;'Item Budget'!$R$10,0,'Item Budget'!$R$7*100*MAX(('Item Budget'!$R$14*(J23+25*N23)+'Item Budget'!$S$14*(K23+25*P23))/'Item Budget'!$Z$14,('Item Budget'!$R$15*(J23+25*N23)+'Item Budget'!$S$15*(K23+25*P23))/'Item Budget'!$Z$15,('Item Budget'!$R$16*(J23+25*N23)+'Item Budget'!$S$16*(K23+25*P23))/'Item Budget'!$Z$16,('Item Budget'!$R$17*(J23+25*N23)+'Item Budget'!$S$17*(K23+25*P23))/'Item Budget'!$Z$17)+'Item Budget'!$R$9*L23+IFERROR(INDEX('Item Budget'!$O$25:$O$95,MATCH(Q23,'Item Budget'!$B$25:$B$95,0)),0))</f>
        <v/>
      </c>
      <c r="AP23" s="44">
        <f>IF(W23&lt;'Item Budget'!$R$10,0,'Item Budget'!$R$7*100*MAX(('Item Budget'!$R$14*(X23+25*AB23)+'Item Budget'!$S$14*(Y23+25*AD23))/'Item Budget'!$Z$14,('Item Budget'!$R$15*(X23+25*AB23)+'Item Budget'!$S$15*(Y23+25*AD23))/'Item Budget'!$Z$15,('Item Budget'!$R$16*(X23+25*AB23)+'Item Budget'!$S$16*(Y23+25*AD23))/'Item Budget'!$Z$16,('Item Budget'!$R$17*(X23+25*AB23)+'Item Budget'!$S$17*(Y23+25*AD23))/'Item Budget'!$Z$17)+'Item Budget'!$R$9*Z23+IFERROR(INDEX('Item Budget'!$O$25:$O$95,MATCH(AE23,'Item Budget'!$B$25:$B$95,0)),0))</f>
        <v/>
      </c>
      <c r="AQ23" s="61">
        <f>IF(OR(AN23=0,AP23=0),"",SUMPRODUCT(MAX(($C$5:$C$88=C23)*($AN$5:$AN$88&lt;AN23)*$AP$5:$AP$88)))</f>
        <v/>
      </c>
      <c r="AR23" s="41">
        <f>IF(AQ23="","",IF(AQ23=0,1,SUMPRODUCT(MAX(($C$5:$C$88=C23)*($AN$5:$AN$88=AN23)*$AP$5:$AP$88))/AQ23-1))</f>
        <v/>
      </c>
      <c r="AS23" s="19">
        <f>IF(AR23="","",IF(AR23&gt;='Item Budget'!$R$11,"OK","Not above lower tier"))</f>
        <v/>
      </c>
    </row>
    <row r="24">
      <c r="A24" s="21" t="n">
        <v>305</v>
      </c>
      <c r="B24" s="21" t="inlineStr">
        <is>
          <t>Bracelet of Earth</t>
        </is>
      </c>
      <c r="C24" s="21" t="inlineStr">
        <is>
          <t>Ring</t>
        </is>
      </c>
      <c r="D24" s="21" t="inlineStr">
        <is>
          <t>All</t>
        </is>
      </c>
      <c r="E24" s="21" t="inlineStr">
        <is>
          <t>drop:Sir Insidious(L50) 20%</t>
        </is>
      </c>
      <c r="F24" s="3" t="inlineStr">
        <is>
          <t>Buff</t>
        </is>
      </c>
      <c r="G24" s="21" t="inlineStr">
        <is>
          <t>Uncommon drop</t>
        </is>
      </c>
      <c r="H24" s="31">
        <f>INDEX('Item Budget'!$F$5:$F$13,MATCH(G24,'Item Budget'!$E$5:$E$13,0))+IF(D24="All",0,'Item Budget'!$F$15)+LOOKUP(AN24,'Item Budget'!$E$19:$E$23,'Item Budget'!$F$19:$F$23)</f>
        <v/>
      </c>
      <c r="I24" s="21" t="n">
        <v>50</v>
      </c>
      <c r="J24" s="21" t="n">
        <v>400</v>
      </c>
      <c r="K24" s="21" t="n">
        <v>400</v>
      </c>
      <c r="L24" s="21" t="n">
        <v>40</v>
      </c>
      <c r="M24" s="21" t="n">
        <v>22</v>
      </c>
      <c r="N24" s="21" t="n">
        <v>22</v>
      </c>
      <c r="O24" s="21" t="n">
        <v>22</v>
      </c>
      <c r="P24" s="21" t="n">
        <v>26</v>
      </c>
      <c r="Q24" s="21" t="inlineStr">
        <is>
          <t>Spell Damage VII</t>
        </is>
      </c>
      <c r="R24" s="61">
        <f>J24*'Item Budget'!$B$5+N24*'Item Budget'!$B$7+L24*'Item Budget'!$B$11+O24*'Item Budget'!$B$10+M24*'Item Budget'!$B$9+IFERROR(INDEX('Item Budget'!$M$25:$M$95,MATCH(Q24,'Item Budget'!$B$25:$B$95,0)),0)</f>
        <v/>
      </c>
      <c r="S24" s="61">
        <f>J24*'Item Budget'!$B$5+N24*'Item Budget'!$B$7+L24*'Item Budget'!$B$11+O24*'Item Budget'!$B$10+K24*'Item Budget'!$B$6+P24*'Item Budget'!$B$8+IFERROR(INDEX('Item Budget'!$N$25:$N$95,MATCH(Q24,'Item Budget'!$B$25:$B$95,0)),0)</f>
        <v/>
      </c>
      <c r="T24" s="61">
        <f>MAX('Item Budget'!$F$16,INDEX('Item Budget'!$J$5:$J$10,MATCH($C24,'Item Budget'!$I$5:$I$10,0))+INDEX('Item Budget'!$K$5:$K$10,MATCH($C24,'Item Budget'!$I$5:$I$10,0))*MIN(I24,50))</f>
        <v/>
      </c>
      <c r="U24" s="61">
        <f>T24*$H24</f>
        <v/>
      </c>
      <c r="V24" s="41">
        <f>MAX(R24,S24)/U24</f>
        <v/>
      </c>
      <c r="W24" s="21" t="n">
        <v>50</v>
      </c>
      <c r="X24" s="21" t="n">
        <v>400</v>
      </c>
      <c r="Y24" s="21" t="n">
        <v>400</v>
      </c>
      <c r="Z24" s="21" t="n">
        <v>40</v>
      </c>
      <c r="AA24" s="21" t="n">
        <v>22</v>
      </c>
      <c r="AB24" s="21" t="n">
        <v>22</v>
      </c>
      <c r="AC24" s="21" t="n">
        <v>22</v>
      </c>
      <c r="AD24" s="21" t="n">
        <v>26</v>
      </c>
      <c r="AE24" s="21" t="inlineStr">
        <is>
          <t>Spell Damage VII</t>
        </is>
      </c>
      <c r="AF24" s="61">
        <f>X24*'Item Budget'!$B$5+AB24*'Item Budget'!$B$7+Z24*'Item Budget'!$B$11+AC24*'Item Budget'!$B$10+AA24*'Item Budget'!$B$9+IFERROR(INDEX('Item Budget'!$M$25:$M$95,MATCH(AE24,'Item Budget'!$B$25:$B$95,0)),0)</f>
        <v/>
      </c>
      <c r="AG24" s="61">
        <f>X24*'Item Budget'!$B$5+AB24*'Item Budget'!$B$7+Z24*'Item Budget'!$B$11+AC24*'Item Budget'!$B$10+Y24*'Item Budget'!$B$6+AD24*'Item Budget'!$B$8+IFERROR(INDEX('Item Budget'!$N$25:$N$95,MATCH(AE24,'Item Budget'!$B$25:$B$95,0)),0)</f>
        <v/>
      </c>
      <c r="AH24" s="61">
        <f>MAX('Item Budget'!$F$16,INDEX('Item Budget'!$J$5:$J$10,MATCH($C24,'Item Budget'!$I$5:$I$10,0))+INDEX('Item Budget'!$K$5:$K$10,MATCH($C24,'Item Budget'!$I$5:$I$10,0))*MIN(W24,50))</f>
        <v/>
      </c>
      <c r="AI24" s="61">
        <f>AH24*$H24</f>
        <v/>
      </c>
      <c r="AJ24" s="41">
        <f>MAX(AF24,AG24)/AI24</f>
        <v/>
      </c>
      <c r="AK24" s="64" t="inlineStr">
        <is>
          <t>Pass 1 (applied): 20M XP. Earth = spell damage (7%). Slightly under Beef's Immortality at endgame; accepted.</t>
        </is>
      </c>
      <c r="AL24" s="43">
        <f>IFERROR(INDEX('Item Budget'!$H$25:$H$95,MATCH(Q24,'Item Budget'!$B$25:$B$95,0)),0)</f>
        <v/>
      </c>
      <c r="AM24" s="43">
        <f>IFERROR(INDEX('Item Budget'!$H$25:$H$95,MATCH(AE24,'Item Budget'!$B$25:$B$95,0)),0)</f>
        <v/>
      </c>
      <c r="AN24" s="37" t="n">
        <v>20000000</v>
      </c>
      <c r="AO24" s="44">
        <f>IF(I24&lt;'Item Budget'!$R$10,0,'Item Budget'!$R$7*100*MAX(('Item Budget'!$R$14*(J24+25*N24)+'Item Budget'!$S$14*(K24+25*P24))/'Item Budget'!$Z$14,('Item Budget'!$R$15*(J24+25*N24)+'Item Budget'!$S$15*(K24+25*P24))/'Item Budget'!$Z$15,('Item Budget'!$R$16*(J24+25*N24)+'Item Budget'!$S$16*(K24+25*P24))/'Item Budget'!$Z$16,('Item Budget'!$R$17*(J24+25*N24)+'Item Budget'!$S$17*(K24+25*P24))/'Item Budget'!$Z$17)+'Item Budget'!$R$9*L24+IFERROR(INDEX('Item Budget'!$O$25:$O$95,MATCH(Q24,'Item Budget'!$B$25:$B$95,0)),0))</f>
        <v/>
      </c>
      <c r="AP24" s="44">
        <f>IF(W24&lt;'Item Budget'!$R$10,0,'Item Budget'!$R$7*100*MAX(('Item Budget'!$R$14*(X24+25*AB24)+'Item Budget'!$S$14*(Y24+25*AD24))/'Item Budget'!$Z$14,('Item Budget'!$R$15*(X24+25*AB24)+'Item Budget'!$S$15*(Y24+25*AD24))/'Item Budget'!$Z$15,('Item Budget'!$R$16*(X24+25*AB24)+'Item Budget'!$S$16*(Y24+25*AD24))/'Item Budget'!$Z$16,('Item Budget'!$R$17*(X24+25*AB24)+'Item Budget'!$S$17*(Y24+25*AD24))/'Item Budget'!$Z$17)+'Item Budget'!$R$9*Z24+IFERROR(INDEX('Item Budget'!$O$25:$O$95,MATCH(AE24,'Item Budget'!$B$25:$B$95,0)),0))</f>
        <v/>
      </c>
      <c r="AQ24" s="61">
        <f>IF(OR(AN24=0,AP24=0),"",SUMPRODUCT(MAX(($C$5:$C$88=C24)*($AN$5:$AN$88&lt;AN24)*$AP$5:$AP$88)))</f>
        <v/>
      </c>
      <c r="AR24" s="41">
        <f>IF(AQ24="","",IF(AQ24=0,1,SUMPRODUCT(MAX(($C$5:$C$88=C24)*($AN$5:$AN$88=AN24)*$AP$5:$AP$88))/AQ24-1))</f>
        <v/>
      </c>
      <c r="AS24" s="19">
        <f>IF(AR24="","",IF(AR24&gt;='Item Budget'!$R$11,"OK","Not above lower tier"))</f>
        <v/>
      </c>
    </row>
    <row r="25">
      <c r="A25" s="21" t="n">
        <v>306</v>
      </c>
      <c r="B25" s="21" t="inlineStr">
        <is>
          <t>Bracelet of Air</t>
        </is>
      </c>
      <c r="C25" s="21" t="inlineStr">
        <is>
          <t>Ring</t>
        </is>
      </c>
      <c r="D25" s="21" t="inlineStr">
        <is>
          <t>All</t>
        </is>
      </c>
      <c r="E25" s="21" t="inlineStr">
        <is>
          <t>drop:Sir Insidious(L50) 20%</t>
        </is>
      </c>
      <c r="F25" s="3" t="inlineStr">
        <is>
          <t>Buff</t>
        </is>
      </c>
      <c r="G25" s="21" t="inlineStr">
        <is>
          <t>Uncommon drop</t>
        </is>
      </c>
      <c r="H25" s="31">
        <f>INDEX('Item Budget'!$F$5:$F$13,MATCH(G25,'Item Budget'!$E$5:$E$13,0))+IF(D25="All",0,'Item Budget'!$F$15)+LOOKUP(AN25,'Item Budget'!$E$19:$E$23,'Item Budget'!$F$19:$F$23)</f>
        <v/>
      </c>
      <c r="I25" s="21" t="n">
        <v>50</v>
      </c>
      <c r="J25" s="21" t="n">
        <v>500</v>
      </c>
      <c r="K25" s="21" t="n">
        <v>500</v>
      </c>
      <c r="L25" s="21" t="n">
        <v>40</v>
      </c>
      <c r="M25" s="21" t="n">
        <v>28</v>
      </c>
      <c r="N25" s="21" t="n">
        <v>28</v>
      </c>
      <c r="O25" s="21" t="n">
        <v>22</v>
      </c>
      <c r="P25" s="21" t="n">
        <v>22</v>
      </c>
      <c r="Q25" s="21" t="inlineStr">
        <is>
          <t>HP MP Regeneration</t>
        </is>
      </c>
      <c r="R25" s="61">
        <f>J25*'Item Budget'!$B$5+N25*'Item Budget'!$B$7+L25*'Item Budget'!$B$11+O25*'Item Budget'!$B$10+M25*'Item Budget'!$B$9+IFERROR(INDEX('Item Budget'!$M$25:$M$95,MATCH(Q25,'Item Budget'!$B$25:$B$95,0)),0)</f>
        <v/>
      </c>
      <c r="S25" s="61">
        <f>J25*'Item Budget'!$B$5+N25*'Item Budget'!$B$7+L25*'Item Budget'!$B$11+O25*'Item Budget'!$B$10+K25*'Item Budget'!$B$6+P25*'Item Budget'!$B$8+IFERROR(INDEX('Item Budget'!$N$25:$N$95,MATCH(Q25,'Item Budget'!$B$25:$B$95,0)),0)</f>
        <v/>
      </c>
      <c r="T25" s="61">
        <f>MAX('Item Budget'!$F$16,INDEX('Item Budget'!$J$5:$J$10,MATCH($C25,'Item Budget'!$I$5:$I$10,0))+INDEX('Item Budget'!$K$5:$K$10,MATCH($C25,'Item Budget'!$I$5:$I$10,0))*MIN(I25,50))</f>
        <v/>
      </c>
      <c r="U25" s="61">
        <f>T25*$H25</f>
        <v/>
      </c>
      <c r="V25" s="41">
        <f>MAX(R25,S25)/U25</f>
        <v/>
      </c>
      <c r="W25" s="21" t="n">
        <v>50</v>
      </c>
      <c r="X25" s="21" t="n">
        <v>500</v>
      </c>
      <c r="Y25" s="21" t="n">
        <v>500</v>
      </c>
      <c r="Z25" s="21" t="n">
        <v>40</v>
      </c>
      <c r="AA25" s="21" t="n">
        <v>28</v>
      </c>
      <c r="AB25" s="21" t="n">
        <v>28</v>
      </c>
      <c r="AC25" s="21" t="n">
        <v>22</v>
      </c>
      <c r="AD25" s="21" t="n">
        <v>22</v>
      </c>
      <c r="AE25" s="21" t="inlineStr">
        <is>
          <t>HP MP Regeneration</t>
        </is>
      </c>
      <c r="AF25" s="61">
        <f>X25*'Item Budget'!$B$5+AB25*'Item Budget'!$B$7+Z25*'Item Budget'!$B$11+AC25*'Item Budget'!$B$10+AA25*'Item Budget'!$B$9+IFERROR(INDEX('Item Budget'!$M$25:$M$95,MATCH(AE25,'Item Budget'!$B$25:$B$95,0)),0)</f>
        <v/>
      </c>
      <c r="AG25" s="61">
        <f>X25*'Item Budget'!$B$5+AB25*'Item Budget'!$B$7+Z25*'Item Budget'!$B$11+AC25*'Item Budget'!$B$10+Y25*'Item Budget'!$B$6+AD25*'Item Budget'!$B$8+IFERROR(INDEX('Item Budget'!$N$25:$N$95,MATCH(AE25,'Item Budget'!$B$25:$B$95,0)),0)</f>
        <v/>
      </c>
      <c r="AH25" s="61">
        <f>MAX('Item Budget'!$F$16,INDEX('Item Budget'!$J$5:$J$10,MATCH($C25,'Item Budget'!$I$5:$I$10,0))+INDEX('Item Budget'!$K$5:$K$10,MATCH($C25,'Item Budget'!$I$5:$I$10,0))*MIN(W25,50))</f>
        <v/>
      </c>
      <c r="AI25" s="61">
        <f>AH25*$H25</f>
        <v/>
      </c>
      <c r="AJ25" s="41">
        <f>MAX(AF25,AG25)/AI25</f>
        <v/>
      </c>
      <c r="AK25" s="64" t="inlineStr">
        <is>
          <t>Pass 1 (applied): 20M XP. Air = regen, same effect as Enchanted Air had.</t>
        </is>
      </c>
      <c r="AL25" s="43">
        <f>IFERROR(INDEX('Item Budget'!$H$25:$H$95,MATCH(Q25,'Item Budget'!$B$25:$B$95,0)),0)</f>
        <v/>
      </c>
      <c r="AM25" s="43">
        <f>IFERROR(INDEX('Item Budget'!$H$25:$H$95,MATCH(AE25,'Item Budget'!$B$25:$B$95,0)),0)</f>
        <v/>
      </c>
      <c r="AN25" s="37" t="n">
        <v>20000000</v>
      </c>
      <c r="AO25" s="44">
        <f>IF(I25&lt;'Item Budget'!$R$10,0,'Item Budget'!$R$7*100*MAX(('Item Budget'!$R$14*(J25+25*N25)+'Item Budget'!$S$14*(K25+25*P25))/'Item Budget'!$Z$14,('Item Budget'!$R$15*(J25+25*N25)+'Item Budget'!$S$15*(K25+25*P25))/'Item Budget'!$Z$15,('Item Budget'!$R$16*(J25+25*N25)+'Item Budget'!$S$16*(K25+25*P25))/'Item Budget'!$Z$16,('Item Budget'!$R$17*(J25+25*N25)+'Item Budget'!$S$17*(K25+25*P25))/'Item Budget'!$Z$17)+'Item Budget'!$R$9*L25+IFERROR(INDEX('Item Budget'!$O$25:$O$95,MATCH(Q25,'Item Budget'!$B$25:$B$95,0)),0))</f>
        <v/>
      </c>
      <c r="AP25" s="44">
        <f>IF(W25&lt;'Item Budget'!$R$10,0,'Item Budget'!$R$7*100*MAX(('Item Budget'!$R$14*(X25+25*AB25)+'Item Budget'!$S$14*(Y25+25*AD25))/'Item Budget'!$Z$14,('Item Budget'!$R$15*(X25+25*AB25)+'Item Budget'!$S$15*(Y25+25*AD25))/'Item Budget'!$Z$15,('Item Budget'!$R$16*(X25+25*AB25)+'Item Budget'!$S$16*(Y25+25*AD25))/'Item Budget'!$Z$16,('Item Budget'!$R$17*(X25+25*AB25)+'Item Budget'!$S$17*(Y25+25*AD25))/'Item Budget'!$Z$17)+'Item Budget'!$R$9*Z25+IFERROR(INDEX('Item Budget'!$O$25:$O$95,MATCH(AE25,'Item Budget'!$B$25:$B$95,0)),0))</f>
        <v/>
      </c>
      <c r="AQ25" s="61">
        <f>IF(OR(AN25=0,AP25=0),"",SUMPRODUCT(MAX(($C$5:$C$88=C25)*($AN$5:$AN$88&lt;AN25)*$AP$5:$AP$88)))</f>
        <v/>
      </c>
      <c r="AR25" s="41">
        <f>IF(AQ25="","",IF(AQ25=0,1,SUMPRODUCT(MAX(($C$5:$C$88=C25)*($AN$5:$AN$88=AN25)*$AP$5:$AP$88))/AQ25-1))</f>
        <v/>
      </c>
      <c r="AS25" s="19">
        <f>IF(AR25="","",IF(AR25&gt;='Item Budget'!$R$11,"OK","Not above lower tier"))</f>
        <v/>
      </c>
    </row>
    <row r="26">
      <c r="A26" s="21" t="n">
        <v>307</v>
      </c>
      <c r="B26" s="21" t="inlineStr">
        <is>
          <t>Bracelet of Water</t>
        </is>
      </c>
      <c r="C26" s="21" t="inlineStr">
        <is>
          <t>Ring</t>
        </is>
      </c>
      <c r="D26" s="21" t="inlineStr">
        <is>
          <t>All</t>
        </is>
      </c>
      <c r="E26" s="21" t="inlineStr">
        <is>
          <t>drop:Sir Insidious(L50) 20%</t>
        </is>
      </c>
      <c r="F26" s="3" t="inlineStr">
        <is>
          <t>Buff</t>
        </is>
      </c>
      <c r="G26" s="21" t="inlineStr">
        <is>
          <t>Uncommon drop</t>
        </is>
      </c>
      <c r="H26" s="31">
        <f>INDEX('Item Budget'!$F$5:$F$13,MATCH(G26,'Item Budget'!$E$5:$E$13,0))+IF(D26="All",0,'Item Budget'!$F$15)+LOOKUP(AN26,'Item Budget'!$E$19:$E$23,'Item Budget'!$F$19:$F$23)</f>
        <v/>
      </c>
      <c r="I26" s="21" t="n">
        <v>50</v>
      </c>
      <c r="J26" s="21" t="n">
        <v>400</v>
      </c>
      <c r="K26" s="21" t="n">
        <v>400</v>
      </c>
      <c r="L26" s="21" t="n">
        <v>40</v>
      </c>
      <c r="M26" s="21" t="n">
        <v>22</v>
      </c>
      <c r="N26" s="21" t="n">
        <v>22</v>
      </c>
      <c r="O26" s="21" t="n">
        <v>22</v>
      </c>
      <c r="P26" s="21" t="n">
        <v>26</v>
      </c>
      <c r="Q26" s="21" t="inlineStr">
        <is>
          <t>Increased Spell Critical V</t>
        </is>
      </c>
      <c r="R26" s="61">
        <f>J26*'Item Budget'!$B$5+N26*'Item Budget'!$B$7+L26*'Item Budget'!$B$11+O26*'Item Budget'!$B$10+M26*'Item Budget'!$B$9+IFERROR(INDEX('Item Budget'!$M$25:$M$95,MATCH(Q26,'Item Budget'!$B$25:$B$95,0)),0)</f>
        <v/>
      </c>
      <c r="S26" s="61">
        <f>J26*'Item Budget'!$B$5+N26*'Item Budget'!$B$7+L26*'Item Budget'!$B$11+O26*'Item Budget'!$B$10+K26*'Item Budget'!$B$6+P26*'Item Budget'!$B$8+IFERROR(INDEX('Item Budget'!$N$25:$N$95,MATCH(Q26,'Item Budget'!$B$25:$B$95,0)),0)</f>
        <v/>
      </c>
      <c r="T26" s="61">
        <f>MAX('Item Budget'!$F$16,INDEX('Item Budget'!$J$5:$J$10,MATCH($C26,'Item Budget'!$I$5:$I$10,0))+INDEX('Item Budget'!$K$5:$K$10,MATCH($C26,'Item Budget'!$I$5:$I$10,0))*MIN(I26,50))</f>
        <v/>
      </c>
      <c r="U26" s="61">
        <f>T26*$H26</f>
        <v/>
      </c>
      <c r="V26" s="41">
        <f>MAX(R26,S26)/U26</f>
        <v/>
      </c>
      <c r="W26" s="21" t="n">
        <v>50</v>
      </c>
      <c r="X26" s="21" t="n">
        <v>400</v>
      </c>
      <c r="Y26" s="21" t="n">
        <v>400</v>
      </c>
      <c r="Z26" s="21" t="n">
        <v>40</v>
      </c>
      <c r="AA26" s="21" t="n">
        <v>22</v>
      </c>
      <c r="AB26" s="21" t="n">
        <v>22</v>
      </c>
      <c r="AC26" s="21" t="n">
        <v>22</v>
      </c>
      <c r="AD26" s="21" t="n">
        <v>26</v>
      </c>
      <c r="AE26" s="20" t="inlineStr">
        <is>
          <t>Spell Critical Damage VIII</t>
        </is>
      </c>
      <c r="AF26" s="61">
        <f>X26*'Item Budget'!$B$5+AB26*'Item Budget'!$B$7+Z26*'Item Budget'!$B$11+AC26*'Item Budget'!$B$10+AA26*'Item Budget'!$B$9+IFERROR(INDEX('Item Budget'!$M$25:$M$95,MATCH(AE26,'Item Budget'!$B$25:$B$95,0)),0)</f>
        <v/>
      </c>
      <c r="AG26" s="61">
        <f>X26*'Item Budget'!$B$5+AB26*'Item Budget'!$B$7+Z26*'Item Budget'!$B$11+AC26*'Item Budget'!$B$10+Y26*'Item Budget'!$B$6+AD26*'Item Budget'!$B$8+IFERROR(INDEX('Item Budget'!$N$25:$N$95,MATCH(AE26,'Item Budget'!$B$25:$B$95,0)),0)</f>
        <v/>
      </c>
      <c r="AH26" s="61">
        <f>MAX('Item Budget'!$F$16,INDEX('Item Budget'!$J$5:$J$10,MATCH($C26,'Item Budget'!$I$5:$I$10,0))+INDEX('Item Budget'!$K$5:$K$10,MATCH($C26,'Item Budget'!$I$5:$I$10,0))*MIN(W26,50))</f>
        <v/>
      </c>
      <c r="AI26" s="61">
        <f>AH26*$H26</f>
        <v/>
      </c>
      <c r="AJ26" s="41">
        <f>MAX(AF26,AG26)/AI26</f>
        <v/>
      </c>
      <c r="AK26" s="64" t="inlineStr">
        <is>
          <t>Bracelet of Water (20M): 5% spell crit matched the L43 Bracelet of the Inferno; -&gt; 8% (Spell Critical Damage VIII)</t>
        </is>
      </c>
      <c r="AL26" s="43">
        <f>IFERROR(INDEX('Item Budget'!$H$25:$H$95,MATCH(Q26,'Item Budget'!$B$25:$B$95,0)),0)</f>
        <v/>
      </c>
      <c r="AM26" s="43">
        <f>IFERROR(INDEX('Item Budget'!$H$25:$H$95,MATCH(AE26,'Item Budget'!$B$25:$B$95,0)),0)</f>
        <v/>
      </c>
      <c r="AN26" s="37" t="n">
        <v>20000000</v>
      </c>
      <c r="AO26" s="44">
        <f>IF(I26&lt;'Item Budget'!$R$10,0,'Item Budget'!$R$7*100*MAX(('Item Budget'!$R$14*(J26+25*N26)+'Item Budget'!$S$14*(K26+25*P26))/'Item Budget'!$Z$14,('Item Budget'!$R$15*(J26+25*N26)+'Item Budget'!$S$15*(K26+25*P26))/'Item Budget'!$Z$15,('Item Budget'!$R$16*(J26+25*N26)+'Item Budget'!$S$16*(K26+25*P26))/'Item Budget'!$Z$16,('Item Budget'!$R$17*(J26+25*N26)+'Item Budget'!$S$17*(K26+25*P26))/'Item Budget'!$Z$17)+'Item Budget'!$R$9*L26+IFERROR(INDEX('Item Budget'!$O$25:$O$95,MATCH(Q26,'Item Budget'!$B$25:$B$95,0)),0))</f>
        <v/>
      </c>
      <c r="AP26" s="44">
        <f>IF(W26&lt;'Item Budget'!$R$10,0,'Item Budget'!$R$7*100*MAX(('Item Budget'!$R$14*(X26+25*AB26)+'Item Budget'!$S$14*(Y26+25*AD26))/'Item Budget'!$Z$14,('Item Budget'!$R$15*(X26+25*AB26)+'Item Budget'!$S$15*(Y26+25*AD26))/'Item Budget'!$Z$15,('Item Budget'!$R$16*(X26+25*AB26)+'Item Budget'!$S$16*(Y26+25*AD26))/'Item Budget'!$Z$16,('Item Budget'!$R$17*(X26+25*AB26)+'Item Budget'!$S$17*(Y26+25*AD26))/'Item Budget'!$Z$17)+'Item Budget'!$R$9*Z26+IFERROR(INDEX('Item Budget'!$O$25:$O$95,MATCH(AE26,'Item Budget'!$B$25:$B$95,0)),0))</f>
        <v/>
      </c>
      <c r="AQ26" s="61">
        <f>IF(OR(AN26=0,AP26=0),"",SUMPRODUCT(MAX(($C$5:$C$88=C26)*($AN$5:$AN$88&lt;AN26)*$AP$5:$AP$88)))</f>
        <v/>
      </c>
      <c r="AR26" s="41">
        <f>IF(AQ26="","",IF(AQ26=0,1,SUMPRODUCT(MAX(($C$5:$C$88=C26)*($AN$5:$AN$88=AN26)*$AP$5:$AP$88))/AQ26-1))</f>
        <v/>
      </c>
      <c r="AS26" s="19">
        <f>IF(AR26="","",IF(AR26&gt;='Item Budget'!$R$11,"OK","Not above lower tier"))</f>
        <v/>
      </c>
    </row>
    <row r="27">
      <c r="A27" s="21" t="n">
        <v>308</v>
      </c>
      <c r="B27" s="21" t="inlineStr">
        <is>
          <t>Bracelet of Spirit</t>
        </is>
      </c>
      <c r="C27" s="21" t="inlineStr">
        <is>
          <t>Ring</t>
        </is>
      </c>
      <c r="D27" s="21" t="inlineStr">
        <is>
          <t>All</t>
        </is>
      </c>
      <c r="E27" s="21" t="inlineStr">
        <is>
          <t>drop:Sir Insidious(L50) 20%</t>
        </is>
      </c>
      <c r="F27" s="3" t="inlineStr">
        <is>
          <t>Buff</t>
        </is>
      </c>
      <c r="G27" s="21" t="inlineStr">
        <is>
          <t>Uncommon drop</t>
        </is>
      </c>
      <c r="H27" s="31">
        <f>INDEX('Item Budget'!$F$5:$F$13,MATCH(G27,'Item Budget'!$E$5:$E$13,0))+IF(D27="All",0,'Item Budget'!$F$15)+LOOKUP(AN27,'Item Budget'!$E$19:$E$23,'Item Budget'!$F$19:$F$23)</f>
        <v/>
      </c>
      <c r="I27" s="21" t="n">
        <v>50</v>
      </c>
      <c r="J27" s="21" t="n">
        <v>400</v>
      </c>
      <c r="K27" s="21" t="n">
        <v>400</v>
      </c>
      <c r="L27" s="21" t="n">
        <v>40</v>
      </c>
      <c r="M27" s="21" t="n">
        <v>22</v>
      </c>
      <c r="N27" s="21" t="n">
        <v>22</v>
      </c>
      <c r="O27" s="21" t="n">
        <v>22</v>
      </c>
      <c r="P27" s="21" t="n">
        <v>22</v>
      </c>
      <c r="Q27" s="21" t="inlineStr">
        <is>
          <t>Melee and Spell Damage V</t>
        </is>
      </c>
      <c r="R27" s="61">
        <f>J27*'Item Budget'!$B$5+N27*'Item Budget'!$B$7+L27*'Item Budget'!$B$11+O27*'Item Budget'!$B$10+M27*'Item Budget'!$B$9+IFERROR(INDEX('Item Budget'!$M$25:$M$95,MATCH(Q27,'Item Budget'!$B$25:$B$95,0)),0)</f>
        <v/>
      </c>
      <c r="S27" s="61">
        <f>J27*'Item Budget'!$B$5+N27*'Item Budget'!$B$7+L27*'Item Budget'!$B$11+O27*'Item Budget'!$B$10+K27*'Item Budget'!$B$6+P27*'Item Budget'!$B$8+IFERROR(INDEX('Item Budget'!$N$25:$N$95,MATCH(Q27,'Item Budget'!$B$25:$B$95,0)),0)</f>
        <v/>
      </c>
      <c r="T27" s="61">
        <f>MAX('Item Budget'!$F$16,INDEX('Item Budget'!$J$5:$J$10,MATCH($C27,'Item Budget'!$I$5:$I$10,0))+INDEX('Item Budget'!$K$5:$K$10,MATCH($C27,'Item Budget'!$I$5:$I$10,0))*MIN(I27,50))</f>
        <v/>
      </c>
      <c r="U27" s="61">
        <f>T27*$H27</f>
        <v/>
      </c>
      <c r="V27" s="41">
        <f>MAX(R27,S27)/U27</f>
        <v/>
      </c>
      <c r="W27" s="21" t="n">
        <v>50</v>
      </c>
      <c r="X27" s="21" t="n">
        <v>400</v>
      </c>
      <c r="Y27" s="21" t="n">
        <v>400</v>
      </c>
      <c r="Z27" s="21" t="n">
        <v>40</v>
      </c>
      <c r="AA27" s="21" t="n">
        <v>22</v>
      </c>
      <c r="AB27" s="21" t="n">
        <v>22</v>
      </c>
      <c r="AC27" s="21" t="n">
        <v>22</v>
      </c>
      <c r="AD27" s="21" t="n">
        <v>22</v>
      </c>
      <c r="AE27" s="21" t="inlineStr">
        <is>
          <t>Melee and Spell Damage V</t>
        </is>
      </c>
      <c r="AF27" s="61">
        <f>X27*'Item Budget'!$B$5+AB27*'Item Budget'!$B$7+Z27*'Item Budget'!$B$11+AC27*'Item Budget'!$B$10+AA27*'Item Budget'!$B$9+IFERROR(INDEX('Item Budget'!$M$25:$M$95,MATCH(AE27,'Item Budget'!$B$25:$B$95,0)),0)</f>
        <v/>
      </c>
      <c r="AG27" s="61">
        <f>X27*'Item Budget'!$B$5+AB27*'Item Budget'!$B$7+Z27*'Item Budget'!$B$11+AC27*'Item Budget'!$B$10+Y27*'Item Budget'!$B$6+AD27*'Item Budget'!$B$8+IFERROR(INDEX('Item Budget'!$N$25:$N$95,MATCH(AE27,'Item Budget'!$B$25:$B$95,0)),0)</f>
        <v/>
      </c>
      <c r="AH27" s="61">
        <f>MAX('Item Budget'!$F$16,INDEX('Item Budget'!$J$5:$J$10,MATCH($C27,'Item Budget'!$I$5:$I$10,0))+INDEX('Item Budget'!$K$5:$K$10,MATCH($C27,'Item Budget'!$I$5:$I$10,0))*MIN(W27,50))</f>
        <v/>
      </c>
      <c r="AI27" s="61">
        <f>AH27*$H27</f>
        <v/>
      </c>
      <c r="AJ27" s="41">
        <f>MAX(AF27,AG27)/AI27</f>
        <v/>
      </c>
      <c r="AK27" s="64" t="inlineStr">
        <is>
          <t>Pass 1 (applied): 20M XP. Spirit = a bit of everything.</t>
        </is>
      </c>
      <c r="AL27" s="43">
        <f>IFERROR(INDEX('Item Budget'!$H$25:$H$95,MATCH(Q27,'Item Budget'!$B$25:$B$95,0)),0)</f>
        <v/>
      </c>
      <c r="AM27" s="43">
        <f>IFERROR(INDEX('Item Budget'!$H$25:$H$95,MATCH(AE27,'Item Budget'!$B$25:$B$95,0)),0)</f>
        <v/>
      </c>
      <c r="AN27" s="37" t="n">
        <v>20000000</v>
      </c>
      <c r="AO27" s="44">
        <f>IF(I27&lt;'Item Budget'!$R$10,0,'Item Budget'!$R$7*100*MAX(('Item Budget'!$R$14*(J27+25*N27)+'Item Budget'!$S$14*(K27+25*P27))/'Item Budget'!$Z$14,('Item Budget'!$R$15*(J27+25*N27)+'Item Budget'!$S$15*(K27+25*P27))/'Item Budget'!$Z$15,('Item Budget'!$R$16*(J27+25*N27)+'Item Budget'!$S$16*(K27+25*P27))/'Item Budget'!$Z$16,('Item Budget'!$R$17*(J27+25*N27)+'Item Budget'!$S$17*(K27+25*P27))/'Item Budget'!$Z$17)+'Item Budget'!$R$9*L27+IFERROR(INDEX('Item Budget'!$O$25:$O$95,MATCH(Q27,'Item Budget'!$B$25:$B$95,0)),0))</f>
        <v/>
      </c>
      <c r="AP27" s="44">
        <f>IF(W27&lt;'Item Budget'!$R$10,0,'Item Budget'!$R$7*100*MAX(('Item Budget'!$R$14*(X27+25*AB27)+'Item Budget'!$S$14*(Y27+25*AD27))/'Item Budget'!$Z$14,('Item Budget'!$R$15*(X27+25*AB27)+'Item Budget'!$S$15*(Y27+25*AD27))/'Item Budget'!$Z$15,('Item Budget'!$R$16*(X27+25*AB27)+'Item Budget'!$S$16*(Y27+25*AD27))/'Item Budget'!$Z$16,('Item Budget'!$R$17*(X27+25*AB27)+'Item Budget'!$S$17*(Y27+25*AD27))/'Item Budget'!$Z$17)+'Item Budget'!$R$9*Z27+IFERROR(INDEX('Item Budget'!$O$25:$O$95,MATCH(AE27,'Item Budget'!$B$25:$B$95,0)),0))</f>
        <v/>
      </c>
      <c r="AQ27" s="61">
        <f>IF(OR(AN27=0,AP27=0),"",SUMPRODUCT(MAX(($C$5:$C$88=C27)*($AN$5:$AN$88&lt;AN27)*$AP$5:$AP$88)))</f>
        <v/>
      </c>
      <c r="AR27" s="41">
        <f>IF(AQ27="","",IF(AQ27=0,1,SUMPRODUCT(MAX(($C$5:$C$88=C27)*($AN$5:$AN$88=AN27)*$AP$5:$AP$88))/AQ27-1))</f>
        <v/>
      </c>
      <c r="AS27" s="19">
        <f>IF(AR27="","",IF(AR27&gt;='Item Budget'!$R$11,"OK","Not above lower tier"))</f>
        <v/>
      </c>
    </row>
    <row r="28">
      <c r="A28" s="21" t="n">
        <v>424</v>
      </c>
      <c r="B28" s="21" t="inlineStr">
        <is>
          <t>Red Ring</t>
        </is>
      </c>
      <c r="C28" s="21" t="inlineStr">
        <is>
          <t>Ring</t>
        </is>
      </c>
      <c r="D28" s="21" t="inlineStr">
        <is>
          <t>Magus/Priest</t>
        </is>
      </c>
      <c r="E28" s="21" t="inlineStr">
        <is>
          <t>drop:Showboat(L50) 10%</t>
        </is>
      </c>
      <c r="F28" s="3" t="inlineStr">
        <is>
          <t>Buff</t>
        </is>
      </c>
      <c r="G28" s="21" t="inlineStr">
        <is>
          <t>Uncommon drop</t>
        </is>
      </c>
      <c r="H28" s="31">
        <f>INDEX('Item Budget'!$F$5:$F$13,MATCH(G28,'Item Budget'!$E$5:$E$13,0))+IF(D28="All",0,'Item Budget'!$F$15)+LOOKUP(AN28,'Item Budget'!$E$19:$E$23,'Item Budget'!$F$19:$F$23)</f>
        <v/>
      </c>
      <c r="I28" s="21" t="n">
        <v>50</v>
      </c>
      <c r="J28" s="21" t="n">
        <v>250</v>
      </c>
      <c r="K28" s="21" t="n">
        <v>500</v>
      </c>
      <c r="L28" s="21" t="n">
        <v>30</v>
      </c>
      <c r="M28" s="21" t="n">
        <v>0</v>
      </c>
      <c r="N28" s="21" t="n">
        <v>18</v>
      </c>
      <c r="O28" s="21" t="n">
        <v>0</v>
      </c>
      <c r="P28" s="21" t="n">
        <v>32</v>
      </c>
      <c r="Q28" s="21" t="inlineStr">
        <is>
          <t>See Invisible</t>
        </is>
      </c>
      <c r="R28" s="61">
        <f>J28*'Item Budget'!$B$5+N28*'Item Budget'!$B$7+L28*'Item Budget'!$B$11+O28*'Item Budget'!$B$10+M28*'Item Budget'!$B$9+IFERROR(INDEX('Item Budget'!$M$25:$M$95,MATCH(Q28,'Item Budget'!$B$25:$B$95,0)),0)</f>
        <v/>
      </c>
      <c r="S28" s="61">
        <f>J28*'Item Budget'!$B$5+N28*'Item Budget'!$B$7+L28*'Item Budget'!$B$11+O28*'Item Budget'!$B$10+K28*'Item Budget'!$B$6+P28*'Item Budget'!$B$8+IFERROR(INDEX('Item Budget'!$N$25:$N$95,MATCH(Q28,'Item Budget'!$B$25:$B$95,0)),0)</f>
        <v/>
      </c>
      <c r="T28" s="61">
        <f>MAX('Item Budget'!$F$16,INDEX('Item Budget'!$J$5:$J$10,MATCH($C28,'Item Budget'!$I$5:$I$10,0))+INDEX('Item Budget'!$K$5:$K$10,MATCH($C28,'Item Budget'!$I$5:$I$10,0))*MIN(I28,50))</f>
        <v/>
      </c>
      <c r="U28" s="61">
        <f>T28*$H28</f>
        <v/>
      </c>
      <c r="V28" s="41">
        <f>MAX(R28,S28)/U28</f>
        <v/>
      </c>
      <c r="W28" s="21" t="n">
        <v>50</v>
      </c>
      <c r="X28" s="21" t="n">
        <v>250</v>
      </c>
      <c r="Y28" s="21" t="n">
        <v>500</v>
      </c>
      <c r="Z28" s="21" t="n">
        <v>30</v>
      </c>
      <c r="AA28" s="21" t="n">
        <v>0</v>
      </c>
      <c r="AB28" s="21" t="n">
        <v>18</v>
      </c>
      <c r="AC28" s="21" t="n">
        <v>0</v>
      </c>
      <c r="AD28" s="21" t="n">
        <v>32</v>
      </c>
      <c r="AE28" s="21" t="inlineStr">
        <is>
          <t>See Invisible</t>
        </is>
      </c>
      <c r="AF28" s="61">
        <f>X28*'Item Budget'!$B$5+AB28*'Item Budget'!$B$7+Z28*'Item Budget'!$B$11+AC28*'Item Budget'!$B$10+AA28*'Item Budget'!$B$9+IFERROR(INDEX('Item Budget'!$M$25:$M$95,MATCH(AE28,'Item Budget'!$B$25:$B$95,0)),0)</f>
        <v/>
      </c>
      <c r="AG28" s="61">
        <f>X28*'Item Budget'!$B$5+AB28*'Item Budget'!$B$7+Z28*'Item Budget'!$B$11+AC28*'Item Budget'!$B$10+Y28*'Item Budget'!$B$6+AD28*'Item Budget'!$B$8+IFERROR(INDEX('Item Budget'!$N$25:$N$95,MATCH(AE28,'Item Budget'!$B$25:$B$95,0)),0)</f>
        <v/>
      </c>
      <c r="AH28" s="61">
        <f>MAX('Item Budget'!$F$16,INDEX('Item Budget'!$J$5:$J$10,MATCH($C28,'Item Budget'!$I$5:$I$10,0))+INDEX('Item Budget'!$K$5:$K$10,MATCH($C28,'Item Budget'!$I$5:$I$10,0))*MIN(W28,50))</f>
        <v/>
      </c>
      <c r="AI28" s="61">
        <f>AH28*$H28</f>
        <v/>
      </c>
      <c r="AJ28" s="41">
        <f>MAX(AF28,AG28)/AI28</f>
        <v/>
      </c>
      <c r="AK28" s="64" t="inlineStr">
        <is>
          <t>Pass 1 (applied): Keeps See Invisible (utility, scores 0) and gains caster stats. Lands a little under target on purpose.</t>
        </is>
      </c>
      <c r="AL28" s="43">
        <f>IFERROR(INDEX('Item Budget'!$H$25:$H$95,MATCH(Q28,'Item Budget'!$B$25:$B$95,0)),0)</f>
        <v/>
      </c>
      <c r="AM28" s="43">
        <f>IFERROR(INDEX('Item Budget'!$H$25:$H$95,MATCH(AE28,'Item Budget'!$B$25:$B$95,0)),0)</f>
        <v/>
      </c>
      <c r="AN28" s="37" t="n">
        <v>0</v>
      </c>
      <c r="AO28" s="44">
        <f>IF(I28&lt;'Item Budget'!$R$10,0,'Item Budget'!$R$7*100*MAX(('Item Budget'!$R$14*(J28+25*N28)+'Item Budget'!$S$14*(K28+25*P28))/'Item Budget'!$Z$14,('Item Budget'!$R$15*(J28+25*N28)+'Item Budget'!$S$15*(K28+25*P28))/'Item Budget'!$Z$15,('Item Budget'!$R$16*(J28+25*N28)+'Item Budget'!$S$16*(K28+25*P28))/'Item Budget'!$Z$16,('Item Budget'!$R$17*(J28+25*N28)+'Item Budget'!$S$17*(K28+25*P28))/'Item Budget'!$Z$17)+'Item Budget'!$R$9*L28+IFERROR(INDEX('Item Budget'!$O$25:$O$95,MATCH(Q28,'Item Budget'!$B$25:$B$95,0)),0))</f>
        <v/>
      </c>
      <c r="AP28" s="44">
        <f>IF(W28&lt;'Item Budget'!$R$10,0,'Item Budget'!$R$7*100*MAX(('Item Budget'!$R$14*(X28+25*AB28)+'Item Budget'!$S$14*(Y28+25*AD28))/'Item Budget'!$Z$14,('Item Budget'!$R$15*(X28+25*AB28)+'Item Budget'!$S$15*(Y28+25*AD28))/'Item Budget'!$Z$15,('Item Budget'!$R$16*(X28+25*AB28)+'Item Budget'!$S$16*(Y28+25*AD28))/'Item Budget'!$Z$16,('Item Budget'!$R$17*(X28+25*AB28)+'Item Budget'!$S$17*(Y28+25*AD28))/'Item Budget'!$Z$17)+'Item Budget'!$R$9*Z28+IFERROR(INDEX('Item Budget'!$O$25:$O$95,MATCH(AE28,'Item Budget'!$B$25:$B$95,0)),0))</f>
        <v/>
      </c>
      <c r="AQ28" s="61">
        <f>IF(OR(AN28=0,AP28=0),"",SUMPRODUCT(MAX(($C$5:$C$88=C28)*($AN$5:$AN$88&lt;AN28)*$AP$5:$AP$88)))</f>
        <v/>
      </c>
      <c r="AR28" s="41">
        <f>IF(AQ28="","",IF(AQ28=0,1,SUMPRODUCT(MAX(($C$5:$C$88=C28)*($AN$5:$AN$88=AN28)*$AP$5:$AP$88))/AQ28-1))</f>
        <v/>
      </c>
      <c r="AS28" s="19">
        <f>IF(AR28="","",IF(AR28&gt;='Item Budget'!$R$11,"OK","Not above lower tier"))</f>
        <v/>
      </c>
    </row>
    <row r="29">
      <c r="A29" s="21" t="n">
        <v>425</v>
      </c>
      <c r="B29" s="21" t="inlineStr">
        <is>
          <t>Black Ring</t>
        </is>
      </c>
      <c r="C29" s="21" t="inlineStr">
        <is>
          <t>Ring</t>
        </is>
      </c>
      <c r="D29" s="21" t="inlineStr">
        <is>
          <t>Rogue/Warrior</t>
        </is>
      </c>
      <c r="E29" s="21" t="inlineStr">
        <is>
          <t>drop:Showboat(L50) 10%</t>
        </is>
      </c>
      <c r="F29" s="3" t="inlineStr">
        <is>
          <t>Buff</t>
        </is>
      </c>
      <c r="G29" s="21" t="inlineStr">
        <is>
          <t>Uncommon drop</t>
        </is>
      </c>
      <c r="H29" s="31">
        <f>INDEX('Item Budget'!$F$5:$F$13,MATCH(G29,'Item Budget'!$E$5:$E$13,0))+IF(D29="All",0,'Item Budget'!$F$15)+LOOKUP(AN29,'Item Budget'!$E$19:$E$23,'Item Budget'!$F$19:$F$23)</f>
        <v/>
      </c>
      <c r="I29" s="21" t="n">
        <v>50</v>
      </c>
      <c r="J29" s="21" t="n">
        <v>350</v>
      </c>
      <c r="K29" s="21" t="n">
        <v>50</v>
      </c>
      <c r="L29" s="21" t="n">
        <v>35</v>
      </c>
      <c r="M29" s="21" t="n">
        <v>24</v>
      </c>
      <c r="N29" s="21" t="n">
        <v>20</v>
      </c>
      <c r="O29" s="21" t="n">
        <v>10</v>
      </c>
      <c r="P29" s="21" t="n">
        <v>0</v>
      </c>
      <c r="Q29" s="21" t="inlineStr">
        <is>
          <t>Mana Point Regeneration 1</t>
        </is>
      </c>
      <c r="R29" s="61">
        <f>J29*'Item Budget'!$B$5+N29*'Item Budget'!$B$7+L29*'Item Budget'!$B$11+O29*'Item Budget'!$B$10+M29*'Item Budget'!$B$9+IFERROR(INDEX('Item Budget'!$M$25:$M$95,MATCH(Q29,'Item Budget'!$B$25:$B$95,0)),0)</f>
        <v/>
      </c>
      <c r="S29" s="61">
        <f>J29*'Item Budget'!$B$5+N29*'Item Budget'!$B$7+L29*'Item Budget'!$B$11+O29*'Item Budget'!$B$10+K29*'Item Budget'!$B$6+P29*'Item Budget'!$B$8+IFERROR(INDEX('Item Budget'!$N$25:$N$95,MATCH(Q29,'Item Budget'!$B$25:$B$95,0)),0)</f>
        <v/>
      </c>
      <c r="T29" s="61">
        <f>MAX('Item Budget'!$F$16,INDEX('Item Budget'!$J$5:$J$10,MATCH($C29,'Item Budget'!$I$5:$I$10,0))+INDEX('Item Budget'!$K$5:$K$10,MATCH($C29,'Item Budget'!$I$5:$I$10,0))*MIN(I29,50))</f>
        <v/>
      </c>
      <c r="U29" s="61">
        <f>T29*$H29</f>
        <v/>
      </c>
      <c r="V29" s="41">
        <f>MAX(R29,S29)/U29</f>
        <v/>
      </c>
      <c r="W29" s="21" t="n">
        <v>50</v>
      </c>
      <c r="X29" s="21" t="n">
        <v>350</v>
      </c>
      <c r="Y29" s="21" t="n">
        <v>50</v>
      </c>
      <c r="Z29" s="21" t="n">
        <v>35</v>
      </c>
      <c r="AA29" s="21" t="n">
        <v>24</v>
      </c>
      <c r="AB29" s="21" t="n">
        <v>20</v>
      </c>
      <c r="AC29" s="21" t="n">
        <v>10</v>
      </c>
      <c r="AD29" s="21" t="n">
        <v>0</v>
      </c>
      <c r="AE29" s="21" t="inlineStr">
        <is>
          <t>Mana Point Regeneration 1</t>
        </is>
      </c>
      <c r="AF29" s="61">
        <f>X29*'Item Budget'!$B$5+AB29*'Item Budget'!$B$7+Z29*'Item Budget'!$B$11+AC29*'Item Budget'!$B$10+AA29*'Item Budget'!$B$9+IFERROR(INDEX('Item Budget'!$M$25:$M$95,MATCH(AE29,'Item Budget'!$B$25:$B$95,0)),0)</f>
        <v/>
      </c>
      <c r="AG29" s="61">
        <f>X29*'Item Budget'!$B$5+AB29*'Item Budget'!$B$7+Z29*'Item Budget'!$B$11+AC29*'Item Budget'!$B$10+Y29*'Item Budget'!$B$6+AD29*'Item Budget'!$B$8+IFERROR(INDEX('Item Budget'!$N$25:$N$95,MATCH(AE29,'Item Budget'!$B$25:$B$95,0)),0)</f>
        <v/>
      </c>
      <c r="AH29" s="61">
        <f>MAX('Item Budget'!$F$16,INDEX('Item Budget'!$J$5:$J$10,MATCH($C29,'Item Budget'!$I$5:$I$10,0))+INDEX('Item Budget'!$K$5:$K$10,MATCH($C29,'Item Budget'!$I$5:$I$10,0))*MIN(W29,50))</f>
        <v/>
      </c>
      <c r="AI29" s="61">
        <f>AH29*$H29</f>
        <v/>
      </c>
      <c r="AJ29" s="41">
        <f>MAX(AF29,AG29)/AI29</f>
        <v/>
      </c>
      <c r="AK29" s="64" t="inlineStr">
        <is>
          <t>Pass 1 (applied): Keeps its 1% MP regen; melee stats raised to target.</t>
        </is>
      </c>
      <c r="AL29" s="43">
        <f>IFERROR(INDEX('Item Budget'!$H$25:$H$95,MATCH(Q29,'Item Budget'!$B$25:$B$95,0)),0)</f>
        <v/>
      </c>
      <c r="AM29" s="43">
        <f>IFERROR(INDEX('Item Budget'!$H$25:$H$95,MATCH(AE29,'Item Budget'!$B$25:$B$95,0)),0)</f>
        <v/>
      </c>
      <c r="AN29" s="37" t="n">
        <v>0</v>
      </c>
      <c r="AO29" s="44">
        <f>IF(I29&lt;'Item Budget'!$R$10,0,'Item Budget'!$R$7*100*MAX(('Item Budget'!$R$14*(J29+25*N29)+'Item Budget'!$S$14*(K29+25*P29))/'Item Budget'!$Z$14,('Item Budget'!$R$15*(J29+25*N29)+'Item Budget'!$S$15*(K29+25*P29))/'Item Budget'!$Z$15,('Item Budget'!$R$16*(J29+25*N29)+'Item Budget'!$S$16*(K29+25*P29))/'Item Budget'!$Z$16,('Item Budget'!$R$17*(J29+25*N29)+'Item Budget'!$S$17*(K29+25*P29))/'Item Budget'!$Z$17)+'Item Budget'!$R$9*L29+IFERROR(INDEX('Item Budget'!$O$25:$O$95,MATCH(Q29,'Item Budget'!$B$25:$B$95,0)),0))</f>
        <v/>
      </c>
      <c r="AP29" s="44">
        <f>IF(W29&lt;'Item Budget'!$R$10,0,'Item Budget'!$R$7*100*MAX(('Item Budget'!$R$14*(X29+25*AB29)+'Item Budget'!$S$14*(Y29+25*AD29))/'Item Budget'!$Z$14,('Item Budget'!$R$15*(X29+25*AB29)+'Item Budget'!$S$15*(Y29+25*AD29))/'Item Budget'!$Z$15,('Item Budget'!$R$16*(X29+25*AB29)+'Item Budget'!$S$16*(Y29+25*AD29))/'Item Budget'!$Z$16,('Item Budget'!$R$17*(X29+25*AB29)+'Item Budget'!$S$17*(Y29+25*AD29))/'Item Budget'!$Z$17)+'Item Budget'!$R$9*Z29+IFERROR(INDEX('Item Budget'!$O$25:$O$95,MATCH(AE29,'Item Budget'!$B$25:$B$95,0)),0))</f>
        <v/>
      </c>
      <c r="AQ29" s="61">
        <f>IF(OR(AN29=0,AP29=0),"",SUMPRODUCT(MAX(($C$5:$C$88=C29)*($AN$5:$AN$88&lt;AN29)*$AP$5:$AP$88)))</f>
        <v/>
      </c>
      <c r="AR29" s="41">
        <f>IF(AQ29="","",IF(AQ29=0,1,SUMPRODUCT(MAX(($C$5:$C$88=C29)*($AN$5:$AN$88=AN29)*$AP$5:$AP$88))/AQ29-1))</f>
        <v/>
      </c>
      <c r="AS29" s="19">
        <f>IF(AR29="","",IF(AR29&gt;='Item Budget'!$R$11,"OK","Not above lower tier"))</f>
        <v/>
      </c>
    </row>
    <row r="30">
      <c r="A30" s="21" t="n">
        <v>580</v>
      </c>
      <c r="B30" s="21" t="inlineStr">
        <is>
          <t>Enchanted Bracelet of Fire</t>
        </is>
      </c>
      <c r="C30" s="21" t="inlineStr">
        <is>
          <t>Ring</t>
        </is>
      </c>
      <c r="D30" s="21" t="inlineStr">
        <is>
          <t>All</t>
        </is>
      </c>
      <c r="E30" s="21" t="inlineStr">
        <is>
          <t>craft:Enchanted Bracelet of Fire</t>
        </is>
      </c>
      <c r="F30" s="3" t="inlineStr">
        <is>
          <t>Buff</t>
        </is>
      </c>
      <c r="G30" s="21" t="inlineStr">
        <is>
          <t>Crafted</t>
        </is>
      </c>
      <c r="H30" s="31">
        <f>INDEX('Item Budget'!$F$5:$F$13,MATCH(G30,'Item Budget'!$E$5:$E$13,0))+IF(D30="All",0,'Item Budget'!$F$15)+LOOKUP(AN30,'Item Budget'!$E$19:$E$23,'Item Budget'!$F$19:$F$23)</f>
        <v/>
      </c>
      <c r="I30" s="21" t="n">
        <v>50</v>
      </c>
      <c r="J30" s="21" t="n">
        <v>800</v>
      </c>
      <c r="K30" s="21" t="n">
        <v>600</v>
      </c>
      <c r="L30" s="21" t="n">
        <v>60</v>
      </c>
      <c r="M30" s="21" t="n">
        <v>25</v>
      </c>
      <c r="N30" s="21" t="n">
        <v>30</v>
      </c>
      <c r="O30" s="21" t="n">
        <v>25</v>
      </c>
      <c r="P30" s="21" t="n">
        <v>45</v>
      </c>
      <c r="Q30" s="21" t="inlineStr">
        <is>
          <t>Damage Reduction V</t>
        </is>
      </c>
      <c r="R30" s="61">
        <f>J30*'Item Budget'!$B$5+N30*'Item Budget'!$B$7+L30*'Item Budget'!$B$11+O30*'Item Budget'!$B$10+M30*'Item Budget'!$B$9+IFERROR(INDEX('Item Budget'!$M$25:$M$95,MATCH(Q30,'Item Budget'!$B$25:$B$95,0)),0)</f>
        <v/>
      </c>
      <c r="S30" s="61">
        <f>J30*'Item Budget'!$B$5+N30*'Item Budget'!$B$7+L30*'Item Budget'!$B$11+O30*'Item Budget'!$B$10+K30*'Item Budget'!$B$6+P30*'Item Budget'!$B$8+IFERROR(INDEX('Item Budget'!$N$25:$N$95,MATCH(Q30,'Item Budget'!$B$25:$B$95,0)),0)</f>
        <v/>
      </c>
      <c r="T30" s="61">
        <f>MAX('Item Budget'!$F$16,INDEX('Item Budget'!$J$5:$J$10,MATCH($C30,'Item Budget'!$I$5:$I$10,0))+INDEX('Item Budget'!$K$5:$K$10,MATCH($C30,'Item Budget'!$I$5:$I$10,0))*MIN(I30,50))</f>
        <v/>
      </c>
      <c r="U30" s="61">
        <f>T30*$H30</f>
        <v/>
      </c>
      <c r="V30" s="41">
        <f>MAX(R30,S30)/U30</f>
        <v/>
      </c>
      <c r="W30" s="21" t="n">
        <v>50</v>
      </c>
      <c r="X30" s="21" t="n">
        <v>800</v>
      </c>
      <c r="Y30" s="21" t="n">
        <v>600</v>
      </c>
      <c r="Z30" s="21" t="n">
        <v>60</v>
      </c>
      <c r="AA30" s="21" t="n">
        <v>25</v>
      </c>
      <c r="AB30" s="21" t="n">
        <v>30</v>
      </c>
      <c r="AC30" s="21" t="n">
        <v>25</v>
      </c>
      <c r="AD30" s="21" t="n">
        <v>45</v>
      </c>
      <c r="AE30" s="21" t="inlineStr">
        <is>
          <t>Damage Reduction V</t>
        </is>
      </c>
      <c r="AF30" s="61">
        <f>X30*'Item Budget'!$B$5+AB30*'Item Budget'!$B$7+Z30*'Item Budget'!$B$11+AC30*'Item Budget'!$B$10+AA30*'Item Budget'!$B$9+IFERROR(INDEX('Item Budget'!$M$25:$M$95,MATCH(AE30,'Item Budget'!$B$25:$B$95,0)),0)</f>
        <v/>
      </c>
      <c r="AG30" s="61">
        <f>X30*'Item Budget'!$B$5+AB30*'Item Budget'!$B$7+Z30*'Item Budget'!$B$11+AC30*'Item Budget'!$B$10+Y30*'Item Budget'!$B$6+AD30*'Item Budget'!$B$8+IFERROR(INDEX('Item Budget'!$N$25:$N$95,MATCH(AE30,'Item Budget'!$B$25:$B$95,0)),0)</f>
        <v/>
      </c>
      <c r="AH30" s="61">
        <f>MAX('Item Budget'!$F$16,INDEX('Item Budget'!$J$5:$J$10,MATCH($C30,'Item Budget'!$I$5:$I$10,0))+INDEX('Item Budget'!$K$5:$K$10,MATCH($C30,'Item Budget'!$I$5:$I$10,0))*MIN(W30,50))</f>
        <v/>
      </c>
      <c r="AI30" s="61">
        <f>AH30*$H30</f>
        <v/>
      </c>
      <c r="AJ30" s="41">
        <f>MAX(AF30,AG30)/AI30</f>
        <v/>
      </c>
      <c r="AK30" s="64" t="inlineStr">
        <is>
          <t>Pass 1 (applied): 400M XP: more HP/MP to clear the 20M bracelets. Keeps 5% DR, so the DR ceiling does not move.</t>
        </is>
      </c>
      <c r="AL30" s="43">
        <f>IFERROR(INDEX('Item Budget'!$H$25:$H$95,MATCH(Q30,'Item Budget'!$B$25:$B$95,0)),0)</f>
        <v/>
      </c>
      <c r="AM30" s="43">
        <f>IFERROR(INDEX('Item Budget'!$H$25:$H$95,MATCH(AE30,'Item Budget'!$B$25:$B$95,0)),0)</f>
        <v/>
      </c>
      <c r="AN30" s="37" t="n">
        <v>400000000</v>
      </c>
      <c r="AO30" s="44">
        <f>IF(I30&lt;'Item Budget'!$R$10,0,'Item Budget'!$R$7*100*MAX(('Item Budget'!$R$14*(J30+25*N30)+'Item Budget'!$S$14*(K30+25*P30))/'Item Budget'!$Z$14,('Item Budget'!$R$15*(J30+25*N30)+'Item Budget'!$S$15*(K30+25*P30))/'Item Budget'!$Z$15,('Item Budget'!$R$16*(J30+25*N30)+'Item Budget'!$S$16*(K30+25*P30))/'Item Budget'!$Z$16,('Item Budget'!$R$17*(J30+25*N30)+'Item Budget'!$S$17*(K30+25*P30))/'Item Budget'!$Z$17)+'Item Budget'!$R$9*L30+IFERROR(INDEX('Item Budget'!$O$25:$O$95,MATCH(Q30,'Item Budget'!$B$25:$B$95,0)),0))</f>
        <v/>
      </c>
      <c r="AP30" s="44">
        <f>IF(W30&lt;'Item Budget'!$R$10,0,'Item Budget'!$R$7*100*MAX(('Item Budget'!$R$14*(X30+25*AB30)+'Item Budget'!$S$14*(Y30+25*AD30))/'Item Budget'!$Z$14,('Item Budget'!$R$15*(X30+25*AB30)+'Item Budget'!$S$15*(Y30+25*AD30))/'Item Budget'!$Z$15,('Item Budget'!$R$16*(X30+25*AB30)+'Item Budget'!$S$16*(Y30+25*AD30))/'Item Budget'!$Z$16,('Item Budget'!$R$17*(X30+25*AB30)+'Item Budget'!$S$17*(Y30+25*AD30))/'Item Budget'!$Z$17)+'Item Budget'!$R$9*Z30+IFERROR(INDEX('Item Budget'!$O$25:$O$95,MATCH(AE30,'Item Budget'!$B$25:$B$95,0)),0))</f>
        <v/>
      </c>
      <c r="AQ30" s="61">
        <f>IF(OR(AN30=0,AP30=0),"",SUMPRODUCT(MAX(($C$5:$C$88=C30)*($AN$5:$AN$88&lt;AN30)*$AP$5:$AP$88)))</f>
        <v/>
      </c>
      <c r="AR30" s="41">
        <f>IF(AQ30="","",IF(AQ30=0,1,SUMPRODUCT(MAX(($C$5:$C$88=C30)*($AN$5:$AN$88=AN30)*$AP$5:$AP$88))/AQ30-1))</f>
        <v/>
      </c>
      <c r="AS30" s="19">
        <f>IF(AR30="","",IF(AR30&gt;='Item Budget'!$R$11,"OK","Not above lower tier"))</f>
        <v/>
      </c>
    </row>
    <row r="31">
      <c r="A31" s="21" t="n">
        <v>581</v>
      </c>
      <c r="B31" s="21" t="inlineStr">
        <is>
          <t>Enchanted Bracelet of Earth</t>
        </is>
      </c>
      <c r="C31" s="21" t="inlineStr">
        <is>
          <t>Ring</t>
        </is>
      </c>
      <c r="D31" s="21" t="inlineStr">
        <is>
          <t>All</t>
        </is>
      </c>
      <c r="E31" s="21" t="inlineStr">
        <is>
          <t>craft:Enchanted Bracelet of Earth</t>
        </is>
      </c>
      <c r="F31" s="3" t="inlineStr">
        <is>
          <t>Buff</t>
        </is>
      </c>
      <c r="G31" s="21" t="inlineStr">
        <is>
          <t>Crafted</t>
        </is>
      </c>
      <c r="H31" s="31">
        <f>INDEX('Item Budget'!$F$5:$F$13,MATCH(G31,'Item Budget'!$E$5:$E$13,0))+IF(D31="All",0,'Item Budget'!$F$15)+LOOKUP(AN31,'Item Budget'!$E$19:$E$23,'Item Budget'!$F$19:$F$23)</f>
        <v/>
      </c>
      <c r="I31" s="21" t="n">
        <v>50</v>
      </c>
      <c r="J31" s="21" t="n">
        <v>400</v>
      </c>
      <c r="K31" s="21" t="n">
        <v>500</v>
      </c>
      <c r="L31" s="21" t="n">
        <v>40</v>
      </c>
      <c r="M31" s="21" t="n">
        <v>25</v>
      </c>
      <c r="N31" s="21" t="n">
        <v>25</v>
      </c>
      <c r="O31" s="21" t="n">
        <v>25</v>
      </c>
      <c r="P31" s="21" t="n">
        <v>45</v>
      </c>
      <c r="Q31" s="21" t="inlineStr">
        <is>
          <t>Increased Spell Damage X</t>
        </is>
      </c>
      <c r="R31" s="61">
        <f>J31*'Item Budget'!$B$5+N31*'Item Budget'!$B$7+L31*'Item Budget'!$B$11+O31*'Item Budget'!$B$10+M31*'Item Budget'!$B$9+IFERROR(INDEX('Item Budget'!$M$25:$M$95,MATCH(Q31,'Item Budget'!$B$25:$B$95,0)),0)</f>
        <v/>
      </c>
      <c r="S31" s="61">
        <f>J31*'Item Budget'!$B$5+N31*'Item Budget'!$B$7+L31*'Item Budget'!$B$11+O31*'Item Budget'!$B$10+K31*'Item Budget'!$B$6+P31*'Item Budget'!$B$8+IFERROR(INDEX('Item Budget'!$N$25:$N$95,MATCH(Q31,'Item Budget'!$B$25:$B$95,0)),0)</f>
        <v/>
      </c>
      <c r="T31" s="61">
        <f>MAX('Item Budget'!$F$16,INDEX('Item Budget'!$J$5:$J$10,MATCH($C31,'Item Budget'!$I$5:$I$10,0))+INDEX('Item Budget'!$K$5:$K$10,MATCH($C31,'Item Budget'!$I$5:$I$10,0))*MIN(I31,50))</f>
        <v/>
      </c>
      <c r="U31" s="61">
        <f>T31*$H31</f>
        <v/>
      </c>
      <c r="V31" s="41">
        <f>MAX(R31,S31)/U31</f>
        <v/>
      </c>
      <c r="W31" s="21" t="n">
        <v>50</v>
      </c>
      <c r="X31" s="21" t="n">
        <v>400</v>
      </c>
      <c r="Y31" s="21" t="n">
        <v>500</v>
      </c>
      <c r="Z31" s="21" t="n">
        <v>40</v>
      </c>
      <c r="AA31" s="21" t="n">
        <v>25</v>
      </c>
      <c r="AB31" s="21" t="n">
        <v>25</v>
      </c>
      <c r="AC31" s="21" t="n">
        <v>25</v>
      </c>
      <c r="AD31" s="21" t="n">
        <v>45</v>
      </c>
      <c r="AE31" s="21" t="inlineStr">
        <is>
          <t>Increased Spell Damage X</t>
        </is>
      </c>
      <c r="AF31" s="61">
        <f>X31*'Item Budget'!$B$5+AB31*'Item Budget'!$B$7+Z31*'Item Budget'!$B$11+AC31*'Item Budget'!$B$10+AA31*'Item Budget'!$B$9+IFERROR(INDEX('Item Budget'!$M$25:$M$95,MATCH(AE31,'Item Budget'!$B$25:$B$95,0)),0)</f>
        <v/>
      </c>
      <c r="AG31" s="61">
        <f>X31*'Item Budget'!$B$5+AB31*'Item Budget'!$B$7+Z31*'Item Budget'!$B$11+AC31*'Item Budget'!$B$10+Y31*'Item Budget'!$B$6+AD31*'Item Budget'!$B$8+IFERROR(INDEX('Item Budget'!$N$25:$N$95,MATCH(AE31,'Item Budget'!$B$25:$B$95,0)),0)</f>
        <v/>
      </c>
      <c r="AH31" s="61">
        <f>MAX('Item Budget'!$F$16,INDEX('Item Budget'!$J$5:$J$10,MATCH($C31,'Item Budget'!$I$5:$I$10,0))+INDEX('Item Budget'!$K$5:$K$10,MATCH($C31,'Item Budget'!$I$5:$I$10,0))*MIN(W31,50))</f>
        <v/>
      </c>
      <c r="AI31" s="61">
        <f>AH31*$H31</f>
        <v/>
      </c>
      <c r="AJ31" s="41">
        <f>MAX(AF31,AG31)/AI31</f>
        <v/>
      </c>
      <c r="AK31" s="64" t="inlineStr">
        <is>
          <t>Pass 1 (applied): 400M XP: 10% spell damage, above the 7% on Bracelet of Earth.</t>
        </is>
      </c>
      <c r="AL31" s="43">
        <f>IFERROR(INDEX('Item Budget'!$H$25:$H$95,MATCH(Q31,'Item Budget'!$B$25:$B$95,0)),0)</f>
        <v/>
      </c>
      <c r="AM31" s="43">
        <f>IFERROR(INDEX('Item Budget'!$H$25:$H$95,MATCH(AE31,'Item Budget'!$B$25:$B$95,0)),0)</f>
        <v/>
      </c>
      <c r="AN31" s="37" t="n">
        <v>400000000</v>
      </c>
      <c r="AO31" s="44">
        <f>IF(I31&lt;'Item Budget'!$R$10,0,'Item Budget'!$R$7*100*MAX(('Item Budget'!$R$14*(J31+25*N31)+'Item Budget'!$S$14*(K31+25*P31))/'Item Budget'!$Z$14,('Item Budget'!$R$15*(J31+25*N31)+'Item Budget'!$S$15*(K31+25*P31))/'Item Budget'!$Z$15,('Item Budget'!$R$16*(J31+25*N31)+'Item Budget'!$S$16*(K31+25*P31))/'Item Budget'!$Z$16,('Item Budget'!$R$17*(J31+25*N31)+'Item Budget'!$S$17*(K31+25*P31))/'Item Budget'!$Z$17)+'Item Budget'!$R$9*L31+IFERROR(INDEX('Item Budget'!$O$25:$O$95,MATCH(Q31,'Item Budget'!$B$25:$B$95,0)),0))</f>
        <v/>
      </c>
      <c r="AP31" s="44">
        <f>IF(W31&lt;'Item Budget'!$R$10,0,'Item Budget'!$R$7*100*MAX(('Item Budget'!$R$14*(X31+25*AB31)+'Item Budget'!$S$14*(Y31+25*AD31))/'Item Budget'!$Z$14,('Item Budget'!$R$15*(X31+25*AB31)+'Item Budget'!$S$15*(Y31+25*AD31))/'Item Budget'!$Z$15,('Item Budget'!$R$16*(X31+25*AB31)+'Item Budget'!$S$16*(Y31+25*AD31))/'Item Budget'!$Z$16,('Item Budget'!$R$17*(X31+25*AB31)+'Item Budget'!$S$17*(Y31+25*AD31))/'Item Budget'!$Z$17)+'Item Budget'!$R$9*Z31+IFERROR(INDEX('Item Budget'!$O$25:$O$95,MATCH(AE31,'Item Budget'!$B$25:$B$95,0)),0))</f>
        <v/>
      </c>
      <c r="AQ31" s="61">
        <f>IF(OR(AN31=0,AP31=0),"",SUMPRODUCT(MAX(($C$5:$C$88=C31)*($AN$5:$AN$88&lt;AN31)*$AP$5:$AP$88)))</f>
        <v/>
      </c>
      <c r="AR31" s="41">
        <f>IF(AQ31="","",IF(AQ31=0,1,SUMPRODUCT(MAX(($C$5:$C$88=C31)*($AN$5:$AN$88=AN31)*$AP$5:$AP$88))/AQ31-1))</f>
        <v/>
      </c>
      <c r="AS31" s="19">
        <f>IF(AR31="","",IF(AR31&gt;='Item Budget'!$R$11,"OK","Not above lower tier"))</f>
        <v/>
      </c>
    </row>
    <row r="32">
      <c r="A32" s="21" t="n">
        <v>582</v>
      </c>
      <c r="B32" s="21" t="inlineStr">
        <is>
          <t>Enchanted Bracelet of Air</t>
        </is>
      </c>
      <c r="C32" s="21" t="inlineStr">
        <is>
          <t>Ring</t>
        </is>
      </c>
      <c r="D32" s="21" t="inlineStr">
        <is>
          <t>All</t>
        </is>
      </c>
      <c r="E32" s="21" t="inlineStr">
        <is>
          <t>craft:Enchanted Bracelet of Air</t>
        </is>
      </c>
      <c r="F32" s="3" t="inlineStr">
        <is>
          <t>Buff</t>
        </is>
      </c>
      <c r="G32" s="21" t="inlineStr">
        <is>
          <t>Crafted</t>
        </is>
      </c>
      <c r="H32" s="31">
        <f>INDEX('Item Budget'!$F$5:$F$13,MATCH(G32,'Item Budget'!$E$5:$E$13,0))+IF(D32="All",0,'Item Budget'!$F$15)+LOOKUP(AN32,'Item Budget'!$E$19:$E$23,'Item Budget'!$F$19:$F$23)</f>
        <v/>
      </c>
      <c r="I32" s="21" t="n">
        <v>50</v>
      </c>
      <c r="J32" s="21" t="n">
        <v>500</v>
      </c>
      <c r="K32" s="21" t="n">
        <v>500</v>
      </c>
      <c r="L32" s="21" t="n">
        <v>40</v>
      </c>
      <c r="M32" s="21" t="n">
        <v>32</v>
      </c>
      <c r="N32" s="21" t="n">
        <v>55</v>
      </c>
      <c r="O32" s="21" t="n">
        <v>25</v>
      </c>
      <c r="P32" s="21" t="n">
        <v>35</v>
      </c>
      <c r="Q32" s="21" t="inlineStr">
        <is>
          <t>HP MP Regeneration II</t>
        </is>
      </c>
      <c r="R32" s="61">
        <f>J32*'Item Budget'!$B$5+N32*'Item Budget'!$B$7+L32*'Item Budget'!$B$11+O32*'Item Budget'!$B$10+M32*'Item Budget'!$B$9+IFERROR(INDEX('Item Budget'!$M$25:$M$95,MATCH(Q32,'Item Budget'!$B$25:$B$95,0)),0)</f>
        <v/>
      </c>
      <c r="S32" s="61">
        <f>J32*'Item Budget'!$B$5+N32*'Item Budget'!$B$7+L32*'Item Budget'!$B$11+O32*'Item Budget'!$B$10+K32*'Item Budget'!$B$6+P32*'Item Budget'!$B$8+IFERROR(INDEX('Item Budget'!$N$25:$N$95,MATCH(Q32,'Item Budget'!$B$25:$B$95,0)),0)</f>
        <v/>
      </c>
      <c r="T32" s="61">
        <f>MAX('Item Budget'!$F$16,INDEX('Item Budget'!$J$5:$J$10,MATCH($C32,'Item Budget'!$I$5:$I$10,0))+INDEX('Item Budget'!$K$5:$K$10,MATCH($C32,'Item Budget'!$I$5:$I$10,0))*MIN(I32,50))</f>
        <v/>
      </c>
      <c r="U32" s="61">
        <f>T32*$H32</f>
        <v/>
      </c>
      <c r="V32" s="41">
        <f>MAX(R32,S32)/U32</f>
        <v/>
      </c>
      <c r="W32" s="21" t="n">
        <v>50</v>
      </c>
      <c r="X32" s="21" t="n">
        <v>500</v>
      </c>
      <c r="Y32" s="21" t="n">
        <v>500</v>
      </c>
      <c r="Z32" s="21" t="n">
        <v>40</v>
      </c>
      <c r="AA32" s="21" t="n">
        <v>32</v>
      </c>
      <c r="AB32" s="21" t="n">
        <v>55</v>
      </c>
      <c r="AC32" s="21" t="n">
        <v>25</v>
      </c>
      <c r="AD32" s="21" t="n">
        <v>35</v>
      </c>
      <c r="AE32" s="21" t="inlineStr">
        <is>
          <t>HP MP Regeneration II</t>
        </is>
      </c>
      <c r="AF32" s="61">
        <f>X32*'Item Budget'!$B$5+AB32*'Item Budget'!$B$7+Z32*'Item Budget'!$B$11+AC32*'Item Budget'!$B$10+AA32*'Item Budget'!$B$9+IFERROR(INDEX('Item Budget'!$M$25:$M$95,MATCH(AE32,'Item Budget'!$B$25:$B$95,0)),0)</f>
        <v/>
      </c>
      <c r="AG32" s="61">
        <f>X32*'Item Budget'!$B$5+AB32*'Item Budget'!$B$7+Z32*'Item Budget'!$B$11+AC32*'Item Budget'!$B$10+Y32*'Item Budget'!$B$6+AD32*'Item Budget'!$B$8+IFERROR(INDEX('Item Budget'!$N$25:$N$95,MATCH(AE32,'Item Budget'!$B$25:$B$95,0)),0)</f>
        <v/>
      </c>
      <c r="AH32" s="61">
        <f>MAX('Item Budget'!$F$16,INDEX('Item Budget'!$J$5:$J$10,MATCH($C32,'Item Budget'!$I$5:$I$10,0))+INDEX('Item Budget'!$K$5:$K$10,MATCH($C32,'Item Budget'!$I$5:$I$10,0))*MIN(W32,50))</f>
        <v/>
      </c>
      <c r="AI32" s="61">
        <f>AH32*$H32</f>
        <v/>
      </c>
      <c r="AJ32" s="41">
        <f>MAX(AF32,AG32)/AI32</f>
        <v/>
      </c>
      <c r="AK32" s="64" t="inlineStr">
        <is>
          <t>Pass 1 (applied): 400M XP: needs a NEW effect, 2% HP + 2% MP regen, to clear the 20M bracelets.</t>
        </is>
      </c>
      <c r="AL32" s="43">
        <f>IFERROR(INDEX('Item Budget'!$H$25:$H$95,MATCH(Q32,'Item Budget'!$B$25:$B$95,0)),0)</f>
        <v/>
      </c>
      <c r="AM32" s="43">
        <f>IFERROR(INDEX('Item Budget'!$H$25:$H$95,MATCH(AE32,'Item Budget'!$B$25:$B$95,0)),0)</f>
        <v/>
      </c>
      <c r="AN32" s="37" t="n">
        <v>400000000</v>
      </c>
      <c r="AO32" s="44">
        <f>IF(I32&lt;'Item Budget'!$R$10,0,'Item Budget'!$R$7*100*MAX(('Item Budget'!$R$14*(J32+25*N32)+'Item Budget'!$S$14*(K32+25*P32))/'Item Budget'!$Z$14,('Item Budget'!$R$15*(J32+25*N32)+'Item Budget'!$S$15*(K32+25*P32))/'Item Budget'!$Z$15,('Item Budget'!$R$16*(J32+25*N32)+'Item Budget'!$S$16*(K32+25*P32))/'Item Budget'!$Z$16,('Item Budget'!$R$17*(J32+25*N32)+'Item Budget'!$S$17*(K32+25*P32))/'Item Budget'!$Z$17)+'Item Budget'!$R$9*L32+IFERROR(INDEX('Item Budget'!$O$25:$O$95,MATCH(Q32,'Item Budget'!$B$25:$B$95,0)),0))</f>
        <v/>
      </c>
      <c r="AP32" s="44">
        <f>IF(W32&lt;'Item Budget'!$R$10,0,'Item Budget'!$R$7*100*MAX(('Item Budget'!$R$14*(X32+25*AB32)+'Item Budget'!$S$14*(Y32+25*AD32))/'Item Budget'!$Z$14,('Item Budget'!$R$15*(X32+25*AB32)+'Item Budget'!$S$15*(Y32+25*AD32))/'Item Budget'!$Z$15,('Item Budget'!$R$16*(X32+25*AB32)+'Item Budget'!$S$16*(Y32+25*AD32))/'Item Budget'!$Z$16,('Item Budget'!$R$17*(X32+25*AB32)+'Item Budget'!$S$17*(Y32+25*AD32))/'Item Budget'!$Z$17)+'Item Budget'!$R$9*Z32+IFERROR(INDEX('Item Budget'!$O$25:$O$95,MATCH(AE32,'Item Budget'!$B$25:$B$95,0)),0))</f>
        <v/>
      </c>
      <c r="AQ32" s="61">
        <f>IF(OR(AN32=0,AP32=0),"",SUMPRODUCT(MAX(($C$5:$C$88=C32)*($AN$5:$AN$88&lt;AN32)*$AP$5:$AP$88)))</f>
        <v/>
      </c>
      <c r="AR32" s="41">
        <f>IF(AQ32="","",IF(AQ32=0,1,SUMPRODUCT(MAX(($C$5:$C$88=C32)*($AN$5:$AN$88=AN32)*$AP$5:$AP$88))/AQ32-1))</f>
        <v/>
      </c>
      <c r="AS32" s="19">
        <f>IF(AR32="","",IF(AR32&gt;='Item Budget'!$R$11,"OK","Not above lower tier"))</f>
        <v/>
      </c>
    </row>
    <row r="33">
      <c r="A33" s="21" t="n">
        <v>583</v>
      </c>
      <c r="B33" s="21" t="inlineStr">
        <is>
          <t>Enchanted Bracelet of Water</t>
        </is>
      </c>
      <c r="C33" s="21" t="inlineStr">
        <is>
          <t>Ring</t>
        </is>
      </c>
      <c r="D33" s="21" t="inlineStr">
        <is>
          <t>All</t>
        </is>
      </c>
      <c r="E33" s="21" t="inlineStr">
        <is>
          <t>craft:Enchanted Bracelet of Water</t>
        </is>
      </c>
      <c r="F33" s="3" t="inlineStr">
        <is>
          <t>Buff</t>
        </is>
      </c>
      <c r="G33" s="21" t="inlineStr">
        <is>
          <t>Crafted</t>
        </is>
      </c>
      <c r="H33" s="31">
        <f>INDEX('Item Budget'!$F$5:$F$13,MATCH(G33,'Item Budget'!$E$5:$E$13,0))+IF(D33="All",0,'Item Budget'!$F$15)+LOOKUP(AN33,'Item Budget'!$E$19:$E$23,'Item Budget'!$F$19:$F$23)</f>
        <v/>
      </c>
      <c r="I33" s="21" t="n">
        <v>50</v>
      </c>
      <c r="J33" s="21" t="n">
        <v>400</v>
      </c>
      <c r="K33" s="21" t="n">
        <v>550</v>
      </c>
      <c r="L33" s="21" t="n">
        <v>40</v>
      </c>
      <c r="M33" s="21" t="n">
        <v>25</v>
      </c>
      <c r="N33" s="21" t="n">
        <v>40</v>
      </c>
      <c r="O33" s="21" t="n">
        <v>25</v>
      </c>
      <c r="P33" s="21" t="n">
        <v>50</v>
      </c>
      <c r="Q33" s="21" t="inlineStr">
        <is>
          <t>Spell Critical Damage X</t>
        </is>
      </c>
      <c r="R33" s="61">
        <f>J33*'Item Budget'!$B$5+N33*'Item Budget'!$B$7+L33*'Item Budget'!$B$11+O33*'Item Budget'!$B$10+M33*'Item Budget'!$B$9+IFERROR(INDEX('Item Budget'!$M$25:$M$95,MATCH(Q33,'Item Budget'!$B$25:$B$95,0)),0)</f>
        <v/>
      </c>
      <c r="S33" s="61">
        <f>J33*'Item Budget'!$B$5+N33*'Item Budget'!$B$7+L33*'Item Budget'!$B$11+O33*'Item Budget'!$B$10+K33*'Item Budget'!$B$6+P33*'Item Budget'!$B$8+IFERROR(INDEX('Item Budget'!$N$25:$N$95,MATCH(Q33,'Item Budget'!$B$25:$B$95,0)),0)</f>
        <v/>
      </c>
      <c r="T33" s="61">
        <f>MAX('Item Budget'!$F$16,INDEX('Item Budget'!$J$5:$J$10,MATCH($C33,'Item Budget'!$I$5:$I$10,0))+INDEX('Item Budget'!$K$5:$K$10,MATCH($C33,'Item Budget'!$I$5:$I$10,0))*MIN(I33,50))</f>
        <v/>
      </c>
      <c r="U33" s="61">
        <f>T33*$H33</f>
        <v/>
      </c>
      <c r="V33" s="41">
        <f>MAX(R33,S33)/U33</f>
        <v/>
      </c>
      <c r="W33" s="21" t="n">
        <v>50</v>
      </c>
      <c r="X33" s="21" t="n">
        <v>400</v>
      </c>
      <c r="Y33" s="21" t="n">
        <v>550</v>
      </c>
      <c r="Z33" s="21" t="n">
        <v>40</v>
      </c>
      <c r="AA33" s="21" t="n">
        <v>25</v>
      </c>
      <c r="AB33" s="21" t="n">
        <v>40</v>
      </c>
      <c r="AC33" s="21" t="n">
        <v>25</v>
      </c>
      <c r="AD33" s="21" t="n">
        <v>50</v>
      </c>
      <c r="AE33" s="21" t="inlineStr">
        <is>
          <t>Spell Critical Damage X</t>
        </is>
      </c>
      <c r="AF33" s="61">
        <f>X33*'Item Budget'!$B$5+AB33*'Item Budget'!$B$7+Z33*'Item Budget'!$B$11+AC33*'Item Budget'!$B$10+AA33*'Item Budget'!$B$9+IFERROR(INDEX('Item Budget'!$M$25:$M$95,MATCH(AE33,'Item Budget'!$B$25:$B$95,0)),0)</f>
        <v/>
      </c>
      <c r="AG33" s="61">
        <f>X33*'Item Budget'!$B$5+AB33*'Item Budget'!$B$7+Z33*'Item Budget'!$B$11+AC33*'Item Budget'!$B$10+Y33*'Item Budget'!$B$6+AD33*'Item Budget'!$B$8+IFERROR(INDEX('Item Budget'!$N$25:$N$95,MATCH(AE33,'Item Budget'!$B$25:$B$95,0)),0)</f>
        <v/>
      </c>
      <c r="AH33" s="61">
        <f>MAX('Item Budget'!$F$16,INDEX('Item Budget'!$J$5:$J$10,MATCH($C33,'Item Budget'!$I$5:$I$10,0))+INDEX('Item Budget'!$K$5:$K$10,MATCH($C33,'Item Budget'!$I$5:$I$10,0))*MIN(W33,50))</f>
        <v/>
      </c>
      <c r="AI33" s="61">
        <f>AH33*$H33</f>
        <v/>
      </c>
      <c r="AJ33" s="41">
        <f>MAX(AF33,AG33)/AI33</f>
        <v/>
      </c>
      <c r="AK33" s="64" t="inlineStr">
        <is>
          <t>Pass 1 (applied): 400M XP: 10% spell crit, above the 8% on Bracelet of Water.</t>
        </is>
      </c>
      <c r="AL33" s="43">
        <f>IFERROR(INDEX('Item Budget'!$H$25:$H$95,MATCH(Q33,'Item Budget'!$B$25:$B$95,0)),0)</f>
        <v/>
      </c>
      <c r="AM33" s="43">
        <f>IFERROR(INDEX('Item Budget'!$H$25:$H$95,MATCH(AE33,'Item Budget'!$B$25:$B$95,0)),0)</f>
        <v/>
      </c>
      <c r="AN33" s="37" t="n">
        <v>400000000</v>
      </c>
      <c r="AO33" s="44">
        <f>IF(I33&lt;'Item Budget'!$R$10,0,'Item Budget'!$R$7*100*MAX(('Item Budget'!$R$14*(J33+25*N33)+'Item Budget'!$S$14*(K33+25*P33))/'Item Budget'!$Z$14,('Item Budget'!$R$15*(J33+25*N33)+'Item Budget'!$S$15*(K33+25*P33))/'Item Budget'!$Z$15,('Item Budget'!$R$16*(J33+25*N33)+'Item Budget'!$S$16*(K33+25*P33))/'Item Budget'!$Z$16,('Item Budget'!$R$17*(J33+25*N33)+'Item Budget'!$S$17*(K33+25*P33))/'Item Budget'!$Z$17)+'Item Budget'!$R$9*L33+IFERROR(INDEX('Item Budget'!$O$25:$O$95,MATCH(Q33,'Item Budget'!$B$25:$B$95,0)),0))</f>
        <v/>
      </c>
      <c r="AP33" s="44">
        <f>IF(W33&lt;'Item Budget'!$R$10,0,'Item Budget'!$R$7*100*MAX(('Item Budget'!$R$14*(X33+25*AB33)+'Item Budget'!$S$14*(Y33+25*AD33))/'Item Budget'!$Z$14,('Item Budget'!$R$15*(X33+25*AB33)+'Item Budget'!$S$15*(Y33+25*AD33))/'Item Budget'!$Z$15,('Item Budget'!$R$16*(X33+25*AB33)+'Item Budget'!$S$16*(Y33+25*AD33))/'Item Budget'!$Z$16,('Item Budget'!$R$17*(X33+25*AB33)+'Item Budget'!$S$17*(Y33+25*AD33))/'Item Budget'!$Z$17)+'Item Budget'!$R$9*Z33+IFERROR(INDEX('Item Budget'!$O$25:$O$95,MATCH(AE33,'Item Budget'!$B$25:$B$95,0)),0))</f>
        <v/>
      </c>
      <c r="AQ33" s="61">
        <f>IF(OR(AN33=0,AP33=0),"",SUMPRODUCT(MAX(($C$5:$C$88=C33)*($AN$5:$AN$88&lt;AN33)*$AP$5:$AP$88)))</f>
        <v/>
      </c>
      <c r="AR33" s="41">
        <f>IF(AQ33="","",IF(AQ33=0,1,SUMPRODUCT(MAX(($C$5:$C$88=C33)*($AN$5:$AN$88=AN33)*$AP$5:$AP$88))/AQ33-1))</f>
        <v/>
      </c>
      <c r="AS33" s="19">
        <f>IF(AR33="","",IF(AR33&gt;='Item Budget'!$R$11,"OK","Not above lower tier"))</f>
        <v/>
      </c>
    </row>
    <row r="34">
      <c r="A34" s="21" t="n">
        <v>584</v>
      </c>
      <c r="B34" s="21" t="inlineStr">
        <is>
          <t>Enchanted Bracelet of Spirit</t>
        </is>
      </c>
      <c r="C34" s="21" t="inlineStr">
        <is>
          <t>Ring</t>
        </is>
      </c>
      <c r="D34" s="21" t="inlineStr">
        <is>
          <t>All</t>
        </is>
      </c>
      <c r="E34" s="21" t="inlineStr">
        <is>
          <t>craft:Enchanted Bracelet of Spirit</t>
        </is>
      </c>
      <c r="F34" s="3" t="inlineStr">
        <is>
          <t>Buff</t>
        </is>
      </c>
      <c r="G34" s="21" t="inlineStr">
        <is>
          <t>Crafted</t>
        </is>
      </c>
      <c r="H34" s="31">
        <f>INDEX('Item Budget'!$F$5:$F$13,MATCH(G34,'Item Budget'!$E$5:$E$13,0))+IF(D34="All",0,'Item Budget'!$F$15)+LOOKUP(AN34,'Item Budget'!$E$19:$E$23,'Item Budget'!$F$19:$F$23)</f>
        <v/>
      </c>
      <c r="I34" s="21" t="n">
        <v>50</v>
      </c>
      <c r="J34" s="21" t="n">
        <v>600</v>
      </c>
      <c r="K34" s="21" t="n">
        <v>600</v>
      </c>
      <c r="L34" s="21" t="n">
        <v>30</v>
      </c>
      <c r="M34" s="21" t="n">
        <v>30</v>
      </c>
      <c r="N34" s="21" t="n">
        <v>30</v>
      </c>
      <c r="O34" s="21" t="n">
        <v>30</v>
      </c>
      <c r="P34" s="21" t="n">
        <v>30</v>
      </c>
      <c r="Q34" s="21" t="inlineStr">
        <is>
          <t>Spirit Power</t>
        </is>
      </c>
      <c r="R34" s="61">
        <f>J34*'Item Budget'!$B$5+N34*'Item Budget'!$B$7+L34*'Item Budget'!$B$11+O34*'Item Budget'!$B$10+M34*'Item Budget'!$B$9+IFERROR(INDEX('Item Budget'!$M$25:$M$95,MATCH(Q34,'Item Budget'!$B$25:$B$95,0)),0)</f>
        <v/>
      </c>
      <c r="S34" s="61">
        <f>J34*'Item Budget'!$B$5+N34*'Item Budget'!$B$7+L34*'Item Budget'!$B$11+O34*'Item Budget'!$B$10+K34*'Item Budget'!$B$6+P34*'Item Budget'!$B$8+IFERROR(INDEX('Item Budget'!$N$25:$N$95,MATCH(Q34,'Item Budget'!$B$25:$B$95,0)),0)</f>
        <v/>
      </c>
      <c r="T34" s="61">
        <f>MAX('Item Budget'!$F$16,INDEX('Item Budget'!$J$5:$J$10,MATCH($C34,'Item Budget'!$I$5:$I$10,0))+INDEX('Item Budget'!$K$5:$K$10,MATCH($C34,'Item Budget'!$I$5:$I$10,0))*MIN(I34,50))</f>
        <v/>
      </c>
      <c r="U34" s="61">
        <f>T34*$H34</f>
        <v/>
      </c>
      <c r="V34" s="41">
        <f>MAX(R34,S34)/U34</f>
        <v/>
      </c>
      <c r="W34" s="21" t="n">
        <v>50</v>
      </c>
      <c r="X34" s="21" t="n">
        <v>600</v>
      </c>
      <c r="Y34" s="21" t="n">
        <v>600</v>
      </c>
      <c r="Z34" s="21" t="n">
        <v>30</v>
      </c>
      <c r="AA34" s="21" t="n">
        <v>30</v>
      </c>
      <c r="AB34" s="21" t="n">
        <v>30</v>
      </c>
      <c r="AC34" s="21" t="n">
        <v>30</v>
      </c>
      <c r="AD34" s="21" t="n">
        <v>30</v>
      </c>
      <c r="AE34" s="21" t="inlineStr">
        <is>
          <t>Spirit Power</t>
        </is>
      </c>
      <c r="AF34" s="61">
        <f>X34*'Item Budget'!$B$5+AB34*'Item Budget'!$B$7+Z34*'Item Budget'!$B$11+AC34*'Item Budget'!$B$10+AA34*'Item Budget'!$B$9+IFERROR(INDEX('Item Budget'!$M$25:$M$95,MATCH(AE34,'Item Budget'!$B$25:$B$95,0)),0)</f>
        <v/>
      </c>
      <c r="AG34" s="61">
        <f>X34*'Item Budget'!$B$5+AB34*'Item Budget'!$B$7+Z34*'Item Budget'!$B$11+AC34*'Item Budget'!$B$10+Y34*'Item Budget'!$B$6+AD34*'Item Budget'!$B$8+IFERROR(INDEX('Item Budget'!$N$25:$N$95,MATCH(AE34,'Item Budget'!$B$25:$B$95,0)),0)</f>
        <v/>
      </c>
      <c r="AH34" s="61">
        <f>MAX('Item Budget'!$F$16,INDEX('Item Budget'!$J$5:$J$10,MATCH($C34,'Item Budget'!$I$5:$I$10,0))+INDEX('Item Budget'!$K$5:$K$10,MATCH($C34,'Item Budget'!$I$5:$I$10,0))*MIN(W34,50))</f>
        <v/>
      </c>
      <c r="AI34" s="61">
        <f>AH34*$H34</f>
        <v/>
      </c>
      <c r="AJ34" s="41">
        <f>MAX(AF34,AG34)/AI34</f>
        <v/>
      </c>
      <c r="AK34" s="64" t="inlineStr">
        <is>
          <t>Pass 1 (applied): 400M XP: HP/MP 300 -&gt; 600 to clear the 20M bracelets.</t>
        </is>
      </c>
      <c r="AL34" s="43">
        <f>IFERROR(INDEX('Item Budget'!$H$25:$H$95,MATCH(Q34,'Item Budget'!$B$25:$B$95,0)),0)</f>
        <v/>
      </c>
      <c r="AM34" s="43">
        <f>IFERROR(INDEX('Item Budget'!$H$25:$H$95,MATCH(AE34,'Item Budget'!$B$25:$B$95,0)),0)</f>
        <v/>
      </c>
      <c r="AN34" s="37" t="n">
        <v>400000000</v>
      </c>
      <c r="AO34" s="44">
        <f>IF(I34&lt;'Item Budget'!$R$10,0,'Item Budget'!$R$7*100*MAX(('Item Budget'!$R$14*(J34+25*N34)+'Item Budget'!$S$14*(K34+25*P34))/'Item Budget'!$Z$14,('Item Budget'!$R$15*(J34+25*N34)+'Item Budget'!$S$15*(K34+25*P34))/'Item Budget'!$Z$15,('Item Budget'!$R$16*(J34+25*N34)+'Item Budget'!$S$16*(K34+25*P34))/'Item Budget'!$Z$16,('Item Budget'!$R$17*(J34+25*N34)+'Item Budget'!$S$17*(K34+25*P34))/'Item Budget'!$Z$17)+'Item Budget'!$R$9*L34+IFERROR(INDEX('Item Budget'!$O$25:$O$95,MATCH(Q34,'Item Budget'!$B$25:$B$95,0)),0))</f>
        <v/>
      </c>
      <c r="AP34" s="44">
        <f>IF(W34&lt;'Item Budget'!$R$10,0,'Item Budget'!$R$7*100*MAX(('Item Budget'!$R$14*(X34+25*AB34)+'Item Budget'!$S$14*(Y34+25*AD34))/'Item Budget'!$Z$14,('Item Budget'!$R$15*(X34+25*AB34)+'Item Budget'!$S$15*(Y34+25*AD34))/'Item Budget'!$Z$15,('Item Budget'!$R$16*(X34+25*AB34)+'Item Budget'!$S$16*(Y34+25*AD34))/'Item Budget'!$Z$16,('Item Budget'!$R$17*(X34+25*AB34)+'Item Budget'!$S$17*(Y34+25*AD34))/'Item Budget'!$Z$17)+'Item Budget'!$R$9*Z34+IFERROR(INDEX('Item Budget'!$O$25:$O$95,MATCH(AE34,'Item Budget'!$B$25:$B$95,0)),0))</f>
        <v/>
      </c>
      <c r="AQ34" s="61">
        <f>IF(OR(AN34=0,AP34=0),"",SUMPRODUCT(MAX(($C$5:$C$88=C34)*($AN$5:$AN$88&lt;AN34)*$AP$5:$AP$88)))</f>
        <v/>
      </c>
      <c r="AR34" s="41">
        <f>IF(AQ34="","",IF(AQ34=0,1,SUMPRODUCT(MAX(($C$5:$C$88=C34)*($AN$5:$AN$88=AN34)*$AP$5:$AP$88))/AQ34-1))</f>
        <v/>
      </c>
      <c r="AS34" s="19">
        <f>IF(AR34="","",IF(AR34&gt;='Item Budget'!$R$11,"OK","Not above lower tier"))</f>
        <v/>
      </c>
    </row>
    <row r="35">
      <c r="A35" s="21" t="n">
        <v>143</v>
      </c>
      <c r="B35" s="21" t="inlineStr">
        <is>
          <t>Lucky Necklace</t>
        </is>
      </c>
      <c r="C35" s="21" t="inlineStr">
        <is>
          <t>Necklace</t>
        </is>
      </c>
      <c r="D35" s="21" t="inlineStr">
        <is>
          <t>All</t>
        </is>
      </c>
      <c r="E35" s="21" t="inlineStr">
        <is>
          <t>vendor:Phat Lewtz(UNSPAWNED); vendor:Credit Exchange</t>
        </is>
      </c>
      <c r="F35" s="19" t="inlineStr">
        <is>
          <t>Leave</t>
        </is>
      </c>
      <c r="G35" s="21" t="inlineStr">
        <is>
          <t>Raid / special</t>
        </is>
      </c>
      <c r="H35" s="31">
        <f>INDEX('Item Budget'!$F$5:$F$13,MATCH(G35,'Item Budget'!$E$5:$E$13,0))+IF(D35="All",0,'Item Budget'!$F$15)+LOOKUP(AN35,'Item Budget'!$E$19:$E$23,'Item Budget'!$F$19:$F$23)</f>
        <v/>
      </c>
      <c r="I35" s="21" t="n">
        <v>1</v>
      </c>
      <c r="J35" s="21" t="n">
        <v>50</v>
      </c>
      <c r="K35" s="21" t="n">
        <v>50</v>
      </c>
      <c r="L35" s="21" t="n">
        <v>50</v>
      </c>
      <c r="M35" s="21" t="n">
        <v>5</v>
      </c>
      <c r="N35" s="21" t="n">
        <v>5</v>
      </c>
      <c r="O35" s="21" t="n">
        <v>5</v>
      </c>
      <c r="P35" s="21" t="n">
        <v>5</v>
      </c>
      <c r="Q35" s="21" t="inlineStr">
        <is>
          <t>Increased Spell Damage X</t>
        </is>
      </c>
      <c r="R35" s="61">
        <f>J35*'Item Budget'!$B$5+N35*'Item Budget'!$B$7+L35*'Item Budget'!$B$11+O35*'Item Budget'!$B$10+M35*'Item Budget'!$B$9+IFERROR(INDEX('Item Budget'!$M$25:$M$95,MATCH(Q35,'Item Budget'!$B$25:$B$95,0)),0)</f>
        <v/>
      </c>
      <c r="S35" s="61">
        <f>J35*'Item Budget'!$B$5+N35*'Item Budget'!$B$7+L35*'Item Budget'!$B$11+O35*'Item Budget'!$B$10+K35*'Item Budget'!$B$6+P35*'Item Budget'!$B$8+IFERROR(INDEX('Item Budget'!$N$25:$N$95,MATCH(Q35,'Item Budget'!$B$25:$B$95,0)),0)</f>
        <v/>
      </c>
      <c r="T35" s="61">
        <f>MAX('Item Budget'!$F$16,INDEX('Item Budget'!$J$5:$J$10,MATCH($C35,'Item Budget'!$I$5:$I$10,0))+INDEX('Item Budget'!$K$5:$K$10,MATCH($C35,'Item Budget'!$I$5:$I$10,0))*MIN(I35,50))</f>
        <v/>
      </c>
      <c r="U35" s="61">
        <f>T35*$H35</f>
        <v/>
      </c>
      <c r="V35" s="41">
        <f>MAX(R35,S35)/U35</f>
        <v/>
      </c>
      <c r="W35" s="21" t="n">
        <v>1</v>
      </c>
      <c r="X35" s="21" t="n">
        <v>50</v>
      </c>
      <c r="Y35" s="21" t="n">
        <v>50</v>
      </c>
      <c r="Z35" s="21" t="n">
        <v>50</v>
      </c>
      <c r="AA35" s="21" t="n">
        <v>5</v>
      </c>
      <c r="AB35" s="21" t="n">
        <v>5</v>
      </c>
      <c r="AC35" s="21" t="n">
        <v>5</v>
      </c>
      <c r="AD35" s="21" t="n">
        <v>5</v>
      </c>
      <c r="AE35" s="21" t="inlineStr">
        <is>
          <t>Increased Spell Damage X</t>
        </is>
      </c>
      <c r="AF35" s="61">
        <f>X35*'Item Budget'!$B$5+AB35*'Item Budget'!$B$7+Z35*'Item Budget'!$B$11+AC35*'Item Budget'!$B$10+AA35*'Item Budget'!$B$9+IFERROR(INDEX('Item Budget'!$M$25:$M$95,MATCH(AE35,'Item Budget'!$B$25:$B$95,0)),0)</f>
        <v/>
      </c>
      <c r="AG35" s="61">
        <f>X35*'Item Budget'!$B$5+AB35*'Item Budget'!$B$7+Z35*'Item Budget'!$B$11+AC35*'Item Budget'!$B$10+Y35*'Item Budget'!$B$6+AD35*'Item Budget'!$B$8+IFERROR(INDEX('Item Budget'!$N$25:$N$95,MATCH(AE35,'Item Budget'!$B$25:$B$95,0)),0)</f>
        <v/>
      </c>
      <c r="AH35" s="61">
        <f>MAX('Item Budget'!$F$16,INDEX('Item Budget'!$J$5:$J$10,MATCH($C35,'Item Budget'!$I$5:$I$10,0))+INDEX('Item Budget'!$K$5:$K$10,MATCH($C35,'Item Budget'!$I$5:$I$10,0))*MIN(W35,50))</f>
        <v/>
      </c>
      <c r="AI35" s="61">
        <f>AH35*$H35</f>
        <v/>
      </c>
      <c r="AJ35" s="41">
        <f>MAX(AF35,AG35)/AI35</f>
        <v/>
      </c>
      <c r="AK35" s="64" t="inlineStr">
        <is>
          <t>Pass 1 (applied): Shop item (Credit Exchange).</t>
        </is>
      </c>
      <c r="AL35" s="43">
        <f>IFERROR(INDEX('Item Budget'!$H$25:$H$95,MATCH(Q35,'Item Budget'!$B$25:$B$95,0)),0)</f>
        <v/>
      </c>
      <c r="AM35" s="43">
        <f>IFERROR(INDEX('Item Budget'!$H$25:$H$95,MATCH(AE35,'Item Budget'!$B$25:$B$95,0)),0)</f>
        <v/>
      </c>
      <c r="AN35" s="37" t="n">
        <v>0</v>
      </c>
      <c r="AO35" s="44">
        <f>IF(I35&lt;'Item Budget'!$R$10,0,'Item Budget'!$R$7*100*MAX(('Item Budget'!$R$14*(J35+25*N35)+'Item Budget'!$S$14*(K35+25*P35))/'Item Budget'!$Z$14,('Item Budget'!$R$15*(J35+25*N35)+'Item Budget'!$S$15*(K35+25*P35))/'Item Budget'!$Z$15,('Item Budget'!$R$16*(J35+25*N35)+'Item Budget'!$S$16*(K35+25*P35))/'Item Budget'!$Z$16,('Item Budget'!$R$17*(J35+25*N35)+'Item Budget'!$S$17*(K35+25*P35))/'Item Budget'!$Z$17)+'Item Budget'!$R$9*L35+IFERROR(INDEX('Item Budget'!$O$25:$O$95,MATCH(Q35,'Item Budget'!$B$25:$B$95,0)),0))</f>
        <v/>
      </c>
      <c r="AP35" s="44">
        <f>IF(W35&lt;'Item Budget'!$R$10,0,'Item Budget'!$R$7*100*MAX(('Item Budget'!$R$14*(X35+25*AB35)+'Item Budget'!$S$14*(Y35+25*AD35))/'Item Budget'!$Z$14,('Item Budget'!$R$15*(X35+25*AB35)+'Item Budget'!$S$15*(Y35+25*AD35))/'Item Budget'!$Z$15,('Item Budget'!$R$16*(X35+25*AB35)+'Item Budget'!$S$16*(Y35+25*AD35))/'Item Budget'!$Z$16,('Item Budget'!$R$17*(X35+25*AB35)+'Item Budget'!$S$17*(Y35+25*AD35))/'Item Budget'!$Z$17)+'Item Budget'!$R$9*Z35+IFERROR(INDEX('Item Budget'!$O$25:$O$95,MATCH(AE35,'Item Budget'!$B$25:$B$95,0)),0))</f>
        <v/>
      </c>
      <c r="AQ35" s="61">
        <f>IF(OR(AN35=0,AP35=0),"",SUMPRODUCT(MAX(($C$5:$C$88=C35)*($AN$5:$AN$88&lt;AN35)*$AP$5:$AP$88)))</f>
        <v/>
      </c>
      <c r="AR35" s="41">
        <f>IF(AQ35="","",IF(AQ35=0,1,SUMPRODUCT(MAX(($C$5:$C$88=C35)*($AN$5:$AN$88=AN35)*$AP$5:$AP$88))/AQ35-1))</f>
        <v/>
      </c>
      <c r="AS35" s="19">
        <f>IF(AR35="","",IF(AR35&gt;='Item Budget'!$R$11,"OK","Not above lower tier"))</f>
        <v/>
      </c>
    </row>
    <row r="36">
      <c r="A36" s="45" t="n">
        <v>687</v>
      </c>
      <c r="B36" s="45" t="inlineStr">
        <is>
          <t>Simple Pendant</t>
        </is>
      </c>
      <c r="C36" s="45" t="inlineStr">
        <is>
          <t>Necklace</t>
        </is>
      </c>
      <c r="D36" s="45" t="inlineStr">
        <is>
          <t>All</t>
        </is>
      </c>
      <c r="E36" s="45" t="inlineStr">
        <is>
          <t>drop:Coilfang(L8) 15%</t>
        </is>
      </c>
      <c r="F36" s="46" t="inlineStr">
        <is>
          <t>Anchor</t>
        </is>
      </c>
      <c r="G36" s="45" t="inlineStr">
        <is>
          <t>Common drop</t>
        </is>
      </c>
      <c r="H36" s="47">
        <f>INDEX('Item Budget'!$F$5:$F$13,MATCH(G36,'Item Budget'!$E$5:$E$13,0))+IF(D36="All",0,'Item Budget'!$F$15)+LOOKUP(AN36,'Item Budget'!$E$19:$E$23,'Item Budget'!$F$19:$F$23)</f>
        <v/>
      </c>
      <c r="I36" s="45" t="n">
        <v>7</v>
      </c>
      <c r="J36" s="45" t="n">
        <v>25</v>
      </c>
      <c r="K36" s="45" t="n">
        <v>40</v>
      </c>
      <c r="L36" s="45" t="n">
        <v>5</v>
      </c>
      <c r="M36" s="45" t="n">
        <v>0</v>
      </c>
      <c r="N36" s="45" t="n">
        <v>0</v>
      </c>
      <c r="O36" s="45" t="n">
        <v>0</v>
      </c>
      <c r="P36" s="45" t="n">
        <v>4</v>
      </c>
      <c r="Q36" s="45" t="inlineStr">
        <is>
          <t>(none)</t>
        </is>
      </c>
      <c r="R36" s="65">
        <f>J36*'Item Budget'!$B$5+N36*'Item Budget'!$B$7+L36*'Item Budget'!$B$11+O36*'Item Budget'!$B$10+M36*'Item Budget'!$B$9+IFERROR(INDEX('Item Budget'!$M$25:$M$95,MATCH(Q36,'Item Budget'!$B$25:$B$95,0)),0)</f>
        <v/>
      </c>
      <c r="S36" s="65">
        <f>J36*'Item Budget'!$B$5+N36*'Item Budget'!$B$7+L36*'Item Budget'!$B$11+O36*'Item Budget'!$B$10+K36*'Item Budget'!$B$6+P36*'Item Budget'!$B$8+IFERROR(INDEX('Item Budget'!$N$25:$N$95,MATCH(Q36,'Item Budget'!$B$25:$B$95,0)),0)</f>
        <v/>
      </c>
      <c r="T36" s="65">
        <f>MAX('Item Budget'!$F$16,INDEX('Item Budget'!$J$5:$J$10,MATCH($C36,'Item Budget'!$I$5:$I$10,0))+INDEX('Item Budget'!$K$5:$K$10,MATCH($C36,'Item Budget'!$I$5:$I$10,0))*MIN(I36,50))</f>
        <v/>
      </c>
      <c r="U36" s="65">
        <f>T36*$H36</f>
        <v/>
      </c>
      <c r="V36" s="49">
        <f>MAX(R36,S36)/U36</f>
        <v/>
      </c>
      <c r="W36" s="21" t="n">
        <v>7</v>
      </c>
      <c r="X36" s="21" t="n">
        <v>25</v>
      </c>
      <c r="Y36" s="21" t="n">
        <v>40</v>
      </c>
      <c r="Z36" s="21" t="n">
        <v>5</v>
      </c>
      <c r="AA36" s="21" t="n">
        <v>0</v>
      </c>
      <c r="AB36" s="21" t="n">
        <v>0</v>
      </c>
      <c r="AC36" s="21" t="n">
        <v>0</v>
      </c>
      <c r="AD36" s="21" t="n">
        <v>4</v>
      </c>
      <c r="AE36" s="21" t="inlineStr">
        <is>
          <t>(none)</t>
        </is>
      </c>
      <c r="AF36" s="65">
        <f>X36*'Item Budget'!$B$5+AB36*'Item Budget'!$B$7+Z36*'Item Budget'!$B$11+AC36*'Item Budget'!$B$10+AA36*'Item Budget'!$B$9+IFERROR(INDEX('Item Budget'!$M$25:$M$95,MATCH(AE36,'Item Budget'!$B$25:$B$95,0)),0)</f>
        <v/>
      </c>
      <c r="AG36" s="65">
        <f>X36*'Item Budget'!$B$5+AB36*'Item Budget'!$B$7+Z36*'Item Budget'!$B$11+AC36*'Item Budget'!$B$10+Y36*'Item Budget'!$B$6+AD36*'Item Budget'!$B$8+IFERROR(INDEX('Item Budget'!$N$25:$N$95,MATCH(AE36,'Item Budget'!$B$25:$B$95,0)),0)</f>
        <v/>
      </c>
      <c r="AH36" s="65">
        <f>MAX('Item Budget'!$F$16,INDEX('Item Budget'!$J$5:$J$10,MATCH($C36,'Item Budget'!$I$5:$I$10,0))+INDEX('Item Budget'!$K$5:$K$10,MATCH($C36,'Item Budget'!$I$5:$I$10,0))*MIN(W36,50))</f>
        <v/>
      </c>
      <c r="AI36" s="65">
        <f>AH36*$H36</f>
        <v/>
      </c>
      <c r="AJ36" s="49">
        <f>MAX(AF36,AG36)/AI36</f>
        <v/>
      </c>
      <c r="AK36" s="64" t="inlineStr">
        <is>
          <t>Pass 1 (applied): New accessory (anchor). Unchanged.</t>
        </is>
      </c>
      <c r="AL36" s="43">
        <f>IFERROR(INDEX('Item Budget'!$H$25:$H$95,MATCH(Q36,'Item Budget'!$B$25:$B$95,0)),0)</f>
        <v/>
      </c>
      <c r="AM36" s="43">
        <f>IFERROR(INDEX('Item Budget'!$H$25:$H$95,MATCH(AE36,'Item Budget'!$B$25:$B$95,0)),0)</f>
        <v/>
      </c>
      <c r="AN36" s="37" t="n">
        <v>0</v>
      </c>
      <c r="AO36" s="44">
        <f>IF(I36&lt;'Item Budget'!$R$10,0,'Item Budget'!$R$7*100*MAX(('Item Budget'!$R$14*(J36+25*N36)+'Item Budget'!$S$14*(K36+25*P36))/'Item Budget'!$Z$14,('Item Budget'!$R$15*(J36+25*N36)+'Item Budget'!$S$15*(K36+25*P36))/'Item Budget'!$Z$15,('Item Budget'!$R$16*(J36+25*N36)+'Item Budget'!$S$16*(K36+25*P36))/'Item Budget'!$Z$16,('Item Budget'!$R$17*(J36+25*N36)+'Item Budget'!$S$17*(K36+25*P36))/'Item Budget'!$Z$17)+'Item Budget'!$R$9*L36+IFERROR(INDEX('Item Budget'!$O$25:$O$95,MATCH(Q36,'Item Budget'!$B$25:$B$95,0)),0))</f>
        <v/>
      </c>
      <c r="AP36" s="44">
        <f>IF(W36&lt;'Item Budget'!$R$10,0,'Item Budget'!$R$7*100*MAX(('Item Budget'!$R$14*(X36+25*AB36)+'Item Budget'!$S$14*(Y36+25*AD36))/'Item Budget'!$Z$14,('Item Budget'!$R$15*(X36+25*AB36)+'Item Budget'!$S$15*(Y36+25*AD36))/'Item Budget'!$Z$15,('Item Budget'!$R$16*(X36+25*AB36)+'Item Budget'!$S$16*(Y36+25*AD36))/'Item Budget'!$Z$16,('Item Budget'!$R$17*(X36+25*AB36)+'Item Budget'!$S$17*(Y36+25*AD36))/'Item Budget'!$Z$17)+'Item Budget'!$R$9*Z36+IFERROR(INDEX('Item Budget'!$O$25:$O$95,MATCH(AE36,'Item Budget'!$B$25:$B$95,0)),0))</f>
        <v/>
      </c>
      <c r="AQ36" s="61">
        <f>IF(OR(AN36=0,AP36=0),"",SUMPRODUCT(MAX(($C$5:$C$88=C36)*($AN$5:$AN$88&lt;AN36)*$AP$5:$AP$88)))</f>
        <v/>
      </c>
      <c r="AR36" s="41">
        <f>IF(AQ36="","",IF(AQ36=0,1,SUMPRODUCT(MAX(($C$5:$C$88=C36)*($AN$5:$AN$88=AN36)*$AP$5:$AP$88))/AQ36-1))</f>
        <v/>
      </c>
      <c r="AS36" s="19">
        <f>IF(AR36="","",IF(AR36&gt;='Item Budget'!$R$11,"OK","Not above lower tier"))</f>
        <v/>
      </c>
    </row>
    <row r="37">
      <c r="A37" s="45" t="n">
        <v>688</v>
      </c>
      <c r="B37" s="45" t="inlineStr">
        <is>
          <t>Charm of Focus</t>
        </is>
      </c>
      <c r="C37" s="45" t="inlineStr">
        <is>
          <t>Necklace</t>
        </is>
      </c>
      <c r="D37" s="45" t="inlineStr">
        <is>
          <t>All</t>
        </is>
      </c>
      <c r="E37" s="45" t="inlineStr">
        <is>
          <t>drop:Nightfang(L16) 15%</t>
        </is>
      </c>
      <c r="F37" s="46" t="inlineStr">
        <is>
          <t>Anchor</t>
        </is>
      </c>
      <c r="G37" s="45" t="inlineStr">
        <is>
          <t>Common drop</t>
        </is>
      </c>
      <c r="H37" s="47">
        <f>INDEX('Item Budget'!$F$5:$F$13,MATCH(G37,'Item Budget'!$E$5:$E$13,0))+IF(D37="All",0,'Item Budget'!$F$15)+LOOKUP(AN37,'Item Budget'!$E$19:$E$23,'Item Budget'!$F$19:$F$23)</f>
        <v/>
      </c>
      <c r="I37" s="45" t="n">
        <v>17</v>
      </c>
      <c r="J37" s="45" t="n">
        <v>60</v>
      </c>
      <c r="K37" s="45" t="n">
        <v>80</v>
      </c>
      <c r="L37" s="45" t="n">
        <v>12</v>
      </c>
      <c r="M37" s="45" t="n">
        <v>0</v>
      </c>
      <c r="N37" s="45" t="n">
        <v>0</v>
      </c>
      <c r="O37" s="45" t="n">
        <v>3</v>
      </c>
      <c r="P37" s="45" t="n">
        <v>8</v>
      </c>
      <c r="Q37" s="45" t="inlineStr">
        <is>
          <t>Spell Damage III</t>
        </is>
      </c>
      <c r="R37" s="65">
        <f>J37*'Item Budget'!$B$5+N37*'Item Budget'!$B$7+L37*'Item Budget'!$B$11+O37*'Item Budget'!$B$10+M37*'Item Budget'!$B$9+IFERROR(INDEX('Item Budget'!$M$25:$M$95,MATCH(Q37,'Item Budget'!$B$25:$B$95,0)),0)</f>
        <v/>
      </c>
      <c r="S37" s="65">
        <f>J37*'Item Budget'!$B$5+N37*'Item Budget'!$B$7+L37*'Item Budget'!$B$11+O37*'Item Budget'!$B$10+K37*'Item Budget'!$B$6+P37*'Item Budget'!$B$8+IFERROR(INDEX('Item Budget'!$N$25:$N$95,MATCH(Q37,'Item Budget'!$B$25:$B$95,0)),0)</f>
        <v/>
      </c>
      <c r="T37" s="65">
        <f>MAX('Item Budget'!$F$16,INDEX('Item Budget'!$J$5:$J$10,MATCH($C37,'Item Budget'!$I$5:$I$10,0))+INDEX('Item Budget'!$K$5:$K$10,MATCH($C37,'Item Budget'!$I$5:$I$10,0))*MIN(I37,50))</f>
        <v/>
      </c>
      <c r="U37" s="65">
        <f>T37*$H37</f>
        <v/>
      </c>
      <c r="V37" s="49">
        <f>MAX(R37,S37)/U37</f>
        <v/>
      </c>
      <c r="W37" s="21" t="n">
        <v>17</v>
      </c>
      <c r="X37" s="21" t="n">
        <v>60</v>
      </c>
      <c r="Y37" s="21" t="n">
        <v>80</v>
      </c>
      <c r="Z37" s="21" t="n">
        <v>12</v>
      </c>
      <c r="AA37" s="21" t="n">
        <v>0</v>
      </c>
      <c r="AB37" s="21" t="n">
        <v>0</v>
      </c>
      <c r="AC37" s="21" t="n">
        <v>3</v>
      </c>
      <c r="AD37" s="21" t="n">
        <v>8</v>
      </c>
      <c r="AE37" s="21" t="inlineStr">
        <is>
          <t>Spell Damage III</t>
        </is>
      </c>
      <c r="AF37" s="65">
        <f>X37*'Item Budget'!$B$5+AB37*'Item Budget'!$B$7+Z37*'Item Budget'!$B$11+AC37*'Item Budget'!$B$10+AA37*'Item Budget'!$B$9+IFERROR(INDEX('Item Budget'!$M$25:$M$95,MATCH(AE37,'Item Budget'!$B$25:$B$95,0)),0)</f>
        <v/>
      </c>
      <c r="AG37" s="65">
        <f>X37*'Item Budget'!$B$5+AB37*'Item Budget'!$B$7+Z37*'Item Budget'!$B$11+AC37*'Item Budget'!$B$10+Y37*'Item Budget'!$B$6+AD37*'Item Budget'!$B$8+IFERROR(INDEX('Item Budget'!$N$25:$N$95,MATCH(AE37,'Item Budget'!$B$25:$B$95,0)),0)</f>
        <v/>
      </c>
      <c r="AH37" s="65">
        <f>MAX('Item Budget'!$F$16,INDEX('Item Budget'!$J$5:$J$10,MATCH($C37,'Item Budget'!$I$5:$I$10,0))+INDEX('Item Budget'!$K$5:$K$10,MATCH($C37,'Item Budget'!$I$5:$I$10,0))*MIN(W37,50))</f>
        <v/>
      </c>
      <c r="AI37" s="65">
        <f>AH37*$H37</f>
        <v/>
      </c>
      <c r="AJ37" s="49">
        <f>MAX(AF37,AG37)/AI37</f>
        <v/>
      </c>
      <c r="AK37" s="64" t="inlineStr">
        <is>
          <t>Pass 1 (applied): New accessory (anchor). Unchanged.</t>
        </is>
      </c>
      <c r="AL37" s="43">
        <f>IFERROR(INDEX('Item Budget'!$H$25:$H$95,MATCH(Q37,'Item Budget'!$B$25:$B$95,0)),0)</f>
        <v/>
      </c>
      <c r="AM37" s="43">
        <f>IFERROR(INDEX('Item Budget'!$H$25:$H$95,MATCH(AE37,'Item Budget'!$B$25:$B$95,0)),0)</f>
        <v/>
      </c>
      <c r="AN37" s="37" t="n">
        <v>0</v>
      </c>
      <c r="AO37" s="44">
        <f>IF(I37&lt;'Item Budget'!$R$10,0,'Item Budget'!$R$7*100*MAX(('Item Budget'!$R$14*(J37+25*N37)+'Item Budget'!$S$14*(K37+25*P37))/'Item Budget'!$Z$14,('Item Budget'!$R$15*(J37+25*N37)+'Item Budget'!$S$15*(K37+25*P37))/'Item Budget'!$Z$15,('Item Budget'!$R$16*(J37+25*N37)+'Item Budget'!$S$16*(K37+25*P37))/'Item Budget'!$Z$16,('Item Budget'!$R$17*(J37+25*N37)+'Item Budget'!$S$17*(K37+25*P37))/'Item Budget'!$Z$17)+'Item Budget'!$R$9*L37+IFERROR(INDEX('Item Budget'!$O$25:$O$95,MATCH(Q37,'Item Budget'!$B$25:$B$95,0)),0))</f>
        <v/>
      </c>
      <c r="AP37" s="44">
        <f>IF(W37&lt;'Item Budget'!$R$10,0,'Item Budget'!$R$7*100*MAX(('Item Budget'!$R$14*(X37+25*AB37)+'Item Budget'!$S$14*(Y37+25*AD37))/'Item Budget'!$Z$14,('Item Budget'!$R$15*(X37+25*AB37)+'Item Budget'!$S$15*(Y37+25*AD37))/'Item Budget'!$Z$15,('Item Budget'!$R$16*(X37+25*AB37)+'Item Budget'!$S$16*(Y37+25*AD37))/'Item Budget'!$Z$16,('Item Budget'!$R$17*(X37+25*AB37)+'Item Budget'!$S$17*(Y37+25*AD37))/'Item Budget'!$Z$17)+'Item Budget'!$R$9*Z37+IFERROR(INDEX('Item Budget'!$O$25:$O$95,MATCH(AE37,'Item Budget'!$B$25:$B$95,0)),0))</f>
        <v/>
      </c>
      <c r="AQ37" s="61">
        <f>IF(OR(AN37=0,AP37=0),"",SUMPRODUCT(MAX(($C$5:$C$88=C37)*($AN$5:$AN$88&lt;AN37)*$AP$5:$AP$88)))</f>
        <v/>
      </c>
      <c r="AR37" s="41">
        <f>IF(AQ37="","",IF(AQ37=0,1,SUMPRODUCT(MAX(($C$5:$C$88=C37)*($AN$5:$AN$88=AN37)*$AP$5:$AP$88))/AQ37-1))</f>
        <v/>
      </c>
      <c r="AS37" s="19">
        <f>IF(AR37="","",IF(AR37&gt;='Item Budget'!$R$11,"OK","Not above lower tier"))</f>
        <v/>
      </c>
    </row>
    <row r="38">
      <c r="A38" s="21" t="n">
        <v>141</v>
      </c>
      <c r="B38" s="21" t="inlineStr">
        <is>
          <t>Harvest Medallion</t>
        </is>
      </c>
      <c r="C38" s="21" t="inlineStr">
        <is>
          <t>Necklace</t>
        </is>
      </c>
      <c r="D38" s="21" t="inlineStr">
        <is>
          <t>All</t>
        </is>
      </c>
      <c r="E38" s="21" t="inlineStr">
        <is>
          <t>craft:Harvest Medallion</t>
        </is>
      </c>
      <c r="F38" s="3" t="inlineStr">
        <is>
          <t>Buff</t>
        </is>
      </c>
      <c r="G38" s="21" t="inlineStr">
        <is>
          <t>Crafted</t>
        </is>
      </c>
      <c r="H38" s="31">
        <f>INDEX('Item Budget'!$F$5:$F$13,MATCH(G38,'Item Budget'!$E$5:$E$13,0))+IF(D38="All",0,'Item Budget'!$F$15)+LOOKUP(AN38,'Item Budget'!$E$19:$E$23,'Item Budget'!$F$19:$F$23)</f>
        <v/>
      </c>
      <c r="I38" s="21" t="n">
        <v>18</v>
      </c>
      <c r="J38" s="21" t="n">
        <v>60</v>
      </c>
      <c r="K38" s="21" t="n">
        <v>100</v>
      </c>
      <c r="L38" s="21" t="n">
        <v>12</v>
      </c>
      <c r="M38" s="21" t="n">
        <v>0</v>
      </c>
      <c r="N38" s="21" t="n">
        <v>3</v>
      </c>
      <c r="O38" s="21" t="n">
        <v>3</v>
      </c>
      <c r="P38" s="21" t="n">
        <v>10</v>
      </c>
      <c r="Q38" s="21" t="inlineStr">
        <is>
          <t>Spell Damage III</t>
        </is>
      </c>
      <c r="R38" s="61">
        <f>J38*'Item Budget'!$B$5+N38*'Item Budget'!$B$7+L38*'Item Budget'!$B$11+O38*'Item Budget'!$B$10+M38*'Item Budget'!$B$9+IFERROR(INDEX('Item Budget'!$M$25:$M$95,MATCH(Q38,'Item Budget'!$B$25:$B$95,0)),0)</f>
        <v/>
      </c>
      <c r="S38" s="61">
        <f>J38*'Item Budget'!$B$5+N38*'Item Budget'!$B$7+L38*'Item Budget'!$B$11+O38*'Item Budget'!$B$10+K38*'Item Budget'!$B$6+P38*'Item Budget'!$B$8+IFERROR(INDEX('Item Budget'!$N$25:$N$95,MATCH(Q38,'Item Budget'!$B$25:$B$95,0)),0)</f>
        <v/>
      </c>
      <c r="T38" s="61">
        <f>MAX('Item Budget'!$F$16,INDEX('Item Budget'!$J$5:$J$10,MATCH($C38,'Item Budget'!$I$5:$I$10,0))+INDEX('Item Budget'!$K$5:$K$10,MATCH($C38,'Item Budget'!$I$5:$I$10,0))*MIN(I38,50))</f>
        <v/>
      </c>
      <c r="U38" s="61">
        <f>T38*$H38</f>
        <v/>
      </c>
      <c r="V38" s="41">
        <f>MAX(R38,S38)/U38</f>
        <v/>
      </c>
      <c r="W38" s="21" t="n">
        <v>18</v>
      </c>
      <c r="X38" s="21" t="n">
        <v>60</v>
      </c>
      <c r="Y38" s="21" t="n">
        <v>100</v>
      </c>
      <c r="Z38" s="21" t="n">
        <v>12</v>
      </c>
      <c r="AA38" s="21" t="n">
        <v>0</v>
      </c>
      <c r="AB38" s="21" t="n">
        <v>3</v>
      </c>
      <c r="AC38" s="21" t="n">
        <v>3</v>
      </c>
      <c r="AD38" s="21" t="n">
        <v>10</v>
      </c>
      <c r="AE38" s="21" t="inlineStr">
        <is>
          <t>Spell Damage III</t>
        </is>
      </c>
      <c r="AF38" s="61">
        <f>X38*'Item Budget'!$B$5+AB38*'Item Budget'!$B$7+Z38*'Item Budget'!$B$11+AC38*'Item Budget'!$B$10+AA38*'Item Budget'!$B$9+IFERROR(INDEX('Item Budget'!$M$25:$M$95,MATCH(AE38,'Item Budget'!$B$25:$B$95,0)),0)</f>
        <v/>
      </c>
      <c r="AG38" s="61">
        <f>X38*'Item Budget'!$B$5+AB38*'Item Budget'!$B$7+Z38*'Item Budget'!$B$11+AC38*'Item Budget'!$B$10+Y38*'Item Budget'!$B$6+AD38*'Item Budget'!$B$8+IFERROR(INDEX('Item Budget'!$N$25:$N$95,MATCH(AE38,'Item Budget'!$B$25:$B$95,0)),0)</f>
        <v/>
      </c>
      <c r="AH38" s="61">
        <f>MAX('Item Budget'!$F$16,INDEX('Item Budget'!$J$5:$J$10,MATCH($C38,'Item Budget'!$I$5:$I$10,0))+INDEX('Item Budget'!$K$5:$K$10,MATCH($C38,'Item Budget'!$I$5:$I$10,0))*MIN(W38,50))</f>
        <v/>
      </c>
      <c r="AI38" s="61">
        <f>AH38*$H38</f>
        <v/>
      </c>
      <c r="AJ38" s="41">
        <f>MAX(AF38,AG38)/AI38</f>
        <v/>
      </c>
      <c r="AK38" s="64" t="inlineStr">
        <is>
          <t>Pass 1 (applied): Was 30 MP / 1 INT. Now a crafted Charm of Focus equivalent.</t>
        </is>
      </c>
      <c r="AL38" s="43">
        <f>IFERROR(INDEX('Item Budget'!$H$25:$H$95,MATCH(Q38,'Item Budget'!$B$25:$B$95,0)),0)</f>
        <v/>
      </c>
      <c r="AM38" s="43">
        <f>IFERROR(INDEX('Item Budget'!$H$25:$H$95,MATCH(AE38,'Item Budget'!$B$25:$B$95,0)),0)</f>
        <v/>
      </c>
      <c r="AN38" s="37" t="n">
        <v>0</v>
      </c>
      <c r="AO38" s="44">
        <f>IF(I38&lt;'Item Budget'!$R$10,0,'Item Budget'!$R$7*100*MAX(('Item Budget'!$R$14*(J38+25*N38)+'Item Budget'!$S$14*(K38+25*P38))/'Item Budget'!$Z$14,('Item Budget'!$R$15*(J38+25*N38)+'Item Budget'!$S$15*(K38+25*P38))/'Item Budget'!$Z$15,('Item Budget'!$R$16*(J38+25*N38)+'Item Budget'!$S$16*(K38+25*P38))/'Item Budget'!$Z$16,('Item Budget'!$R$17*(J38+25*N38)+'Item Budget'!$S$17*(K38+25*P38))/'Item Budget'!$Z$17)+'Item Budget'!$R$9*L38+IFERROR(INDEX('Item Budget'!$O$25:$O$95,MATCH(Q38,'Item Budget'!$B$25:$B$95,0)),0))</f>
        <v/>
      </c>
      <c r="AP38" s="44">
        <f>IF(W38&lt;'Item Budget'!$R$10,0,'Item Budget'!$R$7*100*MAX(('Item Budget'!$R$14*(X38+25*AB38)+'Item Budget'!$S$14*(Y38+25*AD38))/'Item Budget'!$Z$14,('Item Budget'!$R$15*(X38+25*AB38)+'Item Budget'!$S$15*(Y38+25*AD38))/'Item Budget'!$Z$15,('Item Budget'!$R$16*(X38+25*AB38)+'Item Budget'!$S$16*(Y38+25*AD38))/'Item Budget'!$Z$16,('Item Budget'!$R$17*(X38+25*AB38)+'Item Budget'!$S$17*(Y38+25*AD38))/'Item Budget'!$Z$17)+'Item Budget'!$R$9*Z38+IFERROR(INDEX('Item Budget'!$O$25:$O$95,MATCH(AE38,'Item Budget'!$B$25:$B$95,0)),0))</f>
        <v/>
      </c>
      <c r="AQ38" s="61">
        <f>IF(OR(AN38=0,AP38=0),"",SUMPRODUCT(MAX(($C$5:$C$88=C38)*($AN$5:$AN$88&lt;AN38)*$AP$5:$AP$88)))</f>
        <v/>
      </c>
      <c r="AR38" s="41">
        <f>IF(AQ38="","",IF(AQ38=0,1,SUMPRODUCT(MAX(($C$5:$C$88=C38)*($AN$5:$AN$88=AN38)*$AP$5:$AP$88))/AQ38-1))</f>
        <v/>
      </c>
      <c r="AS38" s="19">
        <f>IF(AR38="","",IF(AR38&gt;='Item Budget'!$R$11,"OK","Not above lower tier"))</f>
        <v/>
      </c>
    </row>
    <row r="39">
      <c r="A39" s="45" t="n">
        <v>689</v>
      </c>
      <c r="B39" s="45" t="inlineStr">
        <is>
          <t>Charm of Insight</t>
        </is>
      </c>
      <c r="C39" s="45" t="inlineStr">
        <is>
          <t>Necklace</t>
        </is>
      </c>
      <c r="D39" s="45" t="inlineStr">
        <is>
          <t>All</t>
        </is>
      </c>
      <c r="E39" s="45" t="inlineStr">
        <is>
          <t>drop:The Unburied(L27) 15%</t>
        </is>
      </c>
      <c r="F39" s="46" t="inlineStr">
        <is>
          <t>Anchor</t>
        </is>
      </c>
      <c r="G39" s="45" t="inlineStr">
        <is>
          <t>Common drop</t>
        </is>
      </c>
      <c r="H39" s="47">
        <f>INDEX('Item Budget'!$F$5:$F$13,MATCH(G39,'Item Budget'!$E$5:$E$13,0))+IF(D39="All",0,'Item Budget'!$F$15)+LOOKUP(AN39,'Item Budget'!$E$19:$E$23,'Item Budget'!$F$19:$F$23)</f>
        <v/>
      </c>
      <c r="I39" s="45" t="n">
        <v>27</v>
      </c>
      <c r="J39" s="45" t="n">
        <v>100</v>
      </c>
      <c r="K39" s="45" t="n">
        <v>130</v>
      </c>
      <c r="L39" s="45" t="n">
        <v>18</v>
      </c>
      <c r="M39" s="45" t="n">
        <v>0</v>
      </c>
      <c r="N39" s="45" t="n">
        <v>0</v>
      </c>
      <c r="O39" s="45" t="n">
        <v>5</v>
      </c>
      <c r="P39" s="45" t="n">
        <v>13</v>
      </c>
      <c r="Q39" s="45" t="inlineStr">
        <is>
          <t>Increased Spell Damage V</t>
        </is>
      </c>
      <c r="R39" s="65">
        <f>J39*'Item Budget'!$B$5+N39*'Item Budget'!$B$7+L39*'Item Budget'!$B$11+O39*'Item Budget'!$B$10+M39*'Item Budget'!$B$9+IFERROR(INDEX('Item Budget'!$M$25:$M$95,MATCH(Q39,'Item Budget'!$B$25:$B$95,0)),0)</f>
        <v/>
      </c>
      <c r="S39" s="65">
        <f>J39*'Item Budget'!$B$5+N39*'Item Budget'!$B$7+L39*'Item Budget'!$B$11+O39*'Item Budget'!$B$10+K39*'Item Budget'!$B$6+P39*'Item Budget'!$B$8+IFERROR(INDEX('Item Budget'!$N$25:$N$95,MATCH(Q39,'Item Budget'!$B$25:$B$95,0)),0)</f>
        <v/>
      </c>
      <c r="T39" s="65">
        <f>MAX('Item Budget'!$F$16,INDEX('Item Budget'!$J$5:$J$10,MATCH($C39,'Item Budget'!$I$5:$I$10,0))+INDEX('Item Budget'!$K$5:$K$10,MATCH($C39,'Item Budget'!$I$5:$I$10,0))*MIN(I39,50))</f>
        <v/>
      </c>
      <c r="U39" s="65">
        <f>T39*$H39</f>
        <v/>
      </c>
      <c r="V39" s="49">
        <f>MAX(R39,S39)/U39</f>
        <v/>
      </c>
      <c r="W39" s="21" t="n">
        <v>27</v>
      </c>
      <c r="X39" s="21" t="n">
        <v>100</v>
      </c>
      <c r="Y39" s="21" t="n">
        <v>130</v>
      </c>
      <c r="Z39" s="21" t="n">
        <v>18</v>
      </c>
      <c r="AA39" s="21" t="n">
        <v>0</v>
      </c>
      <c r="AB39" s="21" t="n">
        <v>0</v>
      </c>
      <c r="AC39" s="21" t="n">
        <v>5</v>
      </c>
      <c r="AD39" s="21" t="n">
        <v>13</v>
      </c>
      <c r="AE39" s="21" t="inlineStr">
        <is>
          <t>Increased Spell Damage V</t>
        </is>
      </c>
      <c r="AF39" s="65">
        <f>X39*'Item Budget'!$B$5+AB39*'Item Budget'!$B$7+Z39*'Item Budget'!$B$11+AC39*'Item Budget'!$B$10+AA39*'Item Budget'!$B$9+IFERROR(INDEX('Item Budget'!$M$25:$M$95,MATCH(AE39,'Item Budget'!$B$25:$B$95,0)),0)</f>
        <v/>
      </c>
      <c r="AG39" s="65">
        <f>X39*'Item Budget'!$B$5+AB39*'Item Budget'!$B$7+Z39*'Item Budget'!$B$11+AC39*'Item Budget'!$B$10+Y39*'Item Budget'!$B$6+AD39*'Item Budget'!$B$8+IFERROR(INDEX('Item Budget'!$N$25:$N$95,MATCH(AE39,'Item Budget'!$B$25:$B$95,0)),0)</f>
        <v/>
      </c>
      <c r="AH39" s="65">
        <f>MAX('Item Budget'!$F$16,INDEX('Item Budget'!$J$5:$J$10,MATCH($C39,'Item Budget'!$I$5:$I$10,0))+INDEX('Item Budget'!$K$5:$K$10,MATCH($C39,'Item Budget'!$I$5:$I$10,0))*MIN(W39,50))</f>
        <v/>
      </c>
      <c r="AI39" s="65">
        <f>AH39*$H39</f>
        <v/>
      </c>
      <c r="AJ39" s="49">
        <f>MAX(AF39,AG39)/AI39</f>
        <v/>
      </c>
      <c r="AK39" s="64" t="inlineStr">
        <is>
          <t>Pass 1 (applied): New accessory (anchor). Unchanged.</t>
        </is>
      </c>
      <c r="AL39" s="43">
        <f>IFERROR(INDEX('Item Budget'!$H$25:$H$95,MATCH(Q39,'Item Budget'!$B$25:$B$95,0)),0)</f>
        <v/>
      </c>
      <c r="AM39" s="43">
        <f>IFERROR(INDEX('Item Budget'!$H$25:$H$95,MATCH(AE39,'Item Budget'!$B$25:$B$95,0)),0)</f>
        <v/>
      </c>
      <c r="AN39" s="37" t="n">
        <v>0</v>
      </c>
      <c r="AO39" s="44">
        <f>IF(I39&lt;'Item Budget'!$R$10,0,'Item Budget'!$R$7*100*MAX(('Item Budget'!$R$14*(J39+25*N39)+'Item Budget'!$S$14*(K39+25*P39))/'Item Budget'!$Z$14,('Item Budget'!$R$15*(J39+25*N39)+'Item Budget'!$S$15*(K39+25*P39))/'Item Budget'!$Z$15,('Item Budget'!$R$16*(J39+25*N39)+'Item Budget'!$S$16*(K39+25*P39))/'Item Budget'!$Z$16,('Item Budget'!$R$17*(J39+25*N39)+'Item Budget'!$S$17*(K39+25*P39))/'Item Budget'!$Z$17)+'Item Budget'!$R$9*L39+IFERROR(INDEX('Item Budget'!$O$25:$O$95,MATCH(Q39,'Item Budget'!$B$25:$B$95,0)),0))</f>
        <v/>
      </c>
      <c r="AP39" s="44">
        <f>IF(W39&lt;'Item Budget'!$R$10,0,'Item Budget'!$R$7*100*MAX(('Item Budget'!$R$14*(X39+25*AB39)+'Item Budget'!$S$14*(Y39+25*AD39))/'Item Budget'!$Z$14,('Item Budget'!$R$15*(X39+25*AB39)+'Item Budget'!$S$15*(Y39+25*AD39))/'Item Budget'!$Z$15,('Item Budget'!$R$16*(X39+25*AB39)+'Item Budget'!$S$16*(Y39+25*AD39))/'Item Budget'!$Z$16,('Item Budget'!$R$17*(X39+25*AB39)+'Item Budget'!$S$17*(Y39+25*AD39))/'Item Budget'!$Z$17)+'Item Budget'!$R$9*Z39+IFERROR(INDEX('Item Budget'!$O$25:$O$95,MATCH(AE39,'Item Budget'!$B$25:$B$95,0)),0))</f>
        <v/>
      </c>
      <c r="AQ39" s="61">
        <f>IF(OR(AN39=0,AP39=0),"",SUMPRODUCT(MAX(($C$5:$C$88=C39)*($AN$5:$AN$88&lt;AN39)*$AP$5:$AP$88)))</f>
        <v/>
      </c>
      <c r="AR39" s="41">
        <f>IF(AQ39="","",IF(AQ39=0,1,SUMPRODUCT(MAX(($C$5:$C$88=C39)*($AN$5:$AN$88=AN39)*$AP$5:$AP$88))/AQ39-1))</f>
        <v/>
      </c>
      <c r="AS39" s="19">
        <f>IF(AR39="","",IF(AR39&gt;='Item Budget'!$R$11,"OK","Not above lower tier"))</f>
        <v/>
      </c>
    </row>
    <row r="40">
      <c r="A40" s="45" t="n">
        <v>690</v>
      </c>
      <c r="B40" s="45" t="inlineStr">
        <is>
          <t>Charm of Ascendance</t>
        </is>
      </c>
      <c r="C40" s="45" t="inlineStr">
        <is>
          <t>Necklace</t>
        </is>
      </c>
      <c r="D40" s="45" t="inlineStr">
        <is>
          <t>All</t>
        </is>
      </c>
      <c r="E40" s="45" t="inlineStr">
        <is>
          <t>drop:Chilly(L36) 15%</t>
        </is>
      </c>
      <c r="F40" s="46" t="inlineStr">
        <is>
          <t>Anchor</t>
        </is>
      </c>
      <c r="G40" s="45" t="inlineStr">
        <is>
          <t>Common drop</t>
        </is>
      </c>
      <c r="H40" s="47">
        <f>INDEX('Item Budget'!$F$5:$F$13,MATCH(G40,'Item Budget'!$E$5:$E$13,0))+IF(D40="All",0,'Item Budget'!$F$15)+LOOKUP(AN40,'Item Budget'!$E$19:$E$23,'Item Budget'!$F$19:$F$23)</f>
        <v/>
      </c>
      <c r="I40" s="45" t="n">
        <v>37</v>
      </c>
      <c r="J40" s="45" t="n">
        <v>130</v>
      </c>
      <c r="K40" s="45" t="n">
        <v>190</v>
      </c>
      <c r="L40" s="45" t="n">
        <v>25</v>
      </c>
      <c r="M40" s="45" t="n">
        <v>0</v>
      </c>
      <c r="N40" s="45" t="n">
        <v>0</v>
      </c>
      <c r="O40" s="45" t="n">
        <v>7</v>
      </c>
      <c r="P40" s="45" t="n">
        <v>17</v>
      </c>
      <c r="Q40" s="45" t="inlineStr">
        <is>
          <t>Spell Damage VII</t>
        </is>
      </c>
      <c r="R40" s="65">
        <f>J40*'Item Budget'!$B$5+N40*'Item Budget'!$B$7+L40*'Item Budget'!$B$11+O40*'Item Budget'!$B$10+M40*'Item Budget'!$B$9+IFERROR(INDEX('Item Budget'!$M$25:$M$95,MATCH(Q40,'Item Budget'!$B$25:$B$95,0)),0)</f>
        <v/>
      </c>
      <c r="S40" s="65">
        <f>J40*'Item Budget'!$B$5+N40*'Item Budget'!$B$7+L40*'Item Budget'!$B$11+O40*'Item Budget'!$B$10+K40*'Item Budget'!$B$6+P40*'Item Budget'!$B$8+IFERROR(INDEX('Item Budget'!$N$25:$N$95,MATCH(Q40,'Item Budget'!$B$25:$B$95,0)),0)</f>
        <v/>
      </c>
      <c r="T40" s="65">
        <f>MAX('Item Budget'!$F$16,INDEX('Item Budget'!$J$5:$J$10,MATCH($C40,'Item Budget'!$I$5:$I$10,0))+INDEX('Item Budget'!$K$5:$K$10,MATCH($C40,'Item Budget'!$I$5:$I$10,0))*MIN(I40,50))</f>
        <v/>
      </c>
      <c r="U40" s="65">
        <f>T40*$H40</f>
        <v/>
      </c>
      <c r="V40" s="49">
        <f>MAX(R40,S40)/U40</f>
        <v/>
      </c>
      <c r="W40" s="21" t="n">
        <v>37</v>
      </c>
      <c r="X40" s="21" t="n">
        <v>130</v>
      </c>
      <c r="Y40" s="21" t="n">
        <v>190</v>
      </c>
      <c r="Z40" s="21" t="n">
        <v>25</v>
      </c>
      <c r="AA40" s="21" t="n">
        <v>0</v>
      </c>
      <c r="AB40" s="21" t="n">
        <v>0</v>
      </c>
      <c r="AC40" s="21" t="n">
        <v>7</v>
      </c>
      <c r="AD40" s="21" t="n">
        <v>17</v>
      </c>
      <c r="AE40" s="21" t="inlineStr">
        <is>
          <t>Spell Damage VII</t>
        </is>
      </c>
      <c r="AF40" s="65">
        <f>X40*'Item Budget'!$B$5+AB40*'Item Budget'!$B$7+Z40*'Item Budget'!$B$11+AC40*'Item Budget'!$B$10+AA40*'Item Budget'!$B$9+IFERROR(INDEX('Item Budget'!$M$25:$M$95,MATCH(AE40,'Item Budget'!$B$25:$B$95,0)),0)</f>
        <v/>
      </c>
      <c r="AG40" s="65">
        <f>X40*'Item Budget'!$B$5+AB40*'Item Budget'!$B$7+Z40*'Item Budget'!$B$11+AC40*'Item Budget'!$B$10+Y40*'Item Budget'!$B$6+AD40*'Item Budget'!$B$8+IFERROR(INDEX('Item Budget'!$N$25:$N$95,MATCH(AE40,'Item Budget'!$B$25:$B$95,0)),0)</f>
        <v/>
      </c>
      <c r="AH40" s="65">
        <f>MAX('Item Budget'!$F$16,INDEX('Item Budget'!$J$5:$J$10,MATCH($C40,'Item Budget'!$I$5:$I$10,0))+INDEX('Item Budget'!$K$5:$K$10,MATCH($C40,'Item Budget'!$I$5:$I$10,0))*MIN(W40,50))</f>
        <v/>
      </c>
      <c r="AI40" s="65">
        <f>AH40*$H40</f>
        <v/>
      </c>
      <c r="AJ40" s="49">
        <f>MAX(AF40,AG40)/AI40</f>
        <v/>
      </c>
      <c r="AK40" s="64" t="inlineStr">
        <is>
          <t>Pass 1 (applied): New accessory (anchor). Unchanged.</t>
        </is>
      </c>
      <c r="AL40" s="43">
        <f>IFERROR(INDEX('Item Budget'!$H$25:$H$95,MATCH(Q40,'Item Budget'!$B$25:$B$95,0)),0)</f>
        <v/>
      </c>
      <c r="AM40" s="43">
        <f>IFERROR(INDEX('Item Budget'!$H$25:$H$95,MATCH(AE40,'Item Budget'!$B$25:$B$95,0)),0)</f>
        <v/>
      </c>
      <c r="AN40" s="37" t="n">
        <v>0</v>
      </c>
      <c r="AO40" s="44">
        <f>IF(I40&lt;'Item Budget'!$R$10,0,'Item Budget'!$R$7*100*MAX(('Item Budget'!$R$14*(J40+25*N40)+'Item Budget'!$S$14*(K40+25*P40))/'Item Budget'!$Z$14,('Item Budget'!$R$15*(J40+25*N40)+'Item Budget'!$S$15*(K40+25*P40))/'Item Budget'!$Z$15,('Item Budget'!$R$16*(J40+25*N40)+'Item Budget'!$S$16*(K40+25*P40))/'Item Budget'!$Z$16,('Item Budget'!$R$17*(J40+25*N40)+'Item Budget'!$S$17*(K40+25*P40))/'Item Budget'!$Z$17)+'Item Budget'!$R$9*L40+IFERROR(INDEX('Item Budget'!$O$25:$O$95,MATCH(Q40,'Item Budget'!$B$25:$B$95,0)),0))</f>
        <v/>
      </c>
      <c r="AP40" s="44">
        <f>IF(W40&lt;'Item Budget'!$R$10,0,'Item Budget'!$R$7*100*MAX(('Item Budget'!$R$14*(X40+25*AB40)+'Item Budget'!$S$14*(Y40+25*AD40))/'Item Budget'!$Z$14,('Item Budget'!$R$15*(X40+25*AB40)+'Item Budget'!$S$15*(Y40+25*AD40))/'Item Budget'!$Z$15,('Item Budget'!$R$16*(X40+25*AB40)+'Item Budget'!$S$16*(Y40+25*AD40))/'Item Budget'!$Z$16,('Item Budget'!$R$17*(X40+25*AB40)+'Item Budget'!$S$17*(Y40+25*AD40))/'Item Budget'!$Z$17)+'Item Budget'!$R$9*Z40+IFERROR(INDEX('Item Budget'!$O$25:$O$95,MATCH(AE40,'Item Budget'!$B$25:$B$95,0)),0))</f>
        <v/>
      </c>
      <c r="AQ40" s="61">
        <f>IF(OR(AN40=0,AP40=0),"",SUMPRODUCT(MAX(($C$5:$C$88=C40)*($AN$5:$AN$88&lt;AN40)*$AP$5:$AP$88)))</f>
        <v/>
      </c>
      <c r="AR40" s="41">
        <f>IF(AQ40="","",IF(AQ40=0,1,SUMPRODUCT(MAX(($C$5:$C$88=C40)*($AN$5:$AN$88=AN40)*$AP$5:$AP$88))/AQ40-1))</f>
        <v/>
      </c>
      <c r="AS40" s="19">
        <f>IF(AR40="","",IF(AR40&gt;='Item Budget'!$R$11,"OK","Not above lower tier"))</f>
        <v/>
      </c>
    </row>
    <row r="41">
      <c r="A41" s="45" t="n">
        <v>691</v>
      </c>
      <c r="B41" s="45" t="inlineStr">
        <is>
          <t>Charm of the Archon</t>
        </is>
      </c>
      <c r="C41" s="45" t="inlineStr">
        <is>
          <t>Necklace</t>
        </is>
      </c>
      <c r="D41" s="45" t="inlineStr">
        <is>
          <t>All</t>
        </is>
      </c>
      <c r="E41" s="45" t="inlineStr">
        <is>
          <t>drop:Admiral Persecution(L48) 15%</t>
        </is>
      </c>
      <c r="F41" s="46" t="inlineStr">
        <is>
          <t>Anchor</t>
        </is>
      </c>
      <c r="G41" s="45" t="inlineStr">
        <is>
          <t>Common drop</t>
        </is>
      </c>
      <c r="H41" s="47">
        <f>INDEX('Item Budget'!$F$5:$F$13,MATCH(G41,'Item Budget'!$E$5:$E$13,0))+IF(D41="All",0,'Item Budget'!$F$15)+LOOKUP(AN41,'Item Budget'!$E$19:$E$23,'Item Budget'!$F$19:$F$23)</f>
        <v/>
      </c>
      <c r="I41" s="45" t="n">
        <v>47</v>
      </c>
      <c r="J41" s="45" t="n">
        <v>160</v>
      </c>
      <c r="K41" s="45" t="n">
        <v>220</v>
      </c>
      <c r="L41" s="45" t="n">
        <v>30</v>
      </c>
      <c r="M41" s="45" t="n">
        <v>0</v>
      </c>
      <c r="N41" s="45" t="n">
        <v>0</v>
      </c>
      <c r="O41" s="45" t="n">
        <v>8</v>
      </c>
      <c r="P41" s="45" t="n">
        <v>19</v>
      </c>
      <c r="Q41" s="45" t="inlineStr">
        <is>
          <t>Spell Damage IX</t>
        </is>
      </c>
      <c r="R41" s="65">
        <f>J41*'Item Budget'!$B$5+N41*'Item Budget'!$B$7+L41*'Item Budget'!$B$11+O41*'Item Budget'!$B$10+M41*'Item Budget'!$B$9+IFERROR(INDEX('Item Budget'!$M$25:$M$95,MATCH(Q41,'Item Budget'!$B$25:$B$95,0)),0)</f>
        <v/>
      </c>
      <c r="S41" s="65">
        <f>J41*'Item Budget'!$B$5+N41*'Item Budget'!$B$7+L41*'Item Budget'!$B$11+O41*'Item Budget'!$B$10+K41*'Item Budget'!$B$6+P41*'Item Budget'!$B$8+IFERROR(INDEX('Item Budget'!$N$25:$N$95,MATCH(Q41,'Item Budget'!$B$25:$B$95,0)),0)</f>
        <v/>
      </c>
      <c r="T41" s="65">
        <f>MAX('Item Budget'!$F$16,INDEX('Item Budget'!$J$5:$J$10,MATCH($C41,'Item Budget'!$I$5:$I$10,0))+INDEX('Item Budget'!$K$5:$K$10,MATCH($C41,'Item Budget'!$I$5:$I$10,0))*MIN(I41,50))</f>
        <v/>
      </c>
      <c r="U41" s="65">
        <f>T41*$H41</f>
        <v/>
      </c>
      <c r="V41" s="49">
        <f>MAX(R41,S41)/U41</f>
        <v/>
      </c>
      <c r="W41" s="21" t="n">
        <v>47</v>
      </c>
      <c r="X41" s="21" t="n">
        <v>160</v>
      </c>
      <c r="Y41" s="21" t="n">
        <v>220</v>
      </c>
      <c r="Z41" s="21" t="n">
        <v>30</v>
      </c>
      <c r="AA41" s="21" t="n">
        <v>0</v>
      </c>
      <c r="AB41" s="21" t="n">
        <v>0</v>
      </c>
      <c r="AC41" s="21" t="n">
        <v>8</v>
      </c>
      <c r="AD41" s="21" t="n">
        <v>19</v>
      </c>
      <c r="AE41" s="21" t="inlineStr">
        <is>
          <t>Spell Damage IX</t>
        </is>
      </c>
      <c r="AF41" s="65">
        <f>X41*'Item Budget'!$B$5+AB41*'Item Budget'!$B$7+Z41*'Item Budget'!$B$11+AC41*'Item Budget'!$B$10+AA41*'Item Budget'!$B$9+IFERROR(INDEX('Item Budget'!$M$25:$M$95,MATCH(AE41,'Item Budget'!$B$25:$B$95,0)),0)</f>
        <v/>
      </c>
      <c r="AG41" s="65">
        <f>X41*'Item Budget'!$B$5+AB41*'Item Budget'!$B$7+Z41*'Item Budget'!$B$11+AC41*'Item Budget'!$B$10+Y41*'Item Budget'!$B$6+AD41*'Item Budget'!$B$8+IFERROR(INDEX('Item Budget'!$N$25:$N$95,MATCH(AE41,'Item Budget'!$B$25:$B$95,0)),0)</f>
        <v/>
      </c>
      <c r="AH41" s="65">
        <f>MAX('Item Budget'!$F$16,INDEX('Item Budget'!$J$5:$J$10,MATCH($C41,'Item Budget'!$I$5:$I$10,0))+INDEX('Item Budget'!$K$5:$K$10,MATCH($C41,'Item Budget'!$I$5:$I$10,0))*MIN(W41,50))</f>
        <v/>
      </c>
      <c r="AI41" s="65">
        <f>AH41*$H41</f>
        <v/>
      </c>
      <c r="AJ41" s="49">
        <f>MAX(AF41,AG41)/AI41</f>
        <v/>
      </c>
      <c r="AK41" s="64" t="inlineStr">
        <is>
          <t>Pass 1 (applied): New accessory (anchor). Unchanged.</t>
        </is>
      </c>
      <c r="AL41" s="43">
        <f>IFERROR(INDEX('Item Budget'!$H$25:$H$95,MATCH(Q41,'Item Budget'!$B$25:$B$95,0)),0)</f>
        <v/>
      </c>
      <c r="AM41" s="43">
        <f>IFERROR(INDEX('Item Budget'!$H$25:$H$95,MATCH(AE41,'Item Budget'!$B$25:$B$95,0)),0)</f>
        <v/>
      </c>
      <c r="AN41" s="37" t="n">
        <v>0</v>
      </c>
      <c r="AO41" s="44">
        <f>IF(I41&lt;'Item Budget'!$R$10,0,'Item Budget'!$R$7*100*MAX(('Item Budget'!$R$14*(J41+25*N41)+'Item Budget'!$S$14*(K41+25*P41))/'Item Budget'!$Z$14,('Item Budget'!$R$15*(J41+25*N41)+'Item Budget'!$S$15*(K41+25*P41))/'Item Budget'!$Z$15,('Item Budget'!$R$16*(J41+25*N41)+'Item Budget'!$S$16*(K41+25*P41))/'Item Budget'!$Z$16,('Item Budget'!$R$17*(J41+25*N41)+'Item Budget'!$S$17*(K41+25*P41))/'Item Budget'!$Z$17)+'Item Budget'!$R$9*L41+IFERROR(INDEX('Item Budget'!$O$25:$O$95,MATCH(Q41,'Item Budget'!$B$25:$B$95,0)),0))</f>
        <v/>
      </c>
      <c r="AP41" s="44">
        <f>IF(W41&lt;'Item Budget'!$R$10,0,'Item Budget'!$R$7*100*MAX(('Item Budget'!$R$14*(X41+25*AB41)+'Item Budget'!$S$14*(Y41+25*AD41))/'Item Budget'!$Z$14,('Item Budget'!$R$15*(X41+25*AB41)+'Item Budget'!$S$15*(Y41+25*AD41))/'Item Budget'!$Z$15,('Item Budget'!$R$16*(X41+25*AB41)+'Item Budget'!$S$16*(Y41+25*AD41))/'Item Budget'!$Z$16,('Item Budget'!$R$17*(X41+25*AB41)+'Item Budget'!$S$17*(Y41+25*AD41))/'Item Budget'!$Z$17)+'Item Budget'!$R$9*Z41+IFERROR(INDEX('Item Budget'!$O$25:$O$95,MATCH(AE41,'Item Budget'!$B$25:$B$95,0)),0))</f>
        <v/>
      </c>
      <c r="AQ41" s="61">
        <f>IF(OR(AN41=0,AP41=0),"",SUMPRODUCT(MAX(($C$5:$C$88=C41)*($AN$5:$AN$88&lt;AN41)*$AP$5:$AP$88)))</f>
        <v/>
      </c>
      <c r="AR41" s="41">
        <f>IF(AQ41="","",IF(AQ41=0,1,SUMPRODUCT(MAX(($C$5:$C$88=C41)*($AN$5:$AN$88=AN41)*$AP$5:$AP$88))/AQ41-1))</f>
        <v/>
      </c>
      <c r="AS41" s="19">
        <f>IF(AR41="","",IF(AR41&gt;='Item Budget'!$R$11,"OK","Not above lower tier"))</f>
        <v/>
      </c>
    </row>
    <row r="42">
      <c r="A42" s="21" t="n">
        <v>138</v>
      </c>
      <c r="B42" s="21" t="inlineStr">
        <is>
          <t>Candy Necklace</t>
        </is>
      </c>
      <c r="C42" s="21" t="inlineStr">
        <is>
          <t>Necklace</t>
        </is>
      </c>
      <c r="D42" s="21" t="inlineStr">
        <is>
          <t>All</t>
        </is>
      </c>
      <c r="E42" s="21" t="inlineStr">
        <is>
          <t>vendor:Stranger with Candy</t>
        </is>
      </c>
      <c r="F42" s="19" t="inlineStr">
        <is>
          <t>Leave</t>
        </is>
      </c>
      <c r="G42" s="21" t="inlineStr">
        <is>
          <t>Raid / special</t>
        </is>
      </c>
      <c r="H42" s="31">
        <f>INDEX('Item Budget'!$F$5:$F$13,MATCH(G42,'Item Budget'!$E$5:$E$13,0))+IF(D42="All",0,'Item Budget'!$F$15)+LOOKUP(AN42,'Item Budget'!$E$19:$E$23,'Item Budget'!$F$19:$F$23)</f>
        <v/>
      </c>
      <c r="I42" s="21" t="n">
        <v>50</v>
      </c>
      <c r="J42" s="21" t="n">
        <v>300</v>
      </c>
      <c r="K42" s="21" t="n">
        <v>300</v>
      </c>
      <c r="L42" s="21" t="n">
        <v>0</v>
      </c>
      <c r="M42" s="21" t="n">
        <v>5</v>
      </c>
      <c r="N42" s="21" t="n">
        <v>5</v>
      </c>
      <c r="O42" s="21" t="n">
        <v>5</v>
      </c>
      <c r="P42" s="21" t="n">
        <v>5</v>
      </c>
      <c r="Q42" s="21" t="inlineStr">
        <is>
          <t>Increased Spell Damage XX</t>
        </is>
      </c>
      <c r="R42" s="61">
        <f>J42*'Item Budget'!$B$5+N42*'Item Budget'!$B$7+L42*'Item Budget'!$B$11+O42*'Item Budget'!$B$10+M42*'Item Budget'!$B$9+IFERROR(INDEX('Item Budget'!$M$25:$M$95,MATCH(Q42,'Item Budget'!$B$25:$B$95,0)),0)</f>
        <v/>
      </c>
      <c r="S42" s="61">
        <f>J42*'Item Budget'!$B$5+N42*'Item Budget'!$B$7+L42*'Item Budget'!$B$11+O42*'Item Budget'!$B$10+K42*'Item Budget'!$B$6+P42*'Item Budget'!$B$8+IFERROR(INDEX('Item Budget'!$N$25:$N$95,MATCH(Q42,'Item Budget'!$B$25:$B$95,0)),0)</f>
        <v/>
      </c>
      <c r="T42" s="61">
        <f>MAX('Item Budget'!$F$16,INDEX('Item Budget'!$J$5:$J$10,MATCH($C42,'Item Budget'!$I$5:$I$10,0))+INDEX('Item Budget'!$K$5:$K$10,MATCH($C42,'Item Budget'!$I$5:$I$10,0))*MIN(I42,50))</f>
        <v/>
      </c>
      <c r="U42" s="61">
        <f>T42*$H42</f>
        <v/>
      </c>
      <c r="V42" s="41">
        <f>MAX(R42,S42)/U42</f>
        <v/>
      </c>
      <c r="W42" s="21" t="n">
        <v>50</v>
      </c>
      <c r="X42" s="21" t="n">
        <v>300</v>
      </c>
      <c r="Y42" s="21" t="n">
        <v>300</v>
      </c>
      <c r="Z42" s="21" t="n">
        <v>0</v>
      </c>
      <c r="AA42" s="21" t="n">
        <v>5</v>
      </c>
      <c r="AB42" s="21" t="n">
        <v>5</v>
      </c>
      <c r="AC42" s="21" t="n">
        <v>5</v>
      </c>
      <c r="AD42" s="21" t="n">
        <v>5</v>
      </c>
      <c r="AE42" s="21" t="inlineStr">
        <is>
          <t>Increased Spell Damage XX</t>
        </is>
      </c>
      <c r="AF42" s="61">
        <f>X42*'Item Budget'!$B$5+AB42*'Item Budget'!$B$7+Z42*'Item Budget'!$B$11+AC42*'Item Budget'!$B$10+AA42*'Item Budget'!$B$9+IFERROR(INDEX('Item Budget'!$M$25:$M$95,MATCH(AE42,'Item Budget'!$B$25:$B$95,0)),0)</f>
        <v/>
      </c>
      <c r="AG42" s="61">
        <f>X42*'Item Budget'!$B$5+AB42*'Item Budget'!$B$7+Z42*'Item Budget'!$B$11+AC42*'Item Budget'!$B$10+Y42*'Item Budget'!$B$6+AD42*'Item Budget'!$B$8+IFERROR(INDEX('Item Budget'!$N$25:$N$95,MATCH(AE42,'Item Budget'!$B$25:$B$95,0)),0)</f>
        <v/>
      </c>
      <c r="AH42" s="61">
        <f>MAX('Item Budget'!$F$16,INDEX('Item Budget'!$J$5:$J$10,MATCH($C42,'Item Budget'!$I$5:$I$10,0))+INDEX('Item Budget'!$K$5:$K$10,MATCH($C42,'Item Budget'!$I$5:$I$10,0))*MIN(W42,50))</f>
        <v/>
      </c>
      <c r="AI42" s="61">
        <f>AH42*$H42</f>
        <v/>
      </c>
      <c r="AJ42" s="41">
        <f>MAX(AF42,AG42)/AI42</f>
        <v/>
      </c>
      <c r="AK42" s="64" t="inlineStr">
        <is>
          <t>Pass 1 (applied): Event vendor (Stranger with Candy); 20% spell damage.</t>
        </is>
      </c>
      <c r="AL42" s="43">
        <f>IFERROR(INDEX('Item Budget'!$H$25:$H$95,MATCH(Q42,'Item Budget'!$B$25:$B$95,0)),0)</f>
        <v/>
      </c>
      <c r="AM42" s="43">
        <f>IFERROR(INDEX('Item Budget'!$H$25:$H$95,MATCH(AE42,'Item Budget'!$B$25:$B$95,0)),0)</f>
        <v/>
      </c>
      <c r="AN42" s="37" t="n">
        <v>0</v>
      </c>
      <c r="AO42" s="44">
        <f>IF(I42&lt;'Item Budget'!$R$10,0,'Item Budget'!$R$7*100*MAX(('Item Budget'!$R$14*(J42+25*N42)+'Item Budget'!$S$14*(K42+25*P42))/'Item Budget'!$Z$14,('Item Budget'!$R$15*(J42+25*N42)+'Item Budget'!$S$15*(K42+25*P42))/'Item Budget'!$Z$15,('Item Budget'!$R$16*(J42+25*N42)+'Item Budget'!$S$16*(K42+25*P42))/'Item Budget'!$Z$16,('Item Budget'!$R$17*(J42+25*N42)+'Item Budget'!$S$17*(K42+25*P42))/'Item Budget'!$Z$17)+'Item Budget'!$R$9*L42+IFERROR(INDEX('Item Budget'!$O$25:$O$95,MATCH(Q42,'Item Budget'!$B$25:$B$95,0)),0))</f>
        <v/>
      </c>
      <c r="AP42" s="44">
        <f>IF(W42&lt;'Item Budget'!$R$10,0,'Item Budget'!$R$7*100*MAX(('Item Budget'!$R$14*(X42+25*AB42)+'Item Budget'!$S$14*(Y42+25*AD42))/'Item Budget'!$Z$14,('Item Budget'!$R$15*(X42+25*AB42)+'Item Budget'!$S$15*(Y42+25*AD42))/'Item Budget'!$Z$15,('Item Budget'!$R$16*(X42+25*AB42)+'Item Budget'!$S$16*(Y42+25*AD42))/'Item Budget'!$Z$16,('Item Budget'!$R$17*(X42+25*AB42)+'Item Budget'!$S$17*(Y42+25*AD42))/'Item Budget'!$Z$17)+'Item Budget'!$R$9*Z42+IFERROR(INDEX('Item Budget'!$O$25:$O$95,MATCH(AE42,'Item Budget'!$B$25:$B$95,0)),0))</f>
        <v/>
      </c>
      <c r="AQ42" s="61">
        <f>IF(OR(AN42=0,AP42=0),"",SUMPRODUCT(MAX(($C$5:$C$88=C42)*($AN$5:$AN$88&lt;AN42)*$AP$5:$AP$88)))</f>
        <v/>
      </c>
      <c r="AR42" s="41">
        <f>IF(AQ42="","",IF(AQ42=0,1,SUMPRODUCT(MAX(($C$5:$C$88=C42)*($AN$5:$AN$88=AN42)*$AP$5:$AP$88))/AQ42-1))</f>
        <v/>
      </c>
      <c r="AS42" s="19">
        <f>IF(AR42="","",IF(AR42&gt;='Item Budget'!$R$11,"OK","Not above lower tier"))</f>
        <v/>
      </c>
    </row>
    <row r="43">
      <c r="A43" s="21" t="n">
        <v>511</v>
      </c>
      <c r="B43" s="21" t="inlineStr">
        <is>
          <t>Terror Necklace</t>
        </is>
      </c>
      <c r="C43" s="21" t="inlineStr">
        <is>
          <t>Necklace</t>
        </is>
      </c>
      <c r="D43" s="21" t="inlineStr">
        <is>
          <t>All</t>
        </is>
      </c>
      <c r="E43" s="21" t="inlineStr">
        <is>
          <t>drop:King Terror(L50) 20%</t>
        </is>
      </c>
      <c r="F43" s="19" t="inlineStr">
        <is>
          <t>Leave</t>
        </is>
      </c>
      <c r="G43" s="21" t="inlineStr">
        <is>
          <t>Raid / special</t>
        </is>
      </c>
      <c r="H43" s="31">
        <f>INDEX('Item Budget'!$F$5:$F$13,MATCH(G43,'Item Budget'!$E$5:$E$13,0))+IF(D43="All",0,'Item Budget'!$F$15)+LOOKUP(AN43,'Item Budget'!$E$19:$E$23,'Item Budget'!$F$19:$F$23)</f>
        <v/>
      </c>
      <c r="I43" s="21" t="n">
        <v>50</v>
      </c>
      <c r="J43" s="21" t="n">
        <v>2000</v>
      </c>
      <c r="K43" s="21" t="n">
        <v>2000</v>
      </c>
      <c r="L43" s="21" t="n">
        <v>75</v>
      </c>
      <c r="M43" s="21" t="n">
        <v>0</v>
      </c>
      <c r="N43" s="21" t="n">
        <v>0</v>
      </c>
      <c r="O43" s="21" t="n">
        <v>0</v>
      </c>
      <c r="P43" s="21" t="n">
        <v>0</v>
      </c>
      <c r="Q43" s="21" t="inlineStr">
        <is>
          <t>Increased Spell Damage XXV</t>
        </is>
      </c>
      <c r="R43" s="61">
        <f>J43*'Item Budget'!$B$5+N43*'Item Budget'!$B$7+L43*'Item Budget'!$B$11+O43*'Item Budget'!$B$10+M43*'Item Budget'!$B$9+IFERROR(INDEX('Item Budget'!$M$25:$M$95,MATCH(Q43,'Item Budget'!$B$25:$B$95,0)),0)</f>
        <v/>
      </c>
      <c r="S43" s="61">
        <f>J43*'Item Budget'!$B$5+N43*'Item Budget'!$B$7+L43*'Item Budget'!$B$11+O43*'Item Budget'!$B$10+K43*'Item Budget'!$B$6+P43*'Item Budget'!$B$8+IFERROR(INDEX('Item Budget'!$N$25:$N$95,MATCH(Q43,'Item Budget'!$B$25:$B$95,0)),0)</f>
        <v/>
      </c>
      <c r="T43" s="61">
        <f>MAX('Item Budget'!$F$16,INDEX('Item Budget'!$J$5:$J$10,MATCH($C43,'Item Budget'!$I$5:$I$10,0))+INDEX('Item Budget'!$K$5:$K$10,MATCH($C43,'Item Budget'!$I$5:$I$10,0))*MIN(I43,50))</f>
        <v/>
      </c>
      <c r="U43" s="61">
        <f>T43*$H43</f>
        <v/>
      </c>
      <c r="V43" s="41">
        <f>MAX(R43,S43)/U43</f>
        <v/>
      </c>
      <c r="W43" s="21" t="n">
        <v>50</v>
      </c>
      <c r="X43" s="21" t="n">
        <v>2000</v>
      </c>
      <c r="Y43" s="21" t="n">
        <v>2000</v>
      </c>
      <c r="Z43" s="21" t="n">
        <v>75</v>
      </c>
      <c r="AA43" s="21" t="n">
        <v>0</v>
      </c>
      <c r="AB43" s="21" t="n">
        <v>0</v>
      </c>
      <c r="AC43" s="21" t="n">
        <v>0</v>
      </c>
      <c r="AD43" s="21" t="n">
        <v>0</v>
      </c>
      <c r="AE43" s="21" t="inlineStr">
        <is>
          <t>Increased Spell Damage XXV</t>
        </is>
      </c>
      <c r="AF43" s="61">
        <f>X43*'Item Budget'!$B$5+AB43*'Item Budget'!$B$7+Z43*'Item Budget'!$B$11+AC43*'Item Budget'!$B$10+AA43*'Item Budget'!$B$9+IFERROR(INDEX('Item Budget'!$M$25:$M$95,MATCH(AE43,'Item Budget'!$B$25:$B$95,0)),0)</f>
        <v/>
      </c>
      <c r="AG43" s="61">
        <f>X43*'Item Budget'!$B$5+AB43*'Item Budget'!$B$7+Z43*'Item Budget'!$B$11+AC43*'Item Budget'!$B$10+Y43*'Item Budget'!$B$6+AD43*'Item Budget'!$B$8+IFERROR(INDEX('Item Budget'!$N$25:$N$95,MATCH(AE43,'Item Budget'!$B$25:$B$95,0)),0)</f>
        <v/>
      </c>
      <c r="AH43" s="61">
        <f>MAX('Item Budget'!$F$16,INDEX('Item Budget'!$J$5:$J$10,MATCH($C43,'Item Budget'!$I$5:$I$10,0))+INDEX('Item Budget'!$K$5:$K$10,MATCH($C43,'Item Budget'!$I$5:$I$10,0))*MIN(W43,50))</f>
        <v/>
      </c>
      <c r="AI43" s="61">
        <f>AH43*$H43</f>
        <v/>
      </c>
      <c r="AJ43" s="41">
        <f>MAX(AF43,AG43)/AI43</f>
        <v/>
      </c>
      <c r="AK43" s="64" t="inlineStr">
        <is>
          <t>Pass 1 (applied): Raid gear (King Terror).</t>
        </is>
      </c>
      <c r="AL43" s="43">
        <f>IFERROR(INDEX('Item Budget'!$H$25:$H$95,MATCH(Q43,'Item Budget'!$B$25:$B$95,0)),0)</f>
        <v/>
      </c>
      <c r="AM43" s="43">
        <f>IFERROR(INDEX('Item Budget'!$H$25:$H$95,MATCH(AE43,'Item Budget'!$B$25:$B$95,0)),0)</f>
        <v/>
      </c>
      <c r="AN43" s="37" t="n">
        <v>200000000</v>
      </c>
      <c r="AO43" s="44">
        <f>IF(I43&lt;'Item Budget'!$R$10,0,'Item Budget'!$R$7*100*MAX(('Item Budget'!$R$14*(J43+25*N43)+'Item Budget'!$S$14*(K43+25*P43))/'Item Budget'!$Z$14,('Item Budget'!$R$15*(J43+25*N43)+'Item Budget'!$S$15*(K43+25*P43))/'Item Budget'!$Z$15,('Item Budget'!$R$16*(J43+25*N43)+'Item Budget'!$S$16*(K43+25*P43))/'Item Budget'!$Z$16,('Item Budget'!$R$17*(J43+25*N43)+'Item Budget'!$S$17*(K43+25*P43))/'Item Budget'!$Z$17)+'Item Budget'!$R$9*L43+IFERROR(INDEX('Item Budget'!$O$25:$O$95,MATCH(Q43,'Item Budget'!$B$25:$B$95,0)),0))</f>
        <v/>
      </c>
      <c r="AP43" s="44">
        <f>IF(W43&lt;'Item Budget'!$R$10,0,'Item Budget'!$R$7*100*MAX(('Item Budget'!$R$14*(X43+25*AB43)+'Item Budget'!$S$14*(Y43+25*AD43))/'Item Budget'!$Z$14,('Item Budget'!$R$15*(X43+25*AB43)+'Item Budget'!$S$15*(Y43+25*AD43))/'Item Budget'!$Z$15,('Item Budget'!$R$16*(X43+25*AB43)+'Item Budget'!$S$16*(Y43+25*AD43))/'Item Budget'!$Z$16,('Item Budget'!$R$17*(X43+25*AB43)+'Item Budget'!$S$17*(Y43+25*AD43))/'Item Budget'!$Z$17)+'Item Budget'!$R$9*Z43+IFERROR(INDEX('Item Budget'!$O$25:$O$95,MATCH(AE43,'Item Budget'!$B$25:$B$95,0)),0))</f>
        <v/>
      </c>
      <c r="AQ43" s="61">
        <f>IF(OR(AN43=0,AP43=0),"",SUMPRODUCT(MAX(($C$5:$C$88=C43)*($AN$5:$AN$88&lt;AN43)*$AP$5:$AP$88)))</f>
        <v/>
      </c>
      <c r="AR43" s="41">
        <f>IF(AQ43="","",IF(AQ43=0,1,SUMPRODUCT(MAX(($C$5:$C$88=C43)*($AN$5:$AN$88=AN43)*$AP$5:$AP$88))/AQ43-1))</f>
        <v/>
      </c>
      <c r="AS43" s="19">
        <f>IF(AR43="","",IF(AR43&gt;='Item Budget'!$R$11,"OK","Not above lower tier"))</f>
        <v/>
      </c>
    </row>
    <row r="44">
      <c r="A44" s="21" t="n">
        <v>384</v>
      </c>
      <c r="B44" s="21" t="inlineStr">
        <is>
          <t>Lucky Belt</t>
        </is>
      </c>
      <c r="C44" s="21" t="inlineStr">
        <is>
          <t>Belt</t>
        </is>
      </c>
      <c r="D44" s="21" t="inlineStr">
        <is>
          <t>All</t>
        </is>
      </c>
      <c r="E44" s="21" t="inlineStr">
        <is>
          <t>vendor:Phat Lewtz(UNSPAWNED); vendor:Credit Exchange</t>
        </is>
      </c>
      <c r="F44" s="19" t="inlineStr">
        <is>
          <t>Leave</t>
        </is>
      </c>
      <c r="G44" s="21" t="inlineStr">
        <is>
          <t>Raid / special</t>
        </is>
      </c>
      <c r="H44" s="31">
        <f>INDEX('Item Budget'!$F$5:$F$13,MATCH(G44,'Item Budget'!$E$5:$E$13,0))+IF(D44="All",0,'Item Budget'!$F$15)+LOOKUP(AN44,'Item Budget'!$E$19:$E$23,'Item Budget'!$F$19:$F$23)</f>
        <v/>
      </c>
      <c r="I44" s="21" t="n">
        <v>0</v>
      </c>
      <c r="J44" s="21" t="n">
        <v>75</v>
      </c>
      <c r="K44" s="21" t="n">
        <v>75</v>
      </c>
      <c r="L44" s="21" t="n">
        <v>50</v>
      </c>
      <c r="M44" s="21" t="n">
        <v>5</v>
      </c>
      <c r="N44" s="21" t="n">
        <v>5</v>
      </c>
      <c r="O44" s="21" t="n">
        <v>5</v>
      </c>
      <c r="P44" s="21" t="n">
        <v>5</v>
      </c>
      <c r="Q44" s="21" t="inlineStr">
        <is>
          <t>Increased Spell Damage X</t>
        </is>
      </c>
      <c r="R44" s="61">
        <f>J44*'Item Budget'!$B$5+N44*'Item Budget'!$B$7+L44*'Item Budget'!$B$11+O44*'Item Budget'!$B$10+M44*'Item Budget'!$B$9+IFERROR(INDEX('Item Budget'!$M$25:$M$95,MATCH(Q44,'Item Budget'!$B$25:$B$95,0)),0)</f>
        <v/>
      </c>
      <c r="S44" s="61">
        <f>J44*'Item Budget'!$B$5+N44*'Item Budget'!$B$7+L44*'Item Budget'!$B$11+O44*'Item Budget'!$B$10+K44*'Item Budget'!$B$6+P44*'Item Budget'!$B$8+IFERROR(INDEX('Item Budget'!$N$25:$N$95,MATCH(Q44,'Item Budget'!$B$25:$B$95,0)),0)</f>
        <v/>
      </c>
      <c r="T44" s="61">
        <f>MAX('Item Budget'!$F$16,INDEX('Item Budget'!$J$5:$J$10,MATCH($C44,'Item Budget'!$I$5:$I$10,0))+INDEX('Item Budget'!$K$5:$K$10,MATCH($C44,'Item Budget'!$I$5:$I$10,0))*MIN(I44,50))</f>
        <v/>
      </c>
      <c r="U44" s="61">
        <f>T44*$H44</f>
        <v/>
      </c>
      <c r="V44" s="41">
        <f>MAX(R44,S44)/U44</f>
        <v/>
      </c>
      <c r="W44" s="21" t="n">
        <v>0</v>
      </c>
      <c r="X44" s="21" t="n">
        <v>75</v>
      </c>
      <c r="Y44" s="21" t="n">
        <v>75</v>
      </c>
      <c r="Z44" s="21" t="n">
        <v>50</v>
      </c>
      <c r="AA44" s="21" t="n">
        <v>5</v>
      </c>
      <c r="AB44" s="21" t="n">
        <v>5</v>
      </c>
      <c r="AC44" s="21" t="n">
        <v>5</v>
      </c>
      <c r="AD44" s="21" t="n">
        <v>5</v>
      </c>
      <c r="AE44" s="21" t="inlineStr">
        <is>
          <t>Increased Spell Damage X</t>
        </is>
      </c>
      <c r="AF44" s="61">
        <f>X44*'Item Budget'!$B$5+AB44*'Item Budget'!$B$7+Z44*'Item Budget'!$B$11+AC44*'Item Budget'!$B$10+AA44*'Item Budget'!$B$9+IFERROR(INDEX('Item Budget'!$M$25:$M$95,MATCH(AE44,'Item Budget'!$B$25:$B$95,0)),0)</f>
        <v/>
      </c>
      <c r="AG44" s="61">
        <f>X44*'Item Budget'!$B$5+AB44*'Item Budget'!$B$7+Z44*'Item Budget'!$B$11+AC44*'Item Budget'!$B$10+Y44*'Item Budget'!$B$6+AD44*'Item Budget'!$B$8+IFERROR(INDEX('Item Budget'!$N$25:$N$95,MATCH(AE44,'Item Budget'!$B$25:$B$95,0)),0)</f>
        <v/>
      </c>
      <c r="AH44" s="61">
        <f>MAX('Item Budget'!$F$16,INDEX('Item Budget'!$J$5:$J$10,MATCH($C44,'Item Budget'!$I$5:$I$10,0))+INDEX('Item Budget'!$K$5:$K$10,MATCH($C44,'Item Budget'!$I$5:$I$10,0))*MIN(W44,50))</f>
        <v/>
      </c>
      <c r="AI44" s="61">
        <f>AH44*$H44</f>
        <v/>
      </c>
      <c r="AJ44" s="41">
        <f>MAX(AF44,AG44)/AI44</f>
        <v/>
      </c>
      <c r="AK44" s="64" t="inlineStr">
        <is>
          <t>Pass 1 (applied): Shop item (Credit Exchange). Not rebalanced.</t>
        </is>
      </c>
      <c r="AL44" s="43">
        <f>IFERROR(INDEX('Item Budget'!$H$25:$H$95,MATCH(Q44,'Item Budget'!$B$25:$B$95,0)),0)</f>
        <v/>
      </c>
      <c r="AM44" s="43">
        <f>IFERROR(INDEX('Item Budget'!$H$25:$H$95,MATCH(AE44,'Item Budget'!$B$25:$B$95,0)),0)</f>
        <v/>
      </c>
      <c r="AN44" s="37" t="n">
        <v>0</v>
      </c>
      <c r="AO44" s="44">
        <f>IF(I44&lt;'Item Budget'!$R$10,0,'Item Budget'!$R$7*100*MAX(('Item Budget'!$R$14*(J44+25*N44)+'Item Budget'!$S$14*(K44+25*P44))/'Item Budget'!$Z$14,('Item Budget'!$R$15*(J44+25*N44)+'Item Budget'!$S$15*(K44+25*P44))/'Item Budget'!$Z$15,('Item Budget'!$R$16*(J44+25*N44)+'Item Budget'!$S$16*(K44+25*P44))/'Item Budget'!$Z$16,('Item Budget'!$R$17*(J44+25*N44)+'Item Budget'!$S$17*(K44+25*P44))/'Item Budget'!$Z$17)+'Item Budget'!$R$9*L44+IFERROR(INDEX('Item Budget'!$O$25:$O$95,MATCH(Q44,'Item Budget'!$B$25:$B$95,0)),0))</f>
        <v/>
      </c>
      <c r="AP44" s="44">
        <f>IF(W44&lt;'Item Budget'!$R$10,0,'Item Budget'!$R$7*100*MAX(('Item Budget'!$R$14*(X44+25*AB44)+'Item Budget'!$S$14*(Y44+25*AD44))/'Item Budget'!$Z$14,('Item Budget'!$R$15*(X44+25*AB44)+'Item Budget'!$S$15*(Y44+25*AD44))/'Item Budget'!$Z$15,('Item Budget'!$R$16*(X44+25*AB44)+'Item Budget'!$S$16*(Y44+25*AD44))/'Item Budget'!$Z$16,('Item Budget'!$R$17*(X44+25*AB44)+'Item Budget'!$S$17*(Y44+25*AD44))/'Item Budget'!$Z$17)+'Item Budget'!$R$9*Z44+IFERROR(INDEX('Item Budget'!$O$25:$O$95,MATCH(AE44,'Item Budget'!$B$25:$B$95,0)),0))</f>
        <v/>
      </c>
      <c r="AQ44" s="61">
        <f>IF(OR(AN44=0,AP44=0),"",SUMPRODUCT(MAX(($C$5:$C$88=C44)*($AN$5:$AN$88&lt;AN44)*$AP$5:$AP$88)))</f>
        <v/>
      </c>
      <c r="AR44" s="41">
        <f>IF(AQ44="","",IF(AQ44=0,1,SUMPRODUCT(MAX(($C$5:$C$88=C44)*($AN$5:$AN$88=AN44)*$AP$5:$AP$88))/AQ44-1))</f>
        <v/>
      </c>
      <c r="AS44" s="19">
        <f>IF(AR44="","",IF(AR44&gt;='Item Budget'!$R$11,"OK","Not above lower tier"))</f>
        <v/>
      </c>
    </row>
    <row r="45">
      <c r="A45" s="45" t="n">
        <v>677</v>
      </c>
      <c r="B45" s="45" t="inlineStr">
        <is>
          <t>Worn Leather Belt</t>
        </is>
      </c>
      <c r="C45" s="45" t="inlineStr">
        <is>
          <t>Belt</t>
        </is>
      </c>
      <c r="D45" s="45" t="inlineStr">
        <is>
          <t>All</t>
        </is>
      </c>
      <c r="E45" s="45" t="inlineStr">
        <is>
          <t>drop:Black Sheep(L7) 15%</t>
        </is>
      </c>
      <c r="F45" s="46" t="inlineStr">
        <is>
          <t>Anchor</t>
        </is>
      </c>
      <c r="G45" s="45" t="inlineStr">
        <is>
          <t>Common drop</t>
        </is>
      </c>
      <c r="H45" s="47">
        <f>INDEX('Item Budget'!$F$5:$F$13,MATCH(G45,'Item Budget'!$E$5:$E$13,0))+IF(D45="All",0,'Item Budget'!$F$15)+LOOKUP(AN45,'Item Budget'!$E$19:$E$23,'Item Budget'!$F$19:$F$23)</f>
        <v/>
      </c>
      <c r="I45" s="45" t="n">
        <v>5</v>
      </c>
      <c r="J45" s="45" t="n">
        <v>40</v>
      </c>
      <c r="K45" s="45" t="n">
        <v>0</v>
      </c>
      <c r="L45" s="45" t="n">
        <v>4</v>
      </c>
      <c r="M45" s="45" t="n">
        <v>1</v>
      </c>
      <c r="N45" s="45" t="n">
        <v>2</v>
      </c>
      <c r="O45" s="45" t="n">
        <v>0</v>
      </c>
      <c r="P45" s="45" t="n">
        <v>0</v>
      </c>
      <c r="Q45" s="45" t="inlineStr">
        <is>
          <t>(none)</t>
        </is>
      </c>
      <c r="R45" s="65">
        <f>J45*'Item Budget'!$B$5+N45*'Item Budget'!$B$7+L45*'Item Budget'!$B$11+O45*'Item Budget'!$B$10+M45*'Item Budget'!$B$9+IFERROR(INDEX('Item Budget'!$M$25:$M$95,MATCH(Q45,'Item Budget'!$B$25:$B$95,0)),0)</f>
        <v/>
      </c>
      <c r="S45" s="65">
        <f>J45*'Item Budget'!$B$5+N45*'Item Budget'!$B$7+L45*'Item Budget'!$B$11+O45*'Item Budget'!$B$10+K45*'Item Budget'!$B$6+P45*'Item Budget'!$B$8+IFERROR(INDEX('Item Budget'!$N$25:$N$95,MATCH(Q45,'Item Budget'!$B$25:$B$95,0)),0)</f>
        <v/>
      </c>
      <c r="T45" s="65">
        <f>MAX('Item Budget'!$F$16,INDEX('Item Budget'!$J$5:$J$10,MATCH($C45,'Item Budget'!$I$5:$I$10,0))+INDEX('Item Budget'!$K$5:$K$10,MATCH($C45,'Item Budget'!$I$5:$I$10,0))*MIN(I45,50))</f>
        <v/>
      </c>
      <c r="U45" s="65">
        <f>T45*$H45</f>
        <v/>
      </c>
      <c r="V45" s="49">
        <f>MAX(R45,S45)/U45</f>
        <v/>
      </c>
      <c r="W45" s="21" t="n">
        <v>5</v>
      </c>
      <c r="X45" s="21" t="n">
        <v>40</v>
      </c>
      <c r="Y45" s="21" t="n">
        <v>0</v>
      </c>
      <c r="Z45" s="21" t="n">
        <v>4</v>
      </c>
      <c r="AA45" s="21" t="n">
        <v>1</v>
      </c>
      <c r="AB45" s="21" t="n">
        <v>2</v>
      </c>
      <c r="AC45" s="21" t="n">
        <v>0</v>
      </c>
      <c r="AD45" s="21" t="n">
        <v>0</v>
      </c>
      <c r="AE45" s="21" t="inlineStr">
        <is>
          <t>(none)</t>
        </is>
      </c>
      <c r="AF45" s="65">
        <f>X45*'Item Budget'!$B$5+AB45*'Item Budget'!$B$7+Z45*'Item Budget'!$B$11+AC45*'Item Budget'!$B$10+AA45*'Item Budget'!$B$9+IFERROR(INDEX('Item Budget'!$M$25:$M$95,MATCH(AE45,'Item Budget'!$B$25:$B$95,0)),0)</f>
        <v/>
      </c>
      <c r="AG45" s="65">
        <f>X45*'Item Budget'!$B$5+AB45*'Item Budget'!$B$7+Z45*'Item Budget'!$B$11+AC45*'Item Budget'!$B$10+Y45*'Item Budget'!$B$6+AD45*'Item Budget'!$B$8+IFERROR(INDEX('Item Budget'!$N$25:$N$95,MATCH(AE45,'Item Budget'!$B$25:$B$95,0)),0)</f>
        <v/>
      </c>
      <c r="AH45" s="65">
        <f>MAX('Item Budget'!$F$16,INDEX('Item Budget'!$J$5:$J$10,MATCH($C45,'Item Budget'!$I$5:$I$10,0))+INDEX('Item Budget'!$K$5:$K$10,MATCH($C45,'Item Budget'!$I$5:$I$10,0))*MIN(W45,50))</f>
        <v/>
      </c>
      <c r="AI45" s="65">
        <f>AH45*$H45</f>
        <v/>
      </c>
      <c r="AJ45" s="49">
        <f>MAX(AF45,AG45)/AI45</f>
        <v/>
      </c>
      <c r="AK45" s="64" t="inlineStr">
        <is>
          <t>Pass 1 (applied): New accessory (anchor). Unchanged.</t>
        </is>
      </c>
      <c r="AL45" s="43">
        <f>IFERROR(INDEX('Item Budget'!$H$25:$H$95,MATCH(Q45,'Item Budget'!$B$25:$B$95,0)),0)</f>
        <v/>
      </c>
      <c r="AM45" s="43">
        <f>IFERROR(INDEX('Item Budget'!$H$25:$H$95,MATCH(AE45,'Item Budget'!$B$25:$B$95,0)),0)</f>
        <v/>
      </c>
      <c r="AN45" s="37" t="n">
        <v>0</v>
      </c>
      <c r="AO45" s="44">
        <f>IF(I45&lt;'Item Budget'!$R$10,0,'Item Budget'!$R$7*100*MAX(('Item Budget'!$R$14*(J45+25*N45)+'Item Budget'!$S$14*(K45+25*P45))/'Item Budget'!$Z$14,('Item Budget'!$R$15*(J45+25*N45)+'Item Budget'!$S$15*(K45+25*P45))/'Item Budget'!$Z$15,('Item Budget'!$R$16*(J45+25*N45)+'Item Budget'!$S$16*(K45+25*P45))/'Item Budget'!$Z$16,('Item Budget'!$R$17*(J45+25*N45)+'Item Budget'!$S$17*(K45+25*P45))/'Item Budget'!$Z$17)+'Item Budget'!$R$9*L45+IFERROR(INDEX('Item Budget'!$O$25:$O$95,MATCH(Q45,'Item Budget'!$B$25:$B$95,0)),0))</f>
        <v/>
      </c>
      <c r="AP45" s="44">
        <f>IF(W45&lt;'Item Budget'!$R$10,0,'Item Budget'!$R$7*100*MAX(('Item Budget'!$R$14*(X45+25*AB45)+'Item Budget'!$S$14*(Y45+25*AD45))/'Item Budget'!$Z$14,('Item Budget'!$R$15*(X45+25*AB45)+'Item Budget'!$S$15*(Y45+25*AD45))/'Item Budget'!$Z$15,('Item Budget'!$R$16*(X45+25*AB45)+'Item Budget'!$S$16*(Y45+25*AD45))/'Item Budget'!$Z$16,('Item Budget'!$R$17*(X45+25*AB45)+'Item Budget'!$S$17*(Y45+25*AD45))/'Item Budget'!$Z$17)+'Item Budget'!$R$9*Z45+IFERROR(INDEX('Item Budget'!$O$25:$O$95,MATCH(AE45,'Item Budget'!$B$25:$B$95,0)),0))</f>
        <v/>
      </c>
      <c r="AQ45" s="61">
        <f>IF(OR(AN45=0,AP45=0),"",SUMPRODUCT(MAX(($C$5:$C$88=C45)*($AN$5:$AN$88&lt;AN45)*$AP$5:$AP$88)))</f>
        <v/>
      </c>
      <c r="AR45" s="41">
        <f>IF(AQ45="","",IF(AQ45=0,1,SUMPRODUCT(MAX(($C$5:$C$88=C45)*($AN$5:$AN$88=AN45)*$AP$5:$AP$88))/AQ45-1))</f>
        <v/>
      </c>
      <c r="AS45" s="19">
        <f>IF(AR45="","",IF(AR45&gt;='Item Budget'!$R$11,"OK","Not above lower tier"))</f>
        <v/>
      </c>
    </row>
    <row r="46">
      <c r="A46" s="21" t="n">
        <v>452</v>
      </c>
      <c r="B46" s="21" t="inlineStr">
        <is>
          <t>Soft Belt</t>
        </is>
      </c>
      <c r="C46" s="21" t="inlineStr">
        <is>
          <t>Belt</t>
        </is>
      </c>
      <c r="D46" s="21" t="inlineStr">
        <is>
          <t>All</t>
        </is>
      </c>
      <c r="E46" s="21" t="inlineStr">
        <is>
          <t>craft:Soft Belt</t>
        </is>
      </c>
      <c r="F46" s="3" t="inlineStr">
        <is>
          <t>Buff</t>
        </is>
      </c>
      <c r="G46" s="21" t="inlineStr">
        <is>
          <t>Crafted</t>
        </is>
      </c>
      <c r="H46" s="31">
        <f>INDEX('Item Budget'!$F$5:$F$13,MATCH(G46,'Item Budget'!$E$5:$E$13,0))+IF(D46="All",0,'Item Budget'!$F$15)+LOOKUP(AN46,'Item Budget'!$E$19:$E$23,'Item Budget'!$F$19:$F$23)</f>
        <v/>
      </c>
      <c r="I46" s="21" t="n">
        <v>10</v>
      </c>
      <c r="J46" s="21" t="n">
        <v>80</v>
      </c>
      <c r="K46" s="21" t="n">
        <v>80</v>
      </c>
      <c r="L46" s="21" t="n">
        <v>12</v>
      </c>
      <c r="M46" s="21" t="n">
        <v>5</v>
      </c>
      <c r="N46" s="21" t="n">
        <v>5</v>
      </c>
      <c r="O46" s="21" t="n">
        <v>5</v>
      </c>
      <c r="P46" s="21" t="n">
        <v>5</v>
      </c>
      <c r="Q46" s="21" t="inlineStr">
        <is>
          <t>(none)</t>
        </is>
      </c>
      <c r="R46" s="61">
        <f>J46*'Item Budget'!$B$5+N46*'Item Budget'!$B$7+L46*'Item Budget'!$B$11+O46*'Item Budget'!$B$10+M46*'Item Budget'!$B$9+IFERROR(INDEX('Item Budget'!$M$25:$M$95,MATCH(Q46,'Item Budget'!$B$25:$B$95,0)),0)</f>
        <v/>
      </c>
      <c r="S46" s="61">
        <f>J46*'Item Budget'!$B$5+N46*'Item Budget'!$B$7+L46*'Item Budget'!$B$11+O46*'Item Budget'!$B$10+K46*'Item Budget'!$B$6+P46*'Item Budget'!$B$8+IFERROR(INDEX('Item Budget'!$N$25:$N$95,MATCH(Q46,'Item Budget'!$B$25:$B$95,0)),0)</f>
        <v/>
      </c>
      <c r="T46" s="61">
        <f>MAX('Item Budget'!$F$16,INDEX('Item Budget'!$J$5:$J$10,MATCH($C46,'Item Budget'!$I$5:$I$10,0))+INDEX('Item Budget'!$K$5:$K$10,MATCH($C46,'Item Budget'!$I$5:$I$10,0))*MIN(I46,50))</f>
        <v/>
      </c>
      <c r="U46" s="61">
        <f>T46*$H46</f>
        <v/>
      </c>
      <c r="V46" s="41">
        <f>MAX(R46,S46)/U46</f>
        <v/>
      </c>
      <c r="W46" s="21" t="n">
        <v>10</v>
      </c>
      <c r="X46" s="21" t="n">
        <v>80</v>
      </c>
      <c r="Y46" s="21" t="n">
        <v>80</v>
      </c>
      <c r="Z46" s="21" t="n">
        <v>12</v>
      </c>
      <c r="AA46" s="21" t="n">
        <v>5</v>
      </c>
      <c r="AB46" s="21" t="n">
        <v>5</v>
      </c>
      <c r="AC46" s="21" t="n">
        <v>5</v>
      </c>
      <c r="AD46" s="21" t="n">
        <v>5</v>
      </c>
      <c r="AE46" s="21" t="inlineStr">
        <is>
          <t>(none)</t>
        </is>
      </c>
      <c r="AF46" s="61">
        <f>X46*'Item Budget'!$B$5+AB46*'Item Budget'!$B$7+Z46*'Item Budget'!$B$11+AC46*'Item Budget'!$B$10+AA46*'Item Budget'!$B$9+IFERROR(INDEX('Item Budget'!$M$25:$M$95,MATCH(AE46,'Item Budget'!$B$25:$B$95,0)),0)</f>
        <v/>
      </c>
      <c r="AG46" s="61">
        <f>X46*'Item Budget'!$B$5+AB46*'Item Budget'!$B$7+Z46*'Item Budget'!$B$11+AC46*'Item Budget'!$B$10+Y46*'Item Budget'!$B$6+AD46*'Item Budget'!$B$8+IFERROR(INDEX('Item Budget'!$N$25:$N$95,MATCH(AE46,'Item Budget'!$B$25:$B$95,0)),0)</f>
        <v/>
      </c>
      <c r="AH46" s="61">
        <f>MAX('Item Budget'!$F$16,INDEX('Item Budget'!$J$5:$J$10,MATCH($C46,'Item Budget'!$I$5:$I$10,0))+INDEX('Item Budget'!$K$5:$K$10,MATCH($C46,'Item Budget'!$I$5:$I$10,0))*MIN(W46,50))</f>
        <v/>
      </c>
      <c r="AI46" s="61">
        <f>AH46*$H46</f>
        <v/>
      </c>
      <c r="AJ46" s="41">
        <f>MAX(AF46,AG46)/AI46</f>
        <v/>
      </c>
      <c r="AK46" s="64" t="inlineStr">
        <is>
          <t>Pass 1 (applied): All-rounder starter craft; +4-5 to every stat.</t>
        </is>
      </c>
      <c r="AL46" s="43">
        <f>IFERROR(INDEX('Item Budget'!$H$25:$H$95,MATCH(Q46,'Item Budget'!$B$25:$B$95,0)),0)</f>
        <v/>
      </c>
      <c r="AM46" s="43">
        <f>IFERROR(INDEX('Item Budget'!$H$25:$H$95,MATCH(AE46,'Item Budget'!$B$25:$B$95,0)),0)</f>
        <v/>
      </c>
      <c r="AN46" s="37" t="n">
        <v>0</v>
      </c>
      <c r="AO46" s="44">
        <f>IF(I46&lt;'Item Budget'!$R$10,0,'Item Budget'!$R$7*100*MAX(('Item Budget'!$R$14*(J46+25*N46)+'Item Budget'!$S$14*(K46+25*P46))/'Item Budget'!$Z$14,('Item Budget'!$R$15*(J46+25*N46)+'Item Budget'!$S$15*(K46+25*P46))/'Item Budget'!$Z$15,('Item Budget'!$R$16*(J46+25*N46)+'Item Budget'!$S$16*(K46+25*P46))/'Item Budget'!$Z$16,('Item Budget'!$R$17*(J46+25*N46)+'Item Budget'!$S$17*(K46+25*P46))/'Item Budget'!$Z$17)+'Item Budget'!$R$9*L46+IFERROR(INDEX('Item Budget'!$O$25:$O$95,MATCH(Q46,'Item Budget'!$B$25:$B$95,0)),0))</f>
        <v/>
      </c>
      <c r="AP46" s="44">
        <f>IF(W46&lt;'Item Budget'!$R$10,0,'Item Budget'!$R$7*100*MAX(('Item Budget'!$R$14*(X46+25*AB46)+'Item Budget'!$S$14*(Y46+25*AD46))/'Item Budget'!$Z$14,('Item Budget'!$R$15*(X46+25*AB46)+'Item Budget'!$S$15*(Y46+25*AD46))/'Item Budget'!$Z$15,('Item Budget'!$R$16*(X46+25*AB46)+'Item Budget'!$S$16*(Y46+25*AD46))/'Item Budget'!$Z$16,('Item Budget'!$R$17*(X46+25*AB46)+'Item Budget'!$S$17*(Y46+25*AD46))/'Item Budget'!$Z$17)+'Item Budget'!$R$9*Z46+IFERROR(INDEX('Item Budget'!$O$25:$O$95,MATCH(AE46,'Item Budget'!$B$25:$B$95,0)),0))</f>
        <v/>
      </c>
      <c r="AQ46" s="61">
        <f>IF(OR(AN46=0,AP46=0),"",SUMPRODUCT(MAX(($C$5:$C$88=C46)*($AN$5:$AN$88&lt;AN46)*$AP$5:$AP$88)))</f>
        <v/>
      </c>
      <c r="AR46" s="41">
        <f>IF(AQ46="","",IF(AQ46=0,1,SUMPRODUCT(MAX(($C$5:$C$88=C46)*($AN$5:$AN$88=AN46)*$AP$5:$AP$88))/AQ46-1))</f>
        <v/>
      </c>
      <c r="AS46" s="19">
        <f>IF(AR46="","",IF(AR46&gt;='Item Budget'!$R$11,"OK","Not above lower tier"))</f>
        <v/>
      </c>
    </row>
    <row r="47">
      <c r="A47" s="21" t="n">
        <v>255</v>
      </c>
      <c r="B47" s="21" t="inlineStr">
        <is>
          <t>Spiked Belt of the Bunny</t>
        </is>
      </c>
      <c r="C47" s="21" t="inlineStr">
        <is>
          <t>Belt</t>
        </is>
      </c>
      <c r="D47" s="21" t="inlineStr">
        <is>
          <t>All</t>
        </is>
      </c>
      <c r="E47" s="21" t="inlineStr">
        <is>
          <t>drop:Fluffzilla(L32) 10%</t>
        </is>
      </c>
      <c r="F47" s="3" t="inlineStr">
        <is>
          <t>Buff</t>
        </is>
      </c>
      <c r="G47" s="21" t="inlineStr">
        <is>
          <t>Uncommon drop</t>
        </is>
      </c>
      <c r="H47" s="31">
        <f>INDEX('Item Budget'!$F$5:$F$13,MATCH(G47,'Item Budget'!$E$5:$E$13,0))+IF(D47="All",0,'Item Budget'!$F$15)+LOOKUP(AN47,'Item Budget'!$E$19:$E$23,'Item Budget'!$F$19:$F$23)</f>
        <v/>
      </c>
      <c r="I47" s="21" t="n">
        <v>20</v>
      </c>
      <c r="J47" s="21" t="n">
        <v>150</v>
      </c>
      <c r="K47" s="21" t="n">
        <v>100</v>
      </c>
      <c r="L47" s="21" t="n">
        <v>18</v>
      </c>
      <c r="M47" s="21" t="n">
        <v>7</v>
      </c>
      <c r="N47" s="21" t="n">
        <v>6</v>
      </c>
      <c r="O47" s="21" t="n">
        <v>6</v>
      </c>
      <c r="P47" s="21" t="n">
        <v>6</v>
      </c>
      <c r="Q47" s="21" t="inlineStr">
        <is>
          <t>Melee and Spell Damage II</t>
        </is>
      </c>
      <c r="R47" s="61">
        <f>J47*'Item Budget'!$B$5+N47*'Item Budget'!$B$7+L47*'Item Budget'!$B$11+O47*'Item Budget'!$B$10+M47*'Item Budget'!$B$9+IFERROR(INDEX('Item Budget'!$M$25:$M$95,MATCH(Q47,'Item Budget'!$B$25:$B$95,0)),0)</f>
        <v/>
      </c>
      <c r="S47" s="61">
        <f>J47*'Item Budget'!$B$5+N47*'Item Budget'!$B$7+L47*'Item Budget'!$B$11+O47*'Item Budget'!$B$10+K47*'Item Budget'!$B$6+P47*'Item Budget'!$B$8+IFERROR(INDEX('Item Budget'!$N$25:$N$95,MATCH(Q47,'Item Budget'!$B$25:$B$95,0)),0)</f>
        <v/>
      </c>
      <c r="T47" s="61">
        <f>MAX('Item Budget'!$F$16,INDEX('Item Budget'!$J$5:$J$10,MATCH($C47,'Item Budget'!$I$5:$I$10,0))+INDEX('Item Budget'!$K$5:$K$10,MATCH($C47,'Item Budget'!$I$5:$I$10,0))*MIN(I47,50))</f>
        <v/>
      </c>
      <c r="U47" s="61">
        <f>T47*$H47</f>
        <v/>
      </c>
      <c r="V47" s="41">
        <f>MAX(R47,S47)/U47</f>
        <v/>
      </c>
      <c r="W47" s="21" t="n">
        <v>20</v>
      </c>
      <c r="X47" s="20" t="n">
        <v>160</v>
      </c>
      <c r="Y47" s="20" t="n">
        <v>110</v>
      </c>
      <c r="Z47" s="20" t="n">
        <v>19</v>
      </c>
      <c r="AA47" s="20" t="n">
        <v>8</v>
      </c>
      <c r="AB47" s="21" t="n">
        <v>6</v>
      </c>
      <c r="AC47" s="21" t="n">
        <v>6</v>
      </c>
      <c r="AD47" s="21" t="n">
        <v>6</v>
      </c>
      <c r="AE47" s="21" t="inlineStr">
        <is>
          <t>Melee and Spell Damage II</t>
        </is>
      </c>
      <c r="AF47" s="61">
        <f>X47*'Item Budget'!$B$5+AB47*'Item Budget'!$B$7+Z47*'Item Budget'!$B$11+AC47*'Item Budget'!$B$10+AA47*'Item Budget'!$B$9+IFERROR(INDEX('Item Budget'!$M$25:$M$95,MATCH(AE47,'Item Budget'!$B$25:$B$95,0)),0)</f>
        <v/>
      </c>
      <c r="AG47" s="61">
        <f>X47*'Item Budget'!$B$5+AB47*'Item Budget'!$B$7+Z47*'Item Budget'!$B$11+AC47*'Item Budget'!$B$10+Y47*'Item Budget'!$B$6+AD47*'Item Budget'!$B$8+IFERROR(INDEX('Item Budget'!$N$25:$N$95,MATCH(AE47,'Item Budget'!$B$25:$B$95,0)),0)</f>
        <v/>
      </c>
      <c r="AH47" s="61">
        <f>MAX('Item Budget'!$F$16,INDEX('Item Budget'!$J$5:$J$10,MATCH($C47,'Item Budget'!$I$5:$I$10,0))+INDEX('Item Budget'!$K$5:$K$10,MATCH($C47,'Item Budget'!$I$5:$I$10,0))*MIN(W47,50))</f>
        <v/>
      </c>
      <c r="AI47" s="61">
        <f>AH47*$H47</f>
        <v/>
      </c>
      <c r="AJ47" s="41">
        <f>MAX(AF47,AG47)/AI47</f>
        <v/>
      </c>
      <c r="AK47" s="64" t="inlineStr">
        <is>
          <t>Spiked Belt of the Bunny: 15% over the Sturdy Belt (same level, rarer)</t>
        </is>
      </c>
      <c r="AL47" s="43">
        <f>IFERROR(INDEX('Item Budget'!$H$25:$H$95,MATCH(Q47,'Item Budget'!$B$25:$B$95,0)),0)</f>
        <v/>
      </c>
      <c r="AM47" s="43">
        <f>IFERROR(INDEX('Item Budget'!$H$25:$H$95,MATCH(AE47,'Item Budget'!$B$25:$B$95,0)),0)</f>
        <v/>
      </c>
      <c r="AN47" s="37" t="n">
        <v>0</v>
      </c>
      <c r="AO47" s="44">
        <f>IF(I47&lt;'Item Budget'!$R$10,0,'Item Budget'!$R$7*100*MAX(('Item Budget'!$R$14*(J47+25*N47)+'Item Budget'!$S$14*(K47+25*P47))/'Item Budget'!$Z$14,('Item Budget'!$R$15*(J47+25*N47)+'Item Budget'!$S$15*(K47+25*P47))/'Item Budget'!$Z$15,('Item Budget'!$R$16*(J47+25*N47)+'Item Budget'!$S$16*(K47+25*P47))/'Item Budget'!$Z$16,('Item Budget'!$R$17*(J47+25*N47)+'Item Budget'!$S$17*(K47+25*P47))/'Item Budget'!$Z$17)+'Item Budget'!$R$9*L47+IFERROR(INDEX('Item Budget'!$O$25:$O$95,MATCH(Q47,'Item Budget'!$B$25:$B$95,0)),0))</f>
        <v/>
      </c>
      <c r="AP47" s="44">
        <f>IF(W47&lt;'Item Budget'!$R$10,0,'Item Budget'!$R$7*100*MAX(('Item Budget'!$R$14*(X47+25*AB47)+'Item Budget'!$S$14*(Y47+25*AD47))/'Item Budget'!$Z$14,('Item Budget'!$R$15*(X47+25*AB47)+'Item Budget'!$S$15*(Y47+25*AD47))/'Item Budget'!$Z$15,('Item Budget'!$R$16*(X47+25*AB47)+'Item Budget'!$S$16*(Y47+25*AD47))/'Item Budget'!$Z$16,('Item Budget'!$R$17*(X47+25*AB47)+'Item Budget'!$S$17*(Y47+25*AD47))/'Item Budget'!$Z$17)+'Item Budget'!$R$9*Z47+IFERROR(INDEX('Item Budget'!$O$25:$O$95,MATCH(AE47,'Item Budget'!$B$25:$B$95,0)),0))</f>
        <v/>
      </c>
      <c r="AQ47" s="61">
        <f>IF(OR(AN47=0,AP47=0),"",SUMPRODUCT(MAX(($C$5:$C$88=C47)*($AN$5:$AN$88&lt;AN47)*$AP$5:$AP$88)))</f>
        <v/>
      </c>
      <c r="AR47" s="41">
        <f>IF(AQ47="","",IF(AQ47=0,1,SUMPRODUCT(MAX(($C$5:$C$88=C47)*($AN$5:$AN$88=AN47)*$AP$5:$AP$88))/AQ47-1))</f>
        <v/>
      </c>
      <c r="AS47" s="19">
        <f>IF(AR47="","",IF(AR47&gt;='Item Budget'!$R$11,"OK","Not above lower tier"))</f>
        <v/>
      </c>
    </row>
    <row r="48">
      <c r="A48" s="45" t="n">
        <v>678</v>
      </c>
      <c r="B48" s="45" t="inlineStr">
        <is>
          <t>Sturdy Belt</t>
        </is>
      </c>
      <c r="C48" s="45" t="inlineStr">
        <is>
          <t>Belt</t>
        </is>
      </c>
      <c r="D48" s="45" t="inlineStr">
        <is>
          <t>All</t>
        </is>
      </c>
      <c r="E48" s="45" t="inlineStr">
        <is>
          <t>drop:Flying Pipsqueek(L14) 15%</t>
        </is>
      </c>
      <c r="F48" s="46" t="inlineStr">
        <is>
          <t>Anchor</t>
        </is>
      </c>
      <c r="G48" s="45" t="inlineStr">
        <is>
          <t>Common drop</t>
        </is>
      </c>
      <c r="H48" s="47">
        <f>INDEX('Item Budget'!$F$5:$F$13,MATCH(G48,'Item Budget'!$E$5:$E$13,0))+IF(D48="All",0,'Item Budget'!$F$15)+LOOKUP(AN48,'Item Budget'!$E$19:$E$23,'Item Budget'!$F$19:$F$23)</f>
        <v/>
      </c>
      <c r="I48" s="45" t="n">
        <v>20</v>
      </c>
      <c r="J48" s="45" t="n">
        <v>200</v>
      </c>
      <c r="K48" s="45" t="n">
        <v>0</v>
      </c>
      <c r="L48" s="45" t="n">
        <v>15</v>
      </c>
      <c r="M48" s="45" t="n">
        <v>5</v>
      </c>
      <c r="N48" s="45" t="n">
        <v>7</v>
      </c>
      <c r="O48" s="45" t="n">
        <v>0</v>
      </c>
      <c r="P48" s="45" t="n">
        <v>0</v>
      </c>
      <c r="Q48" s="45" t="inlineStr">
        <is>
          <t>Melee and Spell Damage II</t>
        </is>
      </c>
      <c r="R48" s="65">
        <f>J48*'Item Budget'!$B$5+N48*'Item Budget'!$B$7+L48*'Item Budget'!$B$11+O48*'Item Budget'!$B$10+M48*'Item Budget'!$B$9+IFERROR(INDEX('Item Budget'!$M$25:$M$95,MATCH(Q48,'Item Budget'!$B$25:$B$95,0)),0)</f>
        <v/>
      </c>
      <c r="S48" s="65">
        <f>J48*'Item Budget'!$B$5+N48*'Item Budget'!$B$7+L48*'Item Budget'!$B$11+O48*'Item Budget'!$B$10+K48*'Item Budget'!$B$6+P48*'Item Budget'!$B$8+IFERROR(INDEX('Item Budget'!$N$25:$N$95,MATCH(Q48,'Item Budget'!$B$25:$B$95,0)),0)</f>
        <v/>
      </c>
      <c r="T48" s="65">
        <f>MAX('Item Budget'!$F$16,INDEX('Item Budget'!$J$5:$J$10,MATCH($C48,'Item Budget'!$I$5:$I$10,0))+INDEX('Item Budget'!$K$5:$K$10,MATCH($C48,'Item Budget'!$I$5:$I$10,0))*MIN(I48,50))</f>
        <v/>
      </c>
      <c r="U48" s="65">
        <f>T48*$H48</f>
        <v/>
      </c>
      <c r="V48" s="49">
        <f>MAX(R48,S48)/U48</f>
        <v/>
      </c>
      <c r="W48" s="21" t="n">
        <v>20</v>
      </c>
      <c r="X48" s="21" t="n">
        <v>200</v>
      </c>
      <c r="Y48" s="21" t="n">
        <v>0</v>
      </c>
      <c r="Z48" s="21" t="n">
        <v>15</v>
      </c>
      <c r="AA48" s="21" t="n">
        <v>5</v>
      </c>
      <c r="AB48" s="21" t="n">
        <v>7</v>
      </c>
      <c r="AC48" s="21" t="n">
        <v>0</v>
      </c>
      <c r="AD48" s="21" t="n">
        <v>0</v>
      </c>
      <c r="AE48" s="21" t="inlineStr">
        <is>
          <t>Melee and Spell Damage II</t>
        </is>
      </c>
      <c r="AF48" s="65">
        <f>X48*'Item Budget'!$B$5+AB48*'Item Budget'!$B$7+Z48*'Item Budget'!$B$11+AC48*'Item Budget'!$B$10+AA48*'Item Budget'!$B$9+IFERROR(INDEX('Item Budget'!$M$25:$M$95,MATCH(AE48,'Item Budget'!$B$25:$B$95,0)),0)</f>
        <v/>
      </c>
      <c r="AG48" s="65">
        <f>X48*'Item Budget'!$B$5+AB48*'Item Budget'!$B$7+Z48*'Item Budget'!$B$11+AC48*'Item Budget'!$B$10+Y48*'Item Budget'!$B$6+AD48*'Item Budget'!$B$8+IFERROR(INDEX('Item Budget'!$N$25:$N$95,MATCH(AE48,'Item Budget'!$B$25:$B$95,0)),0)</f>
        <v/>
      </c>
      <c r="AH48" s="65">
        <f>MAX('Item Budget'!$F$16,INDEX('Item Budget'!$J$5:$J$10,MATCH($C48,'Item Budget'!$I$5:$I$10,0))+INDEX('Item Budget'!$K$5:$K$10,MATCH($C48,'Item Budget'!$I$5:$I$10,0))*MIN(W48,50))</f>
        <v/>
      </c>
      <c r="AI48" s="65">
        <f>AH48*$H48</f>
        <v/>
      </c>
      <c r="AJ48" s="49">
        <f>MAX(AF48,AG48)/AI48</f>
        <v/>
      </c>
      <c r="AK48" s="64" t="inlineStr">
        <is>
          <t>Pass 1 (applied): New accessory (anchor). Unchanged.</t>
        </is>
      </c>
      <c r="AL48" s="43">
        <f>IFERROR(INDEX('Item Budget'!$H$25:$H$95,MATCH(Q48,'Item Budget'!$B$25:$B$95,0)),0)</f>
        <v/>
      </c>
      <c r="AM48" s="43">
        <f>IFERROR(INDEX('Item Budget'!$H$25:$H$95,MATCH(AE48,'Item Budget'!$B$25:$B$95,0)),0)</f>
        <v/>
      </c>
      <c r="AN48" s="37" t="n">
        <v>0</v>
      </c>
      <c r="AO48" s="44">
        <f>IF(I48&lt;'Item Budget'!$R$10,0,'Item Budget'!$R$7*100*MAX(('Item Budget'!$R$14*(J48+25*N48)+'Item Budget'!$S$14*(K48+25*P48))/'Item Budget'!$Z$14,('Item Budget'!$R$15*(J48+25*N48)+'Item Budget'!$S$15*(K48+25*P48))/'Item Budget'!$Z$15,('Item Budget'!$R$16*(J48+25*N48)+'Item Budget'!$S$16*(K48+25*P48))/'Item Budget'!$Z$16,('Item Budget'!$R$17*(J48+25*N48)+'Item Budget'!$S$17*(K48+25*P48))/'Item Budget'!$Z$17)+'Item Budget'!$R$9*L48+IFERROR(INDEX('Item Budget'!$O$25:$O$95,MATCH(Q48,'Item Budget'!$B$25:$B$95,0)),0))</f>
        <v/>
      </c>
      <c r="AP48" s="44">
        <f>IF(W48&lt;'Item Budget'!$R$10,0,'Item Budget'!$R$7*100*MAX(('Item Budget'!$R$14*(X48+25*AB48)+'Item Budget'!$S$14*(Y48+25*AD48))/'Item Budget'!$Z$14,('Item Budget'!$R$15*(X48+25*AB48)+'Item Budget'!$S$15*(Y48+25*AD48))/'Item Budget'!$Z$15,('Item Budget'!$R$16*(X48+25*AB48)+'Item Budget'!$S$16*(Y48+25*AD48))/'Item Budget'!$Z$16,('Item Budget'!$R$17*(X48+25*AB48)+'Item Budget'!$S$17*(Y48+25*AD48))/'Item Budget'!$Z$17)+'Item Budget'!$R$9*Z48+IFERROR(INDEX('Item Budget'!$O$25:$O$95,MATCH(AE48,'Item Budget'!$B$25:$B$95,0)),0))</f>
        <v/>
      </c>
      <c r="AQ48" s="61">
        <f>IF(OR(AN48=0,AP48=0),"",SUMPRODUCT(MAX(($C$5:$C$88=C48)*($AN$5:$AN$88&lt;AN48)*$AP$5:$AP$88)))</f>
        <v/>
      </c>
      <c r="AR48" s="41">
        <f>IF(AQ48="","",IF(AQ48=0,1,SUMPRODUCT(MAX(($C$5:$C$88=C48)*($AN$5:$AN$88=AN48)*$AP$5:$AP$88))/AQ48-1))</f>
        <v/>
      </c>
      <c r="AS48" s="19">
        <f>IF(AR48="","",IF(AR48&gt;='Item Budget'!$R$11,"OK","Not above lower tier"))</f>
        <v/>
      </c>
    </row>
    <row r="49">
      <c r="A49" s="21" t="n">
        <v>479</v>
      </c>
      <c r="B49" s="21" t="inlineStr">
        <is>
          <t>Bling Belt</t>
        </is>
      </c>
      <c r="C49" s="21" t="inlineStr">
        <is>
          <t>Belt</t>
        </is>
      </c>
      <c r="D49" s="21" t="inlineStr">
        <is>
          <t>All</t>
        </is>
      </c>
      <c r="E49" s="21" t="inlineStr">
        <is>
          <t>craft:Bling Belt</t>
        </is>
      </c>
      <c r="F49" s="3" t="inlineStr">
        <is>
          <t>Buff</t>
        </is>
      </c>
      <c r="G49" s="21" t="inlineStr">
        <is>
          <t>Crafted</t>
        </is>
      </c>
      <c r="H49" s="31">
        <f>INDEX('Item Budget'!$F$5:$F$13,MATCH(G49,'Item Budget'!$E$5:$E$13,0))+IF(D49="All",0,'Item Budget'!$F$15)+LOOKUP(AN49,'Item Budget'!$E$19:$E$23,'Item Budget'!$F$19:$F$23)</f>
        <v/>
      </c>
      <c r="I49" s="21" t="n">
        <v>25</v>
      </c>
      <c r="J49" s="21" t="n">
        <v>200</v>
      </c>
      <c r="K49" s="21" t="n">
        <v>200</v>
      </c>
      <c r="L49" s="21" t="n">
        <v>30</v>
      </c>
      <c r="M49" s="21" t="n">
        <v>8</v>
      </c>
      <c r="N49" s="21" t="n">
        <v>8</v>
      </c>
      <c r="O49" s="21" t="n">
        <v>8</v>
      </c>
      <c r="P49" s="21" t="n">
        <v>8</v>
      </c>
      <c r="Q49" s="21" t="inlineStr">
        <is>
          <t>Melee and Spell Damage III</t>
        </is>
      </c>
      <c r="R49" s="61">
        <f>J49*'Item Budget'!$B$5+N49*'Item Budget'!$B$7+L49*'Item Budget'!$B$11+O49*'Item Budget'!$B$10+M49*'Item Budget'!$B$9+IFERROR(INDEX('Item Budget'!$M$25:$M$95,MATCH(Q49,'Item Budget'!$B$25:$B$95,0)),0)</f>
        <v/>
      </c>
      <c r="S49" s="61">
        <f>J49*'Item Budget'!$B$5+N49*'Item Budget'!$B$7+L49*'Item Budget'!$B$11+O49*'Item Budget'!$B$10+K49*'Item Budget'!$B$6+P49*'Item Budget'!$B$8+IFERROR(INDEX('Item Budget'!$N$25:$N$95,MATCH(Q49,'Item Budget'!$B$25:$B$95,0)),0)</f>
        <v/>
      </c>
      <c r="T49" s="61">
        <f>MAX('Item Budget'!$F$16,INDEX('Item Budget'!$J$5:$J$10,MATCH($C49,'Item Budget'!$I$5:$I$10,0))+INDEX('Item Budget'!$K$5:$K$10,MATCH($C49,'Item Budget'!$I$5:$I$10,0))*MIN(I49,50))</f>
        <v/>
      </c>
      <c r="U49" s="61">
        <f>T49*$H49</f>
        <v/>
      </c>
      <c r="V49" s="41">
        <f>MAX(R49,S49)/U49</f>
        <v/>
      </c>
      <c r="W49" s="21" t="n">
        <v>25</v>
      </c>
      <c r="X49" s="21" t="n">
        <v>200</v>
      </c>
      <c r="Y49" s="21" t="n">
        <v>200</v>
      </c>
      <c r="Z49" s="21" t="n">
        <v>30</v>
      </c>
      <c r="AA49" s="21" t="n">
        <v>8</v>
      </c>
      <c r="AB49" s="21" t="n">
        <v>8</v>
      </c>
      <c r="AC49" s="21" t="n">
        <v>8</v>
      </c>
      <c r="AD49" s="21" t="n">
        <v>8</v>
      </c>
      <c r="AE49" s="21" t="inlineStr">
        <is>
          <t>Melee and Spell Damage III</t>
        </is>
      </c>
      <c r="AF49" s="61">
        <f>X49*'Item Budget'!$B$5+AB49*'Item Budget'!$B$7+Z49*'Item Budget'!$B$11+AC49*'Item Budget'!$B$10+AA49*'Item Budget'!$B$9+IFERROR(INDEX('Item Budget'!$M$25:$M$95,MATCH(AE49,'Item Budget'!$B$25:$B$95,0)),0)</f>
        <v/>
      </c>
      <c r="AG49" s="61">
        <f>X49*'Item Budget'!$B$5+AB49*'Item Budget'!$B$7+Z49*'Item Budget'!$B$11+AC49*'Item Budget'!$B$10+Y49*'Item Budget'!$B$6+AD49*'Item Budget'!$B$8+IFERROR(INDEX('Item Budget'!$N$25:$N$95,MATCH(AE49,'Item Budget'!$B$25:$B$95,0)),0)</f>
        <v/>
      </c>
      <c r="AH49" s="61">
        <f>MAX('Item Budget'!$F$16,INDEX('Item Budget'!$J$5:$J$10,MATCH($C49,'Item Budget'!$I$5:$I$10,0))+INDEX('Item Budget'!$K$5:$K$10,MATCH($C49,'Item Budget'!$I$5:$I$10,0))*MIN(W49,50))</f>
        <v/>
      </c>
      <c r="AI49" s="61">
        <f>AH49*$H49</f>
        <v/>
      </c>
      <c r="AJ49" s="41">
        <f>MAX(AF49,AG49)/AI49</f>
        <v/>
      </c>
      <c r="AK49" s="64" t="inlineStr">
        <is>
          <t>Pass 1 (applied): Crafted alternative to Sturdy/Ironbound; all-stats plus the belt family effect.</t>
        </is>
      </c>
      <c r="AL49" s="43">
        <f>IFERROR(INDEX('Item Budget'!$H$25:$H$95,MATCH(Q49,'Item Budget'!$B$25:$B$95,0)),0)</f>
        <v/>
      </c>
      <c r="AM49" s="43">
        <f>IFERROR(INDEX('Item Budget'!$H$25:$H$95,MATCH(AE49,'Item Budget'!$B$25:$B$95,0)),0)</f>
        <v/>
      </c>
      <c r="AN49" s="37" t="n">
        <v>0</v>
      </c>
      <c r="AO49" s="44">
        <f>IF(I49&lt;'Item Budget'!$R$10,0,'Item Budget'!$R$7*100*MAX(('Item Budget'!$R$14*(J49+25*N49)+'Item Budget'!$S$14*(K49+25*P49))/'Item Budget'!$Z$14,('Item Budget'!$R$15*(J49+25*N49)+'Item Budget'!$S$15*(K49+25*P49))/'Item Budget'!$Z$15,('Item Budget'!$R$16*(J49+25*N49)+'Item Budget'!$S$16*(K49+25*P49))/'Item Budget'!$Z$16,('Item Budget'!$R$17*(J49+25*N49)+'Item Budget'!$S$17*(K49+25*P49))/'Item Budget'!$Z$17)+'Item Budget'!$R$9*L49+IFERROR(INDEX('Item Budget'!$O$25:$O$95,MATCH(Q49,'Item Budget'!$B$25:$B$95,0)),0))</f>
        <v/>
      </c>
      <c r="AP49" s="44">
        <f>IF(W49&lt;'Item Budget'!$R$10,0,'Item Budget'!$R$7*100*MAX(('Item Budget'!$R$14*(X49+25*AB49)+'Item Budget'!$S$14*(Y49+25*AD49))/'Item Budget'!$Z$14,('Item Budget'!$R$15*(X49+25*AB49)+'Item Budget'!$S$15*(Y49+25*AD49))/'Item Budget'!$Z$15,('Item Budget'!$R$16*(X49+25*AB49)+'Item Budget'!$S$16*(Y49+25*AD49))/'Item Budget'!$Z$16,('Item Budget'!$R$17*(X49+25*AB49)+'Item Budget'!$S$17*(Y49+25*AD49))/'Item Budget'!$Z$17)+'Item Budget'!$R$9*Z49+IFERROR(INDEX('Item Budget'!$O$25:$O$95,MATCH(AE49,'Item Budget'!$B$25:$B$95,0)),0))</f>
        <v/>
      </c>
      <c r="AQ49" s="61">
        <f>IF(OR(AN49=0,AP49=0),"",SUMPRODUCT(MAX(($C$5:$C$88=C49)*($AN$5:$AN$88&lt;AN49)*$AP$5:$AP$88)))</f>
        <v/>
      </c>
      <c r="AR49" s="41">
        <f>IF(AQ49="","",IF(AQ49=0,1,SUMPRODUCT(MAX(($C$5:$C$88=C49)*($AN$5:$AN$88=AN49)*$AP$5:$AP$88))/AQ49-1))</f>
        <v/>
      </c>
      <c r="AS49" s="19">
        <f>IF(AR49="","",IF(AR49&gt;='Item Budget'!$R$11,"OK","Not above lower tier"))</f>
        <v/>
      </c>
    </row>
    <row r="50">
      <c r="A50" s="45" t="n">
        <v>679</v>
      </c>
      <c r="B50" s="45" t="inlineStr">
        <is>
          <t>Ironbound Belt</t>
        </is>
      </c>
      <c r="C50" s="45" t="inlineStr">
        <is>
          <t>Belt</t>
        </is>
      </c>
      <c r="D50" s="45" t="inlineStr">
        <is>
          <t>All</t>
        </is>
      </c>
      <c r="E50" s="45" t="inlineStr">
        <is>
          <t>drop:Mad Cow(L29) 15%</t>
        </is>
      </c>
      <c r="F50" s="46" t="inlineStr">
        <is>
          <t>Anchor</t>
        </is>
      </c>
      <c r="G50" s="45" t="inlineStr">
        <is>
          <t>Common drop</t>
        </is>
      </c>
      <c r="H50" s="47">
        <f>INDEX('Item Budget'!$F$5:$F$13,MATCH(G50,'Item Budget'!$E$5:$E$13,0))+IF(D50="All",0,'Item Budget'!$F$15)+LOOKUP(AN50,'Item Budget'!$E$19:$E$23,'Item Budget'!$F$19:$F$23)</f>
        <v/>
      </c>
      <c r="I50" s="45" t="n">
        <v>30</v>
      </c>
      <c r="J50" s="45" t="n">
        <v>320</v>
      </c>
      <c r="K50" s="45" t="n">
        <v>0</v>
      </c>
      <c r="L50" s="45" t="n">
        <v>24</v>
      </c>
      <c r="M50" s="45" t="n">
        <v>8</v>
      </c>
      <c r="N50" s="45" t="n">
        <v>11</v>
      </c>
      <c r="O50" s="45" t="n">
        <v>0</v>
      </c>
      <c r="P50" s="45" t="n">
        <v>0</v>
      </c>
      <c r="Q50" s="45" t="inlineStr">
        <is>
          <t>Melee and Spell Damage III</t>
        </is>
      </c>
      <c r="R50" s="65">
        <f>J50*'Item Budget'!$B$5+N50*'Item Budget'!$B$7+L50*'Item Budget'!$B$11+O50*'Item Budget'!$B$10+M50*'Item Budget'!$B$9+IFERROR(INDEX('Item Budget'!$M$25:$M$95,MATCH(Q50,'Item Budget'!$B$25:$B$95,0)),0)</f>
        <v/>
      </c>
      <c r="S50" s="65">
        <f>J50*'Item Budget'!$B$5+N50*'Item Budget'!$B$7+L50*'Item Budget'!$B$11+O50*'Item Budget'!$B$10+K50*'Item Budget'!$B$6+P50*'Item Budget'!$B$8+IFERROR(INDEX('Item Budget'!$N$25:$N$95,MATCH(Q50,'Item Budget'!$B$25:$B$95,0)),0)</f>
        <v/>
      </c>
      <c r="T50" s="65">
        <f>MAX('Item Budget'!$F$16,INDEX('Item Budget'!$J$5:$J$10,MATCH($C50,'Item Budget'!$I$5:$I$10,0))+INDEX('Item Budget'!$K$5:$K$10,MATCH($C50,'Item Budget'!$I$5:$I$10,0))*MIN(I50,50))</f>
        <v/>
      </c>
      <c r="U50" s="65">
        <f>T50*$H50</f>
        <v/>
      </c>
      <c r="V50" s="49">
        <f>MAX(R50,S50)/U50</f>
        <v/>
      </c>
      <c r="W50" s="21" t="n">
        <v>30</v>
      </c>
      <c r="X50" s="21" t="n">
        <v>320</v>
      </c>
      <c r="Y50" s="21" t="n">
        <v>0</v>
      </c>
      <c r="Z50" s="21" t="n">
        <v>24</v>
      </c>
      <c r="AA50" s="21" t="n">
        <v>8</v>
      </c>
      <c r="AB50" s="21" t="n">
        <v>11</v>
      </c>
      <c r="AC50" s="21" t="n">
        <v>0</v>
      </c>
      <c r="AD50" s="21" t="n">
        <v>0</v>
      </c>
      <c r="AE50" s="21" t="inlineStr">
        <is>
          <t>Melee and Spell Damage III</t>
        </is>
      </c>
      <c r="AF50" s="65">
        <f>X50*'Item Budget'!$B$5+AB50*'Item Budget'!$B$7+Z50*'Item Budget'!$B$11+AC50*'Item Budget'!$B$10+AA50*'Item Budget'!$B$9+IFERROR(INDEX('Item Budget'!$M$25:$M$95,MATCH(AE50,'Item Budget'!$B$25:$B$95,0)),0)</f>
        <v/>
      </c>
      <c r="AG50" s="65">
        <f>X50*'Item Budget'!$B$5+AB50*'Item Budget'!$B$7+Z50*'Item Budget'!$B$11+AC50*'Item Budget'!$B$10+Y50*'Item Budget'!$B$6+AD50*'Item Budget'!$B$8+IFERROR(INDEX('Item Budget'!$N$25:$N$95,MATCH(AE50,'Item Budget'!$B$25:$B$95,0)),0)</f>
        <v/>
      </c>
      <c r="AH50" s="65">
        <f>MAX('Item Budget'!$F$16,INDEX('Item Budget'!$J$5:$J$10,MATCH($C50,'Item Budget'!$I$5:$I$10,0))+INDEX('Item Budget'!$K$5:$K$10,MATCH($C50,'Item Budget'!$I$5:$I$10,0))*MIN(W50,50))</f>
        <v/>
      </c>
      <c r="AI50" s="65">
        <f>AH50*$H50</f>
        <v/>
      </c>
      <c r="AJ50" s="49">
        <f>MAX(AF50,AG50)/AI50</f>
        <v/>
      </c>
      <c r="AK50" s="64" t="inlineStr">
        <is>
          <t>Pass 1 (applied): New accessory (anchor). Unchanged.</t>
        </is>
      </c>
      <c r="AL50" s="43">
        <f>IFERROR(INDEX('Item Budget'!$H$25:$H$95,MATCH(Q50,'Item Budget'!$B$25:$B$95,0)),0)</f>
        <v/>
      </c>
      <c r="AM50" s="43">
        <f>IFERROR(INDEX('Item Budget'!$H$25:$H$95,MATCH(AE50,'Item Budget'!$B$25:$B$95,0)),0)</f>
        <v/>
      </c>
      <c r="AN50" s="37" t="n">
        <v>0</v>
      </c>
      <c r="AO50" s="44">
        <f>IF(I50&lt;'Item Budget'!$R$10,0,'Item Budget'!$R$7*100*MAX(('Item Budget'!$R$14*(J50+25*N50)+'Item Budget'!$S$14*(K50+25*P50))/'Item Budget'!$Z$14,('Item Budget'!$R$15*(J50+25*N50)+'Item Budget'!$S$15*(K50+25*P50))/'Item Budget'!$Z$15,('Item Budget'!$R$16*(J50+25*N50)+'Item Budget'!$S$16*(K50+25*P50))/'Item Budget'!$Z$16,('Item Budget'!$R$17*(J50+25*N50)+'Item Budget'!$S$17*(K50+25*P50))/'Item Budget'!$Z$17)+'Item Budget'!$R$9*L50+IFERROR(INDEX('Item Budget'!$O$25:$O$95,MATCH(Q50,'Item Budget'!$B$25:$B$95,0)),0))</f>
        <v/>
      </c>
      <c r="AP50" s="44">
        <f>IF(W50&lt;'Item Budget'!$R$10,0,'Item Budget'!$R$7*100*MAX(('Item Budget'!$R$14*(X50+25*AB50)+'Item Budget'!$S$14*(Y50+25*AD50))/'Item Budget'!$Z$14,('Item Budget'!$R$15*(X50+25*AB50)+'Item Budget'!$S$15*(Y50+25*AD50))/'Item Budget'!$Z$15,('Item Budget'!$R$16*(X50+25*AB50)+'Item Budget'!$S$16*(Y50+25*AD50))/'Item Budget'!$Z$16,('Item Budget'!$R$17*(X50+25*AB50)+'Item Budget'!$S$17*(Y50+25*AD50))/'Item Budget'!$Z$17)+'Item Budget'!$R$9*Z50+IFERROR(INDEX('Item Budget'!$O$25:$O$95,MATCH(AE50,'Item Budget'!$B$25:$B$95,0)),0))</f>
        <v/>
      </c>
      <c r="AQ50" s="61">
        <f>IF(OR(AN50=0,AP50=0),"",SUMPRODUCT(MAX(($C$5:$C$88=C50)*($AN$5:$AN$88&lt;AN50)*$AP$5:$AP$88)))</f>
        <v/>
      </c>
      <c r="AR50" s="41">
        <f>IF(AQ50="","",IF(AQ50=0,1,SUMPRODUCT(MAX(($C$5:$C$88=C50)*($AN$5:$AN$88=AN50)*$AP$5:$AP$88))/AQ50-1))</f>
        <v/>
      </c>
      <c r="AS50" s="19">
        <f>IF(AR50="","",IF(AR50&gt;='Item Budget'!$R$11,"OK","Not above lower tier"))</f>
        <v/>
      </c>
    </row>
    <row r="51">
      <c r="A51" s="45" t="n">
        <v>680</v>
      </c>
      <c r="B51" s="45" t="inlineStr">
        <is>
          <t>Runeplate Belt</t>
        </is>
      </c>
      <c r="C51" s="45" t="inlineStr">
        <is>
          <t>Belt</t>
        </is>
      </c>
      <c r="D51" s="45" t="inlineStr">
        <is>
          <t>All</t>
        </is>
      </c>
      <c r="E51" s="45" t="inlineStr">
        <is>
          <t>drop:Unmourned(L40) 15%</t>
        </is>
      </c>
      <c r="F51" s="46" t="inlineStr">
        <is>
          <t>Anchor</t>
        </is>
      </c>
      <c r="G51" s="45" t="inlineStr">
        <is>
          <t>Common drop</t>
        </is>
      </c>
      <c r="H51" s="47">
        <f>INDEX('Item Budget'!$F$5:$F$13,MATCH(G51,'Item Budget'!$E$5:$E$13,0))+IF(D51="All",0,'Item Budget'!$F$15)+LOOKUP(AN51,'Item Budget'!$E$19:$E$23,'Item Budget'!$F$19:$F$23)</f>
        <v/>
      </c>
      <c r="I51" s="45" t="n">
        <v>40</v>
      </c>
      <c r="J51" s="45" t="n">
        <v>430</v>
      </c>
      <c r="K51" s="45" t="n">
        <v>0</v>
      </c>
      <c r="L51" s="45" t="n">
        <v>32</v>
      </c>
      <c r="M51" s="45" t="n">
        <v>10</v>
      </c>
      <c r="N51" s="45" t="n">
        <v>14</v>
      </c>
      <c r="O51" s="45" t="n">
        <v>0</v>
      </c>
      <c r="P51" s="45" t="n">
        <v>0</v>
      </c>
      <c r="Q51" s="45" t="inlineStr">
        <is>
          <t>Melee and Spell Damage IV</t>
        </is>
      </c>
      <c r="R51" s="65">
        <f>J51*'Item Budget'!$B$5+N51*'Item Budget'!$B$7+L51*'Item Budget'!$B$11+O51*'Item Budget'!$B$10+M51*'Item Budget'!$B$9+IFERROR(INDEX('Item Budget'!$M$25:$M$95,MATCH(Q51,'Item Budget'!$B$25:$B$95,0)),0)</f>
        <v/>
      </c>
      <c r="S51" s="65">
        <f>J51*'Item Budget'!$B$5+N51*'Item Budget'!$B$7+L51*'Item Budget'!$B$11+O51*'Item Budget'!$B$10+K51*'Item Budget'!$B$6+P51*'Item Budget'!$B$8+IFERROR(INDEX('Item Budget'!$N$25:$N$95,MATCH(Q51,'Item Budget'!$B$25:$B$95,0)),0)</f>
        <v/>
      </c>
      <c r="T51" s="65">
        <f>MAX('Item Budget'!$F$16,INDEX('Item Budget'!$J$5:$J$10,MATCH($C51,'Item Budget'!$I$5:$I$10,0))+INDEX('Item Budget'!$K$5:$K$10,MATCH($C51,'Item Budget'!$I$5:$I$10,0))*MIN(I51,50))</f>
        <v/>
      </c>
      <c r="U51" s="65">
        <f>T51*$H51</f>
        <v/>
      </c>
      <c r="V51" s="49">
        <f>MAX(R51,S51)/U51</f>
        <v/>
      </c>
      <c r="W51" s="21" t="n">
        <v>40</v>
      </c>
      <c r="X51" s="21" t="n">
        <v>430</v>
      </c>
      <c r="Y51" s="21" t="n">
        <v>0</v>
      </c>
      <c r="Z51" s="21" t="n">
        <v>32</v>
      </c>
      <c r="AA51" s="21" t="n">
        <v>10</v>
      </c>
      <c r="AB51" s="21" t="n">
        <v>14</v>
      </c>
      <c r="AC51" s="21" t="n">
        <v>0</v>
      </c>
      <c r="AD51" s="21" t="n">
        <v>0</v>
      </c>
      <c r="AE51" s="21" t="inlineStr">
        <is>
          <t>Melee and Spell Damage IV</t>
        </is>
      </c>
      <c r="AF51" s="65">
        <f>X51*'Item Budget'!$B$5+AB51*'Item Budget'!$B$7+Z51*'Item Budget'!$B$11+AC51*'Item Budget'!$B$10+AA51*'Item Budget'!$B$9+IFERROR(INDEX('Item Budget'!$M$25:$M$95,MATCH(AE51,'Item Budget'!$B$25:$B$95,0)),0)</f>
        <v/>
      </c>
      <c r="AG51" s="65">
        <f>X51*'Item Budget'!$B$5+AB51*'Item Budget'!$B$7+Z51*'Item Budget'!$B$11+AC51*'Item Budget'!$B$10+Y51*'Item Budget'!$B$6+AD51*'Item Budget'!$B$8+IFERROR(INDEX('Item Budget'!$N$25:$N$95,MATCH(AE51,'Item Budget'!$B$25:$B$95,0)),0)</f>
        <v/>
      </c>
      <c r="AH51" s="65">
        <f>MAX('Item Budget'!$F$16,INDEX('Item Budget'!$J$5:$J$10,MATCH($C51,'Item Budget'!$I$5:$I$10,0))+INDEX('Item Budget'!$K$5:$K$10,MATCH($C51,'Item Budget'!$I$5:$I$10,0))*MIN(W51,50))</f>
        <v/>
      </c>
      <c r="AI51" s="65">
        <f>AH51*$H51</f>
        <v/>
      </c>
      <c r="AJ51" s="49">
        <f>MAX(AF51,AG51)/AI51</f>
        <v/>
      </c>
      <c r="AK51" s="64" t="inlineStr">
        <is>
          <t>Pass 1 (applied): New accessory (anchor). Unchanged.</t>
        </is>
      </c>
      <c r="AL51" s="43">
        <f>IFERROR(INDEX('Item Budget'!$H$25:$H$95,MATCH(Q51,'Item Budget'!$B$25:$B$95,0)),0)</f>
        <v/>
      </c>
      <c r="AM51" s="43">
        <f>IFERROR(INDEX('Item Budget'!$H$25:$H$95,MATCH(AE51,'Item Budget'!$B$25:$B$95,0)),0)</f>
        <v/>
      </c>
      <c r="AN51" s="37" t="n">
        <v>0</v>
      </c>
      <c r="AO51" s="44">
        <f>IF(I51&lt;'Item Budget'!$R$10,0,'Item Budget'!$R$7*100*MAX(('Item Budget'!$R$14*(J51+25*N51)+'Item Budget'!$S$14*(K51+25*P51))/'Item Budget'!$Z$14,('Item Budget'!$R$15*(J51+25*N51)+'Item Budget'!$S$15*(K51+25*P51))/'Item Budget'!$Z$15,('Item Budget'!$R$16*(J51+25*N51)+'Item Budget'!$S$16*(K51+25*P51))/'Item Budget'!$Z$16,('Item Budget'!$R$17*(J51+25*N51)+'Item Budget'!$S$17*(K51+25*P51))/'Item Budget'!$Z$17)+'Item Budget'!$R$9*L51+IFERROR(INDEX('Item Budget'!$O$25:$O$95,MATCH(Q51,'Item Budget'!$B$25:$B$95,0)),0))</f>
        <v/>
      </c>
      <c r="AP51" s="44">
        <f>IF(W51&lt;'Item Budget'!$R$10,0,'Item Budget'!$R$7*100*MAX(('Item Budget'!$R$14*(X51+25*AB51)+'Item Budget'!$S$14*(Y51+25*AD51))/'Item Budget'!$Z$14,('Item Budget'!$R$15*(X51+25*AB51)+'Item Budget'!$S$15*(Y51+25*AD51))/'Item Budget'!$Z$15,('Item Budget'!$R$16*(X51+25*AB51)+'Item Budget'!$S$16*(Y51+25*AD51))/'Item Budget'!$Z$16,('Item Budget'!$R$17*(X51+25*AB51)+'Item Budget'!$S$17*(Y51+25*AD51))/'Item Budget'!$Z$17)+'Item Budget'!$R$9*Z51+IFERROR(INDEX('Item Budget'!$O$25:$O$95,MATCH(AE51,'Item Budget'!$B$25:$B$95,0)),0))</f>
        <v/>
      </c>
      <c r="AQ51" s="61">
        <f>IF(OR(AN51=0,AP51=0),"",SUMPRODUCT(MAX(($C$5:$C$88=C51)*($AN$5:$AN$88&lt;AN51)*$AP$5:$AP$88)))</f>
        <v/>
      </c>
      <c r="AR51" s="41">
        <f>IF(AQ51="","",IF(AQ51=0,1,SUMPRODUCT(MAX(($C$5:$C$88=C51)*($AN$5:$AN$88=AN51)*$AP$5:$AP$88))/AQ51-1))</f>
        <v/>
      </c>
      <c r="AS51" s="19">
        <f>IF(AR51="","",IF(AR51&gt;='Item Budget'!$R$11,"OK","Not above lower tier"))</f>
        <v/>
      </c>
    </row>
    <row r="52">
      <c r="A52" s="21" t="n">
        <v>146</v>
      </c>
      <c r="B52" s="21" t="inlineStr">
        <is>
          <t>Dragon Scale Belt</t>
        </is>
      </c>
      <c r="C52" s="21" t="inlineStr">
        <is>
          <t>Belt</t>
        </is>
      </c>
      <c r="D52" s="21" t="inlineStr">
        <is>
          <t>All</t>
        </is>
      </c>
      <c r="E52" s="21" t="inlineStr">
        <is>
          <t>drop:Copycat(L50) 10%</t>
        </is>
      </c>
      <c r="F52" s="3" t="inlineStr">
        <is>
          <t>Buff</t>
        </is>
      </c>
      <c r="G52" s="21" t="inlineStr">
        <is>
          <t>Uncommon drop</t>
        </is>
      </c>
      <c r="H52" s="31">
        <f>INDEX('Item Budget'!$F$5:$F$13,MATCH(G52,'Item Budget'!$E$5:$E$13,0))+IF(D52="All",0,'Item Budget'!$F$15)+LOOKUP(AN52,'Item Budget'!$E$19:$E$23,'Item Budget'!$F$19:$F$23)</f>
        <v/>
      </c>
      <c r="I52" s="21" t="n">
        <v>50</v>
      </c>
      <c r="J52" s="21" t="n">
        <v>300</v>
      </c>
      <c r="K52" s="21" t="n">
        <v>300</v>
      </c>
      <c r="L52" s="21" t="n">
        <v>45</v>
      </c>
      <c r="M52" s="21" t="n">
        <v>8</v>
      </c>
      <c r="N52" s="21" t="n">
        <v>18</v>
      </c>
      <c r="O52" s="21" t="n">
        <v>0</v>
      </c>
      <c r="P52" s="21" t="n">
        <v>18</v>
      </c>
      <c r="Q52" s="21" t="inlineStr">
        <is>
          <t>Melee and Spell Damage V</t>
        </is>
      </c>
      <c r="R52" s="61">
        <f>J52*'Item Budget'!$B$5+N52*'Item Budget'!$B$7+L52*'Item Budget'!$B$11+O52*'Item Budget'!$B$10+M52*'Item Budget'!$B$9+IFERROR(INDEX('Item Budget'!$M$25:$M$95,MATCH(Q52,'Item Budget'!$B$25:$B$95,0)),0)</f>
        <v/>
      </c>
      <c r="S52" s="61">
        <f>J52*'Item Budget'!$B$5+N52*'Item Budget'!$B$7+L52*'Item Budget'!$B$11+O52*'Item Budget'!$B$10+K52*'Item Budget'!$B$6+P52*'Item Budget'!$B$8+IFERROR(INDEX('Item Budget'!$N$25:$N$95,MATCH(Q52,'Item Budget'!$B$25:$B$95,0)),0)</f>
        <v/>
      </c>
      <c r="T52" s="61">
        <f>MAX('Item Budget'!$F$16,INDEX('Item Budget'!$J$5:$J$10,MATCH($C52,'Item Budget'!$I$5:$I$10,0))+INDEX('Item Budget'!$K$5:$K$10,MATCH($C52,'Item Budget'!$I$5:$I$10,0))*MIN(I52,50))</f>
        <v/>
      </c>
      <c r="U52" s="61">
        <f>T52*$H52</f>
        <v/>
      </c>
      <c r="V52" s="41">
        <f>MAX(R52,S52)/U52</f>
        <v/>
      </c>
      <c r="W52" s="21" t="n">
        <v>50</v>
      </c>
      <c r="X52" s="20" t="n">
        <v>600</v>
      </c>
      <c r="Y52" s="21" t="n">
        <v>300</v>
      </c>
      <c r="Z52" s="21" t="n">
        <v>45</v>
      </c>
      <c r="AA52" s="20" t="n">
        <v>18</v>
      </c>
      <c r="AB52" s="21" t="n">
        <v>18</v>
      </c>
      <c r="AC52" s="21" t="n">
        <v>0</v>
      </c>
      <c r="AD52" s="21" t="n">
        <v>18</v>
      </c>
      <c r="AE52" s="21" t="inlineStr">
        <is>
          <t>Melee and Spell Damage V</t>
        </is>
      </c>
      <c r="AF52" s="61">
        <f>X52*'Item Budget'!$B$5+AB52*'Item Budget'!$B$7+Z52*'Item Budget'!$B$11+AC52*'Item Budget'!$B$10+AA52*'Item Budget'!$B$9+IFERROR(INDEX('Item Budget'!$M$25:$M$95,MATCH(AE52,'Item Budget'!$B$25:$B$95,0)),0)</f>
        <v/>
      </c>
      <c r="AG52" s="61">
        <f>X52*'Item Budget'!$B$5+AB52*'Item Budget'!$B$7+Z52*'Item Budget'!$B$11+AC52*'Item Budget'!$B$10+Y52*'Item Budget'!$B$6+AD52*'Item Budget'!$B$8+IFERROR(INDEX('Item Budget'!$N$25:$N$95,MATCH(AE52,'Item Budget'!$B$25:$B$95,0)),0)</f>
        <v/>
      </c>
      <c r="AH52" s="61">
        <f>MAX('Item Budget'!$F$16,INDEX('Item Budget'!$J$5:$J$10,MATCH($C52,'Item Budget'!$I$5:$I$10,0))+INDEX('Item Budget'!$K$5:$K$10,MATCH($C52,'Item Budget'!$I$5:$I$10,0))*MIN(W52,50))</f>
        <v/>
      </c>
      <c r="AI52" s="61">
        <f>AH52*$H52</f>
        <v/>
      </c>
      <c r="AJ52" s="41">
        <f>MAX(AF52,AG52)/AI52</f>
        <v/>
      </c>
      <c r="AK52" s="64" t="inlineStr">
        <is>
          <t>Dragon Scale Belt (Copycat): was below the L49 Bulwark Belt for melee; +300 HP, STR 8 -&gt; 18</t>
        </is>
      </c>
      <c r="AL52" s="43">
        <f>IFERROR(INDEX('Item Budget'!$H$25:$H$95,MATCH(Q52,'Item Budget'!$B$25:$B$95,0)),0)</f>
        <v/>
      </c>
      <c r="AM52" s="43">
        <f>IFERROR(INDEX('Item Budget'!$H$25:$H$95,MATCH(AE52,'Item Budget'!$B$25:$B$95,0)),0)</f>
        <v/>
      </c>
      <c r="AN52" s="37" t="n">
        <v>0</v>
      </c>
      <c r="AO52" s="44">
        <f>IF(I52&lt;'Item Budget'!$R$10,0,'Item Budget'!$R$7*100*MAX(('Item Budget'!$R$14*(J52+25*N52)+'Item Budget'!$S$14*(K52+25*P52))/'Item Budget'!$Z$14,('Item Budget'!$R$15*(J52+25*N52)+'Item Budget'!$S$15*(K52+25*P52))/'Item Budget'!$Z$15,('Item Budget'!$R$16*(J52+25*N52)+'Item Budget'!$S$16*(K52+25*P52))/'Item Budget'!$Z$16,('Item Budget'!$R$17*(J52+25*N52)+'Item Budget'!$S$17*(K52+25*P52))/'Item Budget'!$Z$17)+'Item Budget'!$R$9*L52+IFERROR(INDEX('Item Budget'!$O$25:$O$95,MATCH(Q52,'Item Budget'!$B$25:$B$95,0)),0))</f>
        <v/>
      </c>
      <c r="AP52" s="44">
        <f>IF(W52&lt;'Item Budget'!$R$10,0,'Item Budget'!$R$7*100*MAX(('Item Budget'!$R$14*(X52+25*AB52)+'Item Budget'!$S$14*(Y52+25*AD52))/'Item Budget'!$Z$14,('Item Budget'!$R$15*(X52+25*AB52)+'Item Budget'!$S$15*(Y52+25*AD52))/'Item Budget'!$Z$15,('Item Budget'!$R$16*(X52+25*AB52)+'Item Budget'!$S$16*(Y52+25*AD52))/'Item Budget'!$Z$16,('Item Budget'!$R$17*(X52+25*AB52)+'Item Budget'!$S$17*(Y52+25*AD52))/'Item Budget'!$Z$17)+'Item Budget'!$R$9*Z52+IFERROR(INDEX('Item Budget'!$O$25:$O$95,MATCH(AE52,'Item Budget'!$B$25:$B$95,0)),0))</f>
        <v/>
      </c>
      <c r="AQ52" s="61">
        <f>IF(OR(AN52=0,AP52=0),"",SUMPRODUCT(MAX(($C$5:$C$88=C52)*($AN$5:$AN$88&lt;AN52)*$AP$5:$AP$88)))</f>
        <v/>
      </c>
      <c r="AR52" s="41">
        <f>IF(AQ52="","",IF(AQ52=0,1,SUMPRODUCT(MAX(($C$5:$C$88=C52)*($AN$5:$AN$88=AN52)*$AP$5:$AP$88))/AQ52-1))</f>
        <v/>
      </c>
      <c r="AS52" s="19">
        <f>IF(AR52="","",IF(AR52&gt;='Item Budget'!$R$11,"OK","Not above lower tier"))</f>
        <v/>
      </c>
    </row>
    <row r="53">
      <c r="A53" s="45" t="n">
        <v>681</v>
      </c>
      <c r="B53" s="45" t="inlineStr">
        <is>
          <t>Bulwark Belt</t>
        </is>
      </c>
      <c r="C53" s="45" t="inlineStr">
        <is>
          <t>Belt</t>
        </is>
      </c>
      <c r="D53" s="45" t="inlineStr">
        <is>
          <t>All</t>
        </is>
      </c>
      <c r="E53" s="45" t="inlineStr">
        <is>
          <t>drop:Admiral Persecution(L48) 15%</t>
        </is>
      </c>
      <c r="F53" s="46" t="inlineStr">
        <is>
          <t>Anchor</t>
        </is>
      </c>
      <c r="G53" s="45" t="inlineStr">
        <is>
          <t>Common drop</t>
        </is>
      </c>
      <c r="H53" s="47">
        <f>INDEX('Item Budget'!$F$5:$F$13,MATCH(G53,'Item Budget'!$E$5:$E$13,0))+IF(D53="All",0,'Item Budget'!$F$15)+LOOKUP(AN53,'Item Budget'!$E$19:$E$23,'Item Budget'!$F$19:$F$23)</f>
        <v/>
      </c>
      <c r="I53" s="45" t="n">
        <v>49</v>
      </c>
      <c r="J53" s="45" t="n">
        <v>540</v>
      </c>
      <c r="K53" s="45" t="n">
        <v>0</v>
      </c>
      <c r="L53" s="45" t="n">
        <v>40</v>
      </c>
      <c r="M53" s="45" t="n">
        <v>12</v>
      </c>
      <c r="N53" s="45" t="n">
        <v>18</v>
      </c>
      <c r="O53" s="45" t="n">
        <v>0</v>
      </c>
      <c r="P53" s="45" t="n">
        <v>0</v>
      </c>
      <c r="Q53" s="45" t="inlineStr">
        <is>
          <t>Melee and Spell Damage V</t>
        </is>
      </c>
      <c r="R53" s="65">
        <f>J53*'Item Budget'!$B$5+N53*'Item Budget'!$B$7+L53*'Item Budget'!$B$11+O53*'Item Budget'!$B$10+M53*'Item Budget'!$B$9+IFERROR(INDEX('Item Budget'!$M$25:$M$95,MATCH(Q53,'Item Budget'!$B$25:$B$95,0)),0)</f>
        <v/>
      </c>
      <c r="S53" s="65">
        <f>J53*'Item Budget'!$B$5+N53*'Item Budget'!$B$7+L53*'Item Budget'!$B$11+O53*'Item Budget'!$B$10+K53*'Item Budget'!$B$6+P53*'Item Budget'!$B$8+IFERROR(INDEX('Item Budget'!$N$25:$N$95,MATCH(Q53,'Item Budget'!$B$25:$B$95,0)),0)</f>
        <v/>
      </c>
      <c r="T53" s="65">
        <f>MAX('Item Budget'!$F$16,INDEX('Item Budget'!$J$5:$J$10,MATCH($C53,'Item Budget'!$I$5:$I$10,0))+INDEX('Item Budget'!$K$5:$K$10,MATCH($C53,'Item Budget'!$I$5:$I$10,0))*MIN(I53,50))</f>
        <v/>
      </c>
      <c r="U53" s="65">
        <f>T53*$H53</f>
        <v/>
      </c>
      <c r="V53" s="49">
        <f>MAX(R53,S53)/U53</f>
        <v/>
      </c>
      <c r="W53" s="21" t="n">
        <v>49</v>
      </c>
      <c r="X53" s="21" t="n">
        <v>540</v>
      </c>
      <c r="Y53" s="21" t="n">
        <v>0</v>
      </c>
      <c r="Z53" s="21" t="n">
        <v>40</v>
      </c>
      <c r="AA53" s="21" t="n">
        <v>12</v>
      </c>
      <c r="AB53" s="21" t="n">
        <v>18</v>
      </c>
      <c r="AC53" s="21" t="n">
        <v>0</v>
      </c>
      <c r="AD53" s="21" t="n">
        <v>0</v>
      </c>
      <c r="AE53" s="21" t="inlineStr">
        <is>
          <t>Melee and Spell Damage V</t>
        </is>
      </c>
      <c r="AF53" s="65">
        <f>X53*'Item Budget'!$B$5+AB53*'Item Budget'!$B$7+Z53*'Item Budget'!$B$11+AC53*'Item Budget'!$B$10+AA53*'Item Budget'!$B$9+IFERROR(INDEX('Item Budget'!$M$25:$M$95,MATCH(AE53,'Item Budget'!$B$25:$B$95,0)),0)</f>
        <v/>
      </c>
      <c r="AG53" s="65">
        <f>X53*'Item Budget'!$B$5+AB53*'Item Budget'!$B$7+Z53*'Item Budget'!$B$11+AC53*'Item Budget'!$B$10+Y53*'Item Budget'!$B$6+AD53*'Item Budget'!$B$8+IFERROR(INDEX('Item Budget'!$N$25:$N$95,MATCH(AE53,'Item Budget'!$B$25:$B$95,0)),0)</f>
        <v/>
      </c>
      <c r="AH53" s="65">
        <f>MAX('Item Budget'!$F$16,INDEX('Item Budget'!$J$5:$J$10,MATCH($C53,'Item Budget'!$I$5:$I$10,0))+INDEX('Item Budget'!$K$5:$K$10,MATCH($C53,'Item Budget'!$I$5:$I$10,0))*MIN(W53,50))</f>
        <v/>
      </c>
      <c r="AI53" s="65">
        <f>AH53*$H53</f>
        <v/>
      </c>
      <c r="AJ53" s="49">
        <f>MAX(AF53,AG53)/AI53</f>
        <v/>
      </c>
      <c r="AK53" s="64" t="inlineStr">
        <is>
          <t>Pass 1 (applied): New accessory (anchor). Unchanged.</t>
        </is>
      </c>
      <c r="AL53" s="43">
        <f>IFERROR(INDEX('Item Budget'!$H$25:$H$95,MATCH(Q53,'Item Budget'!$B$25:$B$95,0)),0)</f>
        <v/>
      </c>
      <c r="AM53" s="43">
        <f>IFERROR(INDEX('Item Budget'!$H$25:$H$95,MATCH(AE53,'Item Budget'!$B$25:$B$95,0)),0)</f>
        <v/>
      </c>
      <c r="AN53" s="37" t="n">
        <v>0</v>
      </c>
      <c r="AO53" s="44">
        <f>IF(I53&lt;'Item Budget'!$R$10,0,'Item Budget'!$R$7*100*MAX(('Item Budget'!$R$14*(J53+25*N53)+'Item Budget'!$S$14*(K53+25*P53))/'Item Budget'!$Z$14,('Item Budget'!$R$15*(J53+25*N53)+'Item Budget'!$S$15*(K53+25*P53))/'Item Budget'!$Z$15,('Item Budget'!$R$16*(J53+25*N53)+'Item Budget'!$S$16*(K53+25*P53))/'Item Budget'!$Z$16,('Item Budget'!$R$17*(J53+25*N53)+'Item Budget'!$S$17*(K53+25*P53))/'Item Budget'!$Z$17)+'Item Budget'!$R$9*L53+IFERROR(INDEX('Item Budget'!$O$25:$O$95,MATCH(Q53,'Item Budget'!$B$25:$B$95,0)),0))</f>
        <v/>
      </c>
      <c r="AP53" s="44">
        <f>IF(W53&lt;'Item Budget'!$R$10,0,'Item Budget'!$R$7*100*MAX(('Item Budget'!$R$14*(X53+25*AB53)+'Item Budget'!$S$14*(Y53+25*AD53))/'Item Budget'!$Z$14,('Item Budget'!$R$15*(X53+25*AB53)+'Item Budget'!$S$15*(Y53+25*AD53))/'Item Budget'!$Z$15,('Item Budget'!$R$16*(X53+25*AB53)+'Item Budget'!$S$16*(Y53+25*AD53))/'Item Budget'!$Z$16,('Item Budget'!$R$17*(X53+25*AB53)+'Item Budget'!$S$17*(Y53+25*AD53))/'Item Budget'!$Z$17)+'Item Budget'!$R$9*Z53+IFERROR(INDEX('Item Budget'!$O$25:$O$95,MATCH(AE53,'Item Budget'!$B$25:$B$95,0)),0))</f>
        <v/>
      </c>
      <c r="AQ53" s="61">
        <f>IF(OR(AN53=0,AP53=0),"",SUMPRODUCT(MAX(($C$5:$C$88=C53)*($AN$5:$AN$88&lt;AN53)*$AP$5:$AP$88)))</f>
        <v/>
      </c>
      <c r="AR53" s="41">
        <f>IF(AQ53="","",IF(AQ53=0,1,SUMPRODUCT(MAX(($C$5:$C$88=C53)*($AN$5:$AN$88=AN53)*$AP$5:$AP$88))/AQ53-1))</f>
        <v/>
      </c>
      <c r="AS53" s="19">
        <f>IF(AR53="","",IF(AR53&gt;='Item Budget'!$R$11,"OK","Not above lower tier"))</f>
        <v/>
      </c>
    </row>
    <row r="54">
      <c r="A54" s="21" t="n">
        <v>145</v>
      </c>
      <c r="B54" s="21" t="inlineStr">
        <is>
          <t>Savage Belt</t>
        </is>
      </c>
      <c r="C54" s="21" t="inlineStr">
        <is>
          <t>Belt</t>
        </is>
      </c>
      <c r="D54" s="21" t="inlineStr">
        <is>
          <t>All</t>
        </is>
      </c>
      <c r="E54" s="21" t="inlineStr">
        <is>
          <t>none</t>
        </is>
      </c>
      <c r="F54" s="19" t="inlineStr">
        <is>
          <t>Leave</t>
        </is>
      </c>
      <c r="G54" s="21" t="inlineStr">
        <is>
          <t>Uncommon drop</t>
        </is>
      </c>
      <c r="H54" s="31">
        <f>INDEX('Item Budget'!$F$5:$F$13,MATCH(G54,'Item Budget'!$E$5:$E$13,0))+IF(D54="All",0,'Item Budget'!$F$15)+LOOKUP(AN54,'Item Budget'!$E$19:$E$23,'Item Budget'!$F$19:$F$23)</f>
        <v/>
      </c>
      <c r="I54" s="21" t="n">
        <v>50</v>
      </c>
      <c r="J54" s="21" t="n">
        <v>25</v>
      </c>
      <c r="K54" s="21" t="n">
        <v>25</v>
      </c>
      <c r="L54" s="21" t="n">
        <v>50</v>
      </c>
      <c r="M54" s="21" t="n">
        <v>5</v>
      </c>
      <c r="N54" s="21" t="n">
        <v>5</v>
      </c>
      <c r="O54" s="21" t="n">
        <v>5</v>
      </c>
      <c r="P54" s="21" t="n">
        <v>5</v>
      </c>
      <c r="Q54" s="21" t="inlineStr">
        <is>
          <t>(none)</t>
        </is>
      </c>
      <c r="R54" s="61">
        <f>J54*'Item Budget'!$B$5+N54*'Item Budget'!$B$7+L54*'Item Budget'!$B$11+O54*'Item Budget'!$B$10+M54*'Item Budget'!$B$9+IFERROR(INDEX('Item Budget'!$M$25:$M$95,MATCH(Q54,'Item Budget'!$B$25:$B$95,0)),0)</f>
        <v/>
      </c>
      <c r="S54" s="61">
        <f>J54*'Item Budget'!$B$5+N54*'Item Budget'!$B$7+L54*'Item Budget'!$B$11+O54*'Item Budget'!$B$10+K54*'Item Budget'!$B$6+P54*'Item Budget'!$B$8+IFERROR(INDEX('Item Budget'!$N$25:$N$95,MATCH(Q54,'Item Budget'!$B$25:$B$95,0)),0)</f>
        <v/>
      </c>
      <c r="T54" s="61">
        <f>MAX('Item Budget'!$F$16,INDEX('Item Budget'!$J$5:$J$10,MATCH($C54,'Item Budget'!$I$5:$I$10,0))+INDEX('Item Budget'!$K$5:$K$10,MATCH($C54,'Item Budget'!$I$5:$I$10,0))*MIN(I54,50))</f>
        <v/>
      </c>
      <c r="U54" s="61">
        <f>T54*$H54</f>
        <v/>
      </c>
      <c r="V54" s="41">
        <f>MAX(R54,S54)/U54</f>
        <v/>
      </c>
      <c r="W54" s="21" t="n">
        <v>50</v>
      </c>
      <c r="X54" s="21" t="n">
        <v>25</v>
      </c>
      <c r="Y54" s="21" t="n">
        <v>25</v>
      </c>
      <c r="Z54" s="21" t="n">
        <v>50</v>
      </c>
      <c r="AA54" s="21" t="n">
        <v>5</v>
      </c>
      <c r="AB54" s="21" t="n">
        <v>5</v>
      </c>
      <c r="AC54" s="21" t="n">
        <v>5</v>
      </c>
      <c r="AD54" s="21" t="n">
        <v>5</v>
      </c>
      <c r="AE54" s="21" t="inlineStr">
        <is>
          <t>(none)</t>
        </is>
      </c>
      <c r="AF54" s="61">
        <f>X54*'Item Budget'!$B$5+AB54*'Item Budget'!$B$7+Z54*'Item Budget'!$B$11+AC54*'Item Budget'!$B$10+AA54*'Item Budget'!$B$9+IFERROR(INDEX('Item Budget'!$M$25:$M$95,MATCH(AE54,'Item Budget'!$B$25:$B$95,0)),0)</f>
        <v/>
      </c>
      <c r="AG54" s="61">
        <f>X54*'Item Budget'!$B$5+AB54*'Item Budget'!$B$7+Z54*'Item Budget'!$B$11+AC54*'Item Budget'!$B$10+Y54*'Item Budget'!$B$6+AD54*'Item Budget'!$B$8+IFERROR(INDEX('Item Budget'!$N$25:$N$95,MATCH(AE54,'Item Budget'!$B$25:$B$95,0)),0)</f>
        <v/>
      </c>
      <c r="AH54" s="61">
        <f>MAX('Item Budget'!$F$16,INDEX('Item Budget'!$J$5:$J$10,MATCH($C54,'Item Budget'!$I$5:$I$10,0))+INDEX('Item Budget'!$K$5:$K$10,MATCH($C54,'Item Budget'!$I$5:$I$10,0))*MIN(W54,50))</f>
        <v/>
      </c>
      <c r="AI54" s="61">
        <f>AH54*$H54</f>
        <v/>
      </c>
      <c r="AJ54" s="41">
        <f>MAX(AF54,AG54)/AI54</f>
        <v/>
      </c>
      <c r="AK54" s="64" t="inlineStr">
        <is>
          <t>Pass 1 (applied): No source today (not obtainable). Skipped.</t>
        </is>
      </c>
      <c r="AL54" s="43">
        <f>IFERROR(INDEX('Item Budget'!$H$25:$H$95,MATCH(Q54,'Item Budget'!$B$25:$B$95,0)),0)</f>
        <v/>
      </c>
      <c r="AM54" s="43">
        <f>IFERROR(INDEX('Item Budget'!$H$25:$H$95,MATCH(AE54,'Item Budget'!$B$25:$B$95,0)),0)</f>
        <v/>
      </c>
      <c r="AN54" s="37" t="n">
        <v>0</v>
      </c>
      <c r="AO54" s="44">
        <f>IF(I54&lt;'Item Budget'!$R$10,0,'Item Budget'!$R$7*100*MAX(('Item Budget'!$R$14*(J54+25*N54)+'Item Budget'!$S$14*(K54+25*P54))/'Item Budget'!$Z$14,('Item Budget'!$R$15*(J54+25*N54)+'Item Budget'!$S$15*(K54+25*P54))/'Item Budget'!$Z$15,('Item Budget'!$R$16*(J54+25*N54)+'Item Budget'!$S$16*(K54+25*P54))/'Item Budget'!$Z$16,('Item Budget'!$R$17*(J54+25*N54)+'Item Budget'!$S$17*(K54+25*P54))/'Item Budget'!$Z$17)+'Item Budget'!$R$9*L54+IFERROR(INDEX('Item Budget'!$O$25:$O$95,MATCH(Q54,'Item Budget'!$B$25:$B$95,0)),0))</f>
        <v/>
      </c>
      <c r="AP54" s="44">
        <f>IF(W54&lt;'Item Budget'!$R$10,0,'Item Budget'!$R$7*100*MAX(('Item Budget'!$R$14*(X54+25*AB54)+'Item Budget'!$S$14*(Y54+25*AD54))/'Item Budget'!$Z$14,('Item Budget'!$R$15*(X54+25*AB54)+'Item Budget'!$S$15*(Y54+25*AD54))/'Item Budget'!$Z$15,('Item Budget'!$R$16*(X54+25*AB54)+'Item Budget'!$S$16*(Y54+25*AD54))/'Item Budget'!$Z$16,('Item Budget'!$R$17*(X54+25*AB54)+'Item Budget'!$S$17*(Y54+25*AD54))/'Item Budget'!$Z$17)+'Item Budget'!$R$9*Z54+IFERROR(INDEX('Item Budget'!$O$25:$O$95,MATCH(AE54,'Item Budget'!$B$25:$B$95,0)),0))</f>
        <v/>
      </c>
      <c r="AQ54" s="61">
        <f>IF(OR(AN54=0,AP54=0),"",SUMPRODUCT(MAX(($C$5:$C$88=C54)*($AN$5:$AN$88&lt;AN54)*$AP$5:$AP$88)))</f>
        <v/>
      </c>
      <c r="AR54" s="41">
        <f>IF(AQ54="","",IF(AQ54=0,1,SUMPRODUCT(MAX(($C$5:$C$88=C54)*($AN$5:$AN$88=AN54)*$AP$5:$AP$88))/AQ54-1))</f>
        <v/>
      </c>
      <c r="AS54" s="19">
        <f>IF(AR54="","",IF(AR54&gt;='Item Budget'!$R$11,"OK","Not above lower tier"))</f>
        <v/>
      </c>
    </row>
    <row r="55">
      <c r="A55" s="21" t="n">
        <v>289</v>
      </c>
      <c r="B55" s="21" t="inlineStr">
        <is>
          <t>Belt of Power</t>
        </is>
      </c>
      <c r="C55" s="21" t="inlineStr">
        <is>
          <t>Belt</t>
        </is>
      </c>
      <c r="D55" s="21" t="inlineStr">
        <is>
          <t>All</t>
        </is>
      </c>
      <c r="E55" s="21" t="inlineStr">
        <is>
          <t>drop:Ztwel Tahp(L50) 10%</t>
        </is>
      </c>
      <c r="F55" s="3" t="inlineStr">
        <is>
          <t>Buff</t>
        </is>
      </c>
      <c r="G55" s="21" t="inlineStr">
        <is>
          <t>Uncommon drop</t>
        </is>
      </c>
      <c r="H55" s="31">
        <f>INDEX('Item Budget'!$F$5:$F$13,MATCH(G55,'Item Budget'!$E$5:$E$13,0))+IF(D55="All",0,'Item Budget'!$F$15)+LOOKUP(AN55,'Item Budget'!$E$19:$E$23,'Item Budget'!$F$19:$F$23)</f>
        <v/>
      </c>
      <c r="I55" s="21" t="n">
        <v>50</v>
      </c>
      <c r="J55" s="21" t="n">
        <v>600</v>
      </c>
      <c r="K55" s="21" t="n">
        <v>500</v>
      </c>
      <c r="L55" s="21" t="n">
        <v>70</v>
      </c>
      <c r="M55" s="21" t="n">
        <v>22</v>
      </c>
      <c r="N55" s="21" t="n">
        <v>22</v>
      </c>
      <c r="O55" s="21" t="n">
        <v>18</v>
      </c>
      <c r="P55" s="21" t="n">
        <v>18</v>
      </c>
      <c r="Q55" s="21" t="inlineStr">
        <is>
          <t>Increased Spell Damage X</t>
        </is>
      </c>
      <c r="R55" s="61">
        <f>J55*'Item Budget'!$B$5+N55*'Item Budget'!$B$7+L55*'Item Budget'!$B$11+O55*'Item Budget'!$B$10+M55*'Item Budget'!$B$9+IFERROR(INDEX('Item Budget'!$M$25:$M$95,MATCH(Q55,'Item Budget'!$B$25:$B$95,0)),0)</f>
        <v/>
      </c>
      <c r="S55" s="61">
        <f>J55*'Item Budget'!$B$5+N55*'Item Budget'!$B$7+L55*'Item Budget'!$B$11+O55*'Item Budget'!$B$10+K55*'Item Budget'!$B$6+P55*'Item Budget'!$B$8+IFERROR(INDEX('Item Budget'!$N$25:$N$95,MATCH(Q55,'Item Budget'!$B$25:$B$95,0)),0)</f>
        <v/>
      </c>
      <c r="T55" s="61">
        <f>MAX('Item Budget'!$F$16,INDEX('Item Budget'!$J$5:$J$10,MATCH($C55,'Item Budget'!$I$5:$I$10,0))+INDEX('Item Budget'!$K$5:$K$10,MATCH($C55,'Item Budget'!$I$5:$I$10,0))*MIN(I55,50))</f>
        <v/>
      </c>
      <c r="U55" s="61">
        <f>T55*$H55</f>
        <v/>
      </c>
      <c r="V55" s="41">
        <f>MAX(R55,S55)/U55</f>
        <v/>
      </c>
      <c r="W55" s="21" t="n">
        <v>50</v>
      </c>
      <c r="X55" s="21" t="n">
        <v>600</v>
      </c>
      <c r="Y55" s="21" t="n">
        <v>500</v>
      </c>
      <c r="Z55" s="21" t="n">
        <v>70</v>
      </c>
      <c r="AA55" s="21" t="n">
        <v>22</v>
      </c>
      <c r="AB55" s="21" t="n">
        <v>22</v>
      </c>
      <c r="AC55" s="21" t="n">
        <v>18</v>
      </c>
      <c r="AD55" s="21" t="n">
        <v>18</v>
      </c>
      <c r="AE55" s="21" t="inlineStr">
        <is>
          <t>Increased Spell Damage X</t>
        </is>
      </c>
      <c r="AF55" s="61">
        <f>X55*'Item Budget'!$B$5+AB55*'Item Budget'!$B$7+Z55*'Item Budget'!$B$11+AC55*'Item Budget'!$B$10+AA55*'Item Budget'!$B$9+IFERROR(INDEX('Item Budget'!$M$25:$M$95,MATCH(AE55,'Item Budget'!$B$25:$B$95,0)),0)</f>
        <v/>
      </c>
      <c r="AG55" s="61">
        <f>X55*'Item Budget'!$B$5+AB55*'Item Budget'!$B$7+Z55*'Item Budget'!$B$11+AC55*'Item Budget'!$B$10+Y55*'Item Budget'!$B$6+AD55*'Item Budget'!$B$8+IFERROR(INDEX('Item Budget'!$N$25:$N$95,MATCH(AE55,'Item Budget'!$B$25:$B$95,0)),0)</f>
        <v/>
      </c>
      <c r="AH55" s="61">
        <f>MAX('Item Budget'!$F$16,INDEX('Item Budget'!$J$5:$J$10,MATCH($C55,'Item Budget'!$I$5:$I$10,0))+INDEX('Item Budget'!$K$5:$K$10,MATCH($C55,'Item Budget'!$I$5:$I$10,0))*MIN(W55,50))</f>
        <v/>
      </c>
      <c r="AI55" s="61">
        <f>AH55*$H55</f>
        <v/>
      </c>
      <c r="AJ55" s="41">
        <f>MAX(AF55,AG55)/AI55</f>
        <v/>
      </c>
      <c r="AK55" s="64" t="inlineStr">
        <is>
          <t>Pass 1 (applied): 20M XP: swaps Haste V (melee only, unused at 10M+) for 10% spell damage.</t>
        </is>
      </c>
      <c r="AL55" s="43">
        <f>IFERROR(INDEX('Item Budget'!$H$25:$H$95,MATCH(Q55,'Item Budget'!$B$25:$B$95,0)),0)</f>
        <v/>
      </c>
      <c r="AM55" s="43">
        <f>IFERROR(INDEX('Item Budget'!$H$25:$H$95,MATCH(AE55,'Item Budget'!$B$25:$B$95,0)),0)</f>
        <v/>
      </c>
      <c r="AN55" s="37" t="n">
        <v>20000000</v>
      </c>
      <c r="AO55" s="44">
        <f>IF(I55&lt;'Item Budget'!$R$10,0,'Item Budget'!$R$7*100*MAX(('Item Budget'!$R$14*(J55+25*N55)+'Item Budget'!$S$14*(K55+25*P55))/'Item Budget'!$Z$14,('Item Budget'!$R$15*(J55+25*N55)+'Item Budget'!$S$15*(K55+25*P55))/'Item Budget'!$Z$15,('Item Budget'!$R$16*(J55+25*N55)+'Item Budget'!$S$16*(K55+25*P55))/'Item Budget'!$Z$16,('Item Budget'!$R$17*(J55+25*N55)+'Item Budget'!$S$17*(K55+25*P55))/'Item Budget'!$Z$17)+'Item Budget'!$R$9*L55+IFERROR(INDEX('Item Budget'!$O$25:$O$95,MATCH(Q55,'Item Budget'!$B$25:$B$95,0)),0))</f>
        <v/>
      </c>
      <c r="AP55" s="44">
        <f>IF(W55&lt;'Item Budget'!$R$10,0,'Item Budget'!$R$7*100*MAX(('Item Budget'!$R$14*(X55+25*AB55)+'Item Budget'!$S$14*(Y55+25*AD55))/'Item Budget'!$Z$14,('Item Budget'!$R$15*(X55+25*AB55)+'Item Budget'!$S$15*(Y55+25*AD55))/'Item Budget'!$Z$15,('Item Budget'!$R$16*(X55+25*AB55)+'Item Budget'!$S$16*(Y55+25*AD55))/'Item Budget'!$Z$16,('Item Budget'!$R$17*(X55+25*AB55)+'Item Budget'!$S$17*(Y55+25*AD55))/'Item Budget'!$Z$17)+'Item Budget'!$R$9*Z55+IFERROR(INDEX('Item Budget'!$O$25:$O$95,MATCH(AE55,'Item Budget'!$B$25:$B$95,0)),0))</f>
        <v/>
      </c>
      <c r="AQ55" s="61">
        <f>IF(OR(AN55=0,AP55=0),"",SUMPRODUCT(MAX(($C$5:$C$88=C55)*($AN$5:$AN$88&lt;AN55)*$AP$5:$AP$88)))</f>
        <v/>
      </c>
      <c r="AR55" s="41">
        <f>IF(AQ55="","",IF(AQ55=0,1,SUMPRODUCT(MAX(($C$5:$C$88=C55)*($AN$5:$AN$88=AN55)*$AP$5:$AP$88))/AQ55-1))</f>
        <v/>
      </c>
      <c r="AS55" s="19">
        <f>IF(AR55="","",IF(AR55&gt;='Item Budget'!$R$11,"OK","Not above lower tier"))</f>
        <v/>
      </c>
    </row>
    <row r="56">
      <c r="A56" s="21" t="n">
        <v>509</v>
      </c>
      <c r="B56" s="21" t="inlineStr">
        <is>
          <t>Slayers Belt</t>
        </is>
      </c>
      <c r="C56" s="21" t="inlineStr">
        <is>
          <t>Belt</t>
        </is>
      </c>
      <c r="D56" s="21" t="inlineStr">
        <is>
          <t>All</t>
        </is>
      </c>
      <c r="E56" s="21" t="inlineStr">
        <is>
          <t>drop:Princess Slayer(L50) 20%</t>
        </is>
      </c>
      <c r="F56" s="3" t="inlineStr">
        <is>
          <t>Buff</t>
        </is>
      </c>
      <c r="G56" s="21" t="inlineStr">
        <is>
          <t>Raid / special</t>
        </is>
      </c>
      <c r="H56" s="31">
        <f>INDEX('Item Budget'!$F$5:$F$13,MATCH(G56,'Item Budget'!$E$5:$E$13,0))+IF(D56="All",0,'Item Budget'!$F$15)+LOOKUP(AN56,'Item Budget'!$E$19:$E$23,'Item Budget'!$F$19:$F$23)</f>
        <v/>
      </c>
      <c r="I56" s="21" t="n">
        <v>50</v>
      </c>
      <c r="J56" s="21" t="n">
        <v>2000</v>
      </c>
      <c r="K56" s="21" t="n">
        <v>2000</v>
      </c>
      <c r="L56" s="21" t="n">
        <v>80</v>
      </c>
      <c r="M56" s="21" t="n">
        <v>0</v>
      </c>
      <c r="N56" s="21" t="n">
        <v>0</v>
      </c>
      <c r="O56" s="21" t="n">
        <v>0</v>
      </c>
      <c r="P56" s="21" t="n">
        <v>0</v>
      </c>
      <c r="Q56" s="21" t="inlineStr">
        <is>
          <t>Slayers Blessing</t>
        </is>
      </c>
      <c r="R56" s="61">
        <f>J56*'Item Budget'!$B$5+N56*'Item Budget'!$B$7+L56*'Item Budget'!$B$11+O56*'Item Budget'!$B$10+M56*'Item Budget'!$B$9+IFERROR(INDEX('Item Budget'!$M$25:$M$95,MATCH(Q56,'Item Budget'!$B$25:$B$95,0)),0)</f>
        <v/>
      </c>
      <c r="S56" s="61">
        <f>J56*'Item Budget'!$B$5+N56*'Item Budget'!$B$7+L56*'Item Budget'!$B$11+O56*'Item Budget'!$B$10+K56*'Item Budget'!$B$6+P56*'Item Budget'!$B$8+IFERROR(INDEX('Item Budget'!$N$25:$N$95,MATCH(Q56,'Item Budget'!$B$25:$B$95,0)),0)</f>
        <v/>
      </c>
      <c r="T56" s="61">
        <f>MAX('Item Budget'!$F$16,INDEX('Item Budget'!$J$5:$J$10,MATCH($C56,'Item Budget'!$I$5:$I$10,0))+INDEX('Item Budget'!$K$5:$K$10,MATCH($C56,'Item Budget'!$I$5:$I$10,0))*MIN(I56,50))</f>
        <v/>
      </c>
      <c r="U56" s="61">
        <f>T56*$H56</f>
        <v/>
      </c>
      <c r="V56" s="41">
        <f>MAX(R56,S56)/U56</f>
        <v/>
      </c>
      <c r="W56" s="21" t="n">
        <v>50</v>
      </c>
      <c r="X56" s="21" t="n">
        <v>2000</v>
      </c>
      <c r="Y56" s="21" t="n">
        <v>2000</v>
      </c>
      <c r="Z56" s="21" t="n">
        <v>80</v>
      </c>
      <c r="AA56" s="21" t="n">
        <v>0</v>
      </c>
      <c r="AB56" s="21" t="n">
        <v>0</v>
      </c>
      <c r="AC56" s="21" t="n">
        <v>0</v>
      </c>
      <c r="AD56" s="21" t="n">
        <v>0</v>
      </c>
      <c r="AE56" s="21" t="inlineStr">
        <is>
          <t>Slayers Blessing</t>
        </is>
      </c>
      <c r="AF56" s="61">
        <f>X56*'Item Budget'!$B$5+AB56*'Item Budget'!$B$7+Z56*'Item Budget'!$B$11+AC56*'Item Budget'!$B$10+AA56*'Item Budget'!$B$9+IFERROR(INDEX('Item Budget'!$M$25:$M$95,MATCH(AE56,'Item Budget'!$B$25:$B$95,0)),0)</f>
        <v/>
      </c>
      <c r="AG56" s="61">
        <f>X56*'Item Budget'!$B$5+AB56*'Item Budget'!$B$7+Z56*'Item Budget'!$B$11+AC56*'Item Budget'!$B$10+Y56*'Item Budget'!$B$6+AD56*'Item Budget'!$B$8+IFERROR(INDEX('Item Budget'!$N$25:$N$95,MATCH(AE56,'Item Budget'!$B$25:$B$95,0)),0)</f>
        <v/>
      </c>
      <c r="AH56" s="61">
        <f>MAX('Item Budget'!$F$16,INDEX('Item Budget'!$J$5:$J$10,MATCH($C56,'Item Budget'!$I$5:$I$10,0))+INDEX('Item Budget'!$K$5:$K$10,MATCH($C56,'Item Budget'!$I$5:$I$10,0))*MIN(W56,50))</f>
        <v/>
      </c>
      <c r="AI56" s="61">
        <f>AH56*$H56</f>
        <v/>
      </c>
      <c r="AJ56" s="41">
        <f>MAX(AF56,AG56)/AI56</f>
        <v/>
      </c>
      <c r="AK56" s="64" t="inlineStr">
        <is>
          <t>Pass 1 (applied): 200M XP raid. Stats unchanged; set effect id 219 edited to 6/6/3 (see Slayers Armguards).</t>
        </is>
      </c>
      <c r="AL56" s="43">
        <f>IFERROR(INDEX('Item Budget'!$H$25:$H$95,MATCH(Q56,'Item Budget'!$B$25:$B$95,0)),0)</f>
        <v/>
      </c>
      <c r="AM56" s="43">
        <f>IFERROR(INDEX('Item Budget'!$H$25:$H$95,MATCH(AE56,'Item Budget'!$B$25:$B$95,0)),0)</f>
        <v/>
      </c>
      <c r="AN56" s="37" t="n">
        <v>200000000</v>
      </c>
      <c r="AO56" s="44">
        <f>IF(I56&lt;'Item Budget'!$R$10,0,'Item Budget'!$R$7*100*MAX(('Item Budget'!$R$14*(J56+25*N56)+'Item Budget'!$S$14*(K56+25*P56))/'Item Budget'!$Z$14,('Item Budget'!$R$15*(J56+25*N56)+'Item Budget'!$S$15*(K56+25*P56))/'Item Budget'!$Z$15,('Item Budget'!$R$16*(J56+25*N56)+'Item Budget'!$S$16*(K56+25*P56))/'Item Budget'!$Z$16,('Item Budget'!$R$17*(J56+25*N56)+'Item Budget'!$S$17*(K56+25*P56))/'Item Budget'!$Z$17)+'Item Budget'!$R$9*L56+IFERROR(INDEX('Item Budget'!$O$25:$O$95,MATCH(Q56,'Item Budget'!$B$25:$B$95,0)),0))</f>
        <v/>
      </c>
      <c r="AP56" s="44">
        <f>IF(W56&lt;'Item Budget'!$R$10,0,'Item Budget'!$R$7*100*MAX(('Item Budget'!$R$14*(X56+25*AB56)+'Item Budget'!$S$14*(Y56+25*AD56))/'Item Budget'!$Z$14,('Item Budget'!$R$15*(X56+25*AB56)+'Item Budget'!$S$15*(Y56+25*AD56))/'Item Budget'!$Z$15,('Item Budget'!$R$16*(X56+25*AB56)+'Item Budget'!$S$16*(Y56+25*AD56))/'Item Budget'!$Z$16,('Item Budget'!$R$17*(X56+25*AB56)+'Item Budget'!$S$17*(Y56+25*AD56))/'Item Budget'!$Z$17)+'Item Budget'!$R$9*Z56+IFERROR(INDEX('Item Budget'!$O$25:$O$95,MATCH(AE56,'Item Budget'!$B$25:$B$95,0)),0))</f>
        <v/>
      </c>
      <c r="AQ56" s="61">
        <f>IF(OR(AN56=0,AP56=0),"",SUMPRODUCT(MAX(($C$5:$C$88=C56)*($AN$5:$AN$88&lt;AN56)*$AP$5:$AP$88)))</f>
        <v/>
      </c>
      <c r="AR56" s="41">
        <f>IF(AQ56="","",IF(AQ56=0,1,SUMPRODUCT(MAX(($C$5:$C$88=C56)*($AN$5:$AN$88=AN56)*$AP$5:$AP$88))/AQ56-1))</f>
        <v/>
      </c>
      <c r="AS56" s="19">
        <f>IF(AR56="","",IF(AR56&gt;='Item Budget'!$R$11,"OK","Not above lower tier"))</f>
        <v/>
      </c>
    </row>
    <row r="57">
      <c r="A57" s="21" t="n">
        <v>142</v>
      </c>
      <c r="B57" s="21" t="inlineStr">
        <is>
          <t>Leather Gloves</t>
        </is>
      </c>
      <c r="C57" s="21" t="inlineStr">
        <is>
          <t>Gloves</t>
        </is>
      </c>
      <c r="D57" s="21" t="inlineStr">
        <is>
          <t>All</t>
        </is>
      </c>
      <c r="E57" s="21" t="inlineStr">
        <is>
          <t>drop:Flying Pipsqueek(L14) 10%</t>
        </is>
      </c>
      <c r="F57" s="19" t="inlineStr">
        <is>
          <t>Leave</t>
        </is>
      </c>
      <c r="G57" s="21" t="inlineStr">
        <is>
          <t>Uncommon drop</t>
        </is>
      </c>
      <c r="H57" s="31">
        <f>INDEX('Item Budget'!$F$5:$F$13,MATCH(G57,'Item Budget'!$E$5:$E$13,0))+IF(D57="All",0,'Item Budget'!$F$15)+LOOKUP(AN57,'Item Budget'!$E$19:$E$23,'Item Budget'!$F$19:$F$23)</f>
        <v/>
      </c>
      <c r="I57" s="21" t="n">
        <v>1</v>
      </c>
      <c r="J57" s="21" t="n">
        <v>25</v>
      </c>
      <c r="K57" s="21" t="n">
        <v>25</v>
      </c>
      <c r="L57" s="21" t="n">
        <v>5</v>
      </c>
      <c r="M57" s="21" t="n">
        <v>1</v>
      </c>
      <c r="N57" s="21" t="n">
        <v>1</v>
      </c>
      <c r="O57" s="21" t="n">
        <v>1</v>
      </c>
      <c r="P57" s="21" t="n">
        <v>1</v>
      </c>
      <c r="Q57" s="21" t="inlineStr">
        <is>
          <t>(none)</t>
        </is>
      </c>
      <c r="R57" s="61">
        <f>J57*'Item Budget'!$B$5+N57*'Item Budget'!$B$7+L57*'Item Budget'!$B$11+O57*'Item Budget'!$B$10+M57*'Item Budget'!$B$9+IFERROR(INDEX('Item Budget'!$M$25:$M$95,MATCH(Q57,'Item Budget'!$B$25:$B$95,0)),0)</f>
        <v/>
      </c>
      <c r="S57" s="61">
        <f>J57*'Item Budget'!$B$5+N57*'Item Budget'!$B$7+L57*'Item Budget'!$B$11+O57*'Item Budget'!$B$10+K57*'Item Budget'!$B$6+P57*'Item Budget'!$B$8+IFERROR(INDEX('Item Budget'!$N$25:$N$95,MATCH(Q57,'Item Budget'!$B$25:$B$95,0)),0)</f>
        <v/>
      </c>
      <c r="T57" s="61">
        <f>MAX('Item Budget'!$F$16,INDEX('Item Budget'!$J$5:$J$10,MATCH($C57,'Item Budget'!$I$5:$I$10,0))+INDEX('Item Budget'!$K$5:$K$10,MATCH($C57,'Item Budget'!$I$5:$I$10,0))*MIN(I57,50))</f>
        <v/>
      </c>
      <c r="U57" s="61">
        <f>T57*$H57</f>
        <v/>
      </c>
      <c r="V57" s="41">
        <f>MAX(R57,S57)/U57</f>
        <v/>
      </c>
      <c r="W57" s="21" t="n">
        <v>1</v>
      </c>
      <c r="X57" s="21" t="n">
        <v>25</v>
      </c>
      <c r="Y57" s="21" t="n">
        <v>25</v>
      </c>
      <c r="Z57" s="21" t="n">
        <v>5</v>
      </c>
      <c r="AA57" s="21" t="n">
        <v>1</v>
      </c>
      <c r="AB57" s="21" t="n">
        <v>1</v>
      </c>
      <c r="AC57" s="21" t="n">
        <v>1</v>
      </c>
      <c r="AD57" s="21" t="n">
        <v>1</v>
      </c>
      <c r="AE57" s="21" t="inlineStr">
        <is>
          <t>(none)</t>
        </is>
      </c>
      <c r="AF57" s="61">
        <f>X57*'Item Budget'!$B$5+AB57*'Item Budget'!$B$7+Z57*'Item Budget'!$B$11+AC57*'Item Budget'!$B$10+AA57*'Item Budget'!$B$9+IFERROR(INDEX('Item Budget'!$M$25:$M$95,MATCH(AE57,'Item Budget'!$B$25:$B$95,0)),0)</f>
        <v/>
      </c>
      <c r="AG57" s="61">
        <f>X57*'Item Budget'!$B$5+AB57*'Item Budget'!$B$7+Z57*'Item Budget'!$B$11+AC57*'Item Budget'!$B$10+Y57*'Item Budget'!$B$6+AD57*'Item Budget'!$B$8+IFERROR(INDEX('Item Budget'!$N$25:$N$95,MATCH(AE57,'Item Budget'!$B$25:$B$95,0)),0)</f>
        <v/>
      </c>
      <c r="AH57" s="61">
        <f>MAX('Item Budget'!$F$16,INDEX('Item Budget'!$J$5:$J$10,MATCH($C57,'Item Budget'!$I$5:$I$10,0))+INDEX('Item Budget'!$K$5:$K$10,MATCH($C57,'Item Budget'!$I$5:$I$10,0))*MIN(W57,50))</f>
        <v/>
      </c>
      <c r="AI57" s="61">
        <f>AH57*$H57</f>
        <v/>
      </c>
      <c r="AJ57" s="41">
        <f>MAX(AF57,AG57)/AI57</f>
        <v/>
      </c>
      <c r="AK57" s="64" t="inlineStr">
        <is>
          <t>Pass 1 (applied): Kept at L1; already on target for its level.</t>
        </is>
      </c>
      <c r="AL57" s="43">
        <f>IFERROR(INDEX('Item Budget'!$H$25:$H$95,MATCH(Q57,'Item Budget'!$B$25:$B$95,0)),0)</f>
        <v/>
      </c>
      <c r="AM57" s="43">
        <f>IFERROR(INDEX('Item Budget'!$H$25:$H$95,MATCH(AE57,'Item Budget'!$B$25:$B$95,0)),0)</f>
        <v/>
      </c>
      <c r="AN57" s="37" t="n">
        <v>0</v>
      </c>
      <c r="AO57" s="44">
        <f>IF(I57&lt;'Item Budget'!$R$10,0,'Item Budget'!$R$7*100*MAX(('Item Budget'!$R$14*(J57+25*N57)+'Item Budget'!$S$14*(K57+25*P57))/'Item Budget'!$Z$14,('Item Budget'!$R$15*(J57+25*N57)+'Item Budget'!$S$15*(K57+25*P57))/'Item Budget'!$Z$15,('Item Budget'!$R$16*(J57+25*N57)+'Item Budget'!$S$16*(K57+25*P57))/'Item Budget'!$Z$16,('Item Budget'!$R$17*(J57+25*N57)+'Item Budget'!$S$17*(K57+25*P57))/'Item Budget'!$Z$17)+'Item Budget'!$R$9*L57+IFERROR(INDEX('Item Budget'!$O$25:$O$95,MATCH(Q57,'Item Budget'!$B$25:$B$95,0)),0))</f>
        <v/>
      </c>
      <c r="AP57" s="44">
        <f>IF(W57&lt;'Item Budget'!$R$10,0,'Item Budget'!$R$7*100*MAX(('Item Budget'!$R$14*(X57+25*AB57)+'Item Budget'!$S$14*(Y57+25*AD57))/'Item Budget'!$Z$14,('Item Budget'!$R$15*(X57+25*AB57)+'Item Budget'!$S$15*(Y57+25*AD57))/'Item Budget'!$Z$15,('Item Budget'!$R$16*(X57+25*AB57)+'Item Budget'!$S$16*(Y57+25*AD57))/'Item Budget'!$Z$16,('Item Budget'!$R$17*(X57+25*AB57)+'Item Budget'!$S$17*(Y57+25*AD57))/'Item Budget'!$Z$17)+'Item Budget'!$R$9*Z57+IFERROR(INDEX('Item Budget'!$O$25:$O$95,MATCH(AE57,'Item Budget'!$B$25:$B$95,0)),0))</f>
        <v/>
      </c>
      <c r="AQ57" s="61">
        <f>IF(OR(AN57=0,AP57=0),"",SUMPRODUCT(MAX(($C$5:$C$88=C57)*($AN$5:$AN$88&lt;AN57)*$AP$5:$AP$88)))</f>
        <v/>
      </c>
      <c r="AR57" s="41">
        <f>IF(AQ57="","",IF(AQ57=0,1,SUMPRODUCT(MAX(($C$5:$C$88=C57)*($AN$5:$AN$88=AN57)*$AP$5:$AP$88))/AQ57-1))</f>
        <v/>
      </c>
      <c r="AS57" s="19">
        <f>IF(AR57="","",IF(AR57&gt;='Item Budget'!$R$11,"OK","Not above lower tier"))</f>
        <v/>
      </c>
    </row>
    <row r="58">
      <c r="A58" s="21" t="n">
        <v>586</v>
      </c>
      <c r="B58" s="21" t="inlineStr">
        <is>
          <t>Prison Gloves</t>
        </is>
      </c>
      <c r="C58" s="21" t="inlineStr">
        <is>
          <t>Gloves</t>
        </is>
      </c>
      <c r="D58" s="21" t="inlineStr">
        <is>
          <t>All</t>
        </is>
      </c>
      <c r="E58" s="21" t="inlineStr">
        <is>
          <t>drop:Gordon(L50) 25%</t>
        </is>
      </c>
      <c r="F58" s="19" t="inlineStr">
        <is>
          <t>Leave</t>
        </is>
      </c>
      <c r="G58" s="21" t="inlineStr">
        <is>
          <t>Raid / special</t>
        </is>
      </c>
      <c r="H58" s="31">
        <f>INDEX('Item Budget'!$F$5:$F$13,MATCH(G58,'Item Budget'!$E$5:$E$13,0))+IF(D58="All",0,'Item Budget'!$F$15)+LOOKUP(AN58,'Item Budget'!$E$19:$E$23,'Item Budget'!$F$19:$F$23)</f>
        <v/>
      </c>
      <c r="I58" s="21" t="n">
        <v>1</v>
      </c>
      <c r="J58" s="21" t="n">
        <v>500</v>
      </c>
      <c r="K58" s="21" t="n">
        <v>500</v>
      </c>
      <c r="L58" s="21" t="n">
        <v>70</v>
      </c>
      <c r="M58" s="21" t="n">
        <v>10</v>
      </c>
      <c r="N58" s="21" t="n">
        <v>10</v>
      </c>
      <c r="O58" s="21" t="n">
        <v>10</v>
      </c>
      <c r="P58" s="21" t="n">
        <v>10</v>
      </c>
      <c r="Q58" s="21" t="inlineStr">
        <is>
          <t>Increased Spell Damage X</t>
        </is>
      </c>
      <c r="R58" s="61">
        <f>J58*'Item Budget'!$B$5+N58*'Item Budget'!$B$7+L58*'Item Budget'!$B$11+O58*'Item Budget'!$B$10+M58*'Item Budget'!$B$9+IFERROR(INDEX('Item Budget'!$M$25:$M$95,MATCH(Q58,'Item Budget'!$B$25:$B$95,0)),0)</f>
        <v/>
      </c>
      <c r="S58" s="61">
        <f>J58*'Item Budget'!$B$5+N58*'Item Budget'!$B$7+L58*'Item Budget'!$B$11+O58*'Item Budget'!$B$10+K58*'Item Budget'!$B$6+P58*'Item Budget'!$B$8+IFERROR(INDEX('Item Budget'!$N$25:$N$95,MATCH(Q58,'Item Budget'!$B$25:$B$95,0)),0)</f>
        <v/>
      </c>
      <c r="T58" s="61">
        <f>MAX('Item Budget'!$F$16,INDEX('Item Budget'!$J$5:$J$10,MATCH($C58,'Item Budget'!$I$5:$I$10,0))+INDEX('Item Budget'!$K$5:$K$10,MATCH($C58,'Item Budget'!$I$5:$I$10,0))*MIN(I58,50))</f>
        <v/>
      </c>
      <c r="U58" s="61">
        <f>T58*$H58</f>
        <v/>
      </c>
      <c r="V58" s="41">
        <f>MAX(R58,S58)/U58</f>
        <v/>
      </c>
      <c r="W58" s="21" t="n">
        <v>1</v>
      </c>
      <c r="X58" s="21" t="n">
        <v>500</v>
      </c>
      <c r="Y58" s="21" t="n">
        <v>500</v>
      </c>
      <c r="Z58" s="21" t="n">
        <v>70</v>
      </c>
      <c r="AA58" s="21" t="n">
        <v>10</v>
      </c>
      <c r="AB58" s="21" t="n">
        <v>10</v>
      </c>
      <c r="AC58" s="21" t="n">
        <v>10</v>
      </c>
      <c r="AD58" s="21" t="n">
        <v>10</v>
      </c>
      <c r="AE58" s="21" t="inlineStr">
        <is>
          <t>Increased Spell Damage X</t>
        </is>
      </c>
      <c r="AF58" s="61">
        <f>X58*'Item Budget'!$B$5+AB58*'Item Budget'!$B$7+Z58*'Item Budget'!$B$11+AC58*'Item Budget'!$B$10+AA58*'Item Budget'!$B$9+IFERROR(INDEX('Item Budget'!$M$25:$M$95,MATCH(AE58,'Item Budget'!$B$25:$B$95,0)),0)</f>
        <v/>
      </c>
      <c r="AG58" s="61">
        <f>X58*'Item Budget'!$B$5+AB58*'Item Budget'!$B$7+Z58*'Item Budget'!$B$11+AC58*'Item Budget'!$B$10+Y58*'Item Budget'!$B$6+AD58*'Item Budget'!$B$8+IFERROR(INDEX('Item Budget'!$N$25:$N$95,MATCH(AE58,'Item Budget'!$B$25:$B$95,0)),0)</f>
        <v/>
      </c>
      <c r="AH58" s="61">
        <f>MAX('Item Budget'!$F$16,INDEX('Item Budget'!$J$5:$J$10,MATCH($C58,'Item Budget'!$I$5:$I$10,0))+INDEX('Item Budget'!$K$5:$K$10,MATCH($C58,'Item Budget'!$I$5:$I$10,0))*MIN(W58,50))</f>
        <v/>
      </c>
      <c r="AI58" s="61">
        <f>AH58*$H58</f>
        <v/>
      </c>
      <c r="AJ58" s="41">
        <f>MAX(AF58,AG58)/AI58</f>
        <v/>
      </c>
      <c r="AK58" s="64" t="inlineStr">
        <is>
          <t>Pass 1 (applied): L1 item from a L50 boss (Gordon, 25%); looks like a deliberate twink item.</t>
        </is>
      </c>
      <c r="AL58" s="43">
        <f>IFERROR(INDEX('Item Budget'!$H$25:$H$95,MATCH(Q58,'Item Budget'!$B$25:$B$95,0)),0)</f>
        <v/>
      </c>
      <c r="AM58" s="43">
        <f>IFERROR(INDEX('Item Budget'!$H$25:$H$95,MATCH(AE58,'Item Budget'!$B$25:$B$95,0)),0)</f>
        <v/>
      </c>
      <c r="AN58" s="37" t="n">
        <v>0</v>
      </c>
      <c r="AO58" s="44">
        <f>IF(I58&lt;'Item Budget'!$R$10,0,'Item Budget'!$R$7*100*MAX(('Item Budget'!$R$14*(J58+25*N58)+'Item Budget'!$S$14*(K58+25*P58))/'Item Budget'!$Z$14,('Item Budget'!$R$15*(J58+25*N58)+'Item Budget'!$S$15*(K58+25*P58))/'Item Budget'!$Z$15,('Item Budget'!$R$16*(J58+25*N58)+'Item Budget'!$S$16*(K58+25*P58))/'Item Budget'!$Z$16,('Item Budget'!$R$17*(J58+25*N58)+'Item Budget'!$S$17*(K58+25*P58))/'Item Budget'!$Z$17)+'Item Budget'!$R$9*L58+IFERROR(INDEX('Item Budget'!$O$25:$O$95,MATCH(Q58,'Item Budget'!$B$25:$B$95,0)),0))</f>
        <v/>
      </c>
      <c r="AP58" s="44">
        <f>IF(W58&lt;'Item Budget'!$R$10,0,'Item Budget'!$R$7*100*MAX(('Item Budget'!$R$14*(X58+25*AB58)+'Item Budget'!$S$14*(Y58+25*AD58))/'Item Budget'!$Z$14,('Item Budget'!$R$15*(X58+25*AB58)+'Item Budget'!$S$15*(Y58+25*AD58))/'Item Budget'!$Z$15,('Item Budget'!$R$16*(X58+25*AB58)+'Item Budget'!$S$16*(Y58+25*AD58))/'Item Budget'!$Z$16,('Item Budget'!$R$17*(X58+25*AB58)+'Item Budget'!$S$17*(Y58+25*AD58))/'Item Budget'!$Z$17)+'Item Budget'!$R$9*Z58+IFERROR(INDEX('Item Budget'!$O$25:$O$95,MATCH(AE58,'Item Budget'!$B$25:$B$95,0)),0))</f>
        <v/>
      </c>
      <c r="AQ58" s="61">
        <f>IF(OR(AN58=0,AP58=0),"",SUMPRODUCT(MAX(($C$5:$C$88=C58)*($AN$5:$AN$88&lt;AN58)*$AP$5:$AP$88)))</f>
        <v/>
      </c>
      <c r="AR58" s="41">
        <f>IF(AQ58="","",IF(AQ58=0,1,SUMPRODUCT(MAX(($C$5:$C$88=C58)*($AN$5:$AN$88=AN58)*$AP$5:$AP$88))/AQ58-1))</f>
        <v/>
      </c>
      <c r="AS58" s="19">
        <f>IF(AR58="","",IF(AR58&gt;='Item Budget'!$R$11,"OK","Not above lower tier"))</f>
        <v/>
      </c>
    </row>
    <row r="59">
      <c r="A59" s="45" t="n">
        <v>662</v>
      </c>
      <c r="B59" s="45" t="inlineStr">
        <is>
          <t>Worn Leather Gloves</t>
        </is>
      </c>
      <c r="C59" s="45" t="inlineStr">
        <is>
          <t>Gloves</t>
        </is>
      </c>
      <c r="D59" s="45" t="inlineStr">
        <is>
          <t>All</t>
        </is>
      </c>
      <c r="E59" s="45" t="inlineStr">
        <is>
          <t>drop:The Big Cheese(L5) 15%</t>
        </is>
      </c>
      <c r="F59" s="46" t="inlineStr">
        <is>
          <t>Anchor</t>
        </is>
      </c>
      <c r="G59" s="45" t="inlineStr">
        <is>
          <t>Common drop</t>
        </is>
      </c>
      <c r="H59" s="47">
        <f>INDEX('Item Budget'!$F$5:$F$13,MATCH(G59,'Item Budget'!$E$5:$E$13,0))+IF(D59="All",0,'Item Budget'!$F$15)+LOOKUP(AN59,'Item Budget'!$E$19:$E$23,'Item Budget'!$F$19:$F$23)</f>
        <v/>
      </c>
      <c r="I59" s="45" t="n">
        <v>4</v>
      </c>
      <c r="J59" s="45" t="n">
        <v>20</v>
      </c>
      <c r="K59" s="45" t="n">
        <v>0</v>
      </c>
      <c r="L59" s="45" t="n">
        <v>5</v>
      </c>
      <c r="M59" s="45" t="n">
        <v>2</v>
      </c>
      <c r="N59" s="45" t="n">
        <v>2</v>
      </c>
      <c r="O59" s="45" t="n">
        <v>0</v>
      </c>
      <c r="P59" s="45" t="n">
        <v>0</v>
      </c>
      <c r="Q59" s="45" t="inlineStr">
        <is>
          <t>(none)</t>
        </is>
      </c>
      <c r="R59" s="65">
        <f>J59*'Item Budget'!$B$5+N59*'Item Budget'!$B$7+L59*'Item Budget'!$B$11+O59*'Item Budget'!$B$10+M59*'Item Budget'!$B$9+IFERROR(INDEX('Item Budget'!$M$25:$M$95,MATCH(Q59,'Item Budget'!$B$25:$B$95,0)),0)</f>
        <v/>
      </c>
      <c r="S59" s="65">
        <f>J59*'Item Budget'!$B$5+N59*'Item Budget'!$B$7+L59*'Item Budget'!$B$11+O59*'Item Budget'!$B$10+K59*'Item Budget'!$B$6+P59*'Item Budget'!$B$8+IFERROR(INDEX('Item Budget'!$N$25:$N$95,MATCH(Q59,'Item Budget'!$B$25:$B$95,0)),0)</f>
        <v/>
      </c>
      <c r="T59" s="65">
        <f>MAX('Item Budget'!$F$16,INDEX('Item Budget'!$J$5:$J$10,MATCH($C59,'Item Budget'!$I$5:$I$10,0))+INDEX('Item Budget'!$K$5:$K$10,MATCH($C59,'Item Budget'!$I$5:$I$10,0))*MIN(I59,50))</f>
        <v/>
      </c>
      <c r="U59" s="65">
        <f>T59*$H59</f>
        <v/>
      </c>
      <c r="V59" s="49">
        <f>MAX(R59,S59)/U59</f>
        <v/>
      </c>
      <c r="W59" s="21" t="n">
        <v>4</v>
      </c>
      <c r="X59" s="21" t="n">
        <v>20</v>
      </c>
      <c r="Y59" s="21" t="n">
        <v>0</v>
      </c>
      <c r="Z59" s="21" t="n">
        <v>5</v>
      </c>
      <c r="AA59" s="21" t="n">
        <v>2</v>
      </c>
      <c r="AB59" s="21" t="n">
        <v>2</v>
      </c>
      <c r="AC59" s="21" t="n">
        <v>0</v>
      </c>
      <c r="AD59" s="21" t="n">
        <v>0</v>
      </c>
      <c r="AE59" s="21" t="inlineStr">
        <is>
          <t>(none)</t>
        </is>
      </c>
      <c r="AF59" s="65">
        <f>X59*'Item Budget'!$B$5+AB59*'Item Budget'!$B$7+Z59*'Item Budget'!$B$11+AC59*'Item Budget'!$B$10+AA59*'Item Budget'!$B$9+IFERROR(INDEX('Item Budget'!$M$25:$M$95,MATCH(AE59,'Item Budget'!$B$25:$B$95,0)),0)</f>
        <v/>
      </c>
      <c r="AG59" s="65">
        <f>X59*'Item Budget'!$B$5+AB59*'Item Budget'!$B$7+Z59*'Item Budget'!$B$11+AC59*'Item Budget'!$B$10+Y59*'Item Budget'!$B$6+AD59*'Item Budget'!$B$8+IFERROR(INDEX('Item Budget'!$N$25:$N$95,MATCH(AE59,'Item Budget'!$B$25:$B$95,0)),0)</f>
        <v/>
      </c>
      <c r="AH59" s="65">
        <f>MAX('Item Budget'!$F$16,INDEX('Item Budget'!$J$5:$J$10,MATCH($C59,'Item Budget'!$I$5:$I$10,0))+INDEX('Item Budget'!$K$5:$K$10,MATCH($C59,'Item Budget'!$I$5:$I$10,0))*MIN(W59,50))</f>
        <v/>
      </c>
      <c r="AI59" s="65">
        <f>AH59*$H59</f>
        <v/>
      </c>
      <c r="AJ59" s="49">
        <f>MAX(AF59,AG59)/AI59</f>
        <v/>
      </c>
      <c r="AK59" s="64" t="inlineStr">
        <is>
          <t>Pass 1 (applied): New accessory (anchor). Unchanged.</t>
        </is>
      </c>
      <c r="AL59" s="43">
        <f>IFERROR(INDEX('Item Budget'!$H$25:$H$95,MATCH(Q59,'Item Budget'!$B$25:$B$95,0)),0)</f>
        <v/>
      </c>
      <c r="AM59" s="43">
        <f>IFERROR(INDEX('Item Budget'!$H$25:$H$95,MATCH(AE59,'Item Budget'!$B$25:$B$95,0)),0)</f>
        <v/>
      </c>
      <c r="AN59" s="37" t="n">
        <v>0</v>
      </c>
      <c r="AO59" s="44">
        <f>IF(I59&lt;'Item Budget'!$R$10,0,'Item Budget'!$R$7*100*MAX(('Item Budget'!$R$14*(J59+25*N59)+'Item Budget'!$S$14*(K59+25*P59))/'Item Budget'!$Z$14,('Item Budget'!$R$15*(J59+25*N59)+'Item Budget'!$S$15*(K59+25*P59))/'Item Budget'!$Z$15,('Item Budget'!$R$16*(J59+25*N59)+'Item Budget'!$S$16*(K59+25*P59))/'Item Budget'!$Z$16,('Item Budget'!$R$17*(J59+25*N59)+'Item Budget'!$S$17*(K59+25*P59))/'Item Budget'!$Z$17)+'Item Budget'!$R$9*L59+IFERROR(INDEX('Item Budget'!$O$25:$O$95,MATCH(Q59,'Item Budget'!$B$25:$B$95,0)),0))</f>
        <v/>
      </c>
      <c r="AP59" s="44">
        <f>IF(W59&lt;'Item Budget'!$R$10,0,'Item Budget'!$R$7*100*MAX(('Item Budget'!$R$14*(X59+25*AB59)+'Item Budget'!$S$14*(Y59+25*AD59))/'Item Budget'!$Z$14,('Item Budget'!$R$15*(X59+25*AB59)+'Item Budget'!$S$15*(Y59+25*AD59))/'Item Budget'!$Z$15,('Item Budget'!$R$16*(X59+25*AB59)+'Item Budget'!$S$16*(Y59+25*AD59))/'Item Budget'!$Z$16,('Item Budget'!$R$17*(X59+25*AB59)+'Item Budget'!$S$17*(Y59+25*AD59))/'Item Budget'!$Z$17)+'Item Budget'!$R$9*Z59+IFERROR(INDEX('Item Budget'!$O$25:$O$95,MATCH(AE59,'Item Budget'!$B$25:$B$95,0)),0))</f>
        <v/>
      </c>
      <c r="AQ59" s="61">
        <f>IF(OR(AN59=0,AP59=0),"",SUMPRODUCT(MAX(($C$5:$C$88=C59)*($AN$5:$AN$88&lt;AN59)*$AP$5:$AP$88)))</f>
        <v/>
      </c>
      <c r="AR59" s="41">
        <f>IF(AQ59="","",IF(AQ59=0,1,SUMPRODUCT(MAX(($C$5:$C$88=C59)*($AN$5:$AN$88=AN59)*$AP$5:$AP$88))/AQ59-1))</f>
        <v/>
      </c>
      <c r="AS59" s="19">
        <f>IF(AR59="","",IF(AR59&gt;='Item Budget'!$R$11,"OK","Not above lower tier"))</f>
        <v/>
      </c>
    </row>
    <row r="60">
      <c r="A60" s="21" t="n">
        <v>46</v>
      </c>
      <c r="B60" s="21" t="inlineStr">
        <is>
          <t>Frozen Mittens</t>
        </is>
      </c>
      <c r="C60" s="21" t="inlineStr">
        <is>
          <t>Gloves</t>
        </is>
      </c>
      <c r="D60" s="21" t="inlineStr">
        <is>
          <t>All</t>
        </is>
      </c>
      <c r="E60" s="21" t="inlineStr">
        <is>
          <t>drop:Roger(L14) 6%</t>
        </is>
      </c>
      <c r="F60" s="3" t="inlineStr">
        <is>
          <t>Buff</t>
        </is>
      </c>
      <c r="G60" s="21" t="inlineStr">
        <is>
          <t>Rare drop</t>
        </is>
      </c>
      <c r="H60" s="31">
        <f>INDEX('Item Budget'!$F$5:$F$13,MATCH(G60,'Item Budget'!$E$5:$E$13,0))+IF(D60="All",0,'Item Budget'!$F$15)+LOOKUP(AN60,'Item Budget'!$E$19:$E$23,'Item Budget'!$F$19:$F$23)</f>
        <v/>
      </c>
      <c r="I60" s="21" t="n">
        <v>10</v>
      </c>
      <c r="J60" s="21" t="n">
        <v>50</v>
      </c>
      <c r="K60" s="21" t="n">
        <v>80</v>
      </c>
      <c r="L60" s="21" t="n">
        <v>12</v>
      </c>
      <c r="M60" s="21" t="n">
        <v>0</v>
      </c>
      <c r="N60" s="21" t="n">
        <v>4</v>
      </c>
      <c r="O60" s="21" t="n">
        <v>0</v>
      </c>
      <c r="P60" s="21" t="n">
        <v>7</v>
      </c>
      <c r="Q60" s="21" t="inlineStr">
        <is>
          <t>Spell Critical II</t>
        </is>
      </c>
      <c r="R60" s="61">
        <f>J60*'Item Budget'!$B$5+N60*'Item Budget'!$B$7+L60*'Item Budget'!$B$11+O60*'Item Budget'!$B$10+M60*'Item Budget'!$B$9+IFERROR(INDEX('Item Budget'!$M$25:$M$95,MATCH(Q60,'Item Budget'!$B$25:$B$95,0)),0)</f>
        <v/>
      </c>
      <c r="S60" s="61">
        <f>J60*'Item Budget'!$B$5+N60*'Item Budget'!$B$7+L60*'Item Budget'!$B$11+O60*'Item Budget'!$B$10+K60*'Item Budget'!$B$6+P60*'Item Budget'!$B$8+IFERROR(INDEX('Item Budget'!$N$25:$N$95,MATCH(Q60,'Item Budget'!$B$25:$B$95,0)),0)</f>
        <v/>
      </c>
      <c r="T60" s="61">
        <f>MAX('Item Budget'!$F$16,INDEX('Item Budget'!$J$5:$J$10,MATCH($C60,'Item Budget'!$I$5:$I$10,0))+INDEX('Item Budget'!$K$5:$K$10,MATCH($C60,'Item Budget'!$I$5:$I$10,0))*MIN(I60,50))</f>
        <v/>
      </c>
      <c r="U60" s="61">
        <f>T60*$H60</f>
        <v/>
      </c>
      <c r="V60" s="41">
        <f>MAX(R60,S60)/U60</f>
        <v/>
      </c>
      <c r="W60" s="21" t="n">
        <v>10</v>
      </c>
      <c r="X60" s="21" t="n">
        <v>50</v>
      </c>
      <c r="Y60" s="21" t="n">
        <v>80</v>
      </c>
      <c r="Z60" s="21" t="n">
        <v>12</v>
      </c>
      <c r="AA60" s="21" t="n">
        <v>0</v>
      </c>
      <c r="AB60" s="21" t="n">
        <v>4</v>
      </c>
      <c r="AC60" s="21" t="n">
        <v>0</v>
      </c>
      <c r="AD60" s="21" t="n">
        <v>7</v>
      </c>
      <c r="AE60" s="21" t="inlineStr">
        <is>
          <t>Spell Critical II</t>
        </is>
      </c>
      <c r="AF60" s="61">
        <f>X60*'Item Budget'!$B$5+AB60*'Item Budget'!$B$7+Z60*'Item Budget'!$B$11+AC60*'Item Budget'!$B$10+AA60*'Item Budget'!$B$9+IFERROR(INDEX('Item Budget'!$M$25:$M$95,MATCH(AE60,'Item Budget'!$B$25:$B$95,0)),0)</f>
        <v/>
      </c>
      <c r="AG60" s="61">
        <f>X60*'Item Budget'!$B$5+AB60*'Item Budget'!$B$7+Z60*'Item Budget'!$B$11+AC60*'Item Budget'!$B$10+Y60*'Item Budget'!$B$6+AD60*'Item Budget'!$B$8+IFERROR(INDEX('Item Budget'!$N$25:$N$95,MATCH(AE60,'Item Budget'!$B$25:$B$95,0)),0)</f>
        <v/>
      </c>
      <c r="AH60" s="61">
        <f>MAX('Item Budget'!$F$16,INDEX('Item Budget'!$J$5:$J$10,MATCH($C60,'Item Budget'!$I$5:$I$10,0))+INDEX('Item Budget'!$K$5:$K$10,MATCH($C60,'Item Budget'!$I$5:$I$10,0))*MIN(W60,50))</f>
        <v/>
      </c>
      <c r="AI60" s="61">
        <f>AH60*$H60</f>
        <v/>
      </c>
      <c r="AJ60" s="41">
        <f>MAX(AF60,AG60)/AI60</f>
        <v/>
      </c>
      <c r="AK60" s="64" t="inlineStr">
        <is>
          <t>Pass 1 (applied): Roger already drops Scout's Gloves for melee, so make the Mittens the caster glove.</t>
        </is>
      </c>
      <c r="AL60" s="43">
        <f>IFERROR(INDEX('Item Budget'!$H$25:$H$95,MATCH(Q60,'Item Budget'!$B$25:$B$95,0)),0)</f>
        <v/>
      </c>
      <c r="AM60" s="43">
        <f>IFERROR(INDEX('Item Budget'!$H$25:$H$95,MATCH(AE60,'Item Budget'!$B$25:$B$95,0)),0)</f>
        <v/>
      </c>
      <c r="AN60" s="37" t="n">
        <v>0</v>
      </c>
      <c r="AO60" s="44">
        <f>IF(I60&lt;'Item Budget'!$R$10,0,'Item Budget'!$R$7*100*MAX(('Item Budget'!$R$14*(J60+25*N60)+'Item Budget'!$S$14*(K60+25*P60))/'Item Budget'!$Z$14,('Item Budget'!$R$15*(J60+25*N60)+'Item Budget'!$S$15*(K60+25*P60))/'Item Budget'!$Z$15,('Item Budget'!$R$16*(J60+25*N60)+'Item Budget'!$S$16*(K60+25*P60))/'Item Budget'!$Z$16,('Item Budget'!$R$17*(J60+25*N60)+'Item Budget'!$S$17*(K60+25*P60))/'Item Budget'!$Z$17)+'Item Budget'!$R$9*L60+IFERROR(INDEX('Item Budget'!$O$25:$O$95,MATCH(Q60,'Item Budget'!$B$25:$B$95,0)),0))</f>
        <v/>
      </c>
      <c r="AP60" s="44">
        <f>IF(W60&lt;'Item Budget'!$R$10,0,'Item Budget'!$R$7*100*MAX(('Item Budget'!$R$14*(X60+25*AB60)+'Item Budget'!$S$14*(Y60+25*AD60))/'Item Budget'!$Z$14,('Item Budget'!$R$15*(X60+25*AB60)+'Item Budget'!$S$15*(Y60+25*AD60))/'Item Budget'!$Z$15,('Item Budget'!$R$16*(X60+25*AB60)+'Item Budget'!$S$16*(Y60+25*AD60))/'Item Budget'!$Z$16,('Item Budget'!$R$17*(X60+25*AB60)+'Item Budget'!$S$17*(Y60+25*AD60))/'Item Budget'!$Z$17)+'Item Budget'!$R$9*Z60+IFERROR(INDEX('Item Budget'!$O$25:$O$95,MATCH(AE60,'Item Budget'!$B$25:$B$95,0)),0))</f>
        <v/>
      </c>
      <c r="AQ60" s="61">
        <f>IF(OR(AN60=0,AP60=0),"",SUMPRODUCT(MAX(($C$5:$C$88=C60)*($AN$5:$AN$88&lt;AN60)*$AP$5:$AP$88)))</f>
        <v/>
      </c>
      <c r="AR60" s="41">
        <f>IF(AQ60="","",IF(AQ60=0,1,SUMPRODUCT(MAX(($C$5:$C$88=C60)*($AN$5:$AN$88=AN60)*$AP$5:$AP$88))/AQ60-1))</f>
        <v/>
      </c>
      <c r="AS60" s="19">
        <f>IF(AR60="","",IF(AR60&gt;='Item Budget'!$R$11,"OK","Not above lower tier"))</f>
        <v/>
      </c>
    </row>
    <row r="61">
      <c r="A61" s="45" t="n">
        <v>663</v>
      </c>
      <c r="B61" s="45" t="inlineStr">
        <is>
          <t>Scout's Gloves</t>
        </is>
      </c>
      <c r="C61" s="45" t="inlineStr">
        <is>
          <t>Gloves</t>
        </is>
      </c>
      <c r="D61" s="45" t="inlineStr">
        <is>
          <t>All</t>
        </is>
      </c>
      <c r="E61" s="45" t="inlineStr">
        <is>
          <t>drop:Roger(L14) 25%</t>
        </is>
      </c>
      <c r="F61" s="46" t="inlineStr">
        <is>
          <t>Anchor</t>
        </is>
      </c>
      <c r="G61" s="45" t="inlineStr">
        <is>
          <t>Common drop</t>
        </is>
      </c>
      <c r="H61" s="47">
        <f>INDEX('Item Budget'!$F$5:$F$13,MATCH(G61,'Item Budget'!$E$5:$E$13,0))+IF(D61="All",0,'Item Budget'!$F$15)+LOOKUP(AN61,'Item Budget'!$E$19:$E$23,'Item Budget'!$F$19:$F$23)</f>
        <v/>
      </c>
      <c r="I61" s="45" t="n">
        <v>14</v>
      </c>
      <c r="J61" s="45" t="n">
        <v>60</v>
      </c>
      <c r="K61" s="45" t="n">
        <v>0</v>
      </c>
      <c r="L61" s="45" t="n">
        <v>15</v>
      </c>
      <c r="M61" s="45" t="n">
        <v>6</v>
      </c>
      <c r="N61" s="45" t="n">
        <v>3</v>
      </c>
      <c r="O61" s="45" t="n">
        <v>3</v>
      </c>
      <c r="P61" s="45" t="n">
        <v>0</v>
      </c>
      <c r="Q61" s="45" t="inlineStr">
        <is>
          <t>Melee Damage II</t>
        </is>
      </c>
      <c r="R61" s="65">
        <f>J61*'Item Budget'!$B$5+N61*'Item Budget'!$B$7+L61*'Item Budget'!$B$11+O61*'Item Budget'!$B$10+M61*'Item Budget'!$B$9+IFERROR(INDEX('Item Budget'!$M$25:$M$95,MATCH(Q61,'Item Budget'!$B$25:$B$95,0)),0)</f>
        <v/>
      </c>
      <c r="S61" s="65">
        <f>J61*'Item Budget'!$B$5+N61*'Item Budget'!$B$7+L61*'Item Budget'!$B$11+O61*'Item Budget'!$B$10+K61*'Item Budget'!$B$6+P61*'Item Budget'!$B$8+IFERROR(INDEX('Item Budget'!$N$25:$N$95,MATCH(Q61,'Item Budget'!$B$25:$B$95,0)),0)</f>
        <v/>
      </c>
      <c r="T61" s="65">
        <f>MAX('Item Budget'!$F$16,INDEX('Item Budget'!$J$5:$J$10,MATCH($C61,'Item Budget'!$I$5:$I$10,0))+INDEX('Item Budget'!$K$5:$K$10,MATCH($C61,'Item Budget'!$I$5:$I$10,0))*MIN(I61,50))</f>
        <v/>
      </c>
      <c r="U61" s="65">
        <f>T61*$H61</f>
        <v/>
      </c>
      <c r="V61" s="49">
        <f>MAX(R61,S61)/U61</f>
        <v/>
      </c>
      <c r="W61" s="21" t="n">
        <v>14</v>
      </c>
      <c r="X61" s="21" t="n">
        <v>60</v>
      </c>
      <c r="Y61" s="21" t="n">
        <v>0</v>
      </c>
      <c r="Z61" s="21" t="n">
        <v>15</v>
      </c>
      <c r="AA61" s="21" t="n">
        <v>6</v>
      </c>
      <c r="AB61" s="21" t="n">
        <v>3</v>
      </c>
      <c r="AC61" s="21" t="n">
        <v>3</v>
      </c>
      <c r="AD61" s="21" t="n">
        <v>0</v>
      </c>
      <c r="AE61" s="21" t="inlineStr">
        <is>
          <t>Melee Damage II</t>
        </is>
      </c>
      <c r="AF61" s="65">
        <f>X61*'Item Budget'!$B$5+AB61*'Item Budget'!$B$7+Z61*'Item Budget'!$B$11+AC61*'Item Budget'!$B$10+AA61*'Item Budget'!$B$9+IFERROR(INDEX('Item Budget'!$M$25:$M$95,MATCH(AE61,'Item Budget'!$B$25:$B$95,0)),0)</f>
        <v/>
      </c>
      <c r="AG61" s="65">
        <f>X61*'Item Budget'!$B$5+AB61*'Item Budget'!$B$7+Z61*'Item Budget'!$B$11+AC61*'Item Budget'!$B$10+Y61*'Item Budget'!$B$6+AD61*'Item Budget'!$B$8+IFERROR(INDEX('Item Budget'!$N$25:$N$95,MATCH(AE61,'Item Budget'!$B$25:$B$95,0)),0)</f>
        <v/>
      </c>
      <c r="AH61" s="65">
        <f>MAX('Item Budget'!$F$16,INDEX('Item Budget'!$J$5:$J$10,MATCH($C61,'Item Budget'!$I$5:$I$10,0))+INDEX('Item Budget'!$K$5:$K$10,MATCH($C61,'Item Budget'!$I$5:$I$10,0))*MIN(W61,50))</f>
        <v/>
      </c>
      <c r="AI61" s="65">
        <f>AH61*$H61</f>
        <v/>
      </c>
      <c r="AJ61" s="49">
        <f>MAX(AF61,AG61)/AI61</f>
        <v/>
      </c>
      <c r="AK61" s="64" t="inlineStr">
        <is>
          <t>Pass 1 (applied): New accessory (anchor). Unchanged.</t>
        </is>
      </c>
      <c r="AL61" s="43">
        <f>IFERROR(INDEX('Item Budget'!$H$25:$H$95,MATCH(Q61,'Item Budget'!$B$25:$B$95,0)),0)</f>
        <v/>
      </c>
      <c r="AM61" s="43">
        <f>IFERROR(INDEX('Item Budget'!$H$25:$H$95,MATCH(AE61,'Item Budget'!$B$25:$B$95,0)),0)</f>
        <v/>
      </c>
      <c r="AN61" s="37" t="n">
        <v>0</v>
      </c>
      <c r="AO61" s="44">
        <f>IF(I61&lt;'Item Budget'!$R$10,0,'Item Budget'!$R$7*100*MAX(('Item Budget'!$R$14*(J61+25*N61)+'Item Budget'!$S$14*(K61+25*P61))/'Item Budget'!$Z$14,('Item Budget'!$R$15*(J61+25*N61)+'Item Budget'!$S$15*(K61+25*P61))/'Item Budget'!$Z$15,('Item Budget'!$R$16*(J61+25*N61)+'Item Budget'!$S$16*(K61+25*P61))/'Item Budget'!$Z$16,('Item Budget'!$R$17*(J61+25*N61)+'Item Budget'!$S$17*(K61+25*P61))/'Item Budget'!$Z$17)+'Item Budget'!$R$9*L61+IFERROR(INDEX('Item Budget'!$O$25:$O$95,MATCH(Q61,'Item Budget'!$B$25:$B$95,0)),0))</f>
        <v/>
      </c>
      <c r="AP61" s="44">
        <f>IF(W61&lt;'Item Budget'!$R$10,0,'Item Budget'!$R$7*100*MAX(('Item Budget'!$R$14*(X61+25*AB61)+'Item Budget'!$S$14*(Y61+25*AD61))/'Item Budget'!$Z$14,('Item Budget'!$R$15*(X61+25*AB61)+'Item Budget'!$S$15*(Y61+25*AD61))/'Item Budget'!$Z$15,('Item Budget'!$R$16*(X61+25*AB61)+'Item Budget'!$S$16*(Y61+25*AD61))/'Item Budget'!$Z$16,('Item Budget'!$R$17*(X61+25*AB61)+'Item Budget'!$S$17*(Y61+25*AD61))/'Item Budget'!$Z$17)+'Item Budget'!$R$9*Z61+IFERROR(INDEX('Item Budget'!$O$25:$O$95,MATCH(AE61,'Item Budget'!$B$25:$B$95,0)),0))</f>
        <v/>
      </c>
      <c r="AQ61" s="61">
        <f>IF(OR(AN61=0,AP61=0),"",SUMPRODUCT(MAX(($C$5:$C$88=C61)*($AN$5:$AN$88&lt;AN61)*$AP$5:$AP$88)))</f>
        <v/>
      </c>
      <c r="AR61" s="41">
        <f>IF(AQ61="","",IF(AQ61=0,1,SUMPRODUCT(MAX(($C$5:$C$88=C61)*($AN$5:$AN$88=AN61)*$AP$5:$AP$88))/AQ61-1))</f>
        <v/>
      </c>
      <c r="AS61" s="19">
        <f>IF(AR61="","",IF(AR61&gt;='Item Budget'!$R$11,"OK","Not above lower tier"))</f>
        <v/>
      </c>
    </row>
    <row r="62">
      <c r="A62" s="45" t="n">
        <v>664</v>
      </c>
      <c r="B62" s="45" t="inlineStr">
        <is>
          <t>Reinforced War Gloves</t>
        </is>
      </c>
      <c r="C62" s="45" t="inlineStr">
        <is>
          <t>Gloves</t>
        </is>
      </c>
      <c r="D62" s="45" t="inlineStr">
        <is>
          <t>All</t>
        </is>
      </c>
      <c r="E62" s="45" t="inlineStr">
        <is>
          <t>drop:Flying Piglet(L23) 15%</t>
        </is>
      </c>
      <c r="F62" s="46" t="inlineStr">
        <is>
          <t>Anchor</t>
        </is>
      </c>
      <c r="G62" s="45" t="inlineStr">
        <is>
          <t>Common drop</t>
        </is>
      </c>
      <c r="H62" s="47">
        <f>INDEX('Item Budget'!$F$5:$F$13,MATCH(G62,'Item Budget'!$E$5:$E$13,0))+IF(D62="All",0,'Item Budget'!$F$15)+LOOKUP(AN62,'Item Budget'!$E$19:$E$23,'Item Budget'!$F$19:$F$23)</f>
        <v/>
      </c>
      <c r="I62" s="45" t="n">
        <v>24</v>
      </c>
      <c r="J62" s="45" t="n">
        <v>100</v>
      </c>
      <c r="K62" s="45" t="n">
        <v>0</v>
      </c>
      <c r="L62" s="45" t="n">
        <v>25</v>
      </c>
      <c r="M62" s="45" t="n">
        <v>10</v>
      </c>
      <c r="N62" s="45" t="n">
        <v>5</v>
      </c>
      <c r="O62" s="45" t="n">
        <v>5</v>
      </c>
      <c r="P62" s="45" t="n">
        <v>0</v>
      </c>
      <c r="Q62" s="45" t="inlineStr">
        <is>
          <t>Melee Damage III</t>
        </is>
      </c>
      <c r="R62" s="65">
        <f>J62*'Item Budget'!$B$5+N62*'Item Budget'!$B$7+L62*'Item Budget'!$B$11+O62*'Item Budget'!$B$10+M62*'Item Budget'!$B$9+IFERROR(INDEX('Item Budget'!$M$25:$M$95,MATCH(Q62,'Item Budget'!$B$25:$B$95,0)),0)</f>
        <v/>
      </c>
      <c r="S62" s="65">
        <f>J62*'Item Budget'!$B$5+N62*'Item Budget'!$B$7+L62*'Item Budget'!$B$11+O62*'Item Budget'!$B$10+K62*'Item Budget'!$B$6+P62*'Item Budget'!$B$8+IFERROR(INDEX('Item Budget'!$N$25:$N$95,MATCH(Q62,'Item Budget'!$B$25:$B$95,0)),0)</f>
        <v/>
      </c>
      <c r="T62" s="65">
        <f>MAX('Item Budget'!$F$16,INDEX('Item Budget'!$J$5:$J$10,MATCH($C62,'Item Budget'!$I$5:$I$10,0))+INDEX('Item Budget'!$K$5:$K$10,MATCH($C62,'Item Budget'!$I$5:$I$10,0))*MIN(I62,50))</f>
        <v/>
      </c>
      <c r="U62" s="65">
        <f>T62*$H62</f>
        <v/>
      </c>
      <c r="V62" s="49">
        <f>MAX(R62,S62)/U62</f>
        <v/>
      </c>
      <c r="W62" s="21" t="n">
        <v>24</v>
      </c>
      <c r="X62" s="21" t="n">
        <v>100</v>
      </c>
      <c r="Y62" s="21" t="n">
        <v>0</v>
      </c>
      <c r="Z62" s="21" t="n">
        <v>25</v>
      </c>
      <c r="AA62" s="21" t="n">
        <v>10</v>
      </c>
      <c r="AB62" s="21" t="n">
        <v>5</v>
      </c>
      <c r="AC62" s="21" t="n">
        <v>5</v>
      </c>
      <c r="AD62" s="21" t="n">
        <v>0</v>
      </c>
      <c r="AE62" s="21" t="inlineStr">
        <is>
          <t>Melee Damage III</t>
        </is>
      </c>
      <c r="AF62" s="65">
        <f>X62*'Item Budget'!$B$5+AB62*'Item Budget'!$B$7+Z62*'Item Budget'!$B$11+AC62*'Item Budget'!$B$10+AA62*'Item Budget'!$B$9+IFERROR(INDEX('Item Budget'!$M$25:$M$95,MATCH(AE62,'Item Budget'!$B$25:$B$95,0)),0)</f>
        <v/>
      </c>
      <c r="AG62" s="65">
        <f>X62*'Item Budget'!$B$5+AB62*'Item Budget'!$B$7+Z62*'Item Budget'!$B$11+AC62*'Item Budget'!$B$10+Y62*'Item Budget'!$B$6+AD62*'Item Budget'!$B$8+IFERROR(INDEX('Item Budget'!$N$25:$N$95,MATCH(AE62,'Item Budget'!$B$25:$B$95,0)),0)</f>
        <v/>
      </c>
      <c r="AH62" s="65">
        <f>MAX('Item Budget'!$F$16,INDEX('Item Budget'!$J$5:$J$10,MATCH($C62,'Item Budget'!$I$5:$I$10,0))+INDEX('Item Budget'!$K$5:$K$10,MATCH($C62,'Item Budget'!$I$5:$I$10,0))*MIN(W62,50))</f>
        <v/>
      </c>
      <c r="AI62" s="65">
        <f>AH62*$H62</f>
        <v/>
      </c>
      <c r="AJ62" s="49">
        <f>MAX(AF62,AG62)/AI62</f>
        <v/>
      </c>
      <c r="AK62" s="64" t="inlineStr">
        <is>
          <t>Pass 1 (applied): New accessory (anchor). Unchanged.</t>
        </is>
      </c>
      <c r="AL62" s="43">
        <f>IFERROR(INDEX('Item Budget'!$H$25:$H$95,MATCH(Q62,'Item Budget'!$B$25:$B$95,0)),0)</f>
        <v/>
      </c>
      <c r="AM62" s="43">
        <f>IFERROR(INDEX('Item Budget'!$H$25:$H$95,MATCH(AE62,'Item Budget'!$B$25:$B$95,0)),0)</f>
        <v/>
      </c>
      <c r="AN62" s="37" t="n">
        <v>0</v>
      </c>
      <c r="AO62" s="44">
        <f>IF(I62&lt;'Item Budget'!$R$10,0,'Item Budget'!$R$7*100*MAX(('Item Budget'!$R$14*(J62+25*N62)+'Item Budget'!$S$14*(K62+25*P62))/'Item Budget'!$Z$14,('Item Budget'!$R$15*(J62+25*N62)+'Item Budget'!$S$15*(K62+25*P62))/'Item Budget'!$Z$15,('Item Budget'!$R$16*(J62+25*N62)+'Item Budget'!$S$16*(K62+25*P62))/'Item Budget'!$Z$16,('Item Budget'!$R$17*(J62+25*N62)+'Item Budget'!$S$17*(K62+25*P62))/'Item Budget'!$Z$17)+'Item Budget'!$R$9*L62+IFERROR(INDEX('Item Budget'!$O$25:$O$95,MATCH(Q62,'Item Budget'!$B$25:$B$95,0)),0))</f>
        <v/>
      </c>
      <c r="AP62" s="44">
        <f>IF(W62&lt;'Item Budget'!$R$10,0,'Item Budget'!$R$7*100*MAX(('Item Budget'!$R$14*(X62+25*AB62)+'Item Budget'!$S$14*(Y62+25*AD62))/'Item Budget'!$Z$14,('Item Budget'!$R$15*(X62+25*AB62)+'Item Budget'!$S$15*(Y62+25*AD62))/'Item Budget'!$Z$15,('Item Budget'!$R$16*(X62+25*AB62)+'Item Budget'!$S$16*(Y62+25*AD62))/'Item Budget'!$Z$16,('Item Budget'!$R$17*(X62+25*AB62)+'Item Budget'!$S$17*(Y62+25*AD62))/'Item Budget'!$Z$17)+'Item Budget'!$R$9*Z62+IFERROR(INDEX('Item Budget'!$O$25:$O$95,MATCH(AE62,'Item Budget'!$B$25:$B$95,0)),0))</f>
        <v/>
      </c>
      <c r="AQ62" s="61">
        <f>IF(OR(AN62=0,AP62=0),"",SUMPRODUCT(MAX(($C$5:$C$88=C62)*($AN$5:$AN$88&lt;AN62)*$AP$5:$AP$88)))</f>
        <v/>
      </c>
      <c r="AR62" s="41">
        <f>IF(AQ62="","",IF(AQ62=0,1,SUMPRODUCT(MAX(($C$5:$C$88=C62)*($AN$5:$AN$88=AN62)*$AP$5:$AP$88))/AQ62-1))</f>
        <v/>
      </c>
      <c r="AS62" s="19">
        <f>IF(AR62="","",IF(AR62&gt;='Item Budget'!$R$11,"OK","Not above lower tier"))</f>
        <v/>
      </c>
    </row>
    <row r="63">
      <c r="A63" s="21" t="n">
        <v>480</v>
      </c>
      <c r="B63" s="21" t="inlineStr">
        <is>
          <t>Enchanted Gloves</t>
        </is>
      </c>
      <c r="C63" s="21" t="inlineStr">
        <is>
          <t>Gloves</t>
        </is>
      </c>
      <c r="D63" s="21" t="inlineStr">
        <is>
          <t>All</t>
        </is>
      </c>
      <c r="E63" s="21" t="inlineStr">
        <is>
          <t>craft:Enchanted Gloves</t>
        </is>
      </c>
      <c r="F63" s="3" t="inlineStr">
        <is>
          <t>Buff</t>
        </is>
      </c>
      <c r="G63" s="21" t="inlineStr">
        <is>
          <t>Crafted</t>
        </is>
      </c>
      <c r="H63" s="31">
        <f>INDEX('Item Budget'!$F$5:$F$13,MATCH(G63,'Item Budget'!$E$5:$E$13,0))+IF(D63="All",0,'Item Budget'!$F$15)+LOOKUP(AN63,'Item Budget'!$E$19:$E$23,'Item Budget'!$F$19:$F$23)</f>
        <v/>
      </c>
      <c r="I63" s="21" t="n">
        <v>25</v>
      </c>
      <c r="J63" s="21" t="n">
        <v>150</v>
      </c>
      <c r="K63" s="21" t="n">
        <v>150</v>
      </c>
      <c r="L63" s="21" t="n">
        <v>30</v>
      </c>
      <c r="M63" s="21" t="n">
        <v>12</v>
      </c>
      <c r="N63" s="21" t="n">
        <v>10</v>
      </c>
      <c r="O63" s="21" t="n">
        <v>8</v>
      </c>
      <c r="P63" s="21" t="n">
        <v>10</v>
      </c>
      <c r="Q63" s="21" t="inlineStr">
        <is>
          <t>Melee Damage III</t>
        </is>
      </c>
      <c r="R63" s="61">
        <f>J63*'Item Budget'!$B$5+N63*'Item Budget'!$B$7+L63*'Item Budget'!$B$11+O63*'Item Budget'!$B$10+M63*'Item Budget'!$B$9+IFERROR(INDEX('Item Budget'!$M$25:$M$95,MATCH(Q63,'Item Budget'!$B$25:$B$95,0)),0)</f>
        <v/>
      </c>
      <c r="S63" s="61">
        <f>J63*'Item Budget'!$B$5+N63*'Item Budget'!$B$7+L63*'Item Budget'!$B$11+O63*'Item Budget'!$B$10+K63*'Item Budget'!$B$6+P63*'Item Budget'!$B$8+IFERROR(INDEX('Item Budget'!$N$25:$N$95,MATCH(Q63,'Item Budget'!$B$25:$B$95,0)),0)</f>
        <v/>
      </c>
      <c r="T63" s="61">
        <f>MAX('Item Budget'!$F$16,INDEX('Item Budget'!$J$5:$J$10,MATCH($C63,'Item Budget'!$I$5:$I$10,0))+INDEX('Item Budget'!$K$5:$K$10,MATCH($C63,'Item Budget'!$I$5:$I$10,0))*MIN(I63,50))</f>
        <v/>
      </c>
      <c r="U63" s="61">
        <f>T63*$H63</f>
        <v/>
      </c>
      <c r="V63" s="41">
        <f>MAX(R63,S63)/U63</f>
        <v/>
      </c>
      <c r="W63" s="21" t="n">
        <v>25</v>
      </c>
      <c r="X63" s="21" t="n">
        <v>150</v>
      </c>
      <c r="Y63" s="21" t="n">
        <v>150</v>
      </c>
      <c r="Z63" s="21" t="n">
        <v>30</v>
      </c>
      <c r="AA63" s="21" t="n">
        <v>12</v>
      </c>
      <c r="AB63" s="21" t="n">
        <v>10</v>
      </c>
      <c r="AC63" s="21" t="n">
        <v>8</v>
      </c>
      <c r="AD63" s="21" t="n">
        <v>10</v>
      </c>
      <c r="AE63" s="21" t="inlineStr">
        <is>
          <t>Melee Damage III</t>
        </is>
      </c>
      <c r="AF63" s="61">
        <f>X63*'Item Budget'!$B$5+AB63*'Item Budget'!$B$7+Z63*'Item Budget'!$B$11+AC63*'Item Budget'!$B$10+AA63*'Item Budget'!$B$9+IFERROR(INDEX('Item Budget'!$M$25:$M$95,MATCH(AE63,'Item Budget'!$B$25:$B$95,0)),0)</f>
        <v/>
      </c>
      <c r="AG63" s="61">
        <f>X63*'Item Budget'!$B$5+AB63*'Item Budget'!$B$7+Z63*'Item Budget'!$B$11+AC63*'Item Budget'!$B$10+Y63*'Item Budget'!$B$6+AD63*'Item Budget'!$B$8+IFERROR(INDEX('Item Budget'!$N$25:$N$95,MATCH(AE63,'Item Budget'!$B$25:$B$95,0)),0)</f>
        <v/>
      </c>
      <c r="AH63" s="61">
        <f>MAX('Item Budget'!$F$16,INDEX('Item Budget'!$J$5:$J$10,MATCH($C63,'Item Budget'!$I$5:$I$10,0))+INDEX('Item Budget'!$K$5:$K$10,MATCH($C63,'Item Budget'!$I$5:$I$10,0))*MIN(W63,50))</f>
        <v/>
      </c>
      <c r="AI63" s="61">
        <f>AH63*$H63</f>
        <v/>
      </c>
      <c r="AJ63" s="41">
        <f>MAX(AF63,AG63)/AI63</f>
        <v/>
      </c>
      <c r="AK63" s="64" t="inlineStr">
        <is>
          <t>Pass 1 (applied): Crafted counterpart to Reinforced War Gloves.</t>
        </is>
      </c>
      <c r="AL63" s="43">
        <f>IFERROR(INDEX('Item Budget'!$H$25:$H$95,MATCH(Q63,'Item Budget'!$B$25:$B$95,0)),0)</f>
        <v/>
      </c>
      <c r="AM63" s="43">
        <f>IFERROR(INDEX('Item Budget'!$H$25:$H$95,MATCH(AE63,'Item Budget'!$B$25:$B$95,0)),0)</f>
        <v/>
      </c>
      <c r="AN63" s="37" t="n">
        <v>0</v>
      </c>
      <c r="AO63" s="44">
        <f>IF(I63&lt;'Item Budget'!$R$10,0,'Item Budget'!$R$7*100*MAX(('Item Budget'!$R$14*(J63+25*N63)+'Item Budget'!$S$14*(K63+25*P63))/'Item Budget'!$Z$14,('Item Budget'!$R$15*(J63+25*N63)+'Item Budget'!$S$15*(K63+25*P63))/'Item Budget'!$Z$15,('Item Budget'!$R$16*(J63+25*N63)+'Item Budget'!$S$16*(K63+25*P63))/'Item Budget'!$Z$16,('Item Budget'!$R$17*(J63+25*N63)+'Item Budget'!$S$17*(K63+25*P63))/'Item Budget'!$Z$17)+'Item Budget'!$R$9*L63+IFERROR(INDEX('Item Budget'!$O$25:$O$95,MATCH(Q63,'Item Budget'!$B$25:$B$95,0)),0))</f>
        <v/>
      </c>
      <c r="AP63" s="44">
        <f>IF(W63&lt;'Item Budget'!$R$10,0,'Item Budget'!$R$7*100*MAX(('Item Budget'!$R$14*(X63+25*AB63)+'Item Budget'!$S$14*(Y63+25*AD63))/'Item Budget'!$Z$14,('Item Budget'!$R$15*(X63+25*AB63)+'Item Budget'!$S$15*(Y63+25*AD63))/'Item Budget'!$Z$15,('Item Budget'!$R$16*(X63+25*AB63)+'Item Budget'!$S$16*(Y63+25*AD63))/'Item Budget'!$Z$16,('Item Budget'!$R$17*(X63+25*AB63)+'Item Budget'!$S$17*(Y63+25*AD63))/'Item Budget'!$Z$17)+'Item Budget'!$R$9*Z63+IFERROR(INDEX('Item Budget'!$O$25:$O$95,MATCH(AE63,'Item Budget'!$B$25:$B$95,0)),0))</f>
        <v/>
      </c>
      <c r="AQ63" s="61">
        <f>IF(OR(AN63=0,AP63=0),"",SUMPRODUCT(MAX(($C$5:$C$88=C63)*($AN$5:$AN$88&lt;AN63)*$AP$5:$AP$88)))</f>
        <v/>
      </c>
      <c r="AR63" s="41">
        <f>IF(AQ63="","",IF(AQ63=0,1,SUMPRODUCT(MAX(($C$5:$C$88=C63)*($AN$5:$AN$88=AN63)*$AP$5:$AP$88))/AQ63-1))</f>
        <v/>
      </c>
      <c r="AS63" s="19">
        <f>IF(AR63="","",IF(AR63&gt;='Item Budget'!$R$11,"OK","Not above lower tier"))</f>
        <v/>
      </c>
    </row>
    <row r="64">
      <c r="A64" s="45" t="n">
        <v>665</v>
      </c>
      <c r="B64" s="45" t="inlineStr">
        <is>
          <t>Runed War Gloves</t>
        </is>
      </c>
      <c r="C64" s="45" t="inlineStr">
        <is>
          <t>Gloves</t>
        </is>
      </c>
      <c r="D64" s="45" t="inlineStr">
        <is>
          <t>All</t>
        </is>
      </c>
      <c r="E64" s="45" t="inlineStr">
        <is>
          <t>drop:Carrots(L33) 30%</t>
        </is>
      </c>
      <c r="F64" s="46" t="inlineStr">
        <is>
          <t>Anchor</t>
        </is>
      </c>
      <c r="G64" s="45" t="inlineStr">
        <is>
          <t>Common drop</t>
        </is>
      </c>
      <c r="H64" s="47">
        <f>INDEX('Item Budget'!$F$5:$F$13,MATCH(G64,'Item Budget'!$E$5:$E$13,0))+IF(D64="All",0,'Item Budget'!$F$15)+LOOKUP(AN64,'Item Budget'!$E$19:$E$23,'Item Budget'!$F$19:$F$23)</f>
        <v/>
      </c>
      <c r="I64" s="45" t="n">
        <v>34</v>
      </c>
      <c r="J64" s="45" t="n">
        <v>140</v>
      </c>
      <c r="K64" s="45" t="n">
        <v>0</v>
      </c>
      <c r="L64" s="45" t="n">
        <v>35</v>
      </c>
      <c r="M64" s="45" t="n">
        <v>14</v>
      </c>
      <c r="N64" s="45" t="n">
        <v>7</v>
      </c>
      <c r="O64" s="45" t="n">
        <v>7</v>
      </c>
      <c r="P64" s="45" t="n">
        <v>0</v>
      </c>
      <c r="Q64" s="45" t="inlineStr">
        <is>
          <t>Melee Damage IV</t>
        </is>
      </c>
      <c r="R64" s="65">
        <f>J64*'Item Budget'!$B$5+N64*'Item Budget'!$B$7+L64*'Item Budget'!$B$11+O64*'Item Budget'!$B$10+M64*'Item Budget'!$B$9+IFERROR(INDEX('Item Budget'!$M$25:$M$95,MATCH(Q64,'Item Budget'!$B$25:$B$95,0)),0)</f>
        <v/>
      </c>
      <c r="S64" s="65">
        <f>J64*'Item Budget'!$B$5+N64*'Item Budget'!$B$7+L64*'Item Budget'!$B$11+O64*'Item Budget'!$B$10+K64*'Item Budget'!$B$6+P64*'Item Budget'!$B$8+IFERROR(INDEX('Item Budget'!$N$25:$N$95,MATCH(Q64,'Item Budget'!$B$25:$B$95,0)),0)</f>
        <v/>
      </c>
      <c r="T64" s="65">
        <f>MAX('Item Budget'!$F$16,INDEX('Item Budget'!$J$5:$J$10,MATCH($C64,'Item Budget'!$I$5:$I$10,0))+INDEX('Item Budget'!$K$5:$K$10,MATCH($C64,'Item Budget'!$I$5:$I$10,0))*MIN(I64,50))</f>
        <v/>
      </c>
      <c r="U64" s="65">
        <f>T64*$H64</f>
        <v/>
      </c>
      <c r="V64" s="49">
        <f>MAX(R64,S64)/U64</f>
        <v/>
      </c>
      <c r="W64" s="21" t="n">
        <v>34</v>
      </c>
      <c r="X64" s="21" t="n">
        <v>140</v>
      </c>
      <c r="Y64" s="21" t="n">
        <v>0</v>
      </c>
      <c r="Z64" s="21" t="n">
        <v>35</v>
      </c>
      <c r="AA64" s="21" t="n">
        <v>14</v>
      </c>
      <c r="AB64" s="21" t="n">
        <v>7</v>
      </c>
      <c r="AC64" s="21" t="n">
        <v>7</v>
      </c>
      <c r="AD64" s="21" t="n">
        <v>0</v>
      </c>
      <c r="AE64" s="21" t="inlineStr">
        <is>
          <t>Melee Damage IV</t>
        </is>
      </c>
      <c r="AF64" s="65">
        <f>X64*'Item Budget'!$B$5+AB64*'Item Budget'!$B$7+Z64*'Item Budget'!$B$11+AC64*'Item Budget'!$B$10+AA64*'Item Budget'!$B$9+IFERROR(INDEX('Item Budget'!$M$25:$M$95,MATCH(AE64,'Item Budget'!$B$25:$B$95,0)),0)</f>
        <v/>
      </c>
      <c r="AG64" s="65">
        <f>X64*'Item Budget'!$B$5+AB64*'Item Budget'!$B$7+Z64*'Item Budget'!$B$11+AC64*'Item Budget'!$B$10+Y64*'Item Budget'!$B$6+AD64*'Item Budget'!$B$8+IFERROR(INDEX('Item Budget'!$N$25:$N$95,MATCH(AE64,'Item Budget'!$B$25:$B$95,0)),0)</f>
        <v/>
      </c>
      <c r="AH64" s="65">
        <f>MAX('Item Budget'!$F$16,INDEX('Item Budget'!$J$5:$J$10,MATCH($C64,'Item Budget'!$I$5:$I$10,0))+INDEX('Item Budget'!$K$5:$K$10,MATCH($C64,'Item Budget'!$I$5:$I$10,0))*MIN(W64,50))</f>
        <v/>
      </c>
      <c r="AI64" s="65">
        <f>AH64*$H64</f>
        <v/>
      </c>
      <c r="AJ64" s="49">
        <f>MAX(AF64,AG64)/AI64</f>
        <v/>
      </c>
      <c r="AK64" s="64" t="inlineStr">
        <is>
          <t>Pass 1 (applied): New accessory (anchor). Unchanged.</t>
        </is>
      </c>
      <c r="AL64" s="43">
        <f>IFERROR(INDEX('Item Budget'!$H$25:$H$95,MATCH(Q64,'Item Budget'!$B$25:$B$95,0)),0)</f>
        <v/>
      </c>
      <c r="AM64" s="43">
        <f>IFERROR(INDEX('Item Budget'!$H$25:$H$95,MATCH(AE64,'Item Budget'!$B$25:$B$95,0)),0)</f>
        <v/>
      </c>
      <c r="AN64" s="37" t="n">
        <v>0</v>
      </c>
      <c r="AO64" s="44">
        <f>IF(I64&lt;'Item Budget'!$R$10,0,'Item Budget'!$R$7*100*MAX(('Item Budget'!$R$14*(J64+25*N64)+'Item Budget'!$S$14*(K64+25*P64))/'Item Budget'!$Z$14,('Item Budget'!$R$15*(J64+25*N64)+'Item Budget'!$S$15*(K64+25*P64))/'Item Budget'!$Z$15,('Item Budget'!$R$16*(J64+25*N64)+'Item Budget'!$S$16*(K64+25*P64))/'Item Budget'!$Z$16,('Item Budget'!$R$17*(J64+25*N64)+'Item Budget'!$S$17*(K64+25*P64))/'Item Budget'!$Z$17)+'Item Budget'!$R$9*L64+IFERROR(INDEX('Item Budget'!$O$25:$O$95,MATCH(Q64,'Item Budget'!$B$25:$B$95,0)),0))</f>
        <v/>
      </c>
      <c r="AP64" s="44">
        <f>IF(W64&lt;'Item Budget'!$R$10,0,'Item Budget'!$R$7*100*MAX(('Item Budget'!$R$14*(X64+25*AB64)+'Item Budget'!$S$14*(Y64+25*AD64))/'Item Budget'!$Z$14,('Item Budget'!$R$15*(X64+25*AB64)+'Item Budget'!$S$15*(Y64+25*AD64))/'Item Budget'!$Z$15,('Item Budget'!$R$16*(X64+25*AB64)+'Item Budget'!$S$16*(Y64+25*AD64))/'Item Budget'!$Z$16,('Item Budget'!$R$17*(X64+25*AB64)+'Item Budget'!$S$17*(Y64+25*AD64))/'Item Budget'!$Z$17)+'Item Budget'!$R$9*Z64+IFERROR(INDEX('Item Budget'!$O$25:$O$95,MATCH(AE64,'Item Budget'!$B$25:$B$95,0)),0))</f>
        <v/>
      </c>
      <c r="AQ64" s="61">
        <f>IF(OR(AN64=0,AP64=0),"",SUMPRODUCT(MAX(($C$5:$C$88=C64)*($AN$5:$AN$88&lt;AN64)*$AP$5:$AP$88)))</f>
        <v/>
      </c>
      <c r="AR64" s="41">
        <f>IF(AQ64="","",IF(AQ64=0,1,SUMPRODUCT(MAX(($C$5:$C$88=C64)*($AN$5:$AN$88=AN64)*$AP$5:$AP$88))/AQ64-1))</f>
        <v/>
      </c>
      <c r="AS64" s="19">
        <f>IF(AR64="","",IF(AR64&gt;='Item Budget'!$R$11,"OK","Not above lower tier"))</f>
        <v/>
      </c>
    </row>
    <row r="65">
      <c r="A65" s="21" t="n">
        <v>140</v>
      </c>
      <c r="B65" s="21" t="inlineStr">
        <is>
          <t>Gloves of the Poo Flinger</t>
        </is>
      </c>
      <c r="C65" s="21" t="inlineStr">
        <is>
          <t>Gloves</t>
        </is>
      </c>
      <c r="D65" s="21" t="inlineStr">
        <is>
          <t>All</t>
        </is>
      </c>
      <c r="E65" s="21" t="inlineStr">
        <is>
          <t>drop:Frantic Monkey(L35) 8%</t>
        </is>
      </c>
      <c r="F65" s="3" t="inlineStr">
        <is>
          <t>Buff</t>
        </is>
      </c>
      <c r="G65" s="21" t="inlineStr">
        <is>
          <t>Uncommon drop</t>
        </is>
      </c>
      <c r="H65" s="31">
        <f>INDEX('Item Budget'!$F$5:$F$13,MATCH(G65,'Item Budget'!$E$5:$E$13,0))+IF(D65="All",0,'Item Budget'!$F$15)+LOOKUP(AN65,'Item Budget'!$E$19:$E$23,'Item Budget'!$F$19:$F$23)</f>
        <v/>
      </c>
      <c r="I65" s="21" t="n">
        <v>40</v>
      </c>
      <c r="J65" s="21" t="n">
        <v>200</v>
      </c>
      <c r="K65" s="21" t="n">
        <v>100</v>
      </c>
      <c r="L65" s="21" t="n">
        <v>35</v>
      </c>
      <c r="M65" s="21" t="n">
        <v>24</v>
      </c>
      <c r="N65" s="21" t="n">
        <v>12</v>
      </c>
      <c r="O65" s="21" t="n">
        <v>12</v>
      </c>
      <c r="P65" s="21" t="n">
        <v>6</v>
      </c>
      <c r="Q65" s="21" t="inlineStr">
        <is>
          <t>Melee Damage IV</t>
        </is>
      </c>
      <c r="R65" s="61">
        <f>J65*'Item Budget'!$B$5+N65*'Item Budget'!$B$7+L65*'Item Budget'!$B$11+O65*'Item Budget'!$B$10+M65*'Item Budget'!$B$9+IFERROR(INDEX('Item Budget'!$M$25:$M$95,MATCH(Q65,'Item Budget'!$B$25:$B$95,0)),0)</f>
        <v/>
      </c>
      <c r="S65" s="61">
        <f>J65*'Item Budget'!$B$5+N65*'Item Budget'!$B$7+L65*'Item Budget'!$B$11+O65*'Item Budget'!$B$10+K65*'Item Budget'!$B$6+P65*'Item Budget'!$B$8+IFERROR(INDEX('Item Budget'!$N$25:$N$95,MATCH(Q65,'Item Budget'!$B$25:$B$95,0)),0)</f>
        <v/>
      </c>
      <c r="T65" s="61">
        <f>MAX('Item Budget'!$F$16,INDEX('Item Budget'!$J$5:$J$10,MATCH($C65,'Item Budget'!$I$5:$I$10,0))+INDEX('Item Budget'!$K$5:$K$10,MATCH($C65,'Item Budget'!$I$5:$I$10,0))*MIN(I65,50))</f>
        <v/>
      </c>
      <c r="U65" s="61">
        <f>T65*$H65</f>
        <v/>
      </c>
      <c r="V65" s="41">
        <f>MAX(R65,S65)/U65</f>
        <v/>
      </c>
      <c r="W65" s="21" t="n">
        <v>40</v>
      </c>
      <c r="X65" s="21" t="n">
        <v>200</v>
      </c>
      <c r="Y65" s="21" t="n">
        <v>100</v>
      </c>
      <c r="Z65" s="21" t="n">
        <v>35</v>
      </c>
      <c r="AA65" s="21" t="n">
        <v>24</v>
      </c>
      <c r="AB65" s="21" t="n">
        <v>12</v>
      </c>
      <c r="AC65" s="21" t="n">
        <v>12</v>
      </c>
      <c r="AD65" s="21" t="n">
        <v>6</v>
      </c>
      <c r="AE65" s="21" t="inlineStr">
        <is>
          <t>Melee Damage IV</t>
        </is>
      </c>
      <c r="AF65" s="61">
        <f>X65*'Item Budget'!$B$5+AB65*'Item Budget'!$B$7+Z65*'Item Budget'!$B$11+AC65*'Item Budget'!$B$10+AA65*'Item Budget'!$B$9+IFERROR(INDEX('Item Budget'!$M$25:$M$95,MATCH(AE65,'Item Budget'!$B$25:$B$95,0)),0)</f>
        <v/>
      </c>
      <c r="AG65" s="61">
        <f>X65*'Item Budget'!$B$5+AB65*'Item Budget'!$B$7+Z65*'Item Budget'!$B$11+AC65*'Item Budget'!$B$10+Y65*'Item Budget'!$B$6+AD65*'Item Budget'!$B$8+IFERROR(INDEX('Item Budget'!$N$25:$N$95,MATCH(AE65,'Item Budget'!$B$25:$B$95,0)),0)</f>
        <v/>
      </c>
      <c r="AH65" s="61">
        <f>MAX('Item Budget'!$F$16,INDEX('Item Budget'!$J$5:$J$10,MATCH($C65,'Item Budget'!$I$5:$I$10,0))+INDEX('Item Budget'!$K$5:$K$10,MATCH($C65,'Item Budget'!$I$5:$I$10,0))*MIN(W65,50))</f>
        <v/>
      </c>
      <c r="AI65" s="61">
        <f>AH65*$H65</f>
        <v/>
      </c>
      <c r="AJ65" s="41">
        <f>MAX(AF65,AG65)/AI65</f>
        <v/>
      </c>
      <c r="AK65" s="64" t="inlineStr">
        <is>
          <t>Pass 1 (applied): Poo Flinger glove: more STR plus the glove family effect.</t>
        </is>
      </c>
      <c r="AL65" s="43">
        <f>IFERROR(INDEX('Item Budget'!$H$25:$H$95,MATCH(Q65,'Item Budget'!$B$25:$B$95,0)),0)</f>
        <v/>
      </c>
      <c r="AM65" s="43">
        <f>IFERROR(INDEX('Item Budget'!$H$25:$H$95,MATCH(AE65,'Item Budget'!$B$25:$B$95,0)),0)</f>
        <v/>
      </c>
      <c r="AN65" s="37" t="n">
        <v>0</v>
      </c>
      <c r="AO65" s="44">
        <f>IF(I65&lt;'Item Budget'!$R$10,0,'Item Budget'!$R$7*100*MAX(('Item Budget'!$R$14*(J65+25*N65)+'Item Budget'!$S$14*(K65+25*P65))/'Item Budget'!$Z$14,('Item Budget'!$R$15*(J65+25*N65)+'Item Budget'!$S$15*(K65+25*P65))/'Item Budget'!$Z$15,('Item Budget'!$R$16*(J65+25*N65)+'Item Budget'!$S$16*(K65+25*P65))/'Item Budget'!$Z$16,('Item Budget'!$R$17*(J65+25*N65)+'Item Budget'!$S$17*(K65+25*P65))/'Item Budget'!$Z$17)+'Item Budget'!$R$9*L65+IFERROR(INDEX('Item Budget'!$O$25:$O$95,MATCH(Q65,'Item Budget'!$B$25:$B$95,0)),0))</f>
        <v/>
      </c>
      <c r="AP65" s="44">
        <f>IF(W65&lt;'Item Budget'!$R$10,0,'Item Budget'!$R$7*100*MAX(('Item Budget'!$R$14*(X65+25*AB65)+'Item Budget'!$S$14*(Y65+25*AD65))/'Item Budget'!$Z$14,('Item Budget'!$R$15*(X65+25*AB65)+'Item Budget'!$S$15*(Y65+25*AD65))/'Item Budget'!$Z$15,('Item Budget'!$R$16*(X65+25*AB65)+'Item Budget'!$S$16*(Y65+25*AD65))/'Item Budget'!$Z$16,('Item Budget'!$R$17*(X65+25*AB65)+'Item Budget'!$S$17*(Y65+25*AD65))/'Item Budget'!$Z$17)+'Item Budget'!$R$9*Z65+IFERROR(INDEX('Item Budget'!$O$25:$O$95,MATCH(AE65,'Item Budget'!$B$25:$B$95,0)),0))</f>
        <v/>
      </c>
      <c r="AQ65" s="61">
        <f>IF(OR(AN65=0,AP65=0),"",SUMPRODUCT(MAX(($C$5:$C$88=C65)*($AN$5:$AN$88&lt;AN65)*$AP$5:$AP$88)))</f>
        <v/>
      </c>
      <c r="AR65" s="41">
        <f>IF(AQ65="","",IF(AQ65=0,1,SUMPRODUCT(MAX(($C$5:$C$88=C65)*($AN$5:$AN$88=AN65)*$AP$5:$AP$88))/AQ65-1))</f>
        <v/>
      </c>
      <c r="AS65" s="19">
        <f>IF(AR65="","",IF(AR65&gt;='Item Budget'!$R$11,"OK","Not above lower tier"))</f>
        <v/>
      </c>
    </row>
    <row r="66">
      <c r="A66" s="45" t="n">
        <v>666</v>
      </c>
      <c r="B66" s="45" t="inlineStr">
        <is>
          <t>Exalted War Gloves</t>
        </is>
      </c>
      <c r="C66" s="45" t="inlineStr">
        <is>
          <t>Gloves</t>
        </is>
      </c>
      <c r="D66" s="45" t="inlineStr">
        <is>
          <t>All</t>
        </is>
      </c>
      <c r="E66" s="45" t="inlineStr">
        <is>
          <t>drop:Persecution Drillmaster(L43) 15%</t>
        </is>
      </c>
      <c r="F66" s="46" t="inlineStr">
        <is>
          <t>Anchor</t>
        </is>
      </c>
      <c r="G66" s="45" t="inlineStr">
        <is>
          <t>Common drop</t>
        </is>
      </c>
      <c r="H66" s="47">
        <f>INDEX('Item Budget'!$F$5:$F$13,MATCH(G66,'Item Budget'!$E$5:$E$13,0))+IF(D66="All",0,'Item Budget'!$F$15)+LOOKUP(AN66,'Item Budget'!$E$19:$E$23,'Item Budget'!$F$19:$F$23)</f>
        <v/>
      </c>
      <c r="I66" s="45" t="n">
        <v>44</v>
      </c>
      <c r="J66" s="45" t="n">
        <v>180</v>
      </c>
      <c r="K66" s="45" t="n">
        <v>0</v>
      </c>
      <c r="L66" s="45" t="n">
        <v>45</v>
      </c>
      <c r="M66" s="45" t="n">
        <v>18</v>
      </c>
      <c r="N66" s="45" t="n">
        <v>9</v>
      </c>
      <c r="O66" s="45" t="n">
        <v>9</v>
      </c>
      <c r="P66" s="45" t="n">
        <v>0</v>
      </c>
      <c r="Q66" s="45" t="inlineStr">
        <is>
          <t>Melee Damage V</t>
        </is>
      </c>
      <c r="R66" s="65">
        <f>J66*'Item Budget'!$B$5+N66*'Item Budget'!$B$7+L66*'Item Budget'!$B$11+O66*'Item Budget'!$B$10+M66*'Item Budget'!$B$9+IFERROR(INDEX('Item Budget'!$M$25:$M$95,MATCH(Q66,'Item Budget'!$B$25:$B$95,0)),0)</f>
        <v/>
      </c>
      <c r="S66" s="65">
        <f>J66*'Item Budget'!$B$5+N66*'Item Budget'!$B$7+L66*'Item Budget'!$B$11+O66*'Item Budget'!$B$10+K66*'Item Budget'!$B$6+P66*'Item Budget'!$B$8+IFERROR(INDEX('Item Budget'!$N$25:$N$95,MATCH(Q66,'Item Budget'!$B$25:$B$95,0)),0)</f>
        <v/>
      </c>
      <c r="T66" s="65">
        <f>MAX('Item Budget'!$F$16,INDEX('Item Budget'!$J$5:$J$10,MATCH($C66,'Item Budget'!$I$5:$I$10,0))+INDEX('Item Budget'!$K$5:$K$10,MATCH($C66,'Item Budget'!$I$5:$I$10,0))*MIN(I66,50))</f>
        <v/>
      </c>
      <c r="U66" s="65">
        <f>T66*$H66</f>
        <v/>
      </c>
      <c r="V66" s="49">
        <f>MAX(R66,S66)/U66</f>
        <v/>
      </c>
      <c r="W66" s="21" t="n">
        <v>44</v>
      </c>
      <c r="X66" s="21" t="n">
        <v>180</v>
      </c>
      <c r="Y66" s="21" t="n">
        <v>0</v>
      </c>
      <c r="Z66" s="21" t="n">
        <v>45</v>
      </c>
      <c r="AA66" s="21" t="n">
        <v>18</v>
      </c>
      <c r="AB66" s="21" t="n">
        <v>9</v>
      </c>
      <c r="AC66" s="21" t="n">
        <v>9</v>
      </c>
      <c r="AD66" s="21" t="n">
        <v>0</v>
      </c>
      <c r="AE66" s="21" t="inlineStr">
        <is>
          <t>Melee Damage V</t>
        </is>
      </c>
      <c r="AF66" s="65">
        <f>X66*'Item Budget'!$B$5+AB66*'Item Budget'!$B$7+Z66*'Item Budget'!$B$11+AC66*'Item Budget'!$B$10+AA66*'Item Budget'!$B$9+IFERROR(INDEX('Item Budget'!$M$25:$M$95,MATCH(AE66,'Item Budget'!$B$25:$B$95,0)),0)</f>
        <v/>
      </c>
      <c r="AG66" s="65">
        <f>X66*'Item Budget'!$B$5+AB66*'Item Budget'!$B$7+Z66*'Item Budget'!$B$11+AC66*'Item Budget'!$B$10+Y66*'Item Budget'!$B$6+AD66*'Item Budget'!$B$8+IFERROR(INDEX('Item Budget'!$N$25:$N$95,MATCH(AE66,'Item Budget'!$B$25:$B$95,0)),0)</f>
        <v/>
      </c>
      <c r="AH66" s="65">
        <f>MAX('Item Budget'!$F$16,INDEX('Item Budget'!$J$5:$J$10,MATCH($C66,'Item Budget'!$I$5:$I$10,0))+INDEX('Item Budget'!$K$5:$K$10,MATCH($C66,'Item Budget'!$I$5:$I$10,0))*MIN(W66,50))</f>
        <v/>
      </c>
      <c r="AI66" s="65">
        <f>AH66*$H66</f>
        <v/>
      </c>
      <c r="AJ66" s="49">
        <f>MAX(AF66,AG66)/AI66</f>
        <v/>
      </c>
      <c r="AK66" s="64" t="inlineStr">
        <is>
          <t>Pass 1 (applied): New accessory (anchor). Unchanged.</t>
        </is>
      </c>
      <c r="AL66" s="43">
        <f>IFERROR(INDEX('Item Budget'!$H$25:$H$95,MATCH(Q66,'Item Budget'!$B$25:$B$95,0)),0)</f>
        <v/>
      </c>
      <c r="AM66" s="43">
        <f>IFERROR(INDEX('Item Budget'!$H$25:$H$95,MATCH(AE66,'Item Budget'!$B$25:$B$95,0)),0)</f>
        <v/>
      </c>
      <c r="AN66" s="37" t="n">
        <v>0</v>
      </c>
      <c r="AO66" s="44">
        <f>IF(I66&lt;'Item Budget'!$R$10,0,'Item Budget'!$R$7*100*MAX(('Item Budget'!$R$14*(J66+25*N66)+'Item Budget'!$S$14*(K66+25*P66))/'Item Budget'!$Z$14,('Item Budget'!$R$15*(J66+25*N66)+'Item Budget'!$S$15*(K66+25*P66))/'Item Budget'!$Z$15,('Item Budget'!$R$16*(J66+25*N66)+'Item Budget'!$S$16*(K66+25*P66))/'Item Budget'!$Z$16,('Item Budget'!$R$17*(J66+25*N66)+'Item Budget'!$S$17*(K66+25*P66))/'Item Budget'!$Z$17)+'Item Budget'!$R$9*L66+IFERROR(INDEX('Item Budget'!$O$25:$O$95,MATCH(Q66,'Item Budget'!$B$25:$B$95,0)),0))</f>
        <v/>
      </c>
      <c r="AP66" s="44">
        <f>IF(W66&lt;'Item Budget'!$R$10,0,'Item Budget'!$R$7*100*MAX(('Item Budget'!$R$14*(X66+25*AB66)+'Item Budget'!$S$14*(Y66+25*AD66))/'Item Budget'!$Z$14,('Item Budget'!$R$15*(X66+25*AB66)+'Item Budget'!$S$15*(Y66+25*AD66))/'Item Budget'!$Z$15,('Item Budget'!$R$16*(X66+25*AB66)+'Item Budget'!$S$16*(Y66+25*AD66))/'Item Budget'!$Z$16,('Item Budget'!$R$17*(X66+25*AB66)+'Item Budget'!$S$17*(Y66+25*AD66))/'Item Budget'!$Z$17)+'Item Budget'!$R$9*Z66+IFERROR(INDEX('Item Budget'!$O$25:$O$95,MATCH(AE66,'Item Budget'!$B$25:$B$95,0)),0))</f>
        <v/>
      </c>
      <c r="AQ66" s="61">
        <f>IF(OR(AN66=0,AP66=0),"",SUMPRODUCT(MAX(($C$5:$C$88=C66)*($AN$5:$AN$88&lt;AN66)*$AP$5:$AP$88)))</f>
        <v/>
      </c>
      <c r="AR66" s="41">
        <f>IF(AQ66="","",IF(AQ66=0,1,SUMPRODUCT(MAX(($C$5:$C$88=C66)*($AN$5:$AN$88=AN66)*$AP$5:$AP$88))/AQ66-1))</f>
        <v/>
      </c>
      <c r="AS66" s="19">
        <f>IF(AR66="","",IF(AR66&gt;='Item Budget'!$R$11,"OK","Not above lower tier"))</f>
        <v/>
      </c>
    </row>
    <row r="67">
      <c r="A67" s="21" t="n">
        <v>510</v>
      </c>
      <c r="B67" s="21" t="inlineStr">
        <is>
          <t>Slayers Gloves</t>
        </is>
      </c>
      <c r="C67" s="21" t="inlineStr">
        <is>
          <t>Gloves</t>
        </is>
      </c>
      <c r="D67" s="21" t="inlineStr">
        <is>
          <t>All</t>
        </is>
      </c>
      <c r="E67" s="21" t="inlineStr">
        <is>
          <t>drop:Princess Slayer(L50) 20%</t>
        </is>
      </c>
      <c r="F67" s="3" t="inlineStr">
        <is>
          <t>Buff</t>
        </is>
      </c>
      <c r="G67" s="21" t="inlineStr">
        <is>
          <t>Raid / special</t>
        </is>
      </c>
      <c r="H67" s="31">
        <f>INDEX('Item Budget'!$F$5:$F$13,MATCH(G67,'Item Budget'!$E$5:$E$13,0))+IF(D67="All",0,'Item Budget'!$F$15)+LOOKUP(AN67,'Item Budget'!$E$19:$E$23,'Item Budget'!$F$19:$F$23)</f>
        <v/>
      </c>
      <c r="I67" s="21" t="n">
        <v>50</v>
      </c>
      <c r="J67" s="21" t="n">
        <v>2000</v>
      </c>
      <c r="K67" s="21" t="n">
        <v>2000</v>
      </c>
      <c r="L67" s="21" t="n">
        <v>80</v>
      </c>
      <c r="M67" s="21" t="n">
        <v>0</v>
      </c>
      <c r="N67" s="21" t="n">
        <v>0</v>
      </c>
      <c r="O67" s="21" t="n">
        <v>0</v>
      </c>
      <c r="P67" s="21" t="n">
        <v>0</v>
      </c>
      <c r="Q67" s="21" t="inlineStr">
        <is>
          <t>Slayers Blessing</t>
        </is>
      </c>
      <c r="R67" s="61">
        <f>J67*'Item Budget'!$B$5+N67*'Item Budget'!$B$7+L67*'Item Budget'!$B$11+O67*'Item Budget'!$B$10+M67*'Item Budget'!$B$9+IFERROR(INDEX('Item Budget'!$M$25:$M$95,MATCH(Q67,'Item Budget'!$B$25:$B$95,0)),0)</f>
        <v/>
      </c>
      <c r="S67" s="61">
        <f>J67*'Item Budget'!$B$5+N67*'Item Budget'!$B$7+L67*'Item Budget'!$B$11+O67*'Item Budget'!$B$10+K67*'Item Budget'!$B$6+P67*'Item Budget'!$B$8+IFERROR(INDEX('Item Budget'!$N$25:$N$95,MATCH(Q67,'Item Budget'!$B$25:$B$95,0)),0)</f>
        <v/>
      </c>
      <c r="T67" s="61">
        <f>MAX('Item Budget'!$F$16,INDEX('Item Budget'!$J$5:$J$10,MATCH($C67,'Item Budget'!$I$5:$I$10,0))+INDEX('Item Budget'!$K$5:$K$10,MATCH($C67,'Item Budget'!$I$5:$I$10,0))*MIN(I67,50))</f>
        <v/>
      </c>
      <c r="U67" s="61">
        <f>T67*$H67</f>
        <v/>
      </c>
      <c r="V67" s="41">
        <f>MAX(R67,S67)/U67</f>
        <v/>
      </c>
      <c r="W67" s="21" t="n">
        <v>50</v>
      </c>
      <c r="X67" s="21" t="n">
        <v>2000</v>
      </c>
      <c r="Y67" s="21" t="n">
        <v>2000</v>
      </c>
      <c r="Z67" s="21" t="n">
        <v>80</v>
      </c>
      <c r="AA67" s="21" t="n">
        <v>0</v>
      </c>
      <c r="AB67" s="21" t="n">
        <v>0</v>
      </c>
      <c r="AC67" s="21" t="n">
        <v>0</v>
      </c>
      <c r="AD67" s="21" t="n">
        <v>0</v>
      </c>
      <c r="AE67" s="21" t="inlineStr">
        <is>
          <t>Slayers Blessing</t>
        </is>
      </c>
      <c r="AF67" s="61">
        <f>X67*'Item Budget'!$B$5+AB67*'Item Budget'!$B$7+Z67*'Item Budget'!$B$11+AC67*'Item Budget'!$B$10+AA67*'Item Budget'!$B$9+IFERROR(INDEX('Item Budget'!$M$25:$M$95,MATCH(AE67,'Item Budget'!$B$25:$B$95,0)),0)</f>
        <v/>
      </c>
      <c r="AG67" s="61">
        <f>X67*'Item Budget'!$B$5+AB67*'Item Budget'!$B$7+Z67*'Item Budget'!$B$11+AC67*'Item Budget'!$B$10+Y67*'Item Budget'!$B$6+AD67*'Item Budget'!$B$8+IFERROR(INDEX('Item Budget'!$N$25:$N$95,MATCH(AE67,'Item Budget'!$B$25:$B$95,0)),0)</f>
        <v/>
      </c>
      <c r="AH67" s="61">
        <f>MAX('Item Budget'!$F$16,INDEX('Item Budget'!$J$5:$J$10,MATCH($C67,'Item Budget'!$I$5:$I$10,0))+INDEX('Item Budget'!$K$5:$K$10,MATCH($C67,'Item Budget'!$I$5:$I$10,0))*MIN(W67,50))</f>
        <v/>
      </c>
      <c r="AI67" s="61">
        <f>AH67*$H67</f>
        <v/>
      </c>
      <c r="AJ67" s="41">
        <f>MAX(AF67,AG67)/AI67</f>
        <v/>
      </c>
      <c r="AK67" s="64" t="inlineStr">
        <is>
          <t>Pass 1 (applied): 200M XP raid. Stats unchanged; set effect id 219 edited to 6/6/3.</t>
        </is>
      </c>
      <c r="AL67" s="43">
        <f>IFERROR(INDEX('Item Budget'!$H$25:$H$95,MATCH(Q67,'Item Budget'!$B$25:$B$95,0)),0)</f>
        <v/>
      </c>
      <c r="AM67" s="43">
        <f>IFERROR(INDEX('Item Budget'!$H$25:$H$95,MATCH(AE67,'Item Budget'!$B$25:$B$95,0)),0)</f>
        <v/>
      </c>
      <c r="AN67" s="37" t="n">
        <v>200000000</v>
      </c>
      <c r="AO67" s="44">
        <f>IF(I67&lt;'Item Budget'!$R$10,0,'Item Budget'!$R$7*100*MAX(('Item Budget'!$R$14*(J67+25*N67)+'Item Budget'!$S$14*(K67+25*P67))/'Item Budget'!$Z$14,('Item Budget'!$R$15*(J67+25*N67)+'Item Budget'!$S$15*(K67+25*P67))/'Item Budget'!$Z$15,('Item Budget'!$R$16*(J67+25*N67)+'Item Budget'!$S$16*(K67+25*P67))/'Item Budget'!$Z$16,('Item Budget'!$R$17*(J67+25*N67)+'Item Budget'!$S$17*(K67+25*P67))/'Item Budget'!$Z$17)+'Item Budget'!$R$9*L67+IFERROR(INDEX('Item Budget'!$O$25:$O$95,MATCH(Q67,'Item Budget'!$B$25:$B$95,0)),0))</f>
        <v/>
      </c>
      <c r="AP67" s="44">
        <f>IF(W67&lt;'Item Budget'!$R$10,0,'Item Budget'!$R$7*100*MAX(('Item Budget'!$R$14*(X67+25*AB67)+'Item Budget'!$S$14*(Y67+25*AD67))/'Item Budget'!$Z$14,('Item Budget'!$R$15*(X67+25*AB67)+'Item Budget'!$S$15*(Y67+25*AD67))/'Item Budget'!$Z$15,('Item Budget'!$R$16*(X67+25*AB67)+'Item Budget'!$S$16*(Y67+25*AD67))/'Item Budget'!$Z$16,('Item Budget'!$R$17*(X67+25*AB67)+'Item Budget'!$S$17*(Y67+25*AD67))/'Item Budget'!$Z$17)+'Item Budget'!$R$9*Z67+IFERROR(INDEX('Item Budget'!$O$25:$O$95,MATCH(AE67,'Item Budget'!$B$25:$B$95,0)),0))</f>
        <v/>
      </c>
      <c r="AQ67" s="61">
        <f>IF(OR(AN67=0,AP67=0),"",SUMPRODUCT(MAX(($C$5:$C$88=C67)*($AN$5:$AN$88&lt;AN67)*$AP$5:$AP$88)))</f>
        <v/>
      </c>
      <c r="AR67" s="41">
        <f>IF(AQ67="","",IF(AQ67=0,1,SUMPRODUCT(MAX(($C$5:$C$88=C67)*($AN$5:$AN$88=AN67)*$AP$5:$AP$88))/AQ67-1))</f>
        <v/>
      </c>
      <c r="AS67" s="19">
        <f>IF(AR67="","",IF(AR67&gt;='Item Budget'!$R$11,"OK","Not above lower tier"))</f>
        <v/>
      </c>
    </row>
    <row r="68">
      <c r="A68" s="45" t="n">
        <v>682</v>
      </c>
      <c r="B68" s="45" t="inlineStr">
        <is>
          <t>Threadbare Cloak</t>
        </is>
      </c>
      <c r="C68" s="45" t="inlineStr">
        <is>
          <t>Cloak</t>
        </is>
      </c>
      <c r="D68" s="45" t="inlineStr">
        <is>
          <t>All</t>
        </is>
      </c>
      <c r="E68" s="45" t="inlineStr">
        <is>
          <t>drop:Black Sheep(L7) 15%</t>
        </is>
      </c>
      <c r="F68" s="46" t="inlineStr">
        <is>
          <t>Anchor</t>
        </is>
      </c>
      <c r="G68" s="45" t="inlineStr">
        <is>
          <t>Common drop</t>
        </is>
      </c>
      <c r="H68" s="47">
        <f>INDEX('Item Budget'!$F$5:$F$13,MATCH(G68,'Item Budget'!$E$5:$E$13,0))+IF(D68="All",0,'Item Budget'!$F$15)+LOOKUP(AN68,'Item Budget'!$E$19:$E$23,'Item Budget'!$F$19:$F$23)</f>
        <v/>
      </c>
      <c r="I68" s="45" t="n">
        <v>6</v>
      </c>
      <c r="J68" s="45" t="n">
        <v>20</v>
      </c>
      <c r="K68" s="45" t="n">
        <v>20</v>
      </c>
      <c r="L68" s="45" t="n">
        <v>8</v>
      </c>
      <c r="M68" s="45" t="n">
        <v>0</v>
      </c>
      <c r="N68" s="45" t="n">
        <v>0</v>
      </c>
      <c r="O68" s="45" t="n">
        <v>0</v>
      </c>
      <c r="P68" s="45" t="n">
        <v>0</v>
      </c>
      <c r="Q68" s="45" t="inlineStr">
        <is>
          <t>(none)</t>
        </is>
      </c>
      <c r="R68" s="65">
        <f>J68*'Item Budget'!$B$5+N68*'Item Budget'!$B$7+L68*'Item Budget'!$B$11+O68*'Item Budget'!$B$10+M68*'Item Budget'!$B$9+IFERROR(INDEX('Item Budget'!$M$25:$M$95,MATCH(Q68,'Item Budget'!$B$25:$B$95,0)),0)</f>
        <v/>
      </c>
      <c r="S68" s="65">
        <f>J68*'Item Budget'!$B$5+N68*'Item Budget'!$B$7+L68*'Item Budget'!$B$11+O68*'Item Budget'!$B$10+K68*'Item Budget'!$B$6+P68*'Item Budget'!$B$8+IFERROR(INDEX('Item Budget'!$N$25:$N$95,MATCH(Q68,'Item Budget'!$B$25:$B$95,0)),0)</f>
        <v/>
      </c>
      <c r="T68" s="65">
        <f>MAX('Item Budget'!$F$16,INDEX('Item Budget'!$J$5:$J$10,MATCH($C68,'Item Budget'!$I$5:$I$10,0))+INDEX('Item Budget'!$K$5:$K$10,MATCH($C68,'Item Budget'!$I$5:$I$10,0))*MIN(I68,50))</f>
        <v/>
      </c>
      <c r="U68" s="65">
        <f>T68*$H68</f>
        <v/>
      </c>
      <c r="V68" s="49">
        <f>MAX(R68,S68)/U68</f>
        <v/>
      </c>
      <c r="W68" s="21" t="n">
        <v>6</v>
      </c>
      <c r="X68" s="21" t="n">
        <v>20</v>
      </c>
      <c r="Y68" s="21" t="n">
        <v>20</v>
      </c>
      <c r="Z68" s="21" t="n">
        <v>8</v>
      </c>
      <c r="AA68" s="21" t="n">
        <v>0</v>
      </c>
      <c r="AB68" s="21" t="n">
        <v>0</v>
      </c>
      <c r="AC68" s="21" t="n">
        <v>0</v>
      </c>
      <c r="AD68" s="21" t="n">
        <v>0</v>
      </c>
      <c r="AE68" s="21" t="inlineStr">
        <is>
          <t>(none)</t>
        </is>
      </c>
      <c r="AF68" s="65">
        <f>X68*'Item Budget'!$B$5+AB68*'Item Budget'!$B$7+Z68*'Item Budget'!$B$11+AC68*'Item Budget'!$B$10+AA68*'Item Budget'!$B$9+IFERROR(INDEX('Item Budget'!$M$25:$M$95,MATCH(AE68,'Item Budget'!$B$25:$B$95,0)),0)</f>
        <v/>
      </c>
      <c r="AG68" s="65">
        <f>X68*'Item Budget'!$B$5+AB68*'Item Budget'!$B$7+Z68*'Item Budget'!$B$11+AC68*'Item Budget'!$B$10+Y68*'Item Budget'!$B$6+AD68*'Item Budget'!$B$8+IFERROR(INDEX('Item Budget'!$N$25:$N$95,MATCH(AE68,'Item Budget'!$B$25:$B$95,0)),0)</f>
        <v/>
      </c>
      <c r="AH68" s="65">
        <f>MAX('Item Budget'!$F$16,INDEX('Item Budget'!$J$5:$J$10,MATCH($C68,'Item Budget'!$I$5:$I$10,0))+INDEX('Item Budget'!$K$5:$K$10,MATCH($C68,'Item Budget'!$I$5:$I$10,0))*MIN(W68,50))</f>
        <v/>
      </c>
      <c r="AI68" s="65">
        <f>AH68*$H68</f>
        <v/>
      </c>
      <c r="AJ68" s="49">
        <f>MAX(AF68,AG68)/AI68</f>
        <v/>
      </c>
      <c r="AK68" s="64" t="inlineStr">
        <is>
          <t>Pass 1 (applied): New accessory (anchor). Unchanged.</t>
        </is>
      </c>
      <c r="AL68" s="43">
        <f>IFERROR(INDEX('Item Budget'!$H$25:$H$95,MATCH(Q68,'Item Budget'!$B$25:$B$95,0)),0)</f>
        <v/>
      </c>
      <c r="AM68" s="43">
        <f>IFERROR(INDEX('Item Budget'!$H$25:$H$95,MATCH(AE68,'Item Budget'!$B$25:$B$95,0)),0)</f>
        <v/>
      </c>
      <c r="AN68" s="37" t="n">
        <v>0</v>
      </c>
      <c r="AO68" s="44">
        <f>IF(I68&lt;'Item Budget'!$R$10,0,'Item Budget'!$R$7*100*MAX(('Item Budget'!$R$14*(J68+25*N68)+'Item Budget'!$S$14*(K68+25*P68))/'Item Budget'!$Z$14,('Item Budget'!$R$15*(J68+25*N68)+'Item Budget'!$S$15*(K68+25*P68))/'Item Budget'!$Z$15,('Item Budget'!$R$16*(J68+25*N68)+'Item Budget'!$S$16*(K68+25*P68))/'Item Budget'!$Z$16,('Item Budget'!$R$17*(J68+25*N68)+'Item Budget'!$S$17*(K68+25*P68))/'Item Budget'!$Z$17)+'Item Budget'!$R$9*L68+IFERROR(INDEX('Item Budget'!$O$25:$O$95,MATCH(Q68,'Item Budget'!$B$25:$B$95,0)),0))</f>
        <v/>
      </c>
      <c r="AP68" s="44">
        <f>IF(W68&lt;'Item Budget'!$R$10,0,'Item Budget'!$R$7*100*MAX(('Item Budget'!$R$14*(X68+25*AB68)+'Item Budget'!$S$14*(Y68+25*AD68))/'Item Budget'!$Z$14,('Item Budget'!$R$15*(X68+25*AB68)+'Item Budget'!$S$15*(Y68+25*AD68))/'Item Budget'!$Z$15,('Item Budget'!$R$16*(X68+25*AB68)+'Item Budget'!$S$16*(Y68+25*AD68))/'Item Budget'!$Z$16,('Item Budget'!$R$17*(X68+25*AB68)+'Item Budget'!$S$17*(Y68+25*AD68))/'Item Budget'!$Z$17)+'Item Budget'!$R$9*Z68+IFERROR(INDEX('Item Budget'!$O$25:$O$95,MATCH(AE68,'Item Budget'!$B$25:$B$95,0)),0))</f>
        <v/>
      </c>
      <c r="AQ68" s="61">
        <f>IF(OR(AN68=0,AP68=0),"",SUMPRODUCT(MAX(($C$5:$C$88=C68)*($AN$5:$AN$88&lt;AN68)*$AP$5:$AP$88)))</f>
        <v/>
      </c>
      <c r="AR68" s="41">
        <f>IF(AQ68="","",IF(AQ68=0,1,SUMPRODUCT(MAX(($C$5:$C$88=C68)*($AN$5:$AN$88=AN68)*$AP$5:$AP$88))/AQ68-1))</f>
        <v/>
      </c>
      <c r="AS68" s="19">
        <f>IF(AR68="","",IF(AR68&gt;='Item Budget'!$R$11,"OK","Not above lower tier"))</f>
        <v/>
      </c>
    </row>
    <row r="69">
      <c r="A69" s="21" t="n">
        <v>47</v>
      </c>
      <c r="B69" s="21" t="inlineStr">
        <is>
          <t>Cloak of Chilling Speed</t>
        </is>
      </c>
      <c r="C69" s="21" t="inlineStr">
        <is>
          <t>Cloak</t>
        </is>
      </c>
      <c r="D69" s="21" t="inlineStr">
        <is>
          <t>All</t>
        </is>
      </c>
      <c r="E69" s="21" t="inlineStr">
        <is>
          <t>drop:Roger(L14) 6%</t>
        </is>
      </c>
      <c r="F69" s="19" t="inlineStr">
        <is>
          <t>Leave</t>
        </is>
      </c>
      <c r="G69" s="21" t="inlineStr">
        <is>
          <t>Rare drop</t>
        </is>
      </c>
      <c r="H69" s="31">
        <f>INDEX('Item Budget'!$F$5:$F$13,MATCH(G69,'Item Budget'!$E$5:$E$13,0))+IF(D69="All",0,'Item Budget'!$F$15)+LOOKUP(AN69,'Item Budget'!$E$19:$E$23,'Item Budget'!$F$19:$F$23)</f>
        <v/>
      </c>
      <c r="I69" s="21" t="n">
        <v>15</v>
      </c>
      <c r="J69" s="21" t="n">
        <v>20</v>
      </c>
      <c r="K69" s="21" t="n">
        <v>0</v>
      </c>
      <c r="L69" s="21" t="n">
        <v>10</v>
      </c>
      <c r="M69" s="21" t="n">
        <v>0</v>
      </c>
      <c r="N69" s="21" t="n">
        <v>0</v>
      </c>
      <c r="O69" s="21" t="n">
        <v>0</v>
      </c>
      <c r="P69" s="21" t="n">
        <v>0</v>
      </c>
      <c r="Q69" s="21" t="inlineStr">
        <is>
          <t>Haste V</t>
        </is>
      </c>
      <c r="R69" s="61">
        <f>J69*'Item Budget'!$B$5+N69*'Item Budget'!$B$7+L69*'Item Budget'!$B$11+O69*'Item Budget'!$B$10+M69*'Item Budget'!$B$9+IFERROR(INDEX('Item Budget'!$M$25:$M$95,MATCH(Q69,'Item Budget'!$B$25:$B$95,0)),0)</f>
        <v/>
      </c>
      <c r="S69" s="61">
        <f>J69*'Item Budget'!$B$5+N69*'Item Budget'!$B$7+L69*'Item Budget'!$B$11+O69*'Item Budget'!$B$10+K69*'Item Budget'!$B$6+P69*'Item Budget'!$B$8+IFERROR(INDEX('Item Budget'!$N$25:$N$95,MATCH(Q69,'Item Budget'!$B$25:$B$95,0)),0)</f>
        <v/>
      </c>
      <c r="T69" s="61">
        <f>MAX('Item Budget'!$F$16,INDEX('Item Budget'!$J$5:$J$10,MATCH($C69,'Item Budget'!$I$5:$I$10,0))+INDEX('Item Budget'!$K$5:$K$10,MATCH($C69,'Item Budget'!$I$5:$I$10,0))*MIN(I69,50))</f>
        <v/>
      </c>
      <c r="U69" s="61">
        <f>T69*$H69</f>
        <v/>
      </c>
      <c r="V69" s="41">
        <f>MAX(R69,S69)/U69</f>
        <v/>
      </c>
      <c r="W69" s="21" t="n">
        <v>15</v>
      </c>
      <c r="X69" s="21" t="n">
        <v>20</v>
      </c>
      <c r="Y69" s="21" t="n">
        <v>0</v>
      </c>
      <c r="Z69" s="21" t="n">
        <v>10</v>
      </c>
      <c r="AA69" s="21" t="n">
        <v>0</v>
      </c>
      <c r="AB69" s="21" t="n">
        <v>0</v>
      </c>
      <c r="AC69" s="21" t="n">
        <v>0</v>
      </c>
      <c r="AD69" s="21" t="n">
        <v>0</v>
      </c>
      <c r="AE69" s="21" t="inlineStr">
        <is>
          <t>Haste V</t>
        </is>
      </c>
      <c r="AF69" s="61">
        <f>X69*'Item Budget'!$B$5+AB69*'Item Budget'!$B$7+Z69*'Item Budget'!$B$11+AC69*'Item Budget'!$B$10+AA69*'Item Budget'!$B$9+IFERROR(INDEX('Item Budget'!$M$25:$M$95,MATCH(AE69,'Item Budget'!$B$25:$B$95,0)),0)</f>
        <v/>
      </c>
      <c r="AG69" s="61">
        <f>X69*'Item Budget'!$B$5+AB69*'Item Budget'!$B$7+Z69*'Item Budget'!$B$11+AC69*'Item Budget'!$B$10+Y69*'Item Budget'!$B$6+AD69*'Item Budget'!$B$8+IFERROR(INDEX('Item Budget'!$N$25:$N$95,MATCH(AE69,'Item Budget'!$B$25:$B$95,0)),0)</f>
        <v/>
      </c>
      <c r="AH69" s="61">
        <f>MAX('Item Budget'!$F$16,INDEX('Item Budget'!$J$5:$J$10,MATCH($C69,'Item Budget'!$I$5:$I$10,0))+INDEX('Item Budget'!$K$5:$K$10,MATCH($C69,'Item Budget'!$I$5:$I$10,0))*MIN(W69,50))</f>
        <v/>
      </c>
      <c r="AI69" s="61">
        <f>AH69*$H69</f>
        <v/>
      </c>
      <c r="AJ69" s="41">
        <f>MAX(AF69,AG69)/AI69</f>
        <v/>
      </c>
      <c r="AK69" s="64" t="inlineStr">
        <is>
          <t>Pass 1 (applied): Already over target: 5% haste at L15. Leave, or cut to Haste III.</t>
        </is>
      </c>
      <c r="AL69" s="43">
        <f>IFERROR(INDEX('Item Budget'!$H$25:$H$95,MATCH(Q69,'Item Budget'!$B$25:$B$95,0)),0)</f>
        <v/>
      </c>
      <c r="AM69" s="43">
        <f>IFERROR(INDEX('Item Budget'!$H$25:$H$95,MATCH(AE69,'Item Budget'!$B$25:$B$95,0)),0)</f>
        <v/>
      </c>
      <c r="AN69" s="37" t="n">
        <v>0</v>
      </c>
      <c r="AO69" s="44">
        <f>IF(I69&lt;'Item Budget'!$R$10,0,'Item Budget'!$R$7*100*MAX(('Item Budget'!$R$14*(J69+25*N69)+'Item Budget'!$S$14*(K69+25*P69))/'Item Budget'!$Z$14,('Item Budget'!$R$15*(J69+25*N69)+'Item Budget'!$S$15*(K69+25*P69))/'Item Budget'!$Z$15,('Item Budget'!$R$16*(J69+25*N69)+'Item Budget'!$S$16*(K69+25*P69))/'Item Budget'!$Z$16,('Item Budget'!$R$17*(J69+25*N69)+'Item Budget'!$S$17*(K69+25*P69))/'Item Budget'!$Z$17)+'Item Budget'!$R$9*L69+IFERROR(INDEX('Item Budget'!$O$25:$O$95,MATCH(Q69,'Item Budget'!$B$25:$B$95,0)),0))</f>
        <v/>
      </c>
      <c r="AP69" s="44">
        <f>IF(W69&lt;'Item Budget'!$R$10,0,'Item Budget'!$R$7*100*MAX(('Item Budget'!$R$14*(X69+25*AB69)+'Item Budget'!$S$14*(Y69+25*AD69))/'Item Budget'!$Z$14,('Item Budget'!$R$15*(X69+25*AB69)+'Item Budget'!$S$15*(Y69+25*AD69))/'Item Budget'!$Z$15,('Item Budget'!$R$16*(X69+25*AB69)+'Item Budget'!$S$16*(Y69+25*AD69))/'Item Budget'!$Z$16,('Item Budget'!$R$17*(X69+25*AB69)+'Item Budget'!$S$17*(Y69+25*AD69))/'Item Budget'!$Z$17)+'Item Budget'!$R$9*Z69+IFERROR(INDEX('Item Budget'!$O$25:$O$95,MATCH(AE69,'Item Budget'!$B$25:$B$95,0)),0))</f>
        <v/>
      </c>
      <c r="AQ69" s="61">
        <f>IF(OR(AN69=0,AP69=0),"",SUMPRODUCT(MAX(($C$5:$C$88=C69)*($AN$5:$AN$88&lt;AN69)*$AP$5:$AP$88)))</f>
        <v/>
      </c>
      <c r="AR69" s="41">
        <f>IF(AQ69="","",IF(AQ69=0,1,SUMPRODUCT(MAX(($C$5:$C$88=C69)*($AN$5:$AN$88=AN69)*$AP$5:$AP$88))/AQ69-1))</f>
        <v/>
      </c>
      <c r="AS69" s="19">
        <f>IF(AR69="","",IF(AR69&gt;='Item Budget'!$R$11,"OK","Not above lower tier"))</f>
        <v/>
      </c>
    </row>
    <row r="70">
      <c r="A70" s="45" t="n">
        <v>683</v>
      </c>
      <c r="B70" s="45" t="inlineStr">
        <is>
          <t>Traveler's Cloak</t>
        </is>
      </c>
      <c r="C70" s="45" t="inlineStr">
        <is>
          <t>Cloak</t>
        </is>
      </c>
      <c r="D70" s="45" t="inlineStr">
        <is>
          <t>All</t>
        </is>
      </c>
      <c r="E70" s="45" t="inlineStr">
        <is>
          <t>drop:Nightfang(L16) 15%</t>
        </is>
      </c>
      <c r="F70" s="46" t="inlineStr">
        <is>
          <t>Anchor</t>
        </is>
      </c>
      <c r="G70" s="45" t="inlineStr">
        <is>
          <t>Common drop</t>
        </is>
      </c>
      <c r="H70" s="47">
        <f>INDEX('Item Budget'!$F$5:$F$13,MATCH(G70,'Item Budget'!$E$5:$E$13,0))+IF(D70="All",0,'Item Budget'!$F$15)+LOOKUP(AN70,'Item Budget'!$E$19:$E$23,'Item Budget'!$F$19:$F$23)</f>
        <v/>
      </c>
      <c r="I70" s="45" t="n">
        <v>16</v>
      </c>
      <c r="J70" s="45" t="n">
        <v>50</v>
      </c>
      <c r="K70" s="45" t="n">
        <v>50</v>
      </c>
      <c r="L70" s="45" t="n">
        <v>15</v>
      </c>
      <c r="M70" s="45" t="n">
        <v>0</v>
      </c>
      <c r="N70" s="45" t="n">
        <v>0</v>
      </c>
      <c r="O70" s="45" t="n">
        <v>2</v>
      </c>
      <c r="P70" s="45" t="n">
        <v>0</v>
      </c>
      <c r="Q70" s="45" t="inlineStr">
        <is>
          <t>Haste II</t>
        </is>
      </c>
      <c r="R70" s="65">
        <f>J70*'Item Budget'!$B$5+N70*'Item Budget'!$B$7+L70*'Item Budget'!$B$11+O70*'Item Budget'!$B$10+M70*'Item Budget'!$B$9+IFERROR(INDEX('Item Budget'!$M$25:$M$95,MATCH(Q70,'Item Budget'!$B$25:$B$95,0)),0)</f>
        <v/>
      </c>
      <c r="S70" s="65">
        <f>J70*'Item Budget'!$B$5+N70*'Item Budget'!$B$7+L70*'Item Budget'!$B$11+O70*'Item Budget'!$B$10+K70*'Item Budget'!$B$6+P70*'Item Budget'!$B$8+IFERROR(INDEX('Item Budget'!$N$25:$N$95,MATCH(Q70,'Item Budget'!$B$25:$B$95,0)),0)</f>
        <v/>
      </c>
      <c r="T70" s="65">
        <f>MAX('Item Budget'!$F$16,INDEX('Item Budget'!$J$5:$J$10,MATCH($C70,'Item Budget'!$I$5:$I$10,0))+INDEX('Item Budget'!$K$5:$K$10,MATCH($C70,'Item Budget'!$I$5:$I$10,0))*MIN(I70,50))</f>
        <v/>
      </c>
      <c r="U70" s="65">
        <f>T70*$H70</f>
        <v/>
      </c>
      <c r="V70" s="49">
        <f>MAX(R70,S70)/U70</f>
        <v/>
      </c>
      <c r="W70" s="21" t="n">
        <v>16</v>
      </c>
      <c r="X70" s="21" t="n">
        <v>50</v>
      </c>
      <c r="Y70" s="21" t="n">
        <v>50</v>
      </c>
      <c r="Z70" s="21" t="n">
        <v>15</v>
      </c>
      <c r="AA70" s="21" t="n">
        <v>0</v>
      </c>
      <c r="AB70" s="21" t="n">
        <v>0</v>
      </c>
      <c r="AC70" s="21" t="n">
        <v>2</v>
      </c>
      <c r="AD70" s="21" t="n">
        <v>0</v>
      </c>
      <c r="AE70" s="21" t="inlineStr">
        <is>
          <t>Haste II</t>
        </is>
      </c>
      <c r="AF70" s="65">
        <f>X70*'Item Budget'!$B$5+AB70*'Item Budget'!$B$7+Z70*'Item Budget'!$B$11+AC70*'Item Budget'!$B$10+AA70*'Item Budget'!$B$9+IFERROR(INDEX('Item Budget'!$M$25:$M$95,MATCH(AE70,'Item Budget'!$B$25:$B$95,0)),0)</f>
        <v/>
      </c>
      <c r="AG70" s="65">
        <f>X70*'Item Budget'!$B$5+AB70*'Item Budget'!$B$7+Z70*'Item Budget'!$B$11+AC70*'Item Budget'!$B$10+Y70*'Item Budget'!$B$6+AD70*'Item Budget'!$B$8+IFERROR(INDEX('Item Budget'!$N$25:$N$95,MATCH(AE70,'Item Budget'!$B$25:$B$95,0)),0)</f>
        <v/>
      </c>
      <c r="AH70" s="65">
        <f>MAX('Item Budget'!$F$16,INDEX('Item Budget'!$J$5:$J$10,MATCH($C70,'Item Budget'!$I$5:$I$10,0))+INDEX('Item Budget'!$K$5:$K$10,MATCH($C70,'Item Budget'!$I$5:$I$10,0))*MIN(W70,50))</f>
        <v/>
      </c>
      <c r="AI70" s="65">
        <f>AH70*$H70</f>
        <v/>
      </c>
      <c r="AJ70" s="49">
        <f>MAX(AF70,AG70)/AI70</f>
        <v/>
      </c>
      <c r="AK70" s="64" t="inlineStr">
        <is>
          <t>Pass 1 (applied): New accessory (anchor). Unchanged.</t>
        </is>
      </c>
      <c r="AL70" s="43">
        <f>IFERROR(INDEX('Item Budget'!$H$25:$H$95,MATCH(Q70,'Item Budget'!$B$25:$B$95,0)),0)</f>
        <v/>
      </c>
      <c r="AM70" s="43">
        <f>IFERROR(INDEX('Item Budget'!$H$25:$H$95,MATCH(AE70,'Item Budget'!$B$25:$B$95,0)),0)</f>
        <v/>
      </c>
      <c r="AN70" s="37" t="n">
        <v>0</v>
      </c>
      <c r="AO70" s="44">
        <f>IF(I70&lt;'Item Budget'!$R$10,0,'Item Budget'!$R$7*100*MAX(('Item Budget'!$R$14*(J70+25*N70)+'Item Budget'!$S$14*(K70+25*P70))/'Item Budget'!$Z$14,('Item Budget'!$R$15*(J70+25*N70)+'Item Budget'!$S$15*(K70+25*P70))/'Item Budget'!$Z$15,('Item Budget'!$R$16*(J70+25*N70)+'Item Budget'!$S$16*(K70+25*P70))/'Item Budget'!$Z$16,('Item Budget'!$R$17*(J70+25*N70)+'Item Budget'!$S$17*(K70+25*P70))/'Item Budget'!$Z$17)+'Item Budget'!$R$9*L70+IFERROR(INDEX('Item Budget'!$O$25:$O$95,MATCH(Q70,'Item Budget'!$B$25:$B$95,0)),0))</f>
        <v/>
      </c>
      <c r="AP70" s="44">
        <f>IF(W70&lt;'Item Budget'!$R$10,0,'Item Budget'!$R$7*100*MAX(('Item Budget'!$R$14*(X70+25*AB70)+'Item Budget'!$S$14*(Y70+25*AD70))/'Item Budget'!$Z$14,('Item Budget'!$R$15*(X70+25*AB70)+'Item Budget'!$S$15*(Y70+25*AD70))/'Item Budget'!$Z$15,('Item Budget'!$R$16*(X70+25*AB70)+'Item Budget'!$S$16*(Y70+25*AD70))/'Item Budget'!$Z$16,('Item Budget'!$R$17*(X70+25*AB70)+'Item Budget'!$S$17*(Y70+25*AD70))/'Item Budget'!$Z$17)+'Item Budget'!$R$9*Z70+IFERROR(INDEX('Item Budget'!$O$25:$O$95,MATCH(AE70,'Item Budget'!$B$25:$B$95,0)),0))</f>
        <v/>
      </c>
      <c r="AQ70" s="61">
        <f>IF(OR(AN70=0,AP70=0),"",SUMPRODUCT(MAX(($C$5:$C$88=C70)*($AN$5:$AN$88&lt;AN70)*$AP$5:$AP$88)))</f>
        <v/>
      </c>
      <c r="AR70" s="41">
        <f>IF(AQ70="","",IF(AQ70=0,1,SUMPRODUCT(MAX(($C$5:$C$88=C70)*($AN$5:$AN$88=AN70)*$AP$5:$AP$88))/AQ70-1))</f>
        <v/>
      </c>
      <c r="AS70" s="19">
        <f>IF(AR70="","",IF(AR70&gt;='Item Budget'!$R$11,"OK","Not above lower tier"))</f>
        <v/>
      </c>
    </row>
    <row r="71">
      <c r="A71" s="45" t="n">
        <v>684</v>
      </c>
      <c r="B71" s="45" t="inlineStr">
        <is>
          <t>Warden's Cloak</t>
        </is>
      </c>
      <c r="C71" s="45" t="inlineStr">
        <is>
          <t>Cloak</t>
        </is>
      </c>
      <c r="D71" s="45" t="inlineStr">
        <is>
          <t>All</t>
        </is>
      </c>
      <c r="E71" s="45" t="inlineStr">
        <is>
          <t>drop:The Unburied(L27) 15%</t>
        </is>
      </c>
      <c r="F71" s="46" t="inlineStr">
        <is>
          <t>Anchor</t>
        </is>
      </c>
      <c r="G71" s="45" t="inlineStr">
        <is>
          <t>Common drop</t>
        </is>
      </c>
      <c r="H71" s="47">
        <f>INDEX('Item Budget'!$F$5:$F$13,MATCH(G71,'Item Budget'!$E$5:$E$13,0))+IF(D71="All",0,'Item Budget'!$F$15)+LOOKUP(AN71,'Item Budget'!$E$19:$E$23,'Item Budget'!$F$19:$F$23)</f>
        <v/>
      </c>
      <c r="I71" s="45" t="n">
        <v>26</v>
      </c>
      <c r="J71" s="45" t="n">
        <v>90</v>
      </c>
      <c r="K71" s="45" t="n">
        <v>90</v>
      </c>
      <c r="L71" s="45" t="n">
        <v>24</v>
      </c>
      <c r="M71" s="45" t="n">
        <v>0</v>
      </c>
      <c r="N71" s="45" t="n">
        <v>0</v>
      </c>
      <c r="O71" s="45" t="n">
        <v>4</v>
      </c>
      <c r="P71" s="45" t="n">
        <v>0</v>
      </c>
      <c r="Q71" s="45" t="inlineStr">
        <is>
          <t>Haste III</t>
        </is>
      </c>
      <c r="R71" s="65">
        <f>J71*'Item Budget'!$B$5+N71*'Item Budget'!$B$7+L71*'Item Budget'!$B$11+O71*'Item Budget'!$B$10+M71*'Item Budget'!$B$9+IFERROR(INDEX('Item Budget'!$M$25:$M$95,MATCH(Q71,'Item Budget'!$B$25:$B$95,0)),0)</f>
        <v/>
      </c>
      <c r="S71" s="65">
        <f>J71*'Item Budget'!$B$5+N71*'Item Budget'!$B$7+L71*'Item Budget'!$B$11+O71*'Item Budget'!$B$10+K71*'Item Budget'!$B$6+P71*'Item Budget'!$B$8+IFERROR(INDEX('Item Budget'!$N$25:$N$95,MATCH(Q71,'Item Budget'!$B$25:$B$95,0)),0)</f>
        <v/>
      </c>
      <c r="T71" s="65">
        <f>MAX('Item Budget'!$F$16,INDEX('Item Budget'!$J$5:$J$10,MATCH($C71,'Item Budget'!$I$5:$I$10,0))+INDEX('Item Budget'!$K$5:$K$10,MATCH($C71,'Item Budget'!$I$5:$I$10,0))*MIN(I71,50))</f>
        <v/>
      </c>
      <c r="U71" s="65">
        <f>T71*$H71</f>
        <v/>
      </c>
      <c r="V71" s="49">
        <f>MAX(R71,S71)/U71</f>
        <v/>
      </c>
      <c r="W71" s="21" t="n">
        <v>26</v>
      </c>
      <c r="X71" s="21" t="n">
        <v>90</v>
      </c>
      <c r="Y71" s="21" t="n">
        <v>90</v>
      </c>
      <c r="Z71" s="21" t="n">
        <v>24</v>
      </c>
      <c r="AA71" s="21" t="n">
        <v>0</v>
      </c>
      <c r="AB71" s="21" t="n">
        <v>0</v>
      </c>
      <c r="AC71" s="21" t="n">
        <v>4</v>
      </c>
      <c r="AD71" s="21" t="n">
        <v>0</v>
      </c>
      <c r="AE71" s="21" t="inlineStr">
        <is>
          <t>Haste III</t>
        </is>
      </c>
      <c r="AF71" s="65">
        <f>X71*'Item Budget'!$B$5+AB71*'Item Budget'!$B$7+Z71*'Item Budget'!$B$11+AC71*'Item Budget'!$B$10+AA71*'Item Budget'!$B$9+IFERROR(INDEX('Item Budget'!$M$25:$M$95,MATCH(AE71,'Item Budget'!$B$25:$B$95,0)),0)</f>
        <v/>
      </c>
      <c r="AG71" s="65">
        <f>X71*'Item Budget'!$B$5+AB71*'Item Budget'!$B$7+Z71*'Item Budget'!$B$11+AC71*'Item Budget'!$B$10+Y71*'Item Budget'!$B$6+AD71*'Item Budget'!$B$8+IFERROR(INDEX('Item Budget'!$N$25:$N$95,MATCH(AE71,'Item Budget'!$B$25:$B$95,0)),0)</f>
        <v/>
      </c>
      <c r="AH71" s="65">
        <f>MAX('Item Budget'!$F$16,INDEX('Item Budget'!$J$5:$J$10,MATCH($C71,'Item Budget'!$I$5:$I$10,0))+INDEX('Item Budget'!$K$5:$K$10,MATCH($C71,'Item Budget'!$I$5:$I$10,0))*MIN(W71,50))</f>
        <v/>
      </c>
      <c r="AI71" s="65">
        <f>AH71*$H71</f>
        <v/>
      </c>
      <c r="AJ71" s="49">
        <f>MAX(AF71,AG71)/AI71</f>
        <v/>
      </c>
      <c r="AK71" s="64" t="inlineStr">
        <is>
          <t>Pass 1 (applied): New accessory (anchor). Unchanged.</t>
        </is>
      </c>
      <c r="AL71" s="43">
        <f>IFERROR(INDEX('Item Budget'!$H$25:$H$95,MATCH(Q71,'Item Budget'!$B$25:$B$95,0)),0)</f>
        <v/>
      </c>
      <c r="AM71" s="43">
        <f>IFERROR(INDEX('Item Budget'!$H$25:$H$95,MATCH(AE71,'Item Budget'!$B$25:$B$95,0)),0)</f>
        <v/>
      </c>
      <c r="AN71" s="37" t="n">
        <v>0</v>
      </c>
      <c r="AO71" s="44">
        <f>IF(I71&lt;'Item Budget'!$R$10,0,'Item Budget'!$R$7*100*MAX(('Item Budget'!$R$14*(J71+25*N71)+'Item Budget'!$S$14*(K71+25*P71))/'Item Budget'!$Z$14,('Item Budget'!$R$15*(J71+25*N71)+'Item Budget'!$S$15*(K71+25*P71))/'Item Budget'!$Z$15,('Item Budget'!$R$16*(J71+25*N71)+'Item Budget'!$S$16*(K71+25*P71))/'Item Budget'!$Z$16,('Item Budget'!$R$17*(J71+25*N71)+'Item Budget'!$S$17*(K71+25*P71))/'Item Budget'!$Z$17)+'Item Budget'!$R$9*L71+IFERROR(INDEX('Item Budget'!$O$25:$O$95,MATCH(Q71,'Item Budget'!$B$25:$B$95,0)),0))</f>
        <v/>
      </c>
      <c r="AP71" s="44">
        <f>IF(W71&lt;'Item Budget'!$R$10,0,'Item Budget'!$R$7*100*MAX(('Item Budget'!$R$14*(X71+25*AB71)+'Item Budget'!$S$14*(Y71+25*AD71))/'Item Budget'!$Z$14,('Item Budget'!$R$15*(X71+25*AB71)+'Item Budget'!$S$15*(Y71+25*AD71))/'Item Budget'!$Z$15,('Item Budget'!$R$16*(X71+25*AB71)+'Item Budget'!$S$16*(Y71+25*AD71))/'Item Budget'!$Z$16,('Item Budget'!$R$17*(X71+25*AB71)+'Item Budget'!$S$17*(Y71+25*AD71))/'Item Budget'!$Z$17)+'Item Budget'!$R$9*Z71+IFERROR(INDEX('Item Budget'!$O$25:$O$95,MATCH(AE71,'Item Budget'!$B$25:$B$95,0)),0))</f>
        <v/>
      </c>
      <c r="AQ71" s="61">
        <f>IF(OR(AN71=0,AP71=0),"",SUMPRODUCT(MAX(($C$5:$C$88=C71)*($AN$5:$AN$88&lt;AN71)*$AP$5:$AP$88)))</f>
        <v/>
      </c>
      <c r="AR71" s="41">
        <f>IF(AQ71="","",IF(AQ71=0,1,SUMPRODUCT(MAX(($C$5:$C$88=C71)*($AN$5:$AN$88=AN71)*$AP$5:$AP$88))/AQ71-1))</f>
        <v/>
      </c>
      <c r="AS71" s="19">
        <f>IF(AR71="","",IF(AR71&gt;='Item Budget'!$R$11,"OK","Not above lower tier"))</f>
        <v/>
      </c>
    </row>
    <row r="72">
      <c r="A72" s="45" t="n">
        <v>685</v>
      </c>
      <c r="B72" s="45" t="inlineStr">
        <is>
          <t>Stormward Cloak</t>
        </is>
      </c>
      <c r="C72" s="45" t="inlineStr">
        <is>
          <t>Cloak</t>
        </is>
      </c>
      <c r="D72" s="45" t="inlineStr">
        <is>
          <t>All</t>
        </is>
      </c>
      <c r="E72" s="45" t="inlineStr">
        <is>
          <t>drop:Chilly(L36) 15%</t>
        </is>
      </c>
      <c r="F72" s="46" t="inlineStr">
        <is>
          <t>Anchor</t>
        </is>
      </c>
      <c r="G72" s="45" t="inlineStr">
        <is>
          <t>Common drop</t>
        </is>
      </c>
      <c r="H72" s="47">
        <f>INDEX('Item Budget'!$F$5:$F$13,MATCH(G72,'Item Budget'!$E$5:$E$13,0))+IF(D72="All",0,'Item Budget'!$F$15)+LOOKUP(AN72,'Item Budget'!$E$19:$E$23,'Item Budget'!$F$19:$F$23)</f>
        <v/>
      </c>
      <c r="I72" s="45" t="n">
        <v>36</v>
      </c>
      <c r="J72" s="45" t="n">
        <v>125</v>
      </c>
      <c r="K72" s="45" t="n">
        <v>125</v>
      </c>
      <c r="L72" s="45" t="n">
        <v>34</v>
      </c>
      <c r="M72" s="45" t="n">
        <v>0</v>
      </c>
      <c r="N72" s="45" t="n">
        <v>0</v>
      </c>
      <c r="O72" s="45" t="n">
        <v>6</v>
      </c>
      <c r="P72" s="45" t="n">
        <v>0</v>
      </c>
      <c r="Q72" s="45" t="inlineStr">
        <is>
          <t>Haste IV</t>
        </is>
      </c>
      <c r="R72" s="65">
        <f>J72*'Item Budget'!$B$5+N72*'Item Budget'!$B$7+L72*'Item Budget'!$B$11+O72*'Item Budget'!$B$10+M72*'Item Budget'!$B$9+IFERROR(INDEX('Item Budget'!$M$25:$M$95,MATCH(Q72,'Item Budget'!$B$25:$B$95,0)),0)</f>
        <v/>
      </c>
      <c r="S72" s="65">
        <f>J72*'Item Budget'!$B$5+N72*'Item Budget'!$B$7+L72*'Item Budget'!$B$11+O72*'Item Budget'!$B$10+K72*'Item Budget'!$B$6+P72*'Item Budget'!$B$8+IFERROR(INDEX('Item Budget'!$N$25:$N$95,MATCH(Q72,'Item Budget'!$B$25:$B$95,0)),0)</f>
        <v/>
      </c>
      <c r="T72" s="65">
        <f>MAX('Item Budget'!$F$16,INDEX('Item Budget'!$J$5:$J$10,MATCH($C72,'Item Budget'!$I$5:$I$10,0))+INDEX('Item Budget'!$K$5:$K$10,MATCH($C72,'Item Budget'!$I$5:$I$10,0))*MIN(I72,50))</f>
        <v/>
      </c>
      <c r="U72" s="65">
        <f>T72*$H72</f>
        <v/>
      </c>
      <c r="V72" s="49">
        <f>MAX(R72,S72)/U72</f>
        <v/>
      </c>
      <c r="W72" s="21" t="n">
        <v>36</v>
      </c>
      <c r="X72" s="21" t="n">
        <v>125</v>
      </c>
      <c r="Y72" s="21" t="n">
        <v>125</v>
      </c>
      <c r="Z72" s="21" t="n">
        <v>34</v>
      </c>
      <c r="AA72" s="21" t="n">
        <v>0</v>
      </c>
      <c r="AB72" s="21" t="n">
        <v>0</v>
      </c>
      <c r="AC72" s="21" t="n">
        <v>6</v>
      </c>
      <c r="AD72" s="21" t="n">
        <v>0</v>
      </c>
      <c r="AE72" s="21" t="inlineStr">
        <is>
          <t>Haste IV</t>
        </is>
      </c>
      <c r="AF72" s="65">
        <f>X72*'Item Budget'!$B$5+AB72*'Item Budget'!$B$7+Z72*'Item Budget'!$B$11+AC72*'Item Budget'!$B$10+AA72*'Item Budget'!$B$9+IFERROR(INDEX('Item Budget'!$M$25:$M$95,MATCH(AE72,'Item Budget'!$B$25:$B$95,0)),0)</f>
        <v/>
      </c>
      <c r="AG72" s="65">
        <f>X72*'Item Budget'!$B$5+AB72*'Item Budget'!$B$7+Z72*'Item Budget'!$B$11+AC72*'Item Budget'!$B$10+Y72*'Item Budget'!$B$6+AD72*'Item Budget'!$B$8+IFERROR(INDEX('Item Budget'!$N$25:$N$95,MATCH(AE72,'Item Budget'!$B$25:$B$95,0)),0)</f>
        <v/>
      </c>
      <c r="AH72" s="65">
        <f>MAX('Item Budget'!$F$16,INDEX('Item Budget'!$J$5:$J$10,MATCH($C72,'Item Budget'!$I$5:$I$10,0))+INDEX('Item Budget'!$K$5:$K$10,MATCH($C72,'Item Budget'!$I$5:$I$10,0))*MIN(W72,50))</f>
        <v/>
      </c>
      <c r="AI72" s="65">
        <f>AH72*$H72</f>
        <v/>
      </c>
      <c r="AJ72" s="49">
        <f>MAX(AF72,AG72)/AI72</f>
        <v/>
      </c>
      <c r="AK72" s="64" t="inlineStr">
        <is>
          <t>Pass 1 (applied): New accessory (anchor). Unchanged.</t>
        </is>
      </c>
      <c r="AL72" s="43">
        <f>IFERROR(INDEX('Item Budget'!$H$25:$H$95,MATCH(Q72,'Item Budget'!$B$25:$B$95,0)),0)</f>
        <v/>
      </c>
      <c r="AM72" s="43">
        <f>IFERROR(INDEX('Item Budget'!$H$25:$H$95,MATCH(AE72,'Item Budget'!$B$25:$B$95,0)),0)</f>
        <v/>
      </c>
      <c r="AN72" s="37" t="n">
        <v>0</v>
      </c>
      <c r="AO72" s="44">
        <f>IF(I72&lt;'Item Budget'!$R$10,0,'Item Budget'!$R$7*100*MAX(('Item Budget'!$R$14*(J72+25*N72)+'Item Budget'!$S$14*(K72+25*P72))/'Item Budget'!$Z$14,('Item Budget'!$R$15*(J72+25*N72)+'Item Budget'!$S$15*(K72+25*P72))/'Item Budget'!$Z$15,('Item Budget'!$R$16*(J72+25*N72)+'Item Budget'!$S$16*(K72+25*P72))/'Item Budget'!$Z$16,('Item Budget'!$R$17*(J72+25*N72)+'Item Budget'!$S$17*(K72+25*P72))/'Item Budget'!$Z$17)+'Item Budget'!$R$9*L72+IFERROR(INDEX('Item Budget'!$O$25:$O$95,MATCH(Q72,'Item Budget'!$B$25:$B$95,0)),0))</f>
        <v/>
      </c>
      <c r="AP72" s="44">
        <f>IF(W72&lt;'Item Budget'!$R$10,0,'Item Budget'!$R$7*100*MAX(('Item Budget'!$R$14*(X72+25*AB72)+'Item Budget'!$S$14*(Y72+25*AD72))/'Item Budget'!$Z$14,('Item Budget'!$R$15*(X72+25*AB72)+'Item Budget'!$S$15*(Y72+25*AD72))/'Item Budget'!$Z$15,('Item Budget'!$R$16*(X72+25*AB72)+'Item Budget'!$S$16*(Y72+25*AD72))/'Item Budget'!$Z$16,('Item Budget'!$R$17*(X72+25*AB72)+'Item Budget'!$S$17*(Y72+25*AD72))/'Item Budget'!$Z$17)+'Item Budget'!$R$9*Z72+IFERROR(INDEX('Item Budget'!$O$25:$O$95,MATCH(AE72,'Item Budget'!$B$25:$B$95,0)),0))</f>
        <v/>
      </c>
      <c r="AQ72" s="61">
        <f>IF(OR(AN72=0,AP72=0),"",SUMPRODUCT(MAX(($C$5:$C$88=C72)*($AN$5:$AN$88&lt;AN72)*$AP$5:$AP$88)))</f>
        <v/>
      </c>
      <c r="AR72" s="41">
        <f>IF(AQ72="","",IF(AQ72=0,1,SUMPRODUCT(MAX(($C$5:$C$88=C72)*($AN$5:$AN$88=AN72)*$AP$5:$AP$88))/AQ72-1))</f>
        <v/>
      </c>
      <c r="AS72" s="19">
        <f>IF(AR72="","",IF(AR72&gt;='Item Budget'!$R$11,"OK","Not above lower tier"))</f>
        <v/>
      </c>
    </row>
    <row r="73">
      <c r="A73" s="45" t="n">
        <v>686</v>
      </c>
      <c r="B73" s="45" t="inlineStr">
        <is>
          <t>Skyweave Cloak</t>
        </is>
      </c>
      <c r="C73" s="45" t="inlineStr">
        <is>
          <t>Cloak</t>
        </is>
      </c>
      <c r="D73" s="45" t="inlineStr">
        <is>
          <t>All</t>
        </is>
      </c>
      <c r="E73" s="45" t="inlineStr">
        <is>
          <t>drop:Persecution Drillmaster(L43) 15%</t>
        </is>
      </c>
      <c r="F73" s="46" t="inlineStr">
        <is>
          <t>Anchor</t>
        </is>
      </c>
      <c r="G73" s="45" t="inlineStr">
        <is>
          <t>Common drop</t>
        </is>
      </c>
      <c r="H73" s="47">
        <f>INDEX('Item Budget'!$F$5:$F$13,MATCH(G73,'Item Budget'!$E$5:$E$13,0))+IF(D73="All",0,'Item Budget'!$F$15)+LOOKUP(AN73,'Item Budget'!$E$19:$E$23,'Item Budget'!$F$19:$F$23)</f>
        <v/>
      </c>
      <c r="I73" s="45" t="n">
        <v>46</v>
      </c>
      <c r="J73" s="45" t="n">
        <v>160</v>
      </c>
      <c r="K73" s="45" t="n">
        <v>160</v>
      </c>
      <c r="L73" s="45" t="n">
        <v>42</v>
      </c>
      <c r="M73" s="45" t="n">
        <v>0</v>
      </c>
      <c r="N73" s="45" t="n">
        <v>0</v>
      </c>
      <c r="O73" s="45" t="n">
        <v>8</v>
      </c>
      <c r="P73" s="45" t="n">
        <v>0</v>
      </c>
      <c r="Q73" s="45" t="inlineStr">
        <is>
          <t>Haste V</t>
        </is>
      </c>
      <c r="R73" s="65">
        <f>J73*'Item Budget'!$B$5+N73*'Item Budget'!$B$7+L73*'Item Budget'!$B$11+O73*'Item Budget'!$B$10+M73*'Item Budget'!$B$9+IFERROR(INDEX('Item Budget'!$M$25:$M$95,MATCH(Q73,'Item Budget'!$B$25:$B$95,0)),0)</f>
        <v/>
      </c>
      <c r="S73" s="65">
        <f>J73*'Item Budget'!$B$5+N73*'Item Budget'!$B$7+L73*'Item Budget'!$B$11+O73*'Item Budget'!$B$10+K73*'Item Budget'!$B$6+P73*'Item Budget'!$B$8+IFERROR(INDEX('Item Budget'!$N$25:$N$95,MATCH(Q73,'Item Budget'!$B$25:$B$95,0)),0)</f>
        <v/>
      </c>
      <c r="T73" s="65">
        <f>MAX('Item Budget'!$F$16,INDEX('Item Budget'!$J$5:$J$10,MATCH($C73,'Item Budget'!$I$5:$I$10,0))+INDEX('Item Budget'!$K$5:$K$10,MATCH($C73,'Item Budget'!$I$5:$I$10,0))*MIN(I73,50))</f>
        <v/>
      </c>
      <c r="U73" s="65">
        <f>T73*$H73</f>
        <v/>
      </c>
      <c r="V73" s="49">
        <f>MAX(R73,S73)/U73</f>
        <v/>
      </c>
      <c r="W73" s="21" t="n">
        <v>46</v>
      </c>
      <c r="X73" s="21" t="n">
        <v>160</v>
      </c>
      <c r="Y73" s="21" t="n">
        <v>160</v>
      </c>
      <c r="Z73" s="21" t="n">
        <v>42</v>
      </c>
      <c r="AA73" s="21" t="n">
        <v>0</v>
      </c>
      <c r="AB73" s="21" t="n">
        <v>0</v>
      </c>
      <c r="AC73" s="21" t="n">
        <v>8</v>
      </c>
      <c r="AD73" s="21" t="n">
        <v>0</v>
      </c>
      <c r="AE73" s="21" t="inlineStr">
        <is>
          <t>Haste V</t>
        </is>
      </c>
      <c r="AF73" s="65">
        <f>X73*'Item Budget'!$B$5+AB73*'Item Budget'!$B$7+Z73*'Item Budget'!$B$11+AC73*'Item Budget'!$B$10+AA73*'Item Budget'!$B$9+IFERROR(INDEX('Item Budget'!$M$25:$M$95,MATCH(AE73,'Item Budget'!$B$25:$B$95,0)),0)</f>
        <v/>
      </c>
      <c r="AG73" s="65">
        <f>X73*'Item Budget'!$B$5+AB73*'Item Budget'!$B$7+Z73*'Item Budget'!$B$11+AC73*'Item Budget'!$B$10+Y73*'Item Budget'!$B$6+AD73*'Item Budget'!$B$8+IFERROR(INDEX('Item Budget'!$N$25:$N$95,MATCH(AE73,'Item Budget'!$B$25:$B$95,0)),0)</f>
        <v/>
      </c>
      <c r="AH73" s="65">
        <f>MAX('Item Budget'!$F$16,INDEX('Item Budget'!$J$5:$J$10,MATCH($C73,'Item Budget'!$I$5:$I$10,0))+INDEX('Item Budget'!$K$5:$K$10,MATCH($C73,'Item Budget'!$I$5:$I$10,0))*MIN(W73,50))</f>
        <v/>
      </c>
      <c r="AI73" s="65">
        <f>AH73*$H73</f>
        <v/>
      </c>
      <c r="AJ73" s="49">
        <f>MAX(AF73,AG73)/AI73</f>
        <v/>
      </c>
      <c r="AK73" s="64" t="inlineStr">
        <is>
          <t>Pass 1 (applied): New accessory (anchor). Unchanged.</t>
        </is>
      </c>
      <c r="AL73" s="43">
        <f>IFERROR(INDEX('Item Budget'!$H$25:$H$95,MATCH(Q73,'Item Budget'!$B$25:$B$95,0)),0)</f>
        <v/>
      </c>
      <c r="AM73" s="43">
        <f>IFERROR(INDEX('Item Budget'!$H$25:$H$95,MATCH(AE73,'Item Budget'!$B$25:$B$95,0)),0)</f>
        <v/>
      </c>
      <c r="AN73" s="37" t="n">
        <v>0</v>
      </c>
      <c r="AO73" s="44">
        <f>IF(I73&lt;'Item Budget'!$R$10,0,'Item Budget'!$R$7*100*MAX(('Item Budget'!$R$14*(J73+25*N73)+'Item Budget'!$S$14*(K73+25*P73))/'Item Budget'!$Z$14,('Item Budget'!$R$15*(J73+25*N73)+'Item Budget'!$S$15*(K73+25*P73))/'Item Budget'!$Z$15,('Item Budget'!$R$16*(J73+25*N73)+'Item Budget'!$S$16*(K73+25*P73))/'Item Budget'!$Z$16,('Item Budget'!$R$17*(J73+25*N73)+'Item Budget'!$S$17*(K73+25*P73))/'Item Budget'!$Z$17)+'Item Budget'!$R$9*L73+IFERROR(INDEX('Item Budget'!$O$25:$O$95,MATCH(Q73,'Item Budget'!$B$25:$B$95,0)),0))</f>
        <v/>
      </c>
      <c r="AP73" s="44">
        <f>IF(W73&lt;'Item Budget'!$R$10,0,'Item Budget'!$R$7*100*MAX(('Item Budget'!$R$14*(X73+25*AB73)+'Item Budget'!$S$14*(Y73+25*AD73))/'Item Budget'!$Z$14,('Item Budget'!$R$15*(X73+25*AB73)+'Item Budget'!$S$15*(Y73+25*AD73))/'Item Budget'!$Z$15,('Item Budget'!$R$16*(X73+25*AB73)+'Item Budget'!$S$16*(Y73+25*AD73))/'Item Budget'!$Z$16,('Item Budget'!$R$17*(X73+25*AB73)+'Item Budget'!$S$17*(Y73+25*AD73))/'Item Budget'!$Z$17)+'Item Budget'!$R$9*Z73+IFERROR(INDEX('Item Budget'!$O$25:$O$95,MATCH(AE73,'Item Budget'!$B$25:$B$95,0)),0))</f>
        <v/>
      </c>
      <c r="AQ73" s="61">
        <f>IF(OR(AN73=0,AP73=0),"",SUMPRODUCT(MAX(($C$5:$C$88=C73)*($AN$5:$AN$88&lt;AN73)*$AP$5:$AP$88)))</f>
        <v/>
      </c>
      <c r="AR73" s="41">
        <f>IF(AQ73="","",IF(AQ73=0,1,SUMPRODUCT(MAX(($C$5:$C$88=C73)*($AN$5:$AN$88=AN73)*$AP$5:$AP$88))/AQ73-1))</f>
        <v/>
      </c>
      <c r="AS73" s="19">
        <f>IF(AR73="","",IF(AR73&gt;='Item Budget'!$R$11,"OK","Not above lower tier"))</f>
        <v/>
      </c>
    </row>
    <row r="74">
      <c r="A74" s="21" t="n">
        <v>136</v>
      </c>
      <c r="B74" s="21" t="inlineStr">
        <is>
          <t>Beefs Protection</t>
        </is>
      </c>
      <c r="C74" s="21" t="inlineStr">
        <is>
          <t>Cloak</t>
        </is>
      </c>
      <c r="D74" s="21" t="inlineStr">
        <is>
          <t>All</t>
        </is>
      </c>
      <c r="E74" s="21" t="inlineStr">
        <is>
          <t>drop:Beefcake(L50) 5%</t>
        </is>
      </c>
      <c r="F74" s="3" t="inlineStr">
        <is>
          <t>Buff</t>
        </is>
      </c>
      <c r="G74" s="21" t="inlineStr">
        <is>
          <t>Rare boss drop</t>
        </is>
      </c>
      <c r="H74" s="31">
        <f>INDEX('Item Budget'!$F$5:$F$13,MATCH(G74,'Item Budget'!$E$5:$E$13,0))+IF(D74="All",0,'Item Budget'!$F$15)+LOOKUP(AN74,'Item Budget'!$E$19:$E$23,'Item Budget'!$F$19:$F$23)</f>
        <v/>
      </c>
      <c r="I74" s="21" t="n">
        <v>50</v>
      </c>
      <c r="J74" s="21" t="n">
        <v>300</v>
      </c>
      <c r="K74" s="21" t="n">
        <v>300</v>
      </c>
      <c r="L74" s="21" t="n">
        <v>60</v>
      </c>
      <c r="M74" s="21" t="n">
        <v>10</v>
      </c>
      <c r="N74" s="21" t="n">
        <v>10</v>
      </c>
      <c r="O74" s="21" t="n">
        <v>10</v>
      </c>
      <c r="P74" s="21" t="n">
        <v>10</v>
      </c>
      <c r="Q74" s="21" t="inlineStr">
        <is>
          <t>Haste II</t>
        </is>
      </c>
      <c r="R74" s="61">
        <f>J74*'Item Budget'!$B$5+N74*'Item Budget'!$B$7+L74*'Item Budget'!$B$11+O74*'Item Budget'!$B$10+M74*'Item Budget'!$B$9+IFERROR(INDEX('Item Budget'!$M$25:$M$95,MATCH(Q74,'Item Budget'!$B$25:$B$95,0)),0)</f>
        <v/>
      </c>
      <c r="S74" s="61">
        <f>J74*'Item Budget'!$B$5+N74*'Item Budget'!$B$7+L74*'Item Budget'!$B$11+O74*'Item Budget'!$B$10+K74*'Item Budget'!$B$6+P74*'Item Budget'!$B$8+IFERROR(INDEX('Item Budget'!$N$25:$N$95,MATCH(Q74,'Item Budget'!$B$25:$B$95,0)),0)</f>
        <v/>
      </c>
      <c r="T74" s="61">
        <f>MAX('Item Budget'!$F$16,INDEX('Item Budget'!$J$5:$J$10,MATCH($C74,'Item Budget'!$I$5:$I$10,0))+INDEX('Item Budget'!$K$5:$K$10,MATCH($C74,'Item Budget'!$I$5:$I$10,0))*MIN(I74,50))</f>
        <v/>
      </c>
      <c r="U74" s="61">
        <f>T74*$H74</f>
        <v/>
      </c>
      <c r="V74" s="41">
        <f>MAX(R74,S74)/U74</f>
        <v/>
      </c>
      <c r="W74" s="21" t="n">
        <v>50</v>
      </c>
      <c r="X74" s="21" t="n">
        <v>300</v>
      </c>
      <c r="Y74" s="21" t="n">
        <v>300</v>
      </c>
      <c r="Z74" s="21" t="n">
        <v>60</v>
      </c>
      <c r="AA74" s="21" t="n">
        <v>10</v>
      </c>
      <c r="AB74" s="21" t="n">
        <v>10</v>
      </c>
      <c r="AC74" s="21" t="n">
        <v>10</v>
      </c>
      <c r="AD74" s="21" t="n">
        <v>10</v>
      </c>
      <c r="AE74" s="21" t="inlineStr">
        <is>
          <t>Haste II</t>
        </is>
      </c>
      <c r="AF74" s="61">
        <f>X74*'Item Budget'!$B$5+AB74*'Item Budget'!$B$7+Z74*'Item Budget'!$B$11+AC74*'Item Budget'!$B$10+AA74*'Item Budget'!$B$9+IFERROR(INDEX('Item Budget'!$M$25:$M$95,MATCH(AE74,'Item Budget'!$B$25:$B$95,0)),0)</f>
        <v/>
      </c>
      <c r="AG74" s="61">
        <f>X74*'Item Budget'!$B$5+AB74*'Item Budget'!$B$7+Z74*'Item Budget'!$B$11+AC74*'Item Budget'!$B$10+Y74*'Item Budget'!$B$6+AD74*'Item Budget'!$B$8+IFERROR(INDEX('Item Budget'!$N$25:$N$95,MATCH(AE74,'Item Budget'!$B$25:$B$95,0)),0)</f>
        <v/>
      </c>
      <c r="AH74" s="61">
        <f>MAX('Item Budget'!$F$16,INDEX('Item Budget'!$J$5:$J$10,MATCH($C74,'Item Budget'!$I$5:$I$10,0))+INDEX('Item Budget'!$K$5:$K$10,MATCH($C74,'Item Budget'!$I$5:$I$10,0))*MIN(W74,50))</f>
        <v/>
      </c>
      <c r="AI74" s="61">
        <f>AH74*$H74</f>
        <v/>
      </c>
      <c r="AJ74" s="41">
        <f>MAX(AF74,AG74)/AI74</f>
        <v/>
      </c>
      <c r="AK74" s="64" t="inlineStr">
        <is>
          <t>Pass 1 (applied): 5% Beefcake drop. Adds Haste II and more HP/MP so it beats Skyweave.</t>
        </is>
      </c>
      <c r="AL74" s="43">
        <f>IFERROR(INDEX('Item Budget'!$H$25:$H$95,MATCH(Q74,'Item Budget'!$B$25:$B$95,0)),0)</f>
        <v/>
      </c>
      <c r="AM74" s="43">
        <f>IFERROR(INDEX('Item Budget'!$H$25:$H$95,MATCH(AE74,'Item Budget'!$B$25:$B$95,0)),0)</f>
        <v/>
      </c>
      <c r="AN74" s="37" t="n">
        <v>0</v>
      </c>
      <c r="AO74" s="44">
        <f>IF(I74&lt;'Item Budget'!$R$10,0,'Item Budget'!$R$7*100*MAX(('Item Budget'!$R$14*(J74+25*N74)+'Item Budget'!$S$14*(K74+25*P74))/'Item Budget'!$Z$14,('Item Budget'!$R$15*(J74+25*N74)+'Item Budget'!$S$15*(K74+25*P74))/'Item Budget'!$Z$15,('Item Budget'!$R$16*(J74+25*N74)+'Item Budget'!$S$16*(K74+25*P74))/'Item Budget'!$Z$16,('Item Budget'!$R$17*(J74+25*N74)+'Item Budget'!$S$17*(K74+25*P74))/'Item Budget'!$Z$17)+'Item Budget'!$R$9*L74+IFERROR(INDEX('Item Budget'!$O$25:$O$95,MATCH(Q74,'Item Budget'!$B$25:$B$95,0)),0))</f>
        <v/>
      </c>
      <c r="AP74" s="44">
        <f>IF(W74&lt;'Item Budget'!$R$10,0,'Item Budget'!$R$7*100*MAX(('Item Budget'!$R$14*(X74+25*AB74)+'Item Budget'!$S$14*(Y74+25*AD74))/'Item Budget'!$Z$14,('Item Budget'!$R$15*(X74+25*AB74)+'Item Budget'!$S$15*(Y74+25*AD74))/'Item Budget'!$Z$15,('Item Budget'!$R$16*(X74+25*AB74)+'Item Budget'!$S$16*(Y74+25*AD74))/'Item Budget'!$Z$16,('Item Budget'!$R$17*(X74+25*AB74)+'Item Budget'!$S$17*(Y74+25*AD74))/'Item Budget'!$Z$17)+'Item Budget'!$R$9*Z74+IFERROR(INDEX('Item Budget'!$O$25:$O$95,MATCH(AE74,'Item Budget'!$B$25:$B$95,0)),0))</f>
        <v/>
      </c>
      <c r="AQ74" s="61">
        <f>IF(OR(AN74=0,AP74=0),"",SUMPRODUCT(MAX(($C$5:$C$88=C74)*($AN$5:$AN$88&lt;AN74)*$AP$5:$AP$88)))</f>
        <v/>
      </c>
      <c r="AR74" s="41">
        <f>IF(AQ74="","",IF(AQ74=0,1,SUMPRODUCT(MAX(($C$5:$C$88=C74)*($AN$5:$AN$88=AN74)*$AP$5:$AP$88))/AQ74-1))</f>
        <v/>
      </c>
      <c r="AS74" s="19">
        <f>IF(AR74="","",IF(AR74&gt;='Item Budget'!$R$11,"OK","Not above lower tier"))</f>
        <v/>
      </c>
    </row>
    <row r="75">
      <c r="A75" s="21" t="n">
        <v>287</v>
      </c>
      <c r="B75" s="21" t="inlineStr">
        <is>
          <t>Cloak of Power</t>
        </is>
      </c>
      <c r="C75" s="21" t="inlineStr">
        <is>
          <t>Cloak</t>
        </is>
      </c>
      <c r="D75" s="21" t="inlineStr">
        <is>
          <t>All</t>
        </is>
      </c>
      <c r="E75" s="21" t="inlineStr">
        <is>
          <t>drop:Ztwel Tahp(L50) 10%</t>
        </is>
      </c>
      <c r="F75" s="19" t="inlineStr">
        <is>
          <t>Leave</t>
        </is>
      </c>
      <c r="G75" s="21" t="inlineStr">
        <is>
          <t>Uncommon drop</t>
        </is>
      </c>
      <c r="H75" s="31">
        <f>INDEX('Item Budget'!$F$5:$F$13,MATCH(G75,'Item Budget'!$E$5:$E$13,0))+IF(D75="All",0,'Item Budget'!$F$15)+LOOKUP(AN75,'Item Budget'!$E$19:$E$23,'Item Budget'!$F$19:$F$23)</f>
        <v/>
      </c>
      <c r="I75" s="21" t="n">
        <v>50</v>
      </c>
      <c r="J75" s="21" t="n">
        <v>250</v>
      </c>
      <c r="K75" s="21" t="n">
        <v>250</v>
      </c>
      <c r="L75" s="21" t="n">
        <v>30</v>
      </c>
      <c r="M75" s="21" t="n">
        <v>5</v>
      </c>
      <c r="N75" s="21" t="n">
        <v>5</v>
      </c>
      <c r="O75" s="21" t="n">
        <v>5</v>
      </c>
      <c r="P75" s="21" t="n">
        <v>5</v>
      </c>
      <c r="Q75" s="21" t="inlineStr">
        <is>
          <t>Increased Spell Damage X</t>
        </is>
      </c>
      <c r="R75" s="61">
        <f>J75*'Item Budget'!$B$5+N75*'Item Budget'!$B$7+L75*'Item Budget'!$B$11+O75*'Item Budget'!$B$10+M75*'Item Budget'!$B$9+IFERROR(INDEX('Item Budget'!$M$25:$M$95,MATCH(Q75,'Item Budget'!$B$25:$B$95,0)),0)</f>
        <v/>
      </c>
      <c r="S75" s="61">
        <f>J75*'Item Budget'!$B$5+N75*'Item Budget'!$B$7+L75*'Item Budget'!$B$11+O75*'Item Budget'!$B$10+K75*'Item Budget'!$B$6+P75*'Item Budget'!$B$8+IFERROR(INDEX('Item Budget'!$N$25:$N$95,MATCH(Q75,'Item Budget'!$B$25:$B$95,0)),0)</f>
        <v/>
      </c>
      <c r="T75" s="61">
        <f>MAX('Item Budget'!$F$16,INDEX('Item Budget'!$J$5:$J$10,MATCH($C75,'Item Budget'!$I$5:$I$10,0))+INDEX('Item Budget'!$K$5:$K$10,MATCH($C75,'Item Budget'!$I$5:$I$10,0))*MIN(I75,50))</f>
        <v/>
      </c>
      <c r="U75" s="61">
        <f>T75*$H75</f>
        <v/>
      </c>
      <c r="V75" s="41">
        <f>MAX(R75,S75)/U75</f>
        <v/>
      </c>
      <c r="W75" s="21" t="n">
        <v>50</v>
      </c>
      <c r="X75" s="21" t="n">
        <v>250</v>
      </c>
      <c r="Y75" s="21" t="n">
        <v>250</v>
      </c>
      <c r="Z75" s="21" t="n">
        <v>30</v>
      </c>
      <c r="AA75" s="21" t="n">
        <v>5</v>
      </c>
      <c r="AB75" s="21" t="n">
        <v>5</v>
      </c>
      <c r="AC75" s="21" t="n">
        <v>5</v>
      </c>
      <c r="AD75" s="21" t="n">
        <v>5</v>
      </c>
      <c r="AE75" s="21" t="inlineStr">
        <is>
          <t>Increased Spell Damage X</t>
        </is>
      </c>
      <c r="AF75" s="61">
        <f>X75*'Item Budget'!$B$5+AB75*'Item Budget'!$B$7+Z75*'Item Budget'!$B$11+AC75*'Item Budget'!$B$10+AA75*'Item Budget'!$B$9+IFERROR(INDEX('Item Budget'!$M$25:$M$95,MATCH(AE75,'Item Budget'!$B$25:$B$95,0)),0)</f>
        <v/>
      </c>
      <c r="AG75" s="61">
        <f>X75*'Item Budget'!$B$5+AB75*'Item Budget'!$B$7+Z75*'Item Budget'!$B$11+AC75*'Item Budget'!$B$10+Y75*'Item Budget'!$B$6+AD75*'Item Budget'!$B$8+IFERROR(INDEX('Item Budget'!$N$25:$N$95,MATCH(AE75,'Item Budget'!$B$25:$B$95,0)),0)</f>
        <v/>
      </c>
      <c r="AH75" s="61">
        <f>MAX('Item Budget'!$F$16,INDEX('Item Budget'!$J$5:$J$10,MATCH($C75,'Item Budget'!$I$5:$I$10,0))+INDEX('Item Budget'!$K$5:$K$10,MATCH($C75,'Item Budget'!$I$5:$I$10,0))*MIN(W75,50))</f>
        <v/>
      </c>
      <c r="AI75" s="61">
        <f>AH75*$H75</f>
        <v/>
      </c>
      <c r="AJ75" s="41">
        <f>MAX(AF75,AG75)/AI75</f>
        <v/>
      </c>
      <c r="AK75" s="64" t="inlineStr">
        <is>
          <t>Pass 1 (applied): Fine for casters (10% spell damage).</t>
        </is>
      </c>
      <c r="AL75" s="43">
        <f>IFERROR(INDEX('Item Budget'!$H$25:$H$95,MATCH(Q75,'Item Budget'!$B$25:$B$95,0)),0)</f>
        <v/>
      </c>
      <c r="AM75" s="43">
        <f>IFERROR(INDEX('Item Budget'!$H$25:$H$95,MATCH(AE75,'Item Budget'!$B$25:$B$95,0)),0)</f>
        <v/>
      </c>
      <c r="AN75" s="37" t="n">
        <v>20000000</v>
      </c>
      <c r="AO75" s="44">
        <f>IF(I75&lt;'Item Budget'!$R$10,0,'Item Budget'!$R$7*100*MAX(('Item Budget'!$R$14*(J75+25*N75)+'Item Budget'!$S$14*(K75+25*P75))/'Item Budget'!$Z$14,('Item Budget'!$R$15*(J75+25*N75)+'Item Budget'!$S$15*(K75+25*P75))/'Item Budget'!$Z$15,('Item Budget'!$R$16*(J75+25*N75)+'Item Budget'!$S$16*(K75+25*P75))/'Item Budget'!$Z$16,('Item Budget'!$R$17*(J75+25*N75)+'Item Budget'!$S$17*(K75+25*P75))/'Item Budget'!$Z$17)+'Item Budget'!$R$9*L75+IFERROR(INDEX('Item Budget'!$O$25:$O$95,MATCH(Q75,'Item Budget'!$B$25:$B$95,0)),0))</f>
        <v/>
      </c>
      <c r="AP75" s="44">
        <f>IF(W75&lt;'Item Budget'!$R$10,0,'Item Budget'!$R$7*100*MAX(('Item Budget'!$R$14*(X75+25*AB75)+'Item Budget'!$S$14*(Y75+25*AD75))/'Item Budget'!$Z$14,('Item Budget'!$R$15*(X75+25*AB75)+'Item Budget'!$S$15*(Y75+25*AD75))/'Item Budget'!$Z$15,('Item Budget'!$R$16*(X75+25*AB75)+'Item Budget'!$S$16*(Y75+25*AD75))/'Item Budget'!$Z$16,('Item Budget'!$R$17*(X75+25*AB75)+'Item Budget'!$S$17*(Y75+25*AD75))/'Item Budget'!$Z$17)+'Item Budget'!$R$9*Z75+IFERROR(INDEX('Item Budget'!$O$25:$O$95,MATCH(AE75,'Item Budget'!$B$25:$B$95,0)),0))</f>
        <v/>
      </c>
      <c r="AQ75" s="61">
        <f>IF(OR(AN75=0,AP75=0),"",SUMPRODUCT(MAX(($C$5:$C$88=C75)*($AN$5:$AN$88&lt;AN75)*$AP$5:$AP$88)))</f>
        <v/>
      </c>
      <c r="AR75" s="41">
        <f>IF(AQ75="","",IF(AQ75=0,1,SUMPRODUCT(MAX(($C$5:$C$88=C75)*($AN$5:$AN$88=AN75)*$AP$5:$AP$88))/AQ75-1))</f>
        <v/>
      </c>
      <c r="AS75" s="19">
        <f>IF(AR75="","",IF(AR75&gt;='Item Budget'!$R$11,"OK","Not above lower tier"))</f>
        <v/>
      </c>
    </row>
    <row r="76">
      <c r="A76" s="21" t="n">
        <v>139</v>
      </c>
      <c r="B76" s="21" t="inlineStr">
        <is>
          <t>Divine Pauldrons</t>
        </is>
      </c>
      <c r="C76" s="21" t="inlineStr">
        <is>
          <t>Pauldrons</t>
        </is>
      </c>
      <c r="D76" s="21" t="inlineStr">
        <is>
          <t>All</t>
        </is>
      </c>
      <c r="E76" s="21" t="inlineStr">
        <is>
          <t>vendor:Phat Lewtz(UNSPAWNED); vendor:Credit Exchange</t>
        </is>
      </c>
      <c r="F76" s="19" t="inlineStr">
        <is>
          <t>Leave</t>
        </is>
      </c>
      <c r="G76" s="21" t="inlineStr">
        <is>
          <t>Raid / special</t>
        </is>
      </c>
      <c r="H76" s="31">
        <f>INDEX('Item Budget'!$F$5:$F$13,MATCH(G76,'Item Budget'!$E$5:$E$13,0))+IF(D76="All",0,'Item Budget'!$F$15)+LOOKUP(AN76,'Item Budget'!$E$19:$E$23,'Item Budget'!$F$19:$F$23)</f>
        <v/>
      </c>
      <c r="I76" s="21" t="n">
        <v>0</v>
      </c>
      <c r="J76" s="21" t="n">
        <v>0</v>
      </c>
      <c r="K76" s="21" t="n">
        <v>90</v>
      </c>
      <c r="L76" s="21" t="n">
        <v>60</v>
      </c>
      <c r="M76" s="21" t="n">
        <v>0</v>
      </c>
      <c r="N76" s="21" t="n">
        <v>6</v>
      </c>
      <c r="O76" s="21" t="n">
        <v>0</v>
      </c>
      <c r="P76" s="21" t="n">
        <v>6</v>
      </c>
      <c r="Q76" s="21" t="inlineStr">
        <is>
          <t>Mana Point Regeneration C</t>
        </is>
      </c>
      <c r="R76" s="61">
        <f>J76*'Item Budget'!$B$5+N76*'Item Budget'!$B$7+L76*'Item Budget'!$B$11+O76*'Item Budget'!$B$10+M76*'Item Budget'!$B$9+IFERROR(INDEX('Item Budget'!$M$25:$M$95,MATCH(Q76,'Item Budget'!$B$25:$B$95,0)),0)</f>
        <v/>
      </c>
      <c r="S76" s="61">
        <f>J76*'Item Budget'!$B$5+N76*'Item Budget'!$B$7+L76*'Item Budget'!$B$11+O76*'Item Budget'!$B$10+K76*'Item Budget'!$B$6+P76*'Item Budget'!$B$8+IFERROR(INDEX('Item Budget'!$N$25:$N$95,MATCH(Q76,'Item Budget'!$B$25:$B$95,0)),0)</f>
        <v/>
      </c>
      <c r="T76" s="61">
        <f>MAX('Item Budget'!$F$16,INDEX('Item Budget'!$J$5:$J$10,MATCH($C76,'Item Budget'!$I$5:$I$10,0))+INDEX('Item Budget'!$K$5:$K$10,MATCH($C76,'Item Budget'!$I$5:$I$10,0))*MIN(I76,50))</f>
        <v/>
      </c>
      <c r="U76" s="61">
        <f>T76*$H76</f>
        <v/>
      </c>
      <c r="V76" s="41">
        <f>MAX(R76,S76)/U76</f>
        <v/>
      </c>
      <c r="W76" s="21" t="n">
        <v>0</v>
      </c>
      <c r="X76" s="21" t="n">
        <v>0</v>
      </c>
      <c r="Y76" s="21" t="n">
        <v>90</v>
      </c>
      <c r="Z76" s="21" t="n">
        <v>60</v>
      </c>
      <c r="AA76" s="21" t="n">
        <v>0</v>
      </c>
      <c r="AB76" s="21" t="n">
        <v>6</v>
      </c>
      <c r="AC76" s="21" t="n">
        <v>0</v>
      </c>
      <c r="AD76" s="21" t="n">
        <v>6</v>
      </c>
      <c r="AE76" s="21" t="inlineStr">
        <is>
          <t>Mana Point Regeneration C</t>
        </is>
      </c>
      <c r="AF76" s="61">
        <f>X76*'Item Budget'!$B$5+AB76*'Item Budget'!$B$7+Z76*'Item Budget'!$B$11+AC76*'Item Budget'!$B$10+AA76*'Item Budget'!$B$9+IFERROR(INDEX('Item Budget'!$M$25:$M$95,MATCH(AE76,'Item Budget'!$B$25:$B$95,0)),0)</f>
        <v/>
      </c>
      <c r="AG76" s="61">
        <f>X76*'Item Budget'!$B$5+AB76*'Item Budget'!$B$7+Z76*'Item Budget'!$B$11+AC76*'Item Budget'!$B$10+Y76*'Item Budget'!$B$6+AD76*'Item Budget'!$B$8+IFERROR(INDEX('Item Budget'!$N$25:$N$95,MATCH(AE76,'Item Budget'!$B$25:$B$95,0)),0)</f>
        <v/>
      </c>
      <c r="AH76" s="61">
        <f>MAX('Item Budget'!$F$16,INDEX('Item Budget'!$J$5:$J$10,MATCH($C76,'Item Budget'!$I$5:$I$10,0))+INDEX('Item Budget'!$K$5:$K$10,MATCH($C76,'Item Budget'!$I$5:$I$10,0))*MIN(W76,50))</f>
        <v/>
      </c>
      <c r="AI76" s="61">
        <f>AH76*$H76</f>
        <v/>
      </c>
      <c r="AJ76" s="41">
        <f>MAX(AF76,AG76)/AI76</f>
        <v/>
      </c>
      <c r="AK76" s="64" t="inlineStr">
        <is>
          <t>Pass 1 (applied): Shop item (Credit Exchange).</t>
        </is>
      </c>
      <c r="AL76" s="43">
        <f>IFERROR(INDEX('Item Budget'!$H$25:$H$95,MATCH(Q76,'Item Budget'!$B$25:$B$95,0)),0)</f>
        <v/>
      </c>
      <c r="AM76" s="43">
        <f>IFERROR(INDEX('Item Budget'!$H$25:$H$95,MATCH(AE76,'Item Budget'!$B$25:$B$95,0)),0)</f>
        <v/>
      </c>
      <c r="AN76" s="37" t="n">
        <v>0</v>
      </c>
      <c r="AO76" s="44">
        <f>IF(I76&lt;'Item Budget'!$R$10,0,'Item Budget'!$R$7*100*MAX(('Item Budget'!$R$14*(J76+25*N76)+'Item Budget'!$S$14*(K76+25*P76))/'Item Budget'!$Z$14,('Item Budget'!$R$15*(J76+25*N76)+'Item Budget'!$S$15*(K76+25*P76))/'Item Budget'!$Z$15,('Item Budget'!$R$16*(J76+25*N76)+'Item Budget'!$S$16*(K76+25*P76))/'Item Budget'!$Z$16,('Item Budget'!$R$17*(J76+25*N76)+'Item Budget'!$S$17*(K76+25*P76))/'Item Budget'!$Z$17)+'Item Budget'!$R$9*L76+IFERROR(INDEX('Item Budget'!$O$25:$O$95,MATCH(Q76,'Item Budget'!$B$25:$B$95,0)),0))</f>
        <v/>
      </c>
      <c r="AP76" s="44">
        <f>IF(W76&lt;'Item Budget'!$R$10,0,'Item Budget'!$R$7*100*MAX(('Item Budget'!$R$14*(X76+25*AB76)+'Item Budget'!$S$14*(Y76+25*AD76))/'Item Budget'!$Z$14,('Item Budget'!$R$15*(X76+25*AB76)+'Item Budget'!$S$15*(Y76+25*AD76))/'Item Budget'!$Z$15,('Item Budget'!$R$16*(X76+25*AB76)+'Item Budget'!$S$16*(Y76+25*AD76))/'Item Budget'!$Z$16,('Item Budget'!$R$17*(X76+25*AB76)+'Item Budget'!$S$17*(Y76+25*AD76))/'Item Budget'!$Z$17)+'Item Budget'!$R$9*Z76+IFERROR(INDEX('Item Budget'!$O$25:$O$95,MATCH(AE76,'Item Budget'!$B$25:$B$95,0)),0))</f>
        <v/>
      </c>
      <c r="AQ76" s="61">
        <f>IF(OR(AN76=0,AP76=0),"",SUMPRODUCT(MAX(($C$5:$C$88=C76)*($AN$5:$AN$88&lt;AN76)*$AP$5:$AP$88)))</f>
        <v/>
      </c>
      <c r="AR76" s="41">
        <f>IF(AQ76="","",IF(AQ76=0,1,SUMPRODUCT(MAX(($C$5:$C$88=C76)*($AN$5:$AN$88=AN76)*$AP$5:$AP$88))/AQ76-1))</f>
        <v/>
      </c>
      <c r="AS76" s="19">
        <f>IF(AR76="","",IF(AR76&gt;='Item Budget'!$R$11,"OK","Not above lower tier"))</f>
        <v/>
      </c>
    </row>
    <row r="77">
      <c r="A77" s="21" t="n">
        <v>381</v>
      </c>
      <c r="B77" s="21" t="inlineStr">
        <is>
          <t>Celestial Pauldrons</t>
        </is>
      </c>
      <c r="C77" s="21" t="inlineStr">
        <is>
          <t>Pauldrons</t>
        </is>
      </c>
      <c r="D77" s="21" t="inlineStr">
        <is>
          <t>All</t>
        </is>
      </c>
      <c r="E77" s="21" t="inlineStr">
        <is>
          <t>vendor:Phat Lewtz(UNSPAWNED); vendor:Credit Exchange</t>
        </is>
      </c>
      <c r="F77" s="19" t="inlineStr">
        <is>
          <t>Leave</t>
        </is>
      </c>
      <c r="G77" s="21" t="inlineStr">
        <is>
          <t>Raid / special</t>
        </is>
      </c>
      <c r="H77" s="31">
        <f>INDEX('Item Budget'!$F$5:$F$13,MATCH(G77,'Item Budget'!$E$5:$E$13,0))+IF(D77="All",0,'Item Budget'!$F$15)+LOOKUP(AN77,'Item Budget'!$E$19:$E$23,'Item Budget'!$F$19:$F$23)</f>
        <v/>
      </c>
      <c r="I77" s="21" t="n">
        <v>0</v>
      </c>
      <c r="J77" s="21" t="n">
        <v>90</v>
      </c>
      <c r="K77" s="21" t="n">
        <v>0</v>
      </c>
      <c r="L77" s="21" t="n">
        <v>60</v>
      </c>
      <c r="M77" s="21" t="n">
        <v>0</v>
      </c>
      <c r="N77" s="21" t="n">
        <v>6</v>
      </c>
      <c r="O77" s="21" t="n">
        <v>0</v>
      </c>
      <c r="P77" s="21" t="n">
        <v>6</v>
      </c>
      <c r="Q77" s="21" t="inlineStr">
        <is>
          <t>Hit Point Regeneration C</t>
        </is>
      </c>
      <c r="R77" s="61">
        <f>J77*'Item Budget'!$B$5+N77*'Item Budget'!$B$7+L77*'Item Budget'!$B$11+O77*'Item Budget'!$B$10+M77*'Item Budget'!$B$9+IFERROR(INDEX('Item Budget'!$M$25:$M$95,MATCH(Q77,'Item Budget'!$B$25:$B$95,0)),0)</f>
        <v/>
      </c>
      <c r="S77" s="61">
        <f>J77*'Item Budget'!$B$5+N77*'Item Budget'!$B$7+L77*'Item Budget'!$B$11+O77*'Item Budget'!$B$10+K77*'Item Budget'!$B$6+P77*'Item Budget'!$B$8+IFERROR(INDEX('Item Budget'!$N$25:$N$95,MATCH(Q77,'Item Budget'!$B$25:$B$95,0)),0)</f>
        <v/>
      </c>
      <c r="T77" s="61">
        <f>MAX('Item Budget'!$F$16,INDEX('Item Budget'!$J$5:$J$10,MATCH($C77,'Item Budget'!$I$5:$I$10,0))+INDEX('Item Budget'!$K$5:$K$10,MATCH($C77,'Item Budget'!$I$5:$I$10,0))*MIN(I77,50))</f>
        <v/>
      </c>
      <c r="U77" s="61">
        <f>T77*$H77</f>
        <v/>
      </c>
      <c r="V77" s="41">
        <f>MAX(R77,S77)/U77</f>
        <v/>
      </c>
      <c r="W77" s="21" t="n">
        <v>0</v>
      </c>
      <c r="X77" s="21" t="n">
        <v>90</v>
      </c>
      <c r="Y77" s="21" t="n">
        <v>0</v>
      </c>
      <c r="Z77" s="21" t="n">
        <v>60</v>
      </c>
      <c r="AA77" s="21" t="n">
        <v>0</v>
      </c>
      <c r="AB77" s="21" t="n">
        <v>6</v>
      </c>
      <c r="AC77" s="21" t="n">
        <v>0</v>
      </c>
      <c r="AD77" s="21" t="n">
        <v>6</v>
      </c>
      <c r="AE77" s="21" t="inlineStr">
        <is>
          <t>Hit Point Regeneration C</t>
        </is>
      </c>
      <c r="AF77" s="61">
        <f>X77*'Item Budget'!$B$5+AB77*'Item Budget'!$B$7+Z77*'Item Budget'!$B$11+AC77*'Item Budget'!$B$10+AA77*'Item Budget'!$B$9+IFERROR(INDEX('Item Budget'!$M$25:$M$95,MATCH(AE77,'Item Budget'!$B$25:$B$95,0)),0)</f>
        <v/>
      </c>
      <c r="AG77" s="61">
        <f>X77*'Item Budget'!$B$5+AB77*'Item Budget'!$B$7+Z77*'Item Budget'!$B$11+AC77*'Item Budget'!$B$10+Y77*'Item Budget'!$B$6+AD77*'Item Budget'!$B$8+IFERROR(INDEX('Item Budget'!$N$25:$N$95,MATCH(AE77,'Item Budget'!$B$25:$B$95,0)),0)</f>
        <v/>
      </c>
      <c r="AH77" s="61">
        <f>MAX('Item Budget'!$F$16,INDEX('Item Budget'!$J$5:$J$10,MATCH($C77,'Item Budget'!$I$5:$I$10,0))+INDEX('Item Budget'!$K$5:$K$10,MATCH($C77,'Item Budget'!$I$5:$I$10,0))*MIN(W77,50))</f>
        <v/>
      </c>
      <c r="AI77" s="61">
        <f>AH77*$H77</f>
        <v/>
      </c>
      <c r="AJ77" s="41">
        <f>MAX(AF77,AG77)/AI77</f>
        <v/>
      </c>
      <c r="AK77" s="64" t="inlineStr">
        <is>
          <t>Pass 1 (applied): Shop item (Credit Exchange).</t>
        </is>
      </c>
      <c r="AL77" s="43">
        <f>IFERROR(INDEX('Item Budget'!$H$25:$H$95,MATCH(Q77,'Item Budget'!$B$25:$B$95,0)),0)</f>
        <v/>
      </c>
      <c r="AM77" s="43">
        <f>IFERROR(INDEX('Item Budget'!$H$25:$H$95,MATCH(AE77,'Item Budget'!$B$25:$B$95,0)),0)</f>
        <v/>
      </c>
      <c r="AN77" s="37" t="n">
        <v>0</v>
      </c>
      <c r="AO77" s="44">
        <f>IF(I77&lt;'Item Budget'!$R$10,0,'Item Budget'!$R$7*100*MAX(('Item Budget'!$R$14*(J77+25*N77)+'Item Budget'!$S$14*(K77+25*P77))/'Item Budget'!$Z$14,('Item Budget'!$R$15*(J77+25*N77)+'Item Budget'!$S$15*(K77+25*P77))/'Item Budget'!$Z$15,('Item Budget'!$R$16*(J77+25*N77)+'Item Budget'!$S$16*(K77+25*P77))/'Item Budget'!$Z$16,('Item Budget'!$R$17*(J77+25*N77)+'Item Budget'!$S$17*(K77+25*P77))/'Item Budget'!$Z$17)+'Item Budget'!$R$9*L77+IFERROR(INDEX('Item Budget'!$O$25:$O$95,MATCH(Q77,'Item Budget'!$B$25:$B$95,0)),0))</f>
        <v/>
      </c>
      <c r="AP77" s="44">
        <f>IF(W77&lt;'Item Budget'!$R$10,0,'Item Budget'!$R$7*100*MAX(('Item Budget'!$R$14*(X77+25*AB77)+'Item Budget'!$S$14*(Y77+25*AD77))/'Item Budget'!$Z$14,('Item Budget'!$R$15*(X77+25*AB77)+'Item Budget'!$S$15*(Y77+25*AD77))/'Item Budget'!$Z$15,('Item Budget'!$R$16*(X77+25*AB77)+'Item Budget'!$S$16*(Y77+25*AD77))/'Item Budget'!$Z$16,('Item Budget'!$R$17*(X77+25*AB77)+'Item Budget'!$S$17*(Y77+25*AD77))/'Item Budget'!$Z$17)+'Item Budget'!$R$9*Z77+IFERROR(INDEX('Item Budget'!$O$25:$O$95,MATCH(AE77,'Item Budget'!$B$25:$B$95,0)),0))</f>
        <v/>
      </c>
      <c r="AQ77" s="61">
        <f>IF(OR(AN77=0,AP77=0),"",SUMPRODUCT(MAX(($C$5:$C$88=C77)*($AN$5:$AN$88&lt;AN77)*$AP$5:$AP$88)))</f>
        <v/>
      </c>
      <c r="AR77" s="41">
        <f>IF(AQ77="","",IF(AQ77=0,1,SUMPRODUCT(MAX(($C$5:$C$88=C77)*($AN$5:$AN$88=AN77)*$AP$5:$AP$88))/AQ77-1))</f>
        <v/>
      </c>
      <c r="AS77" s="19">
        <f>IF(AR77="","",IF(AR77&gt;='Item Budget'!$R$11,"OK","Not above lower tier"))</f>
        <v/>
      </c>
    </row>
    <row r="78">
      <c r="A78" s="45" t="n">
        <v>692</v>
      </c>
      <c r="B78" s="45" t="inlineStr">
        <is>
          <t>Patchwork Pauldrons</t>
        </is>
      </c>
      <c r="C78" s="45" t="inlineStr">
        <is>
          <t>Pauldrons</t>
        </is>
      </c>
      <c r="D78" s="45" t="inlineStr">
        <is>
          <t>All</t>
        </is>
      </c>
      <c r="E78" s="45" t="inlineStr">
        <is>
          <t>drop:Coilfang(L8) 15%</t>
        </is>
      </c>
      <c r="F78" s="46" t="inlineStr">
        <is>
          <t>Anchor</t>
        </is>
      </c>
      <c r="G78" s="45" t="inlineStr">
        <is>
          <t>Common drop</t>
        </is>
      </c>
      <c r="H78" s="47">
        <f>INDEX('Item Budget'!$F$5:$F$13,MATCH(G78,'Item Budget'!$E$5:$E$13,0))+IF(D78="All",0,'Item Budget'!$F$15)+LOOKUP(AN78,'Item Budget'!$E$19:$E$23,'Item Budget'!$F$19:$F$23)</f>
        <v/>
      </c>
      <c r="I78" s="45" t="n">
        <v>8</v>
      </c>
      <c r="J78" s="45" t="n">
        <v>40</v>
      </c>
      <c r="K78" s="45" t="n">
        <v>0</v>
      </c>
      <c r="L78" s="45" t="n">
        <v>12</v>
      </c>
      <c r="M78" s="45" t="n">
        <v>2</v>
      </c>
      <c r="N78" s="45" t="n">
        <v>2</v>
      </c>
      <c r="O78" s="45" t="n">
        <v>0</v>
      </c>
      <c r="P78" s="45" t="n">
        <v>0</v>
      </c>
      <c r="Q78" s="45" t="inlineStr">
        <is>
          <t>(none)</t>
        </is>
      </c>
      <c r="R78" s="65">
        <f>J78*'Item Budget'!$B$5+N78*'Item Budget'!$B$7+L78*'Item Budget'!$B$11+O78*'Item Budget'!$B$10+M78*'Item Budget'!$B$9+IFERROR(INDEX('Item Budget'!$M$25:$M$95,MATCH(Q78,'Item Budget'!$B$25:$B$95,0)),0)</f>
        <v/>
      </c>
      <c r="S78" s="65">
        <f>J78*'Item Budget'!$B$5+N78*'Item Budget'!$B$7+L78*'Item Budget'!$B$11+O78*'Item Budget'!$B$10+K78*'Item Budget'!$B$6+P78*'Item Budget'!$B$8+IFERROR(INDEX('Item Budget'!$N$25:$N$95,MATCH(Q78,'Item Budget'!$B$25:$B$95,0)),0)</f>
        <v/>
      </c>
      <c r="T78" s="65">
        <f>MAX('Item Budget'!$F$16,INDEX('Item Budget'!$J$5:$J$10,MATCH($C78,'Item Budget'!$I$5:$I$10,0))+INDEX('Item Budget'!$K$5:$K$10,MATCH($C78,'Item Budget'!$I$5:$I$10,0))*MIN(I78,50))</f>
        <v/>
      </c>
      <c r="U78" s="65">
        <f>T78*$H78</f>
        <v/>
      </c>
      <c r="V78" s="49">
        <f>MAX(R78,S78)/U78</f>
        <v/>
      </c>
      <c r="W78" s="21" t="n">
        <v>8</v>
      </c>
      <c r="X78" s="21" t="n">
        <v>40</v>
      </c>
      <c r="Y78" s="21" t="n">
        <v>0</v>
      </c>
      <c r="Z78" s="21" t="n">
        <v>12</v>
      </c>
      <c r="AA78" s="21" t="n">
        <v>2</v>
      </c>
      <c r="AB78" s="21" t="n">
        <v>2</v>
      </c>
      <c r="AC78" s="21" t="n">
        <v>0</v>
      </c>
      <c r="AD78" s="21" t="n">
        <v>0</v>
      </c>
      <c r="AE78" s="21" t="inlineStr">
        <is>
          <t>(none)</t>
        </is>
      </c>
      <c r="AF78" s="65">
        <f>X78*'Item Budget'!$B$5+AB78*'Item Budget'!$B$7+Z78*'Item Budget'!$B$11+AC78*'Item Budget'!$B$10+AA78*'Item Budget'!$B$9+IFERROR(INDEX('Item Budget'!$M$25:$M$95,MATCH(AE78,'Item Budget'!$B$25:$B$95,0)),0)</f>
        <v/>
      </c>
      <c r="AG78" s="65">
        <f>X78*'Item Budget'!$B$5+AB78*'Item Budget'!$B$7+Z78*'Item Budget'!$B$11+AC78*'Item Budget'!$B$10+Y78*'Item Budget'!$B$6+AD78*'Item Budget'!$B$8+IFERROR(INDEX('Item Budget'!$N$25:$N$95,MATCH(AE78,'Item Budget'!$B$25:$B$95,0)),0)</f>
        <v/>
      </c>
      <c r="AH78" s="65">
        <f>MAX('Item Budget'!$F$16,INDEX('Item Budget'!$J$5:$J$10,MATCH($C78,'Item Budget'!$I$5:$I$10,0))+INDEX('Item Budget'!$K$5:$K$10,MATCH($C78,'Item Budget'!$I$5:$I$10,0))*MIN(W78,50))</f>
        <v/>
      </c>
      <c r="AI78" s="65">
        <f>AH78*$H78</f>
        <v/>
      </c>
      <c r="AJ78" s="49">
        <f>MAX(AF78,AG78)/AI78</f>
        <v/>
      </c>
      <c r="AK78" s="64" t="inlineStr">
        <is>
          <t>Pass 1 (applied): New accessory (anchor). Unchanged.</t>
        </is>
      </c>
      <c r="AL78" s="43">
        <f>IFERROR(INDEX('Item Budget'!$H$25:$H$95,MATCH(Q78,'Item Budget'!$B$25:$B$95,0)),0)</f>
        <v/>
      </c>
      <c r="AM78" s="43">
        <f>IFERROR(INDEX('Item Budget'!$H$25:$H$95,MATCH(AE78,'Item Budget'!$B$25:$B$95,0)),0)</f>
        <v/>
      </c>
      <c r="AN78" s="37" t="n">
        <v>0</v>
      </c>
      <c r="AO78" s="44">
        <f>IF(I78&lt;'Item Budget'!$R$10,0,'Item Budget'!$R$7*100*MAX(('Item Budget'!$R$14*(J78+25*N78)+'Item Budget'!$S$14*(K78+25*P78))/'Item Budget'!$Z$14,('Item Budget'!$R$15*(J78+25*N78)+'Item Budget'!$S$15*(K78+25*P78))/'Item Budget'!$Z$15,('Item Budget'!$R$16*(J78+25*N78)+'Item Budget'!$S$16*(K78+25*P78))/'Item Budget'!$Z$16,('Item Budget'!$R$17*(J78+25*N78)+'Item Budget'!$S$17*(K78+25*P78))/'Item Budget'!$Z$17)+'Item Budget'!$R$9*L78+IFERROR(INDEX('Item Budget'!$O$25:$O$95,MATCH(Q78,'Item Budget'!$B$25:$B$95,0)),0))</f>
        <v/>
      </c>
      <c r="AP78" s="44">
        <f>IF(W78&lt;'Item Budget'!$R$10,0,'Item Budget'!$R$7*100*MAX(('Item Budget'!$R$14*(X78+25*AB78)+'Item Budget'!$S$14*(Y78+25*AD78))/'Item Budget'!$Z$14,('Item Budget'!$R$15*(X78+25*AB78)+'Item Budget'!$S$15*(Y78+25*AD78))/'Item Budget'!$Z$15,('Item Budget'!$R$16*(X78+25*AB78)+'Item Budget'!$S$16*(Y78+25*AD78))/'Item Budget'!$Z$16,('Item Budget'!$R$17*(X78+25*AB78)+'Item Budget'!$S$17*(Y78+25*AD78))/'Item Budget'!$Z$17)+'Item Budget'!$R$9*Z78+IFERROR(INDEX('Item Budget'!$O$25:$O$95,MATCH(AE78,'Item Budget'!$B$25:$B$95,0)),0))</f>
        <v/>
      </c>
      <c r="AQ78" s="61">
        <f>IF(OR(AN78=0,AP78=0),"",SUMPRODUCT(MAX(($C$5:$C$88=C78)*($AN$5:$AN$88&lt;AN78)*$AP$5:$AP$88)))</f>
        <v/>
      </c>
      <c r="AR78" s="41">
        <f>IF(AQ78="","",IF(AQ78=0,1,SUMPRODUCT(MAX(($C$5:$C$88=C78)*($AN$5:$AN$88=AN78)*$AP$5:$AP$88))/AQ78-1))</f>
        <v/>
      </c>
      <c r="AS78" s="19">
        <f>IF(AR78="","",IF(AR78&gt;='Item Budget'!$R$11,"OK","Not above lower tier"))</f>
        <v/>
      </c>
    </row>
    <row r="79">
      <c r="A79" s="45" t="n">
        <v>693</v>
      </c>
      <c r="B79" s="45" t="inlineStr">
        <is>
          <t>Cold Iron Pauldrons</t>
        </is>
      </c>
      <c r="C79" s="45" t="inlineStr">
        <is>
          <t>Pauldrons</t>
        </is>
      </c>
      <c r="D79" s="45" t="inlineStr">
        <is>
          <t>All</t>
        </is>
      </c>
      <c r="E79" s="45" t="inlineStr">
        <is>
          <t>drop:Leafeater(L17) 15%</t>
        </is>
      </c>
      <c r="F79" s="46" t="inlineStr">
        <is>
          <t>Anchor</t>
        </is>
      </c>
      <c r="G79" s="45" t="inlineStr">
        <is>
          <t>Common drop</t>
        </is>
      </c>
      <c r="H79" s="47">
        <f>INDEX('Item Budget'!$F$5:$F$13,MATCH(G79,'Item Budget'!$E$5:$E$13,0))+IF(D79="All",0,'Item Budget'!$F$15)+LOOKUP(AN79,'Item Budget'!$E$19:$E$23,'Item Budget'!$F$19:$F$23)</f>
        <v/>
      </c>
      <c r="I79" s="45" t="n">
        <v>18</v>
      </c>
      <c r="J79" s="45" t="n">
        <v>130</v>
      </c>
      <c r="K79" s="45" t="n">
        <v>0</v>
      </c>
      <c r="L79" s="45" t="n">
        <v>28</v>
      </c>
      <c r="M79" s="45" t="n">
        <v>5</v>
      </c>
      <c r="N79" s="45" t="n">
        <v>5</v>
      </c>
      <c r="O79" s="45" t="n">
        <v>0</v>
      </c>
      <c r="P79" s="45" t="n">
        <v>0</v>
      </c>
      <c r="Q79" s="45" t="inlineStr">
        <is>
          <t>Damage Reduction II</t>
        </is>
      </c>
      <c r="R79" s="65">
        <f>J79*'Item Budget'!$B$5+N79*'Item Budget'!$B$7+L79*'Item Budget'!$B$11+O79*'Item Budget'!$B$10+M79*'Item Budget'!$B$9+IFERROR(INDEX('Item Budget'!$M$25:$M$95,MATCH(Q79,'Item Budget'!$B$25:$B$95,0)),0)</f>
        <v/>
      </c>
      <c r="S79" s="65">
        <f>J79*'Item Budget'!$B$5+N79*'Item Budget'!$B$7+L79*'Item Budget'!$B$11+O79*'Item Budget'!$B$10+K79*'Item Budget'!$B$6+P79*'Item Budget'!$B$8+IFERROR(INDEX('Item Budget'!$N$25:$N$95,MATCH(Q79,'Item Budget'!$B$25:$B$95,0)),0)</f>
        <v/>
      </c>
      <c r="T79" s="65">
        <f>MAX('Item Budget'!$F$16,INDEX('Item Budget'!$J$5:$J$10,MATCH($C79,'Item Budget'!$I$5:$I$10,0))+INDEX('Item Budget'!$K$5:$K$10,MATCH($C79,'Item Budget'!$I$5:$I$10,0))*MIN(I79,50))</f>
        <v/>
      </c>
      <c r="U79" s="65">
        <f>T79*$H79</f>
        <v/>
      </c>
      <c r="V79" s="49">
        <f>MAX(R79,S79)/U79</f>
        <v/>
      </c>
      <c r="W79" s="21" t="n">
        <v>18</v>
      </c>
      <c r="X79" s="21" t="n">
        <v>130</v>
      </c>
      <c r="Y79" s="21" t="n">
        <v>0</v>
      </c>
      <c r="Z79" s="21" t="n">
        <v>28</v>
      </c>
      <c r="AA79" s="21" t="n">
        <v>5</v>
      </c>
      <c r="AB79" s="21" t="n">
        <v>5</v>
      </c>
      <c r="AC79" s="21" t="n">
        <v>0</v>
      </c>
      <c r="AD79" s="21" t="n">
        <v>0</v>
      </c>
      <c r="AE79" s="21" t="inlineStr">
        <is>
          <t>Damage Reduction II</t>
        </is>
      </c>
      <c r="AF79" s="65">
        <f>X79*'Item Budget'!$B$5+AB79*'Item Budget'!$B$7+Z79*'Item Budget'!$B$11+AC79*'Item Budget'!$B$10+AA79*'Item Budget'!$B$9+IFERROR(INDEX('Item Budget'!$M$25:$M$95,MATCH(AE79,'Item Budget'!$B$25:$B$95,0)),0)</f>
        <v/>
      </c>
      <c r="AG79" s="65">
        <f>X79*'Item Budget'!$B$5+AB79*'Item Budget'!$B$7+Z79*'Item Budget'!$B$11+AC79*'Item Budget'!$B$10+Y79*'Item Budget'!$B$6+AD79*'Item Budget'!$B$8+IFERROR(INDEX('Item Budget'!$N$25:$N$95,MATCH(AE79,'Item Budget'!$B$25:$B$95,0)),0)</f>
        <v/>
      </c>
      <c r="AH79" s="65">
        <f>MAX('Item Budget'!$F$16,INDEX('Item Budget'!$J$5:$J$10,MATCH($C79,'Item Budget'!$I$5:$I$10,0))+INDEX('Item Budget'!$K$5:$K$10,MATCH($C79,'Item Budget'!$I$5:$I$10,0))*MIN(W79,50))</f>
        <v/>
      </c>
      <c r="AI79" s="65">
        <f>AH79*$H79</f>
        <v/>
      </c>
      <c r="AJ79" s="49">
        <f>MAX(AF79,AG79)/AI79</f>
        <v/>
      </c>
      <c r="AK79" s="64" t="inlineStr">
        <is>
          <t>Pass 1 (applied): New accessory (anchor). Unchanged.</t>
        </is>
      </c>
      <c r="AL79" s="43">
        <f>IFERROR(INDEX('Item Budget'!$H$25:$H$95,MATCH(Q79,'Item Budget'!$B$25:$B$95,0)),0)</f>
        <v/>
      </c>
      <c r="AM79" s="43">
        <f>IFERROR(INDEX('Item Budget'!$H$25:$H$95,MATCH(AE79,'Item Budget'!$B$25:$B$95,0)),0)</f>
        <v/>
      </c>
      <c r="AN79" s="37" t="n">
        <v>0</v>
      </c>
      <c r="AO79" s="44">
        <f>IF(I79&lt;'Item Budget'!$R$10,0,'Item Budget'!$R$7*100*MAX(('Item Budget'!$R$14*(J79+25*N79)+'Item Budget'!$S$14*(K79+25*P79))/'Item Budget'!$Z$14,('Item Budget'!$R$15*(J79+25*N79)+'Item Budget'!$S$15*(K79+25*P79))/'Item Budget'!$Z$15,('Item Budget'!$R$16*(J79+25*N79)+'Item Budget'!$S$16*(K79+25*P79))/'Item Budget'!$Z$16,('Item Budget'!$R$17*(J79+25*N79)+'Item Budget'!$S$17*(K79+25*P79))/'Item Budget'!$Z$17)+'Item Budget'!$R$9*L79+IFERROR(INDEX('Item Budget'!$O$25:$O$95,MATCH(Q79,'Item Budget'!$B$25:$B$95,0)),0))</f>
        <v/>
      </c>
      <c r="AP79" s="44">
        <f>IF(W79&lt;'Item Budget'!$R$10,0,'Item Budget'!$R$7*100*MAX(('Item Budget'!$R$14*(X79+25*AB79)+'Item Budget'!$S$14*(Y79+25*AD79))/'Item Budget'!$Z$14,('Item Budget'!$R$15*(X79+25*AB79)+'Item Budget'!$S$15*(Y79+25*AD79))/'Item Budget'!$Z$15,('Item Budget'!$R$16*(X79+25*AB79)+'Item Budget'!$S$16*(Y79+25*AD79))/'Item Budget'!$Z$16,('Item Budget'!$R$17*(X79+25*AB79)+'Item Budget'!$S$17*(Y79+25*AD79))/'Item Budget'!$Z$17)+'Item Budget'!$R$9*Z79+IFERROR(INDEX('Item Budget'!$O$25:$O$95,MATCH(AE79,'Item Budget'!$B$25:$B$95,0)),0))</f>
        <v/>
      </c>
      <c r="AQ79" s="61">
        <f>IF(OR(AN79=0,AP79=0),"",SUMPRODUCT(MAX(($C$5:$C$88=C79)*($AN$5:$AN$88&lt;AN79)*$AP$5:$AP$88)))</f>
        <v/>
      </c>
      <c r="AR79" s="41">
        <f>IF(AQ79="","",IF(AQ79=0,1,SUMPRODUCT(MAX(($C$5:$C$88=C79)*($AN$5:$AN$88=AN79)*$AP$5:$AP$88))/AQ79-1))</f>
        <v/>
      </c>
      <c r="AS79" s="19">
        <f>IF(AR79="","",IF(AR79&gt;='Item Budget'!$R$11,"OK","Not above lower tier"))</f>
        <v/>
      </c>
    </row>
    <row r="80">
      <c r="A80" s="21" t="n">
        <v>254</v>
      </c>
      <c r="B80" s="21" t="inlineStr">
        <is>
          <t>Cold Beaten Sleeves</t>
        </is>
      </c>
      <c r="C80" s="21" t="inlineStr">
        <is>
          <t>Pauldrons</t>
        </is>
      </c>
      <c r="D80" s="21" t="inlineStr">
        <is>
          <t>All</t>
        </is>
      </c>
      <c r="E80" s="21" t="inlineStr">
        <is>
          <t>drop:Carrots(L33) 10%</t>
        </is>
      </c>
      <c r="F80" s="3" t="inlineStr">
        <is>
          <t>Buff</t>
        </is>
      </c>
      <c r="G80" s="21" t="inlineStr">
        <is>
          <t>Uncommon drop</t>
        </is>
      </c>
      <c r="H80" s="31">
        <f>INDEX('Item Budget'!$F$5:$F$13,MATCH(G80,'Item Budget'!$E$5:$E$13,0))+IF(D80="All",0,'Item Budget'!$F$15)+LOOKUP(AN80,'Item Budget'!$E$19:$E$23,'Item Budget'!$F$19:$F$23)</f>
        <v/>
      </c>
      <c r="I80" s="21" t="n">
        <v>20</v>
      </c>
      <c r="J80" s="21" t="n">
        <v>150</v>
      </c>
      <c r="K80" s="21" t="n">
        <v>40</v>
      </c>
      <c r="L80" s="21" t="n">
        <v>30</v>
      </c>
      <c r="M80" s="21" t="n">
        <v>6</v>
      </c>
      <c r="N80" s="21" t="n">
        <v>7</v>
      </c>
      <c r="O80" s="21" t="n">
        <v>0</v>
      </c>
      <c r="P80" s="21" t="n">
        <v>0</v>
      </c>
      <c r="Q80" s="21" t="inlineStr">
        <is>
          <t>Damage Reduction II</t>
        </is>
      </c>
      <c r="R80" s="61">
        <f>J80*'Item Budget'!$B$5+N80*'Item Budget'!$B$7+L80*'Item Budget'!$B$11+O80*'Item Budget'!$B$10+M80*'Item Budget'!$B$9+IFERROR(INDEX('Item Budget'!$M$25:$M$95,MATCH(Q80,'Item Budget'!$B$25:$B$95,0)),0)</f>
        <v/>
      </c>
      <c r="S80" s="61">
        <f>J80*'Item Budget'!$B$5+N80*'Item Budget'!$B$7+L80*'Item Budget'!$B$11+O80*'Item Budget'!$B$10+K80*'Item Budget'!$B$6+P80*'Item Budget'!$B$8+IFERROR(INDEX('Item Budget'!$N$25:$N$95,MATCH(Q80,'Item Budget'!$B$25:$B$95,0)),0)</f>
        <v/>
      </c>
      <c r="T80" s="61">
        <f>MAX('Item Budget'!$F$16,INDEX('Item Budget'!$J$5:$J$10,MATCH($C80,'Item Budget'!$I$5:$I$10,0))+INDEX('Item Budget'!$K$5:$K$10,MATCH($C80,'Item Budget'!$I$5:$I$10,0))*MIN(I80,50))</f>
        <v/>
      </c>
      <c r="U80" s="61">
        <f>T80*$H80</f>
        <v/>
      </c>
      <c r="V80" s="41">
        <f>MAX(R80,S80)/U80</f>
        <v/>
      </c>
      <c r="W80" s="21" t="n">
        <v>20</v>
      </c>
      <c r="X80" s="21" t="n">
        <v>150</v>
      </c>
      <c r="Y80" s="21" t="n">
        <v>40</v>
      </c>
      <c r="Z80" s="21" t="n">
        <v>30</v>
      </c>
      <c r="AA80" s="21" t="n">
        <v>6</v>
      </c>
      <c r="AB80" s="21" t="n">
        <v>7</v>
      </c>
      <c r="AC80" s="21" t="n">
        <v>0</v>
      </c>
      <c r="AD80" s="21" t="n">
        <v>0</v>
      </c>
      <c r="AE80" s="21" t="inlineStr">
        <is>
          <t>Damage Reduction II</t>
        </is>
      </c>
      <c r="AF80" s="61">
        <f>X80*'Item Budget'!$B$5+AB80*'Item Budget'!$B$7+Z80*'Item Budget'!$B$11+AC80*'Item Budget'!$B$10+AA80*'Item Budget'!$B$9+IFERROR(INDEX('Item Budget'!$M$25:$M$95,MATCH(AE80,'Item Budget'!$B$25:$B$95,0)),0)</f>
        <v/>
      </c>
      <c r="AG80" s="61">
        <f>X80*'Item Budget'!$B$5+AB80*'Item Budget'!$B$7+Z80*'Item Budget'!$B$11+AC80*'Item Budget'!$B$10+Y80*'Item Budget'!$B$6+AD80*'Item Budget'!$B$8+IFERROR(INDEX('Item Budget'!$N$25:$N$95,MATCH(AE80,'Item Budget'!$B$25:$B$95,0)),0)</f>
        <v/>
      </c>
      <c r="AH80" s="61">
        <f>MAX('Item Budget'!$F$16,INDEX('Item Budget'!$J$5:$J$10,MATCH($C80,'Item Budget'!$I$5:$I$10,0))+INDEX('Item Budget'!$K$5:$K$10,MATCH($C80,'Item Budget'!$I$5:$I$10,0))*MIN(W80,50))</f>
        <v/>
      </c>
      <c r="AI80" s="61">
        <f>AH80*$H80</f>
        <v/>
      </c>
      <c r="AJ80" s="41">
        <f>MAX(AF80,AG80)/AI80</f>
        <v/>
      </c>
      <c r="AK80" s="64" t="inlineStr">
        <is>
          <t>Pass 1 (applied): Kept at L20: Cold Iron Pauldrons-level stats with DR II.</t>
        </is>
      </c>
      <c r="AL80" s="43">
        <f>IFERROR(INDEX('Item Budget'!$H$25:$H$95,MATCH(Q80,'Item Budget'!$B$25:$B$95,0)),0)</f>
        <v/>
      </c>
      <c r="AM80" s="43">
        <f>IFERROR(INDEX('Item Budget'!$H$25:$H$95,MATCH(AE80,'Item Budget'!$B$25:$B$95,0)),0)</f>
        <v/>
      </c>
      <c r="AN80" s="37" t="n">
        <v>0</v>
      </c>
      <c r="AO80" s="44">
        <f>IF(I80&lt;'Item Budget'!$R$10,0,'Item Budget'!$R$7*100*MAX(('Item Budget'!$R$14*(J80+25*N80)+'Item Budget'!$S$14*(K80+25*P80))/'Item Budget'!$Z$14,('Item Budget'!$R$15*(J80+25*N80)+'Item Budget'!$S$15*(K80+25*P80))/'Item Budget'!$Z$15,('Item Budget'!$R$16*(J80+25*N80)+'Item Budget'!$S$16*(K80+25*P80))/'Item Budget'!$Z$16,('Item Budget'!$R$17*(J80+25*N80)+'Item Budget'!$S$17*(K80+25*P80))/'Item Budget'!$Z$17)+'Item Budget'!$R$9*L80+IFERROR(INDEX('Item Budget'!$O$25:$O$95,MATCH(Q80,'Item Budget'!$B$25:$B$95,0)),0))</f>
        <v/>
      </c>
      <c r="AP80" s="44">
        <f>IF(W80&lt;'Item Budget'!$R$10,0,'Item Budget'!$R$7*100*MAX(('Item Budget'!$R$14*(X80+25*AB80)+'Item Budget'!$S$14*(Y80+25*AD80))/'Item Budget'!$Z$14,('Item Budget'!$R$15*(X80+25*AB80)+'Item Budget'!$S$15*(Y80+25*AD80))/'Item Budget'!$Z$15,('Item Budget'!$R$16*(X80+25*AB80)+'Item Budget'!$S$16*(Y80+25*AD80))/'Item Budget'!$Z$16,('Item Budget'!$R$17*(X80+25*AB80)+'Item Budget'!$S$17*(Y80+25*AD80))/'Item Budget'!$Z$17)+'Item Budget'!$R$9*Z80+IFERROR(INDEX('Item Budget'!$O$25:$O$95,MATCH(AE80,'Item Budget'!$B$25:$B$95,0)),0))</f>
        <v/>
      </c>
      <c r="AQ80" s="61">
        <f>IF(OR(AN80=0,AP80=0),"",SUMPRODUCT(MAX(($C$5:$C$88=C80)*($AN$5:$AN$88&lt;AN80)*$AP$5:$AP$88)))</f>
        <v/>
      </c>
      <c r="AR80" s="41">
        <f>IF(AQ80="","",IF(AQ80=0,1,SUMPRODUCT(MAX(($C$5:$C$88=C80)*($AN$5:$AN$88=AN80)*$AP$5:$AP$88))/AQ80-1))</f>
        <v/>
      </c>
      <c r="AS80" s="19">
        <f>IF(AR80="","",IF(AR80&gt;='Item Budget'!$R$11,"OK","Not above lower tier"))</f>
        <v/>
      </c>
    </row>
    <row r="81">
      <c r="A81" s="45" t="n">
        <v>694</v>
      </c>
      <c r="B81" s="45" t="inlineStr">
        <is>
          <t>Tempered Pauldrons</t>
        </is>
      </c>
      <c r="C81" s="45" t="inlineStr">
        <is>
          <t>Pauldrons</t>
        </is>
      </c>
      <c r="D81" s="45" t="inlineStr">
        <is>
          <t>All</t>
        </is>
      </c>
      <c r="E81" s="45" t="inlineStr">
        <is>
          <t>drop:Mad Cow(L29) 15%</t>
        </is>
      </c>
      <c r="F81" s="46" t="inlineStr">
        <is>
          <t>Anchor</t>
        </is>
      </c>
      <c r="G81" s="45" t="inlineStr">
        <is>
          <t>Common drop</t>
        </is>
      </c>
      <c r="H81" s="47">
        <f>INDEX('Item Budget'!$F$5:$F$13,MATCH(G81,'Item Budget'!$E$5:$E$13,0))+IF(D81="All",0,'Item Budget'!$F$15)+LOOKUP(AN81,'Item Budget'!$E$19:$E$23,'Item Budget'!$F$19:$F$23)</f>
        <v/>
      </c>
      <c r="I81" s="45" t="n">
        <v>28</v>
      </c>
      <c r="J81" s="45" t="n">
        <v>210</v>
      </c>
      <c r="K81" s="45" t="n">
        <v>0</v>
      </c>
      <c r="L81" s="45" t="n">
        <v>45</v>
      </c>
      <c r="M81" s="45" t="n">
        <v>7</v>
      </c>
      <c r="N81" s="45" t="n">
        <v>9</v>
      </c>
      <c r="O81" s="45" t="n">
        <v>0</v>
      </c>
      <c r="P81" s="45" t="n">
        <v>0</v>
      </c>
      <c r="Q81" s="45" t="inlineStr">
        <is>
          <t>Damage Reduction III</t>
        </is>
      </c>
      <c r="R81" s="65">
        <f>J81*'Item Budget'!$B$5+N81*'Item Budget'!$B$7+L81*'Item Budget'!$B$11+O81*'Item Budget'!$B$10+M81*'Item Budget'!$B$9+IFERROR(INDEX('Item Budget'!$M$25:$M$95,MATCH(Q81,'Item Budget'!$B$25:$B$95,0)),0)</f>
        <v/>
      </c>
      <c r="S81" s="65">
        <f>J81*'Item Budget'!$B$5+N81*'Item Budget'!$B$7+L81*'Item Budget'!$B$11+O81*'Item Budget'!$B$10+K81*'Item Budget'!$B$6+P81*'Item Budget'!$B$8+IFERROR(INDEX('Item Budget'!$N$25:$N$95,MATCH(Q81,'Item Budget'!$B$25:$B$95,0)),0)</f>
        <v/>
      </c>
      <c r="T81" s="65">
        <f>MAX('Item Budget'!$F$16,INDEX('Item Budget'!$J$5:$J$10,MATCH($C81,'Item Budget'!$I$5:$I$10,0))+INDEX('Item Budget'!$K$5:$K$10,MATCH($C81,'Item Budget'!$I$5:$I$10,0))*MIN(I81,50))</f>
        <v/>
      </c>
      <c r="U81" s="65">
        <f>T81*$H81</f>
        <v/>
      </c>
      <c r="V81" s="49">
        <f>MAX(R81,S81)/U81</f>
        <v/>
      </c>
      <c r="W81" s="21" t="n">
        <v>28</v>
      </c>
      <c r="X81" s="21" t="n">
        <v>210</v>
      </c>
      <c r="Y81" s="21" t="n">
        <v>0</v>
      </c>
      <c r="Z81" s="21" t="n">
        <v>45</v>
      </c>
      <c r="AA81" s="21" t="n">
        <v>7</v>
      </c>
      <c r="AB81" s="21" t="n">
        <v>9</v>
      </c>
      <c r="AC81" s="21" t="n">
        <v>0</v>
      </c>
      <c r="AD81" s="21" t="n">
        <v>0</v>
      </c>
      <c r="AE81" s="21" t="inlineStr">
        <is>
          <t>Damage Reduction III</t>
        </is>
      </c>
      <c r="AF81" s="65">
        <f>X81*'Item Budget'!$B$5+AB81*'Item Budget'!$B$7+Z81*'Item Budget'!$B$11+AC81*'Item Budget'!$B$10+AA81*'Item Budget'!$B$9+IFERROR(INDEX('Item Budget'!$M$25:$M$95,MATCH(AE81,'Item Budget'!$B$25:$B$95,0)),0)</f>
        <v/>
      </c>
      <c r="AG81" s="65">
        <f>X81*'Item Budget'!$B$5+AB81*'Item Budget'!$B$7+Z81*'Item Budget'!$B$11+AC81*'Item Budget'!$B$10+Y81*'Item Budget'!$B$6+AD81*'Item Budget'!$B$8+IFERROR(INDEX('Item Budget'!$N$25:$N$95,MATCH(AE81,'Item Budget'!$B$25:$B$95,0)),0)</f>
        <v/>
      </c>
      <c r="AH81" s="65">
        <f>MAX('Item Budget'!$F$16,INDEX('Item Budget'!$J$5:$J$10,MATCH($C81,'Item Budget'!$I$5:$I$10,0))+INDEX('Item Budget'!$K$5:$K$10,MATCH($C81,'Item Budget'!$I$5:$I$10,0))*MIN(W81,50))</f>
        <v/>
      </c>
      <c r="AI81" s="65">
        <f>AH81*$H81</f>
        <v/>
      </c>
      <c r="AJ81" s="49">
        <f>MAX(AF81,AG81)/AI81</f>
        <v/>
      </c>
      <c r="AK81" s="64" t="inlineStr">
        <is>
          <t>Pass 1 (applied): New accessory (anchor). Unchanged.</t>
        </is>
      </c>
      <c r="AL81" s="43">
        <f>IFERROR(INDEX('Item Budget'!$H$25:$H$95,MATCH(Q81,'Item Budget'!$B$25:$B$95,0)),0)</f>
        <v/>
      </c>
      <c r="AM81" s="43">
        <f>IFERROR(INDEX('Item Budget'!$H$25:$H$95,MATCH(AE81,'Item Budget'!$B$25:$B$95,0)),0)</f>
        <v/>
      </c>
      <c r="AN81" s="37" t="n">
        <v>0</v>
      </c>
      <c r="AO81" s="44">
        <f>IF(I81&lt;'Item Budget'!$R$10,0,'Item Budget'!$R$7*100*MAX(('Item Budget'!$R$14*(J81+25*N81)+'Item Budget'!$S$14*(K81+25*P81))/'Item Budget'!$Z$14,('Item Budget'!$R$15*(J81+25*N81)+'Item Budget'!$S$15*(K81+25*P81))/'Item Budget'!$Z$15,('Item Budget'!$R$16*(J81+25*N81)+'Item Budget'!$S$16*(K81+25*P81))/'Item Budget'!$Z$16,('Item Budget'!$R$17*(J81+25*N81)+'Item Budget'!$S$17*(K81+25*P81))/'Item Budget'!$Z$17)+'Item Budget'!$R$9*L81+IFERROR(INDEX('Item Budget'!$O$25:$O$95,MATCH(Q81,'Item Budget'!$B$25:$B$95,0)),0))</f>
        <v/>
      </c>
      <c r="AP81" s="44">
        <f>IF(W81&lt;'Item Budget'!$R$10,0,'Item Budget'!$R$7*100*MAX(('Item Budget'!$R$14*(X81+25*AB81)+'Item Budget'!$S$14*(Y81+25*AD81))/'Item Budget'!$Z$14,('Item Budget'!$R$15*(X81+25*AB81)+'Item Budget'!$S$15*(Y81+25*AD81))/'Item Budget'!$Z$15,('Item Budget'!$R$16*(X81+25*AB81)+'Item Budget'!$S$16*(Y81+25*AD81))/'Item Budget'!$Z$16,('Item Budget'!$R$17*(X81+25*AB81)+'Item Budget'!$S$17*(Y81+25*AD81))/'Item Budget'!$Z$17)+'Item Budget'!$R$9*Z81+IFERROR(INDEX('Item Budget'!$O$25:$O$95,MATCH(AE81,'Item Budget'!$B$25:$B$95,0)),0))</f>
        <v/>
      </c>
      <c r="AQ81" s="61">
        <f>IF(OR(AN81=0,AP81=0),"",SUMPRODUCT(MAX(($C$5:$C$88=C81)*($AN$5:$AN$88&lt;AN81)*$AP$5:$AP$88)))</f>
        <v/>
      </c>
      <c r="AR81" s="41">
        <f>IF(AQ81="","",IF(AQ81=0,1,SUMPRODUCT(MAX(($C$5:$C$88=C81)*($AN$5:$AN$88=AN81)*$AP$5:$AP$88))/AQ81-1))</f>
        <v/>
      </c>
      <c r="AS81" s="19">
        <f>IF(AR81="","",IF(AR81&gt;='Item Budget'!$R$11,"OK","Not above lower tier"))</f>
        <v/>
      </c>
    </row>
    <row r="82">
      <c r="A82" s="45" t="n">
        <v>695</v>
      </c>
      <c r="B82" s="45" t="inlineStr">
        <is>
          <t>Runeplate Pauldrons</t>
        </is>
      </c>
      <c r="C82" s="45" t="inlineStr">
        <is>
          <t>Pauldrons</t>
        </is>
      </c>
      <c r="D82" s="45" t="inlineStr">
        <is>
          <t>All</t>
        </is>
      </c>
      <c r="E82" s="45" t="inlineStr">
        <is>
          <t>drop:Rattlebones(L38) 15%</t>
        </is>
      </c>
      <c r="F82" s="46" t="inlineStr">
        <is>
          <t>Anchor</t>
        </is>
      </c>
      <c r="G82" s="45" t="inlineStr">
        <is>
          <t>Common drop</t>
        </is>
      </c>
      <c r="H82" s="47">
        <f>INDEX('Item Budget'!$F$5:$F$13,MATCH(G82,'Item Budget'!$E$5:$E$13,0))+IF(D82="All",0,'Item Budget'!$F$15)+LOOKUP(AN82,'Item Budget'!$E$19:$E$23,'Item Budget'!$F$19:$F$23)</f>
        <v/>
      </c>
      <c r="I82" s="45" t="n">
        <v>38</v>
      </c>
      <c r="J82" s="45" t="n">
        <v>290</v>
      </c>
      <c r="K82" s="45" t="n">
        <v>0</v>
      </c>
      <c r="L82" s="45" t="n">
        <v>60</v>
      </c>
      <c r="M82" s="45" t="n">
        <v>9</v>
      </c>
      <c r="N82" s="45" t="n">
        <v>12</v>
      </c>
      <c r="O82" s="45" t="n">
        <v>0</v>
      </c>
      <c r="P82" s="45" t="n">
        <v>0</v>
      </c>
      <c r="Q82" s="45" t="inlineStr">
        <is>
          <t>Damage Reduction IV</t>
        </is>
      </c>
      <c r="R82" s="65">
        <f>J82*'Item Budget'!$B$5+N82*'Item Budget'!$B$7+L82*'Item Budget'!$B$11+O82*'Item Budget'!$B$10+M82*'Item Budget'!$B$9+IFERROR(INDEX('Item Budget'!$M$25:$M$95,MATCH(Q82,'Item Budget'!$B$25:$B$95,0)),0)</f>
        <v/>
      </c>
      <c r="S82" s="65">
        <f>J82*'Item Budget'!$B$5+N82*'Item Budget'!$B$7+L82*'Item Budget'!$B$11+O82*'Item Budget'!$B$10+K82*'Item Budget'!$B$6+P82*'Item Budget'!$B$8+IFERROR(INDEX('Item Budget'!$N$25:$N$95,MATCH(Q82,'Item Budget'!$B$25:$B$95,0)),0)</f>
        <v/>
      </c>
      <c r="T82" s="65">
        <f>MAX('Item Budget'!$F$16,INDEX('Item Budget'!$J$5:$J$10,MATCH($C82,'Item Budget'!$I$5:$I$10,0))+INDEX('Item Budget'!$K$5:$K$10,MATCH($C82,'Item Budget'!$I$5:$I$10,0))*MIN(I82,50))</f>
        <v/>
      </c>
      <c r="U82" s="65">
        <f>T82*$H82</f>
        <v/>
      </c>
      <c r="V82" s="49">
        <f>MAX(R82,S82)/U82</f>
        <v/>
      </c>
      <c r="W82" s="21" t="n">
        <v>38</v>
      </c>
      <c r="X82" s="21" t="n">
        <v>290</v>
      </c>
      <c r="Y82" s="21" t="n">
        <v>0</v>
      </c>
      <c r="Z82" s="21" t="n">
        <v>60</v>
      </c>
      <c r="AA82" s="21" t="n">
        <v>9</v>
      </c>
      <c r="AB82" s="21" t="n">
        <v>12</v>
      </c>
      <c r="AC82" s="21" t="n">
        <v>0</v>
      </c>
      <c r="AD82" s="21" t="n">
        <v>0</v>
      </c>
      <c r="AE82" s="21" t="inlineStr">
        <is>
          <t>Damage Reduction IV</t>
        </is>
      </c>
      <c r="AF82" s="65">
        <f>X82*'Item Budget'!$B$5+AB82*'Item Budget'!$B$7+Z82*'Item Budget'!$B$11+AC82*'Item Budget'!$B$10+AA82*'Item Budget'!$B$9+IFERROR(INDEX('Item Budget'!$M$25:$M$95,MATCH(AE82,'Item Budget'!$B$25:$B$95,0)),0)</f>
        <v/>
      </c>
      <c r="AG82" s="65">
        <f>X82*'Item Budget'!$B$5+AB82*'Item Budget'!$B$7+Z82*'Item Budget'!$B$11+AC82*'Item Budget'!$B$10+Y82*'Item Budget'!$B$6+AD82*'Item Budget'!$B$8+IFERROR(INDEX('Item Budget'!$N$25:$N$95,MATCH(AE82,'Item Budget'!$B$25:$B$95,0)),0)</f>
        <v/>
      </c>
      <c r="AH82" s="65">
        <f>MAX('Item Budget'!$F$16,INDEX('Item Budget'!$J$5:$J$10,MATCH($C82,'Item Budget'!$I$5:$I$10,0))+INDEX('Item Budget'!$K$5:$K$10,MATCH($C82,'Item Budget'!$I$5:$I$10,0))*MIN(W82,50))</f>
        <v/>
      </c>
      <c r="AI82" s="65">
        <f>AH82*$H82</f>
        <v/>
      </c>
      <c r="AJ82" s="49">
        <f>MAX(AF82,AG82)/AI82</f>
        <v/>
      </c>
      <c r="AK82" s="64" t="inlineStr">
        <is>
          <t>Pass 1 (applied): New accessory (anchor). Unchanged.</t>
        </is>
      </c>
      <c r="AL82" s="43">
        <f>IFERROR(INDEX('Item Budget'!$H$25:$H$95,MATCH(Q82,'Item Budget'!$B$25:$B$95,0)),0)</f>
        <v/>
      </c>
      <c r="AM82" s="43">
        <f>IFERROR(INDEX('Item Budget'!$H$25:$H$95,MATCH(AE82,'Item Budget'!$B$25:$B$95,0)),0)</f>
        <v/>
      </c>
      <c r="AN82" s="37" t="n">
        <v>0</v>
      </c>
      <c r="AO82" s="44">
        <f>IF(I82&lt;'Item Budget'!$R$10,0,'Item Budget'!$R$7*100*MAX(('Item Budget'!$R$14*(J82+25*N82)+'Item Budget'!$S$14*(K82+25*P82))/'Item Budget'!$Z$14,('Item Budget'!$R$15*(J82+25*N82)+'Item Budget'!$S$15*(K82+25*P82))/'Item Budget'!$Z$15,('Item Budget'!$R$16*(J82+25*N82)+'Item Budget'!$S$16*(K82+25*P82))/'Item Budget'!$Z$16,('Item Budget'!$R$17*(J82+25*N82)+'Item Budget'!$S$17*(K82+25*P82))/'Item Budget'!$Z$17)+'Item Budget'!$R$9*L82+IFERROR(INDEX('Item Budget'!$O$25:$O$95,MATCH(Q82,'Item Budget'!$B$25:$B$95,0)),0))</f>
        <v/>
      </c>
      <c r="AP82" s="44">
        <f>IF(W82&lt;'Item Budget'!$R$10,0,'Item Budget'!$R$7*100*MAX(('Item Budget'!$R$14*(X82+25*AB82)+'Item Budget'!$S$14*(Y82+25*AD82))/'Item Budget'!$Z$14,('Item Budget'!$R$15*(X82+25*AB82)+'Item Budget'!$S$15*(Y82+25*AD82))/'Item Budget'!$Z$15,('Item Budget'!$R$16*(X82+25*AB82)+'Item Budget'!$S$16*(Y82+25*AD82))/'Item Budget'!$Z$16,('Item Budget'!$R$17*(X82+25*AB82)+'Item Budget'!$S$17*(Y82+25*AD82))/'Item Budget'!$Z$17)+'Item Budget'!$R$9*Z82+IFERROR(INDEX('Item Budget'!$O$25:$O$95,MATCH(AE82,'Item Budget'!$B$25:$B$95,0)),0))</f>
        <v/>
      </c>
      <c r="AQ82" s="61">
        <f>IF(OR(AN82=0,AP82=0),"",SUMPRODUCT(MAX(($C$5:$C$88=C82)*($AN$5:$AN$88&lt;AN82)*$AP$5:$AP$88)))</f>
        <v/>
      </c>
      <c r="AR82" s="41">
        <f>IF(AQ82="","",IF(AQ82=0,1,SUMPRODUCT(MAX(($C$5:$C$88=C82)*($AN$5:$AN$88=AN82)*$AP$5:$AP$88))/AQ82-1))</f>
        <v/>
      </c>
      <c r="AS82" s="19">
        <f>IF(AR82="","",IF(AR82&gt;='Item Budget'!$R$11,"OK","Not above lower tier"))</f>
        <v/>
      </c>
    </row>
    <row r="83">
      <c r="A83" s="45" t="n">
        <v>696</v>
      </c>
      <c r="B83" s="45" t="inlineStr">
        <is>
          <t>Bulwark Pauldrons</t>
        </is>
      </c>
      <c r="C83" s="45" t="inlineStr">
        <is>
          <t>Pauldrons</t>
        </is>
      </c>
      <c r="D83" s="45" t="inlineStr">
        <is>
          <t>All</t>
        </is>
      </c>
      <c r="E83" s="45" t="inlineStr">
        <is>
          <t>drop:Admiral Persecution(L48) 15%</t>
        </is>
      </c>
      <c r="F83" s="46" t="inlineStr">
        <is>
          <t>Anchor</t>
        </is>
      </c>
      <c r="G83" s="45" t="inlineStr">
        <is>
          <t>Common drop</t>
        </is>
      </c>
      <c r="H83" s="47">
        <f>INDEX('Item Budget'!$F$5:$F$13,MATCH(G83,'Item Budget'!$E$5:$E$13,0))+IF(D83="All",0,'Item Budget'!$F$15)+LOOKUP(AN83,'Item Budget'!$E$19:$E$23,'Item Budget'!$F$19:$F$23)</f>
        <v/>
      </c>
      <c r="I83" s="45" t="n">
        <v>48</v>
      </c>
      <c r="J83" s="45" t="n">
        <v>370</v>
      </c>
      <c r="K83" s="45" t="n">
        <v>0</v>
      </c>
      <c r="L83" s="45" t="n">
        <v>78</v>
      </c>
      <c r="M83" s="45" t="n">
        <v>11</v>
      </c>
      <c r="N83" s="45" t="n">
        <v>15</v>
      </c>
      <c r="O83" s="45" t="n">
        <v>0</v>
      </c>
      <c r="P83" s="45" t="n">
        <v>0</v>
      </c>
      <c r="Q83" s="45" t="inlineStr">
        <is>
          <t>Damage Reduction V</t>
        </is>
      </c>
      <c r="R83" s="65">
        <f>J83*'Item Budget'!$B$5+N83*'Item Budget'!$B$7+L83*'Item Budget'!$B$11+O83*'Item Budget'!$B$10+M83*'Item Budget'!$B$9+IFERROR(INDEX('Item Budget'!$M$25:$M$95,MATCH(Q83,'Item Budget'!$B$25:$B$95,0)),0)</f>
        <v/>
      </c>
      <c r="S83" s="65">
        <f>J83*'Item Budget'!$B$5+N83*'Item Budget'!$B$7+L83*'Item Budget'!$B$11+O83*'Item Budget'!$B$10+K83*'Item Budget'!$B$6+P83*'Item Budget'!$B$8+IFERROR(INDEX('Item Budget'!$N$25:$N$95,MATCH(Q83,'Item Budget'!$B$25:$B$95,0)),0)</f>
        <v/>
      </c>
      <c r="T83" s="65">
        <f>MAX('Item Budget'!$F$16,INDEX('Item Budget'!$J$5:$J$10,MATCH($C83,'Item Budget'!$I$5:$I$10,0))+INDEX('Item Budget'!$K$5:$K$10,MATCH($C83,'Item Budget'!$I$5:$I$10,0))*MIN(I83,50))</f>
        <v/>
      </c>
      <c r="U83" s="65">
        <f>T83*$H83</f>
        <v/>
      </c>
      <c r="V83" s="49">
        <f>MAX(R83,S83)/U83</f>
        <v/>
      </c>
      <c r="W83" s="21" t="n">
        <v>48</v>
      </c>
      <c r="X83" s="21" t="n">
        <v>370</v>
      </c>
      <c r="Y83" s="21" t="n">
        <v>0</v>
      </c>
      <c r="Z83" s="21" t="n">
        <v>78</v>
      </c>
      <c r="AA83" s="21" t="n">
        <v>11</v>
      </c>
      <c r="AB83" s="21" t="n">
        <v>15</v>
      </c>
      <c r="AC83" s="21" t="n">
        <v>0</v>
      </c>
      <c r="AD83" s="21" t="n">
        <v>0</v>
      </c>
      <c r="AE83" s="21" t="inlineStr">
        <is>
          <t>Damage Reduction V</t>
        </is>
      </c>
      <c r="AF83" s="65">
        <f>X83*'Item Budget'!$B$5+AB83*'Item Budget'!$B$7+Z83*'Item Budget'!$B$11+AC83*'Item Budget'!$B$10+AA83*'Item Budget'!$B$9+IFERROR(INDEX('Item Budget'!$M$25:$M$95,MATCH(AE83,'Item Budget'!$B$25:$B$95,0)),0)</f>
        <v/>
      </c>
      <c r="AG83" s="65">
        <f>X83*'Item Budget'!$B$5+AB83*'Item Budget'!$B$7+Z83*'Item Budget'!$B$11+AC83*'Item Budget'!$B$10+Y83*'Item Budget'!$B$6+AD83*'Item Budget'!$B$8+IFERROR(INDEX('Item Budget'!$N$25:$N$95,MATCH(AE83,'Item Budget'!$B$25:$B$95,0)),0)</f>
        <v/>
      </c>
      <c r="AH83" s="65">
        <f>MAX('Item Budget'!$F$16,INDEX('Item Budget'!$J$5:$J$10,MATCH($C83,'Item Budget'!$I$5:$I$10,0))+INDEX('Item Budget'!$K$5:$K$10,MATCH($C83,'Item Budget'!$I$5:$I$10,0))*MIN(W83,50))</f>
        <v/>
      </c>
      <c r="AI83" s="65">
        <f>AH83*$H83</f>
        <v/>
      </c>
      <c r="AJ83" s="49">
        <f>MAX(AF83,AG83)/AI83</f>
        <v/>
      </c>
      <c r="AK83" s="64" t="inlineStr">
        <is>
          <t>Pass 1 (applied): New accessory (anchor). Unchanged.</t>
        </is>
      </c>
      <c r="AL83" s="43">
        <f>IFERROR(INDEX('Item Budget'!$H$25:$H$95,MATCH(Q83,'Item Budget'!$B$25:$B$95,0)),0)</f>
        <v/>
      </c>
      <c r="AM83" s="43">
        <f>IFERROR(INDEX('Item Budget'!$H$25:$H$95,MATCH(AE83,'Item Budget'!$B$25:$B$95,0)),0)</f>
        <v/>
      </c>
      <c r="AN83" s="37" t="n">
        <v>0</v>
      </c>
      <c r="AO83" s="44">
        <f>IF(I83&lt;'Item Budget'!$R$10,0,'Item Budget'!$R$7*100*MAX(('Item Budget'!$R$14*(J83+25*N83)+'Item Budget'!$S$14*(K83+25*P83))/'Item Budget'!$Z$14,('Item Budget'!$R$15*(J83+25*N83)+'Item Budget'!$S$15*(K83+25*P83))/'Item Budget'!$Z$15,('Item Budget'!$R$16*(J83+25*N83)+'Item Budget'!$S$16*(K83+25*P83))/'Item Budget'!$Z$16,('Item Budget'!$R$17*(J83+25*N83)+'Item Budget'!$S$17*(K83+25*P83))/'Item Budget'!$Z$17)+'Item Budget'!$R$9*L83+IFERROR(INDEX('Item Budget'!$O$25:$O$95,MATCH(Q83,'Item Budget'!$B$25:$B$95,0)),0))</f>
        <v/>
      </c>
      <c r="AP83" s="44">
        <f>IF(W83&lt;'Item Budget'!$R$10,0,'Item Budget'!$R$7*100*MAX(('Item Budget'!$R$14*(X83+25*AB83)+'Item Budget'!$S$14*(Y83+25*AD83))/'Item Budget'!$Z$14,('Item Budget'!$R$15*(X83+25*AB83)+'Item Budget'!$S$15*(Y83+25*AD83))/'Item Budget'!$Z$15,('Item Budget'!$R$16*(X83+25*AB83)+'Item Budget'!$S$16*(Y83+25*AD83))/'Item Budget'!$Z$16,('Item Budget'!$R$17*(X83+25*AB83)+'Item Budget'!$S$17*(Y83+25*AD83))/'Item Budget'!$Z$17)+'Item Budget'!$R$9*Z83+IFERROR(INDEX('Item Budget'!$O$25:$O$95,MATCH(AE83,'Item Budget'!$B$25:$B$95,0)),0))</f>
        <v/>
      </c>
      <c r="AQ83" s="61">
        <f>IF(OR(AN83=0,AP83=0),"",SUMPRODUCT(MAX(($C$5:$C$88=C83)*($AN$5:$AN$88&lt;AN83)*$AP$5:$AP$88)))</f>
        <v/>
      </c>
      <c r="AR83" s="41">
        <f>IF(AQ83="","",IF(AQ83=0,1,SUMPRODUCT(MAX(($C$5:$C$88=C83)*($AN$5:$AN$88=AN83)*$AP$5:$AP$88))/AQ83-1))</f>
        <v/>
      </c>
      <c r="AS83" s="19">
        <f>IF(AR83="","",IF(AR83&gt;='Item Budget'!$R$11,"OK","Not above lower tier"))</f>
        <v/>
      </c>
    </row>
    <row r="84">
      <c r="A84" s="21" t="n">
        <v>288</v>
      </c>
      <c r="B84" s="21" t="inlineStr">
        <is>
          <t>Pauldrons of Power</t>
        </is>
      </c>
      <c r="C84" s="21" t="inlineStr">
        <is>
          <t>Pauldrons</t>
        </is>
      </c>
      <c r="D84" s="21" t="inlineStr">
        <is>
          <t>All</t>
        </is>
      </c>
      <c r="E84" s="21" t="inlineStr">
        <is>
          <t>drop:Ztwel Tahp(L50) 10%</t>
        </is>
      </c>
      <c r="F84" s="3" t="inlineStr">
        <is>
          <t>Buff</t>
        </is>
      </c>
      <c r="G84" s="21" t="inlineStr">
        <is>
          <t>Uncommon drop</t>
        </is>
      </c>
      <c r="H84" s="31">
        <f>INDEX('Item Budget'!$F$5:$F$13,MATCH(G84,'Item Budget'!$E$5:$E$13,0))+IF(D84="All",0,'Item Budget'!$F$15)+LOOKUP(AN84,'Item Budget'!$E$19:$E$23,'Item Budget'!$F$19:$F$23)</f>
        <v/>
      </c>
      <c r="I84" s="21" t="n">
        <v>50</v>
      </c>
      <c r="J84" s="21" t="n">
        <v>450</v>
      </c>
      <c r="K84" s="21" t="n">
        <v>500</v>
      </c>
      <c r="L84" s="21" t="n">
        <v>95</v>
      </c>
      <c r="M84" s="21" t="n">
        <v>12</v>
      </c>
      <c r="N84" s="21" t="n">
        <v>12</v>
      </c>
      <c r="O84" s="21" t="n">
        <v>12</v>
      </c>
      <c r="P84" s="21" t="n">
        <v>12</v>
      </c>
      <c r="Q84" s="21" t="inlineStr">
        <is>
          <t>Increased Spell Damage XV</t>
        </is>
      </c>
      <c r="R84" s="61">
        <f>J84*'Item Budget'!$B$5+N84*'Item Budget'!$B$7+L84*'Item Budget'!$B$11+O84*'Item Budget'!$B$10+M84*'Item Budget'!$B$9+IFERROR(INDEX('Item Budget'!$M$25:$M$95,MATCH(Q84,'Item Budget'!$B$25:$B$95,0)),0)</f>
        <v/>
      </c>
      <c r="S84" s="61">
        <f>J84*'Item Budget'!$B$5+N84*'Item Budget'!$B$7+L84*'Item Budget'!$B$11+O84*'Item Budget'!$B$10+K84*'Item Budget'!$B$6+P84*'Item Budget'!$B$8+IFERROR(INDEX('Item Budget'!$N$25:$N$95,MATCH(Q84,'Item Budget'!$B$25:$B$95,0)),0)</f>
        <v/>
      </c>
      <c r="T84" s="61">
        <f>MAX('Item Budget'!$F$16,INDEX('Item Budget'!$J$5:$J$10,MATCH($C84,'Item Budget'!$I$5:$I$10,0))+INDEX('Item Budget'!$K$5:$K$10,MATCH($C84,'Item Budget'!$I$5:$I$10,0))*MIN(I84,50))</f>
        <v/>
      </c>
      <c r="U84" s="61">
        <f>T84*$H84</f>
        <v/>
      </c>
      <c r="V84" s="41">
        <f>MAX(R84,S84)/U84</f>
        <v/>
      </c>
      <c r="W84" s="21" t="n">
        <v>50</v>
      </c>
      <c r="X84" s="21" t="n">
        <v>450</v>
      </c>
      <c r="Y84" s="21" t="n">
        <v>500</v>
      </c>
      <c r="Z84" s="21" t="n">
        <v>95</v>
      </c>
      <c r="AA84" s="21" t="n">
        <v>12</v>
      </c>
      <c r="AB84" s="21" t="n">
        <v>12</v>
      </c>
      <c r="AC84" s="21" t="n">
        <v>12</v>
      </c>
      <c r="AD84" s="21" t="n">
        <v>12</v>
      </c>
      <c r="AE84" s="21" t="inlineStr">
        <is>
          <t>Increased Spell Damage XV</t>
        </is>
      </c>
      <c r="AF84" s="61">
        <f>X84*'Item Budget'!$B$5+AB84*'Item Budget'!$B$7+Z84*'Item Budget'!$B$11+AC84*'Item Budget'!$B$10+AA84*'Item Budget'!$B$9+IFERROR(INDEX('Item Budget'!$M$25:$M$95,MATCH(AE84,'Item Budget'!$B$25:$B$95,0)),0)</f>
        <v/>
      </c>
      <c r="AG84" s="61">
        <f>X84*'Item Budget'!$B$5+AB84*'Item Budget'!$B$7+Z84*'Item Budget'!$B$11+AC84*'Item Budget'!$B$10+Y84*'Item Budget'!$B$6+AD84*'Item Budget'!$B$8+IFERROR(INDEX('Item Budget'!$N$25:$N$95,MATCH(AE84,'Item Budget'!$B$25:$B$95,0)),0)</f>
        <v/>
      </c>
      <c r="AH84" s="61">
        <f>MAX('Item Budget'!$F$16,INDEX('Item Budget'!$J$5:$J$10,MATCH($C84,'Item Budget'!$I$5:$I$10,0))+INDEX('Item Budget'!$K$5:$K$10,MATCH($C84,'Item Budget'!$I$5:$I$10,0))*MIN(W84,50))</f>
        <v/>
      </c>
      <c r="AI84" s="61">
        <f>AH84*$H84</f>
        <v/>
      </c>
      <c r="AJ84" s="41">
        <f>MAX(AF84,AG84)/AI84</f>
        <v/>
      </c>
      <c r="AK84" s="64" t="inlineStr">
        <is>
          <t>Pass 1 (applied): 20M XP: clearly above Savage Boar. 15% spell damage and more HP/MP/AC.</t>
        </is>
      </c>
      <c r="AL84" s="43">
        <f>IFERROR(INDEX('Item Budget'!$H$25:$H$95,MATCH(Q84,'Item Budget'!$B$25:$B$95,0)),0)</f>
        <v/>
      </c>
      <c r="AM84" s="43">
        <f>IFERROR(INDEX('Item Budget'!$H$25:$H$95,MATCH(AE84,'Item Budget'!$B$25:$B$95,0)),0)</f>
        <v/>
      </c>
      <c r="AN84" s="37" t="n">
        <v>20000000</v>
      </c>
      <c r="AO84" s="44">
        <f>IF(I84&lt;'Item Budget'!$R$10,0,'Item Budget'!$R$7*100*MAX(('Item Budget'!$R$14*(J84+25*N84)+'Item Budget'!$S$14*(K84+25*P84))/'Item Budget'!$Z$14,('Item Budget'!$R$15*(J84+25*N84)+'Item Budget'!$S$15*(K84+25*P84))/'Item Budget'!$Z$15,('Item Budget'!$R$16*(J84+25*N84)+'Item Budget'!$S$16*(K84+25*P84))/'Item Budget'!$Z$16,('Item Budget'!$R$17*(J84+25*N84)+'Item Budget'!$S$17*(K84+25*P84))/'Item Budget'!$Z$17)+'Item Budget'!$R$9*L84+IFERROR(INDEX('Item Budget'!$O$25:$O$95,MATCH(Q84,'Item Budget'!$B$25:$B$95,0)),0))</f>
        <v/>
      </c>
      <c r="AP84" s="44">
        <f>IF(W84&lt;'Item Budget'!$R$10,0,'Item Budget'!$R$7*100*MAX(('Item Budget'!$R$14*(X84+25*AB84)+'Item Budget'!$S$14*(Y84+25*AD84))/'Item Budget'!$Z$14,('Item Budget'!$R$15*(X84+25*AB84)+'Item Budget'!$S$15*(Y84+25*AD84))/'Item Budget'!$Z$15,('Item Budget'!$R$16*(X84+25*AB84)+'Item Budget'!$S$16*(Y84+25*AD84))/'Item Budget'!$Z$16,('Item Budget'!$R$17*(X84+25*AB84)+'Item Budget'!$S$17*(Y84+25*AD84))/'Item Budget'!$Z$17)+'Item Budget'!$R$9*Z84+IFERROR(INDEX('Item Budget'!$O$25:$O$95,MATCH(AE84,'Item Budget'!$B$25:$B$95,0)),0))</f>
        <v/>
      </c>
      <c r="AQ84" s="61">
        <f>IF(OR(AN84=0,AP84=0),"",SUMPRODUCT(MAX(($C$5:$C$88=C84)*($AN$5:$AN$88&lt;AN84)*$AP$5:$AP$88)))</f>
        <v/>
      </c>
      <c r="AR84" s="41">
        <f>IF(AQ84="","",IF(AQ84=0,1,SUMPRODUCT(MAX(($C$5:$C$88=C84)*($AN$5:$AN$88=AN84)*$AP$5:$AP$88))/AQ84-1))</f>
        <v/>
      </c>
      <c r="AS84" s="19">
        <f>IF(AR84="","",IF(AR84&gt;='Item Budget'!$R$11,"OK","Not above lower tier"))</f>
        <v/>
      </c>
    </row>
    <row r="85">
      <c r="A85" s="21" t="n">
        <v>422</v>
      </c>
      <c r="B85" s="21" t="inlineStr">
        <is>
          <t>Savage Pauldrons of the Boar</t>
        </is>
      </c>
      <c r="C85" s="21" t="inlineStr">
        <is>
          <t>Pauldrons</t>
        </is>
      </c>
      <c r="D85" s="21" t="inlineStr">
        <is>
          <t>Magus/Priest</t>
        </is>
      </c>
      <c r="E85" s="21" t="inlineStr">
        <is>
          <t>drop:Showboat(L50) 10%</t>
        </is>
      </c>
      <c r="F85" s="3" t="inlineStr">
        <is>
          <t>Buff</t>
        </is>
      </c>
      <c r="G85" s="21" t="inlineStr">
        <is>
          <t>Uncommon drop</t>
        </is>
      </c>
      <c r="H85" s="31">
        <f>INDEX('Item Budget'!$F$5:$F$13,MATCH(G85,'Item Budget'!$E$5:$E$13,0))+IF(D85="All",0,'Item Budget'!$F$15)+LOOKUP(AN85,'Item Budget'!$E$19:$E$23,'Item Budget'!$F$19:$F$23)</f>
        <v/>
      </c>
      <c r="I85" s="21" t="n">
        <v>50</v>
      </c>
      <c r="J85" s="21" t="n">
        <v>300</v>
      </c>
      <c r="K85" s="21" t="n">
        <v>450</v>
      </c>
      <c r="L85" s="21" t="n">
        <v>75</v>
      </c>
      <c r="M85" s="21" t="n">
        <v>2</v>
      </c>
      <c r="N85" s="21" t="n">
        <v>12</v>
      </c>
      <c r="O85" s="21" t="n">
        <v>2</v>
      </c>
      <c r="P85" s="21" t="n">
        <v>22</v>
      </c>
      <c r="Q85" s="21" t="inlineStr">
        <is>
          <t>Increased Spell Damage V</t>
        </is>
      </c>
      <c r="R85" s="61">
        <f>J85*'Item Budget'!$B$5+N85*'Item Budget'!$B$7+L85*'Item Budget'!$B$11+O85*'Item Budget'!$B$10+M85*'Item Budget'!$B$9+IFERROR(INDEX('Item Budget'!$M$25:$M$95,MATCH(Q85,'Item Budget'!$B$25:$B$95,0)),0)</f>
        <v/>
      </c>
      <c r="S85" s="61">
        <f>J85*'Item Budget'!$B$5+N85*'Item Budget'!$B$7+L85*'Item Budget'!$B$11+O85*'Item Budget'!$B$10+K85*'Item Budget'!$B$6+P85*'Item Budget'!$B$8+IFERROR(INDEX('Item Budget'!$N$25:$N$95,MATCH(Q85,'Item Budget'!$B$25:$B$95,0)),0)</f>
        <v/>
      </c>
      <c r="T85" s="61">
        <f>MAX('Item Budget'!$F$16,INDEX('Item Budget'!$J$5:$J$10,MATCH($C85,'Item Budget'!$I$5:$I$10,0))+INDEX('Item Budget'!$K$5:$K$10,MATCH($C85,'Item Budget'!$I$5:$I$10,0))*MIN(I85,50))</f>
        <v/>
      </c>
      <c r="U85" s="61">
        <f>T85*$H85</f>
        <v/>
      </c>
      <c r="V85" s="41">
        <f>MAX(R85,S85)/U85</f>
        <v/>
      </c>
      <c r="W85" s="21" t="n">
        <v>50</v>
      </c>
      <c r="X85" s="21" t="n">
        <v>300</v>
      </c>
      <c r="Y85" s="21" t="n">
        <v>450</v>
      </c>
      <c r="Z85" s="21" t="n">
        <v>75</v>
      </c>
      <c r="AA85" s="21" t="n">
        <v>2</v>
      </c>
      <c r="AB85" s="21" t="n">
        <v>12</v>
      </c>
      <c r="AC85" s="21" t="n">
        <v>2</v>
      </c>
      <c r="AD85" s="21" t="n">
        <v>22</v>
      </c>
      <c r="AE85" s="21" t="inlineStr">
        <is>
          <t>Increased Spell Damage V</t>
        </is>
      </c>
      <c r="AF85" s="61">
        <f>X85*'Item Budget'!$B$5+AB85*'Item Budget'!$B$7+Z85*'Item Budget'!$B$11+AC85*'Item Budget'!$B$10+AA85*'Item Budget'!$B$9+IFERROR(INDEX('Item Budget'!$M$25:$M$95,MATCH(AE85,'Item Budget'!$B$25:$B$95,0)),0)</f>
        <v/>
      </c>
      <c r="AG85" s="61">
        <f>X85*'Item Budget'!$B$5+AB85*'Item Budget'!$B$7+Z85*'Item Budget'!$B$11+AC85*'Item Budget'!$B$10+Y85*'Item Budget'!$B$6+AD85*'Item Budget'!$B$8+IFERROR(INDEX('Item Budget'!$N$25:$N$95,MATCH(AE85,'Item Budget'!$B$25:$B$95,0)),0)</f>
        <v/>
      </c>
      <c r="AH85" s="61">
        <f>MAX('Item Budget'!$F$16,INDEX('Item Budget'!$J$5:$J$10,MATCH($C85,'Item Budget'!$I$5:$I$10,0))+INDEX('Item Budget'!$K$5:$K$10,MATCH($C85,'Item Budget'!$I$5:$I$10,0))*MIN(W85,50))</f>
        <v/>
      </c>
      <c r="AI85" s="61">
        <f>AH85*$H85</f>
        <v/>
      </c>
      <c r="AJ85" s="41">
        <f>MAX(AF85,AG85)/AI85</f>
        <v/>
      </c>
      <c r="AK85" s="64" t="inlineStr">
        <is>
          <t>Pass 1 (applied): Lowered on purpose to sit well under Pauldrons of Power (no XP gate): 5% spell damage, moderate MP/INT.</t>
        </is>
      </c>
      <c r="AL85" s="43">
        <f>IFERROR(INDEX('Item Budget'!$H$25:$H$95,MATCH(Q85,'Item Budget'!$B$25:$B$95,0)),0)</f>
        <v/>
      </c>
      <c r="AM85" s="43">
        <f>IFERROR(INDEX('Item Budget'!$H$25:$H$95,MATCH(AE85,'Item Budget'!$B$25:$B$95,0)),0)</f>
        <v/>
      </c>
      <c r="AN85" s="37" t="n">
        <v>0</v>
      </c>
      <c r="AO85" s="44">
        <f>IF(I85&lt;'Item Budget'!$R$10,0,'Item Budget'!$R$7*100*MAX(('Item Budget'!$R$14*(J85+25*N85)+'Item Budget'!$S$14*(K85+25*P85))/'Item Budget'!$Z$14,('Item Budget'!$R$15*(J85+25*N85)+'Item Budget'!$S$15*(K85+25*P85))/'Item Budget'!$Z$15,('Item Budget'!$R$16*(J85+25*N85)+'Item Budget'!$S$16*(K85+25*P85))/'Item Budget'!$Z$16,('Item Budget'!$R$17*(J85+25*N85)+'Item Budget'!$S$17*(K85+25*P85))/'Item Budget'!$Z$17)+'Item Budget'!$R$9*L85+IFERROR(INDEX('Item Budget'!$O$25:$O$95,MATCH(Q85,'Item Budget'!$B$25:$B$95,0)),0))</f>
        <v/>
      </c>
      <c r="AP85" s="44">
        <f>IF(W85&lt;'Item Budget'!$R$10,0,'Item Budget'!$R$7*100*MAX(('Item Budget'!$R$14*(X85+25*AB85)+'Item Budget'!$S$14*(Y85+25*AD85))/'Item Budget'!$Z$14,('Item Budget'!$R$15*(X85+25*AB85)+'Item Budget'!$S$15*(Y85+25*AD85))/'Item Budget'!$Z$15,('Item Budget'!$R$16*(X85+25*AB85)+'Item Budget'!$S$16*(Y85+25*AD85))/'Item Budget'!$Z$16,('Item Budget'!$R$17*(X85+25*AB85)+'Item Budget'!$S$17*(Y85+25*AD85))/'Item Budget'!$Z$17)+'Item Budget'!$R$9*Z85+IFERROR(INDEX('Item Budget'!$O$25:$O$95,MATCH(AE85,'Item Budget'!$B$25:$B$95,0)),0))</f>
        <v/>
      </c>
      <c r="AQ85" s="61">
        <f>IF(OR(AN85=0,AP85=0),"",SUMPRODUCT(MAX(($C$5:$C$88=C85)*($AN$5:$AN$88&lt;AN85)*$AP$5:$AP$88)))</f>
        <v/>
      </c>
      <c r="AR85" s="41">
        <f>IF(AQ85="","",IF(AQ85=0,1,SUMPRODUCT(MAX(($C$5:$C$88=C85)*($AN$5:$AN$88=AN85)*$AP$5:$AP$88))/AQ85-1))</f>
        <v/>
      </c>
      <c r="AS85" s="19">
        <f>IF(AR85="","",IF(AR85&gt;='Item Budget'!$R$11,"OK","Not above lower tier"))</f>
        <v/>
      </c>
    </row>
    <row r="86">
      <c r="A86" s="21" t="n">
        <v>423</v>
      </c>
      <c r="B86" s="21" t="inlineStr">
        <is>
          <t>Savage Pauldrons of the Cow</t>
        </is>
      </c>
      <c r="C86" s="21" t="inlineStr">
        <is>
          <t>Pauldrons</t>
        </is>
      </c>
      <c r="D86" s="21" t="inlineStr">
        <is>
          <t>Rogue/Warrior</t>
        </is>
      </c>
      <c r="E86" s="21" t="inlineStr">
        <is>
          <t>drop:Showboat(L50) 10%</t>
        </is>
      </c>
      <c r="F86" s="3" t="inlineStr">
        <is>
          <t>Buff</t>
        </is>
      </c>
      <c r="G86" s="21" t="inlineStr">
        <is>
          <t>Uncommon drop</t>
        </is>
      </c>
      <c r="H86" s="31">
        <f>INDEX('Item Budget'!$F$5:$F$13,MATCH(G86,'Item Budget'!$E$5:$E$13,0))+IF(D86="All",0,'Item Budget'!$F$15)+LOOKUP(AN86,'Item Budget'!$E$19:$E$23,'Item Budget'!$F$19:$F$23)</f>
        <v/>
      </c>
      <c r="I86" s="21" t="n">
        <v>50</v>
      </c>
      <c r="J86" s="21" t="n">
        <v>550</v>
      </c>
      <c r="K86" s="21" t="n">
        <v>50</v>
      </c>
      <c r="L86" s="21" t="n">
        <v>100</v>
      </c>
      <c r="M86" s="21" t="n">
        <v>18</v>
      </c>
      <c r="N86" s="21" t="n">
        <v>20</v>
      </c>
      <c r="O86" s="21" t="n">
        <v>2</v>
      </c>
      <c r="P86" s="21" t="n">
        <v>2</v>
      </c>
      <c r="Q86" s="21" t="inlineStr">
        <is>
          <t>Damage Reduction IV and Spell Damage II</t>
        </is>
      </c>
      <c r="R86" s="61">
        <f>J86*'Item Budget'!$B$5+N86*'Item Budget'!$B$7+L86*'Item Budget'!$B$11+O86*'Item Budget'!$B$10+M86*'Item Budget'!$B$9+IFERROR(INDEX('Item Budget'!$M$25:$M$95,MATCH(Q86,'Item Budget'!$B$25:$B$95,0)),0)</f>
        <v/>
      </c>
      <c r="S86" s="61">
        <f>J86*'Item Budget'!$B$5+N86*'Item Budget'!$B$7+L86*'Item Budget'!$B$11+O86*'Item Budget'!$B$10+K86*'Item Budget'!$B$6+P86*'Item Budget'!$B$8+IFERROR(INDEX('Item Budget'!$N$25:$N$95,MATCH(Q86,'Item Budget'!$B$25:$B$95,0)),0)</f>
        <v/>
      </c>
      <c r="T86" s="61">
        <f>MAX('Item Budget'!$F$16,INDEX('Item Budget'!$J$5:$J$10,MATCH($C86,'Item Budget'!$I$5:$I$10,0))+INDEX('Item Budget'!$K$5:$K$10,MATCH($C86,'Item Budget'!$I$5:$I$10,0))*MIN(I86,50))</f>
        <v/>
      </c>
      <c r="U86" s="61">
        <f>T86*$H86</f>
        <v/>
      </c>
      <c r="V86" s="41">
        <f>MAX(R86,S86)/U86</f>
        <v/>
      </c>
      <c r="W86" s="21" t="n">
        <v>50</v>
      </c>
      <c r="X86" s="21" t="n">
        <v>550</v>
      </c>
      <c r="Y86" s="21" t="n">
        <v>50</v>
      </c>
      <c r="Z86" s="21" t="n">
        <v>100</v>
      </c>
      <c r="AA86" s="21" t="n">
        <v>18</v>
      </c>
      <c r="AB86" s="21" t="n">
        <v>20</v>
      </c>
      <c r="AC86" s="21" t="n">
        <v>2</v>
      </c>
      <c r="AD86" s="21" t="n">
        <v>2</v>
      </c>
      <c r="AE86" s="20" t="inlineStr">
        <is>
          <t>Damage Reduction VI and Spell Damage II</t>
        </is>
      </c>
      <c r="AF86" s="61">
        <f>X86*'Item Budget'!$B$5+AB86*'Item Budget'!$B$7+Z86*'Item Budget'!$B$11+AC86*'Item Budget'!$B$10+AA86*'Item Budget'!$B$9+IFERROR(INDEX('Item Budget'!$M$25:$M$95,MATCH(AE86,'Item Budget'!$B$25:$B$95,0)),0)</f>
        <v/>
      </c>
      <c r="AG86" s="61">
        <f>X86*'Item Budget'!$B$5+AB86*'Item Budget'!$B$7+Z86*'Item Budget'!$B$11+AC86*'Item Budget'!$B$10+Y86*'Item Budget'!$B$6+AD86*'Item Budget'!$B$8+IFERROR(INDEX('Item Budget'!$N$25:$N$95,MATCH(AE86,'Item Budget'!$B$25:$B$95,0)),0)</f>
        <v/>
      </c>
      <c r="AH86" s="61">
        <f>MAX('Item Budget'!$F$16,INDEX('Item Budget'!$J$5:$J$10,MATCH($C86,'Item Budget'!$I$5:$I$10,0))+INDEX('Item Budget'!$K$5:$K$10,MATCH($C86,'Item Budget'!$I$5:$I$10,0))*MIN(W86,50))</f>
        <v/>
      </c>
      <c r="AI86" s="61">
        <f>AH86*$H86</f>
        <v/>
      </c>
      <c r="AJ86" s="41">
        <f>MAX(AF86,AG86)/AI86</f>
        <v/>
      </c>
      <c r="AK86" s="64" t="inlineStr">
        <is>
          <t>Pass 1 (applied): Warrior/Rogue pauldron: beats Bulwark on HP/AC/STR. Needs a NEW effect: 4% DR + 2% spell damage, so it is not just a Bulwark copy.</t>
        </is>
      </c>
      <c r="AL86" s="43">
        <f>IFERROR(INDEX('Item Budget'!$H$25:$H$95,MATCH(Q86,'Item Budget'!$B$25:$B$95,0)),0)</f>
        <v/>
      </c>
      <c r="AM86" s="43">
        <f>IFERROR(INDEX('Item Budget'!$H$25:$H$95,MATCH(AE86,'Item Budget'!$B$25:$B$95,0)),0)</f>
        <v/>
      </c>
      <c r="AN86" s="37" t="n">
        <v>0</v>
      </c>
      <c r="AO86" s="44">
        <f>IF(I86&lt;'Item Budget'!$R$10,0,'Item Budget'!$R$7*100*MAX(('Item Budget'!$R$14*(J86+25*N86)+'Item Budget'!$S$14*(K86+25*P86))/'Item Budget'!$Z$14,('Item Budget'!$R$15*(J86+25*N86)+'Item Budget'!$S$15*(K86+25*P86))/'Item Budget'!$Z$15,('Item Budget'!$R$16*(J86+25*N86)+'Item Budget'!$S$16*(K86+25*P86))/'Item Budget'!$Z$16,('Item Budget'!$R$17*(J86+25*N86)+'Item Budget'!$S$17*(K86+25*P86))/'Item Budget'!$Z$17)+'Item Budget'!$R$9*L86+IFERROR(INDEX('Item Budget'!$O$25:$O$95,MATCH(Q86,'Item Budget'!$B$25:$B$95,0)),0))</f>
        <v/>
      </c>
      <c r="AP86" s="44">
        <f>IF(W86&lt;'Item Budget'!$R$10,0,'Item Budget'!$R$7*100*MAX(('Item Budget'!$R$14*(X86+25*AB86)+'Item Budget'!$S$14*(Y86+25*AD86))/'Item Budget'!$Z$14,('Item Budget'!$R$15*(X86+25*AB86)+'Item Budget'!$S$15*(Y86+25*AD86))/'Item Budget'!$Z$15,('Item Budget'!$R$16*(X86+25*AB86)+'Item Budget'!$S$16*(Y86+25*AD86))/'Item Budget'!$Z$16,('Item Budget'!$R$17*(X86+25*AB86)+'Item Budget'!$S$17*(Y86+25*AD86))/'Item Budget'!$Z$17)+'Item Budget'!$R$9*Z86+IFERROR(INDEX('Item Budget'!$O$25:$O$95,MATCH(AE86,'Item Budget'!$B$25:$B$95,0)),0))</f>
        <v/>
      </c>
      <c r="AQ86" s="61">
        <f>IF(OR(AN86=0,AP86=0),"",SUMPRODUCT(MAX(($C$5:$C$88=C86)*($AN$5:$AN$88&lt;AN86)*$AP$5:$AP$88)))</f>
        <v/>
      </c>
      <c r="AR86" s="41">
        <f>IF(AQ86="","",IF(AQ86=0,1,SUMPRODUCT(MAX(($C$5:$C$88=C86)*($AN$5:$AN$88=AN86)*$AP$5:$AP$88))/AQ86-1))</f>
        <v/>
      </c>
      <c r="AS86" s="19">
        <f>IF(AR86="","",IF(AR86&gt;='Item Budget'!$R$11,"OK","Not above lower tier"))</f>
        <v/>
      </c>
    </row>
    <row r="87">
      <c r="A87" s="21" t="n">
        <v>435</v>
      </c>
      <c r="B87" s="21" t="inlineStr">
        <is>
          <t>Ducky Pauldrons</t>
        </is>
      </c>
      <c r="C87" s="21" t="inlineStr">
        <is>
          <t>Pauldrons</t>
        </is>
      </c>
      <c r="D87" s="21" t="inlineStr">
        <is>
          <t>All</t>
        </is>
      </c>
      <c r="E87" s="21" t="inlineStr">
        <is>
          <t>craft:Ducky Pauldrons</t>
        </is>
      </c>
      <c r="F87" s="3" t="inlineStr">
        <is>
          <t>Buff</t>
        </is>
      </c>
      <c r="G87" s="21" t="inlineStr">
        <is>
          <t>Prestige craft</t>
        </is>
      </c>
      <c r="H87" s="31">
        <f>INDEX('Item Budget'!$F$5:$F$13,MATCH(G87,'Item Budget'!$E$5:$E$13,0))+IF(D87="All",0,'Item Budget'!$F$15)+LOOKUP(AN87,'Item Budget'!$E$19:$E$23,'Item Budget'!$F$19:$F$23)</f>
        <v/>
      </c>
      <c r="I87" s="21" t="n">
        <v>50</v>
      </c>
      <c r="J87" s="21" t="n">
        <v>600</v>
      </c>
      <c r="K87" s="21" t="n">
        <v>600</v>
      </c>
      <c r="L87" s="21" t="n">
        <v>140</v>
      </c>
      <c r="M87" s="21" t="n">
        <v>20</v>
      </c>
      <c r="N87" s="21" t="n">
        <v>20</v>
      </c>
      <c r="O87" s="21" t="n">
        <v>20</v>
      </c>
      <c r="P87" s="21" t="n">
        <v>20</v>
      </c>
      <c r="Q87" s="21" t="inlineStr">
        <is>
          <t>Damage Reduction X</t>
        </is>
      </c>
      <c r="R87" s="61">
        <f>J87*'Item Budget'!$B$5+N87*'Item Budget'!$B$7+L87*'Item Budget'!$B$11+O87*'Item Budget'!$B$10+M87*'Item Budget'!$B$9+IFERROR(INDEX('Item Budget'!$M$25:$M$95,MATCH(Q87,'Item Budget'!$B$25:$B$95,0)),0)</f>
        <v/>
      </c>
      <c r="S87" s="61">
        <f>J87*'Item Budget'!$B$5+N87*'Item Budget'!$B$7+L87*'Item Budget'!$B$11+O87*'Item Budget'!$B$10+K87*'Item Budget'!$B$6+P87*'Item Budget'!$B$8+IFERROR(INDEX('Item Budget'!$N$25:$N$95,MATCH(Q87,'Item Budget'!$B$25:$B$95,0)),0)</f>
        <v/>
      </c>
      <c r="T87" s="61">
        <f>MAX('Item Budget'!$F$16,INDEX('Item Budget'!$J$5:$J$10,MATCH($C87,'Item Budget'!$I$5:$I$10,0))+INDEX('Item Budget'!$K$5:$K$10,MATCH($C87,'Item Budget'!$I$5:$I$10,0))*MIN(I87,50))</f>
        <v/>
      </c>
      <c r="U87" s="61">
        <f>T87*$H87</f>
        <v/>
      </c>
      <c r="V87" s="41">
        <f>MAX(R87,S87)/U87</f>
        <v/>
      </c>
      <c r="W87" s="21" t="n">
        <v>50</v>
      </c>
      <c r="X87" s="21" t="n">
        <v>600</v>
      </c>
      <c r="Y87" s="21" t="n">
        <v>600</v>
      </c>
      <c r="Z87" s="21" t="n">
        <v>140</v>
      </c>
      <c r="AA87" s="21" t="n">
        <v>20</v>
      </c>
      <c r="AB87" s="21" t="n">
        <v>20</v>
      </c>
      <c r="AC87" s="21" t="n">
        <v>20</v>
      </c>
      <c r="AD87" s="21" t="n">
        <v>20</v>
      </c>
      <c r="AE87" s="21" t="inlineStr">
        <is>
          <t>Damage Reduction X</t>
        </is>
      </c>
      <c r="AF87" s="61">
        <f>X87*'Item Budget'!$B$5+AB87*'Item Budget'!$B$7+Z87*'Item Budget'!$B$11+AC87*'Item Budget'!$B$10+AA87*'Item Budget'!$B$9+IFERROR(INDEX('Item Budget'!$M$25:$M$95,MATCH(AE87,'Item Budget'!$B$25:$B$95,0)),0)</f>
        <v/>
      </c>
      <c r="AG87" s="61">
        <f>X87*'Item Budget'!$B$5+AB87*'Item Budget'!$B$7+Z87*'Item Budget'!$B$11+AC87*'Item Budget'!$B$10+Y87*'Item Budget'!$B$6+AD87*'Item Budget'!$B$8+IFERROR(INDEX('Item Budget'!$N$25:$N$95,MATCH(AE87,'Item Budget'!$B$25:$B$95,0)),0)</f>
        <v/>
      </c>
      <c r="AH87" s="61">
        <f>MAX('Item Budget'!$F$16,INDEX('Item Budget'!$J$5:$J$10,MATCH($C87,'Item Budget'!$I$5:$I$10,0))+INDEX('Item Budget'!$K$5:$K$10,MATCH($C87,'Item Budget'!$I$5:$I$10,0))*MIN(W87,50))</f>
        <v/>
      </c>
      <c r="AI87" s="61">
        <f>AH87*$H87</f>
        <v/>
      </c>
      <c r="AJ87" s="41">
        <f>MAX(AF87,AG87)/AI87</f>
        <v/>
      </c>
      <c r="AK87" s="64" t="inlineStr">
        <is>
          <t>Pass 1 (applied): Your call: 2x stats and 10% DR. Best-in-slot pauldron; raises the DR ceiling by 5 points (see stack below).</t>
        </is>
      </c>
      <c r="AL87" s="43">
        <f>IFERROR(INDEX('Item Budget'!$H$25:$H$95,MATCH(Q87,'Item Budget'!$B$25:$B$95,0)),0)</f>
        <v/>
      </c>
      <c r="AM87" s="43">
        <f>IFERROR(INDEX('Item Budget'!$H$25:$H$95,MATCH(AE87,'Item Budget'!$B$25:$B$95,0)),0)</f>
        <v/>
      </c>
      <c r="AN87" s="37" t="n">
        <v>0</v>
      </c>
      <c r="AO87" s="44">
        <f>IF(I87&lt;'Item Budget'!$R$10,0,'Item Budget'!$R$7*100*MAX(('Item Budget'!$R$14*(J87+25*N87)+'Item Budget'!$S$14*(K87+25*P87))/'Item Budget'!$Z$14,('Item Budget'!$R$15*(J87+25*N87)+'Item Budget'!$S$15*(K87+25*P87))/'Item Budget'!$Z$15,('Item Budget'!$R$16*(J87+25*N87)+'Item Budget'!$S$16*(K87+25*P87))/'Item Budget'!$Z$16,('Item Budget'!$R$17*(J87+25*N87)+'Item Budget'!$S$17*(K87+25*P87))/'Item Budget'!$Z$17)+'Item Budget'!$R$9*L87+IFERROR(INDEX('Item Budget'!$O$25:$O$95,MATCH(Q87,'Item Budget'!$B$25:$B$95,0)),0))</f>
        <v/>
      </c>
      <c r="AP87" s="44">
        <f>IF(W87&lt;'Item Budget'!$R$10,0,'Item Budget'!$R$7*100*MAX(('Item Budget'!$R$14*(X87+25*AB87)+'Item Budget'!$S$14*(Y87+25*AD87))/'Item Budget'!$Z$14,('Item Budget'!$R$15*(X87+25*AB87)+'Item Budget'!$S$15*(Y87+25*AD87))/'Item Budget'!$Z$15,('Item Budget'!$R$16*(X87+25*AB87)+'Item Budget'!$S$16*(Y87+25*AD87))/'Item Budget'!$Z$16,('Item Budget'!$R$17*(X87+25*AB87)+'Item Budget'!$S$17*(Y87+25*AD87))/'Item Budget'!$Z$17)+'Item Budget'!$R$9*Z87+IFERROR(INDEX('Item Budget'!$O$25:$O$95,MATCH(AE87,'Item Budget'!$B$25:$B$95,0)),0))</f>
        <v/>
      </c>
      <c r="AQ87" s="61">
        <f>IF(OR(AN87=0,AP87=0),"",SUMPRODUCT(MAX(($C$5:$C$88=C87)*($AN$5:$AN$88&lt;AN87)*$AP$5:$AP$88)))</f>
        <v/>
      </c>
      <c r="AR87" s="41">
        <f>IF(AQ87="","",IF(AQ87=0,1,SUMPRODUCT(MAX(($C$5:$C$88=C87)*($AN$5:$AN$88=AN87)*$AP$5:$AP$88))/AQ87-1))</f>
        <v/>
      </c>
      <c r="AS87" s="19">
        <f>IF(AR87="","",IF(AR87&gt;='Item Budget'!$R$11,"OK","Not above lower tier"))</f>
        <v/>
      </c>
    </row>
    <row r="88">
      <c r="A88" s="21" t="n">
        <v>508</v>
      </c>
      <c r="B88" s="21" t="inlineStr">
        <is>
          <t>Slayers Armguards</t>
        </is>
      </c>
      <c r="C88" s="21" t="inlineStr">
        <is>
          <t>Pauldrons</t>
        </is>
      </c>
      <c r="D88" s="21" t="inlineStr">
        <is>
          <t>All</t>
        </is>
      </c>
      <c r="E88" s="21" t="inlineStr">
        <is>
          <t>drop:Princess Slayer(L50) 20%</t>
        </is>
      </c>
      <c r="F88" s="3" t="inlineStr">
        <is>
          <t>Buff</t>
        </is>
      </c>
      <c r="G88" s="21" t="inlineStr">
        <is>
          <t>Raid / special</t>
        </is>
      </c>
      <c r="H88" s="31">
        <f>INDEX('Item Budget'!$F$5:$F$13,MATCH(G88,'Item Budget'!$E$5:$E$13,0))+IF(D88="All",0,'Item Budget'!$F$15)+LOOKUP(AN88,'Item Budget'!$E$19:$E$23,'Item Budget'!$F$19:$F$23)</f>
        <v/>
      </c>
      <c r="I88" s="21" t="n">
        <v>50</v>
      </c>
      <c r="J88" s="21" t="n">
        <v>2000</v>
      </c>
      <c r="K88" s="21" t="n">
        <v>2000</v>
      </c>
      <c r="L88" s="21" t="n">
        <v>120</v>
      </c>
      <c r="M88" s="21" t="n">
        <v>0</v>
      </c>
      <c r="N88" s="21" t="n">
        <v>0</v>
      </c>
      <c r="O88" s="21" t="n">
        <v>0</v>
      </c>
      <c r="P88" s="21" t="n">
        <v>0</v>
      </c>
      <c r="Q88" s="21" t="inlineStr">
        <is>
          <t>Slayers Blessing</t>
        </is>
      </c>
      <c r="R88" s="61">
        <f>J88*'Item Budget'!$B$5+N88*'Item Budget'!$B$7+L88*'Item Budget'!$B$11+O88*'Item Budget'!$B$10+M88*'Item Budget'!$B$9+IFERROR(INDEX('Item Budget'!$M$25:$M$95,MATCH(Q88,'Item Budget'!$B$25:$B$95,0)),0)</f>
        <v/>
      </c>
      <c r="S88" s="61">
        <f>J88*'Item Budget'!$B$5+N88*'Item Budget'!$B$7+L88*'Item Budget'!$B$11+O88*'Item Budget'!$B$10+K88*'Item Budget'!$B$6+P88*'Item Budget'!$B$8+IFERROR(INDEX('Item Budget'!$N$25:$N$95,MATCH(Q88,'Item Budget'!$B$25:$B$95,0)),0)</f>
        <v/>
      </c>
      <c r="T88" s="61">
        <f>MAX('Item Budget'!$F$16,INDEX('Item Budget'!$J$5:$J$10,MATCH($C88,'Item Budget'!$I$5:$I$10,0))+INDEX('Item Budget'!$K$5:$K$10,MATCH($C88,'Item Budget'!$I$5:$I$10,0))*MIN(I88,50))</f>
        <v/>
      </c>
      <c r="U88" s="61">
        <f>T88*$H88</f>
        <v/>
      </c>
      <c r="V88" s="41">
        <f>MAX(R88,S88)/U88</f>
        <v/>
      </c>
      <c r="W88" s="21" t="n">
        <v>50</v>
      </c>
      <c r="X88" s="21" t="n">
        <v>2000</v>
      </c>
      <c r="Y88" s="21" t="n">
        <v>2000</v>
      </c>
      <c r="Z88" s="21" t="n">
        <v>120</v>
      </c>
      <c r="AA88" s="21" t="n">
        <v>0</v>
      </c>
      <c r="AB88" s="21" t="n">
        <v>0</v>
      </c>
      <c r="AC88" s="21" t="n">
        <v>0</v>
      </c>
      <c r="AD88" s="21" t="n">
        <v>0</v>
      </c>
      <c r="AE88" s="21" t="inlineStr">
        <is>
          <t>Slayers Blessing</t>
        </is>
      </c>
      <c r="AF88" s="61">
        <f>X88*'Item Budget'!$B$5+AB88*'Item Budget'!$B$7+Z88*'Item Budget'!$B$11+AC88*'Item Budget'!$B$10+AA88*'Item Budget'!$B$9+IFERROR(INDEX('Item Budget'!$M$25:$M$95,MATCH(AE88,'Item Budget'!$B$25:$B$95,0)),0)</f>
        <v/>
      </c>
      <c r="AG88" s="61">
        <f>X88*'Item Budget'!$B$5+AB88*'Item Budget'!$B$7+Z88*'Item Budget'!$B$11+AC88*'Item Budget'!$B$10+Y88*'Item Budget'!$B$6+AD88*'Item Budget'!$B$8+IFERROR(INDEX('Item Budget'!$N$25:$N$95,MATCH(AE88,'Item Budget'!$B$25:$B$95,0)),0)</f>
        <v/>
      </c>
      <c r="AH88" s="61">
        <f>MAX('Item Budget'!$F$16,INDEX('Item Budget'!$J$5:$J$10,MATCH($C88,'Item Budget'!$I$5:$I$10,0))+INDEX('Item Budget'!$K$5:$K$10,MATCH($C88,'Item Budget'!$I$5:$I$10,0))*MIN(W88,50))</f>
        <v/>
      </c>
      <c r="AI88" s="61">
        <f>AH88*$H88</f>
        <v/>
      </c>
      <c r="AJ88" s="41">
        <f>MAX(AF88,AG88)/AI88</f>
        <v/>
      </c>
      <c r="AK88" s="64" t="inlineStr">
        <is>
          <t>Pass 1 (applied): 200M XP raid. HP/MP up to match the Slayers Belt/Gloves, and the set effect (Spell Effects id 219) goes from 3/3/3 to 6% spell damage, 6% spell crit, 3% DR.</t>
        </is>
      </c>
      <c r="AL88" s="43">
        <f>IFERROR(INDEX('Item Budget'!$H$25:$H$95,MATCH(Q88,'Item Budget'!$B$25:$B$95,0)),0)</f>
        <v/>
      </c>
      <c r="AM88" s="43">
        <f>IFERROR(INDEX('Item Budget'!$H$25:$H$95,MATCH(AE88,'Item Budget'!$B$25:$B$95,0)),0)</f>
        <v/>
      </c>
      <c r="AN88" s="37" t="n">
        <v>200000000</v>
      </c>
      <c r="AO88" s="44">
        <f>IF(I88&lt;'Item Budget'!$R$10,0,'Item Budget'!$R$7*100*MAX(('Item Budget'!$R$14*(J88+25*N88)+'Item Budget'!$S$14*(K88+25*P88))/'Item Budget'!$Z$14,('Item Budget'!$R$15*(J88+25*N88)+'Item Budget'!$S$15*(K88+25*P88))/'Item Budget'!$Z$15,('Item Budget'!$R$16*(J88+25*N88)+'Item Budget'!$S$16*(K88+25*P88))/'Item Budget'!$Z$16,('Item Budget'!$R$17*(J88+25*N88)+'Item Budget'!$S$17*(K88+25*P88))/'Item Budget'!$Z$17)+'Item Budget'!$R$9*L88+IFERROR(INDEX('Item Budget'!$O$25:$O$95,MATCH(Q88,'Item Budget'!$B$25:$B$95,0)),0))</f>
        <v/>
      </c>
      <c r="AP88" s="44">
        <f>IF(W88&lt;'Item Budget'!$R$10,0,'Item Budget'!$R$7*100*MAX(('Item Budget'!$R$14*(X88+25*AB88)+'Item Budget'!$S$14*(Y88+25*AD88))/'Item Budget'!$Z$14,('Item Budget'!$R$15*(X88+25*AB88)+'Item Budget'!$S$15*(Y88+25*AD88))/'Item Budget'!$Z$15,('Item Budget'!$R$16*(X88+25*AB88)+'Item Budget'!$S$16*(Y88+25*AD88))/'Item Budget'!$Z$16,('Item Budget'!$R$17*(X88+25*AB88)+'Item Budget'!$S$17*(Y88+25*AD88))/'Item Budget'!$Z$17)+'Item Budget'!$R$9*Z88+IFERROR(INDEX('Item Budget'!$O$25:$O$95,MATCH(AE88,'Item Budget'!$B$25:$B$95,0)),0))</f>
        <v/>
      </c>
      <c r="AQ88" s="61">
        <f>IF(OR(AN88=0,AP88=0),"",SUMPRODUCT(MAX(($C$5:$C$88=C88)*($AN$5:$AN$88&lt;AN88)*$AP$5:$AP$88)))</f>
        <v/>
      </c>
      <c r="AR88" s="41">
        <f>IF(AQ88="","",IF(AQ88=0,1,SUMPRODUCT(MAX(($C$5:$C$88=C88)*($AN$5:$AN$88=AN88)*$AP$5:$AP$88))/AQ88-1))</f>
        <v/>
      </c>
      <c r="AS88" s="19">
        <f>IF(AR88="","",IF(AR88&gt;='Item Budget'!$R$11,"OK","Not above lower tier"))</f>
        <v/>
      </c>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n"/>
      <c r="AR89" s="2" t="n"/>
      <c r="AS89" s="2" t="n"/>
    </row>
    <row r="90">
      <c r="A90" s="2" t="n"/>
      <c r="B90" s="3" t="inlineStr">
        <is>
          <t>Damage reduction ceiling: best DR item per slot (DR adds up with no cap; 100% = immune)</t>
        </is>
      </c>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n"/>
      <c r="AR90" s="2" t="n"/>
      <c r="AS90" s="2" t="n"/>
    </row>
    <row r="91" ht="45" customHeight="1">
      <c r="A91" s="7" t="inlineStr"/>
      <c r="B91" s="7" t="inlineStr">
        <is>
          <t>Slot / source</t>
        </is>
      </c>
      <c r="C91" s="7" t="inlineStr">
        <is>
          <t>Now</t>
        </is>
      </c>
      <c r="D91" s="7" t="inlineStr">
        <is>
          <t>Proposed</t>
        </is>
      </c>
      <c r="E91" s="7" t="inlineStr">
        <is>
          <t>Note</t>
        </is>
      </c>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2" t="n"/>
      <c r="AS91" s="2" t="n"/>
    </row>
    <row r="92">
      <c r="A92" s="2" t="n"/>
      <c r="B92" s="19" t="inlineStr">
        <is>
          <t>Pauldrons</t>
        </is>
      </c>
      <c r="C92" s="41">
        <f>SUMPRODUCT(MAX(($C$5:$C$88="Pauldrons")*$AL$5:$AL$88))</f>
        <v/>
      </c>
      <c r="D92" s="41">
        <f>SUMPRODUCT(MAX(($C$5:$C$88="Pauldrons")*$AM$5:$AM$88))</f>
        <v/>
      </c>
      <c r="E92" s="42" t="inlineStr">
        <is>
          <t>Best item in this slot</t>
        </is>
      </c>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c r="AO92" s="2" t="n"/>
      <c r="AP92" s="2" t="n"/>
      <c r="AQ92" s="2" t="n"/>
      <c r="AR92" s="2" t="n"/>
      <c r="AS92" s="2" t="n"/>
    </row>
    <row r="93">
      <c r="A93" s="2" t="n"/>
      <c r="B93" s="19" t="inlineStr">
        <is>
          <t>Belt</t>
        </is>
      </c>
      <c r="C93" s="41">
        <f>SUMPRODUCT(MAX(($C$5:$C$88="Belt")*$AL$5:$AL$88))</f>
        <v/>
      </c>
      <c r="D93" s="41">
        <f>SUMPRODUCT(MAX(($C$5:$C$88="Belt")*$AM$5:$AM$88))</f>
        <v/>
      </c>
      <c r="E93" s="42" t="inlineStr">
        <is>
          <t>Best item in this slot</t>
        </is>
      </c>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c r="AO93" s="2" t="n"/>
      <c r="AP93" s="2" t="n"/>
      <c r="AQ93" s="2" t="n"/>
      <c r="AR93" s="2" t="n"/>
      <c r="AS93" s="2" t="n"/>
    </row>
    <row r="94">
      <c r="A94" s="2" t="n"/>
      <c r="B94" s="19" t="inlineStr">
        <is>
          <t>Gloves</t>
        </is>
      </c>
      <c r="C94" s="41">
        <f>SUMPRODUCT(MAX(($C$5:$C$88="Gloves")*$AL$5:$AL$88))</f>
        <v/>
      </c>
      <c r="D94" s="41">
        <f>SUMPRODUCT(MAX(($C$5:$C$88="Gloves")*$AM$5:$AM$88))</f>
        <v/>
      </c>
      <c r="E94" s="42" t="inlineStr">
        <is>
          <t>Best item in this slot</t>
        </is>
      </c>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row>
    <row r="95">
      <c r="A95" s="2" t="n"/>
      <c r="B95" s="19" t="inlineStr">
        <is>
          <t>Cloak</t>
        </is>
      </c>
      <c r="C95" s="41">
        <f>SUMPRODUCT(MAX(($C$5:$C$88="Cloak")*$AL$5:$AL$88))</f>
        <v/>
      </c>
      <c r="D95" s="41">
        <f>SUMPRODUCT(MAX(($C$5:$C$88="Cloak")*$AM$5:$AM$88))</f>
        <v/>
      </c>
      <c r="E95" s="42" t="inlineStr">
        <is>
          <t>Best item in this slot</t>
        </is>
      </c>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row>
    <row r="96">
      <c r="A96" s="2" t="n"/>
      <c r="B96" s="19" t="inlineStr">
        <is>
          <t>Necklace</t>
        </is>
      </c>
      <c r="C96" s="41">
        <f>SUMPRODUCT(MAX(($C$5:$C$88="Necklace")*$AL$5:$AL$88))</f>
        <v/>
      </c>
      <c r="D96" s="41">
        <f>SUMPRODUCT(MAX(($C$5:$C$88="Necklace")*$AM$5:$AM$88))</f>
        <v/>
      </c>
      <c r="E96" s="42" t="inlineStr">
        <is>
          <t>Best item in this slot</t>
        </is>
      </c>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row>
    <row r="97">
      <c r="A97" s="2" t="n"/>
      <c r="B97" s="19" t="inlineStr">
        <is>
          <t>Rings (x2)</t>
        </is>
      </c>
      <c r="C97" s="41">
        <f>2*SUMPRODUCT(MAX(($C$5:$C$88="Ring")*$AL$5:$AL$88))</f>
        <v/>
      </c>
      <c r="D97" s="41">
        <f>2*SUMPRODUCT(MAX(($C$5:$C$88="Ring")*$AM$5:$AM$88))</f>
        <v/>
      </c>
      <c r="E97" s="42" t="inlineStr">
        <is>
          <t>Two ring slots; assumes two copies of the best ring</t>
        </is>
      </c>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row>
    <row r="98">
      <c r="A98" s="2" t="n"/>
      <c r="B98" s="19" t="inlineStr">
        <is>
          <t>Chest (Royal Knight Chestplate)</t>
        </is>
      </c>
      <c r="C98" s="23" t="n">
        <v>0.13</v>
      </c>
      <c r="D98" s="23" t="n">
        <v>0.13</v>
      </c>
      <c r="E98" s="42" t="inlineStr">
        <is>
          <t>Not an accessory; blue input</t>
        </is>
      </c>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row>
    <row r="99">
      <c r="A99" s="2" t="n"/>
      <c r="B99" s="19" t="inlineStr">
        <is>
          <t>Shield (Warriors Ancient Moon Shield)</t>
        </is>
      </c>
      <c r="C99" s="23" t="n">
        <v>0.1</v>
      </c>
      <c r="D99" s="23" t="n">
        <v>0.1</v>
      </c>
      <c r="E99" s="42" t="inlineStr">
        <is>
          <t>Not an accessory; blue input</t>
        </is>
      </c>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row>
    <row r="100">
      <c r="A100" s="2" t="n"/>
      <c r="B100" s="19" t="inlineStr">
        <is>
          <t>Mount</t>
        </is>
      </c>
      <c r="C100" s="23" t="n">
        <v>0.05</v>
      </c>
      <c r="D100" s="23" t="n">
        <v>0.05</v>
      </c>
      <c r="E100" s="42" t="inlineStr">
        <is>
          <t>Mount Speed effect</t>
        </is>
      </c>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row>
    <row r="101">
      <c r="A101" s="2" t="n"/>
      <c r="B101" s="3" t="inlineStr">
        <is>
          <t>Permanent total (Warrior, best in every slot)</t>
        </is>
      </c>
      <c r="C101" s="50">
        <f>SUM(C92:C100)</f>
        <v/>
      </c>
      <c r="D101" s="50">
        <f>SUM(D92:D100)</f>
        <v/>
      </c>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2" t="n"/>
    </row>
    <row r="102">
      <c r="A102" s="2" t="n"/>
      <c r="B102" s="19" t="inlineStr">
        <is>
          <t>With Shard of Protection (+20% for 60 s)</t>
        </is>
      </c>
      <c r="C102" s="41">
        <f>C101+0.2</f>
        <v/>
      </c>
      <c r="D102" s="41">
        <f>D101+0.2</f>
        <v/>
      </c>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n"/>
      <c r="AP102" s="2" t="n"/>
      <c r="AQ102" s="2" t="n"/>
      <c r="AR102" s="2" t="n"/>
      <c r="AS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c r="AO103" s="2" t="n"/>
      <c r="AP103" s="2" t="n"/>
      <c r="AQ103" s="2" t="n"/>
      <c r="AR103" s="2" t="n"/>
      <c r="AS103" s="2" t="n"/>
    </row>
    <row r="104">
      <c r="A104" s="2" t="n"/>
      <c r="B104" s="42" t="inlineStr">
        <is>
          <t>Not listed (GM / no source): Theknights Ring of Awesomeness, Greed, Pride, Envy, Lust, Gluttony, Fuzex Necklace, Gero Necklace, Azkuros Gloves</t>
        </is>
      </c>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c r="AQ104" s="2" t="n"/>
      <c r="AR104" s="2" t="n"/>
      <c r="AS104" s="2" t="n"/>
    </row>
  </sheetData>
  <mergeCells count="5">
    <mergeCell ref="A3:H3"/>
    <mergeCell ref="W3:AJ3"/>
    <mergeCell ref="AO3:AS3"/>
    <mergeCell ref="I3:V3"/>
    <mergeCell ref="AK3:AN3"/>
  </mergeCells>
  <conditionalFormatting sqref="AS5:AS88">
    <cfRule type="cellIs" priority="1" operator="equal" dxfId="0">
      <formula>"Not above lower tier"</formula>
    </cfRule>
    <cfRule type="cellIs" priority="2" operator="equal" dxfId="1">
      <formula>"OK"</formula>
    </cfRule>
  </conditionalFormatting>
  <conditionalFormatting sqref="V5:V88">
    <cfRule type="cellIs" priority="3" operator="lessThan" dxfId="0">
      <formula>0.85</formula>
    </cfRule>
    <cfRule type="cellIs" priority="4" operator="between" dxfId="1">
      <formula>0.85</formula>
      <formula>1.15</formula>
    </cfRule>
    <cfRule type="cellIs" priority="5" operator="greaterThan" dxfId="2">
      <formula>1.15</formula>
    </cfRule>
  </conditionalFormatting>
  <conditionalFormatting sqref="AJ5:AJ88">
    <cfRule type="cellIs" priority="6" operator="lessThan" dxfId="0">
      <formula>0.85</formula>
    </cfRule>
    <cfRule type="cellIs" priority="7" operator="between" dxfId="1">
      <formula>0.85</formula>
      <formula>1.15</formula>
    </cfRule>
    <cfRule type="cellIs" priority="8" operator="greaterThan" dxfId="2">
      <formula>1.15</formula>
    </cfRule>
  </conditionalFormatting>
  <dataValidations count="1">
    <dataValidation sqref="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showDropDown="0" showInputMessage="0" showErrorMessage="0" allowBlank="1" type="list">
      <formula1>='Item Budget'!$B$25:$B$95</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6" customWidth="1" min="2" max="2"/>
    <col width="22" customWidth="1" min="3" max="3"/>
    <col width="90" customWidth="1" min="4" max="4"/>
  </cols>
  <sheetData>
    <row r="1">
      <c r="A1" s="1" t="inlineStr">
        <is>
          <t>Gear budget: AC curve, per-slot budget and progression steps for armour, weapons and shields</t>
        </is>
      </c>
      <c r="B1" s="2" t="n"/>
      <c r="C1" s="2" t="n"/>
      <c r="D1" s="2" t="n"/>
    </row>
    <row r="2">
      <c r="A2" s="42" t="inlineStr">
        <is>
          <t>Yellow = levers. Points use the weights on Item Budget. Weapon damage counts like STR (1 damage per swing, Player.cs Attack).</t>
        </is>
      </c>
      <c r="B2" s="2" t="n"/>
      <c r="C2" s="2" t="n"/>
      <c r="D2" s="2" t="n"/>
    </row>
    <row r="3">
      <c r="A3" s="2" t="n"/>
      <c r="B3" s="2" t="n"/>
      <c r="C3" s="2" t="n"/>
      <c r="D3" s="2" t="n"/>
    </row>
    <row r="4" ht="45" customHeight="1">
      <c r="A4" s="7" t="inlineStr">
        <is>
          <t>AC curve</t>
        </is>
      </c>
      <c r="B4" s="7" t="inlineStr">
        <is>
          <t>Value</t>
        </is>
      </c>
      <c r="C4" s="7" t="inlineStr">
        <is>
          <t>Note</t>
        </is>
      </c>
      <c r="D4" s="2" t="n"/>
    </row>
    <row r="5">
      <c r="A5" s="19" t="inlineStr">
        <is>
          <t>Warrior plate set AC per level</t>
        </is>
      </c>
      <c r="B5" s="20" t="n">
        <v>4.5</v>
      </c>
      <c r="C5" s="42" t="inlineStr">
        <is>
          <t>Chest + helm + legs + boots. Anchor: vendor Leather 41 @ L10, Bronze 80 @ L18, Iron 107 @ L26, Steel 150 @ L34 (4.1-4.4 per level)</t>
        </is>
      </c>
      <c r="D5" s="2" t="n"/>
    </row>
    <row r="6">
      <c r="A6" s="2" t="n"/>
      <c r="B6" s="2" t="n"/>
      <c r="C6" s="2" t="n"/>
      <c r="D6" s="2" t="n"/>
    </row>
    <row r="7" ht="45" customHeight="1">
      <c r="A7" s="7" t="inlineStr">
        <is>
          <t>Slot</t>
        </is>
      </c>
      <c r="B7" s="7" t="inlineStr">
        <is>
          <t>AC share of the set</t>
        </is>
      </c>
      <c r="C7" s="7" t="inlineStr">
        <is>
          <t>Budget per level (points)</t>
        </is>
      </c>
      <c r="D7" s="7" t="inlineStr">
        <is>
          <t>Note</t>
        </is>
      </c>
    </row>
    <row r="8">
      <c r="A8" s="19" t="inlineStr">
        <is>
          <t>Chest</t>
        </is>
      </c>
      <c r="B8" s="51" t="n">
        <v>0.4</v>
      </c>
      <c r="C8" s="20" t="n">
        <v>1.5</v>
      </c>
      <c r="D8" s="42" t="inlineStr"/>
    </row>
    <row r="9">
      <c r="A9" s="19" t="inlineStr">
        <is>
          <t>Helmet</t>
        </is>
      </c>
      <c r="B9" s="51" t="n">
        <v>0.175</v>
      </c>
      <c r="C9" s="20" t="n">
        <v>0.8</v>
      </c>
      <c r="D9" s="42" t="inlineStr"/>
    </row>
    <row r="10">
      <c r="A10" s="19" t="inlineStr">
        <is>
          <t>Pants</t>
        </is>
      </c>
      <c r="B10" s="51" t="n">
        <v>0.25</v>
      </c>
      <c r="C10" s="20" t="n">
        <v>1</v>
      </c>
      <c r="D10" s="42" t="inlineStr"/>
    </row>
    <row r="11">
      <c r="A11" s="19" t="inlineStr">
        <is>
          <t>Shoes</t>
        </is>
      </c>
      <c r="B11" s="51" t="n">
        <v>0.175</v>
      </c>
      <c r="C11" s="20" t="n">
        <v>0.7</v>
      </c>
      <c r="D11" s="42" t="inlineStr"/>
    </row>
    <row r="12">
      <c r="A12" s="19" t="inlineStr">
        <is>
          <t>Shield</t>
        </is>
      </c>
      <c r="B12" s="51" t="n">
        <v>0.6</v>
      </c>
      <c r="C12" s="20" t="n">
        <v>0.9</v>
      </c>
      <c r="D12" s="42" t="inlineStr">
        <is>
          <t>AC share is for a Warrior shield; bucklers and guards use the line factor below</t>
        </is>
      </c>
    </row>
    <row r="13">
      <c r="A13" s="19" t="inlineStr">
        <is>
          <t>Weapon</t>
        </is>
      </c>
      <c r="B13" s="51" t="n">
        <v>0</v>
      </c>
      <c r="C13" s="20" t="n">
        <v>3.5</v>
      </c>
      <c r="D13" s="42" t="inlineStr">
        <is>
          <t>Melee weapons: mostly weapon damage (2 points per damage)</t>
        </is>
      </c>
    </row>
    <row r="14">
      <c r="A14" s="19" t="inlineStr">
        <is>
          <t>Caster weapon</t>
        </is>
      </c>
      <c r="B14" s="51" t="n">
        <v>0</v>
      </c>
      <c r="C14" s="20" t="n">
        <v>1</v>
      </c>
      <c r="D14" s="42" t="inlineStr">
        <is>
          <t>Magus/Priest-only weapons: damage not scored, budget goes to INT/MP</t>
        </is>
      </c>
    </row>
    <row r="15">
      <c r="A15" s="2" t="n"/>
      <c r="B15" s="2" t="n"/>
      <c r="C15" s="2" t="n"/>
      <c r="D15" s="2" t="n"/>
    </row>
    <row r="16">
      <c r="A16" s="2" t="n"/>
      <c r="B16" s="2" t="n"/>
      <c r="C16" s="2" t="n"/>
      <c r="D16" s="2" t="n"/>
    </row>
    <row r="17" ht="45" customHeight="1">
      <c r="A17" s="7" t="inlineStr">
        <is>
          <t>Armour line</t>
        </is>
      </c>
      <c r="B17" s="7" t="inlineStr">
        <is>
          <t>AC factor</t>
        </is>
      </c>
      <c r="C17" s="7" t="inlineStr">
        <is>
          <t>Note</t>
        </is>
      </c>
      <c r="D17" s="2" t="n"/>
    </row>
    <row r="18">
      <c r="A18" s="19" t="inlineStr">
        <is>
          <t>Warrior plate</t>
        </is>
      </c>
      <c r="B18" s="20" t="n">
        <v>1</v>
      </c>
      <c r="C18" s="42" t="inlineStr">
        <is>
          <t>Warrior, Rogue/Warrior and Leather (Rogue/Warrior/Priest)</t>
        </is>
      </c>
      <c r="D18" s="2" t="n"/>
    </row>
    <row r="19">
      <c r="A19" s="19" t="inlineStr">
        <is>
          <t>Rogue</t>
        </is>
      </c>
      <c r="B19" s="20" t="n">
        <v>0.75</v>
      </c>
      <c r="C19" s="42" t="inlineStr">
        <is>
          <t>Rogue-only: less AC (0.65 AC multiplier), more DEX/STR</t>
        </is>
      </c>
      <c r="D19" s="2" t="n"/>
    </row>
    <row r="20">
      <c r="A20" s="19" t="inlineStr">
        <is>
          <t>Caster cloth</t>
        </is>
      </c>
      <c r="B20" s="20" t="n">
        <v>0.55</v>
      </c>
      <c r="C20" s="42" t="inlineStr">
        <is>
          <t>Magus/Priest: Silk is about 0.55x the plate set today</t>
        </is>
      </c>
      <c r="D20" s="2" t="n"/>
    </row>
    <row r="21">
      <c r="A21" s="19" t="inlineStr">
        <is>
          <t>All classes</t>
        </is>
      </c>
      <c r="B21" s="20" t="n">
        <v>0.6</v>
      </c>
      <c r="C21" s="42" t="inlineStr">
        <is>
          <t>Unrestricted items</t>
        </is>
      </c>
      <c r="D21" s="2" t="n"/>
    </row>
    <row r="22">
      <c r="A22" s="2" t="n"/>
      <c r="B22" s="2" t="n"/>
      <c r="C22" s="2" t="n"/>
      <c r="D22" s="2" t="n"/>
    </row>
    <row r="23">
      <c r="A23" s="2" t="n"/>
      <c r="B23" s="2" t="n"/>
      <c r="C23" s="2" t="n"/>
      <c r="D23" s="2" t="n"/>
    </row>
    <row r="24" ht="45" customHeight="1">
      <c r="A24" s="7" t="inlineStr">
        <is>
          <t>Progression step</t>
        </is>
      </c>
      <c r="B24" s="7" t="inlineStr">
        <is>
          <t>Meaning</t>
        </is>
      </c>
      <c r="C24" s="7" t="inlineStr">
        <is>
          <t>Sources</t>
        </is>
      </c>
      <c r="D24" s="2" t="n"/>
    </row>
    <row r="25">
      <c r="A25" s="21" t="n">
        <v>-1</v>
      </c>
      <c r="B25" s="19" t="inlineStr">
        <is>
          <t>Left out of the step check</t>
        </is>
      </c>
      <c r="C25" s="42" t="inlineStr">
        <is>
          <t>True Ewe: Haste X outvalues every ungated helm for melee (your call, like Poo Flinger)</t>
        </is>
      </c>
      <c r="D25" s="2" t="n"/>
    </row>
    <row r="26">
      <c r="A26" s="21" t="n">
        <v>0</v>
      </c>
      <c r="B26" s="19" t="inlineStr">
        <is>
          <t>Levelling (below L45, or not a L50 source)</t>
        </is>
      </c>
      <c r="C26" s="42" t="inlineStr">
        <is>
          <t>Scored against the level budget and AC curve only</t>
        </is>
      </c>
      <c r="D26" s="2" t="n"/>
    </row>
    <row r="27">
      <c r="A27" s="21" t="n">
        <v>1</v>
      </c>
      <c r="B27" s="19" t="inlineStr">
        <is>
          <t>L50 entry: Punchy tier</t>
        </is>
      </c>
      <c r="C27" s="42" t="inlineStr">
        <is>
          <t>Punchy's Playhouse (Punchy, Ecto, ImaBitStale), Shield Guy L50</t>
        </is>
      </c>
      <c r="D27" s="2" t="n"/>
    </row>
    <row r="28">
      <c r="A28" s="21" t="n">
        <v>2</v>
      </c>
      <c r="B28" s="19" t="inlineStr">
        <is>
          <t>Hay and Fray tier</t>
        </is>
      </c>
      <c r="C28" s="42" t="inlineStr">
        <is>
          <t>Hay and Frays Stronghold (Hay, Fray, Little Fat Bastard), Cranky Ewe</t>
        </is>
      </c>
      <c r="D28" s="2" t="n"/>
    </row>
    <row r="29">
      <c r="A29" s="21" t="n">
        <v>3</v>
      </c>
      <c r="B29" s="19" t="inlineStr">
        <is>
          <t>Nagan tier</t>
        </is>
      </c>
      <c r="C29" s="42" t="inlineStr">
        <is>
          <t>Udyana, Nagan Sentry</t>
        </is>
      </c>
      <c r="D29" s="2" t="n"/>
    </row>
    <row r="30">
      <c r="A30" s="21" t="n">
        <v>4</v>
      </c>
      <c r="B30" s="19" t="inlineStr">
        <is>
          <t>Savage Isle tier</t>
        </is>
      </c>
      <c r="C30" s="42" t="inlineStr">
        <is>
          <t>Showboat, Insanity, Copycat, Beefcake, ungated crafts</t>
        </is>
      </c>
      <c r="D30" s="2" t="n"/>
    </row>
    <row r="31">
      <c r="A31" s="21" t="n">
        <v>5</v>
      </c>
      <c r="B31" s="19" t="inlineStr">
        <is>
          <t>Nibbles II</t>
        </is>
      </c>
      <c r="C31" s="42" t="inlineStr">
        <is>
          <t>Bat Cave</t>
        </is>
      </c>
      <c r="D31" s="2" t="n"/>
    </row>
    <row r="32">
      <c r="A32" s="21" t="n">
        <v>6</v>
      </c>
      <c r="B32" s="19" t="inlineStr">
        <is>
          <t>20M XP</t>
        </is>
      </c>
      <c r="C32" s="42" t="inlineStr">
        <is>
          <t>Ancients Dungeon (key). Coral Sword is placed here by hand (rare craft)</t>
        </is>
      </c>
      <c r="D32" s="2" t="n"/>
    </row>
    <row r="33">
      <c r="A33" s="21" t="n">
        <v>7</v>
      </c>
      <c r="B33" s="19" t="inlineStr">
        <is>
          <t>100M XP</t>
        </is>
      </c>
      <c r="C33" s="42" t="inlineStr">
        <is>
          <t>Ancients Dungeon inner (Doom, Vor Chez, Queen Butcher, Disciples); Divine and Ancient Boots crafts</t>
        </is>
      </c>
      <c r="D33" s="2" t="n"/>
    </row>
    <row r="34">
      <c r="A34" s="21" t="n">
        <v>8</v>
      </c>
      <c r="B34" s="19" t="inlineStr">
        <is>
          <t>200M XP</t>
        </is>
      </c>
      <c r="C34" s="42" t="inlineStr">
        <is>
          <t>Bear Kingdom / Starving Pits (Mama Bear, The Patriarch), Royal crafts</t>
        </is>
      </c>
      <c r="D34" s="2" t="n"/>
    </row>
    <row r="35">
      <c r="A35" s="21" t="n">
        <v>9</v>
      </c>
      <c r="B35" s="19" t="inlineStr">
        <is>
          <t>400M XP</t>
        </is>
      </c>
      <c r="C35" s="42" t="inlineStr">
        <is>
          <t>Enchanted crafts</t>
        </is>
      </c>
      <c r="D35" s="2" t="n"/>
    </row>
    <row r="36">
      <c r="A36" s="42" t="inlineStr">
        <is>
          <t>Steps 1-5 compare Value (melee points for Warrior/Rogue, caster points for Magus/Priest). Steps 6+ (20M XP and up) compare endgame points (Item Budget, all four classes).</t>
        </is>
      </c>
      <c r="B36" s="2" t="n"/>
      <c r="C36" s="2" t="n"/>
      <c r="D36" s="2" t="n"/>
    </row>
    <row r="37">
      <c r="A37" s="42" t="inlineStr">
        <is>
          <t>XP gates are worked out from the item, its drop/vendor map (map XP gates along the cheapest warp path) and, for crafts, the most gated ingredient.</t>
        </is>
      </c>
      <c r="B37" s="2" t="n"/>
      <c r="C37" s="2" t="n"/>
      <c r="D37" s="2"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F218"/>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12" customWidth="1" min="3" max="3"/>
    <col width="14" customWidth="1" min="4" max="4"/>
    <col width="14" customWidth="1" min="5" max="5"/>
    <col width="13" customWidth="1" min="6" max="6"/>
    <col width="30" customWidth="1" min="7" max="7"/>
    <col width="12" customWidth="1" min="8" max="8"/>
    <col width="6" customWidth="1" min="9" max="9"/>
    <col width="8" customWidth="1" min="10" max="10"/>
    <col width="14" customWidth="1" min="11" max="11"/>
    <col width="9"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24"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24" customWidth="1" min="38" max="38"/>
    <col width="7" customWidth="1" min="39" max="39"/>
    <col width="7" customWidth="1" min="40" max="40"/>
    <col width="7" customWidth="1" min="41" max="41"/>
    <col width="7" customWidth="1" min="42" max="42"/>
    <col width="7" customWidth="1" min="43" max="43"/>
    <col width="7" customWidth="1" min="44" max="44"/>
    <col width="100"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30" customWidth="1" min="58" max="58"/>
  </cols>
  <sheetData>
    <row r="1">
      <c r="A1" s="1" t="inlineStr">
        <is>
          <t>Gear proposals: armour, weapons and shields vs the level budget, the AC curve and the progression steps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row>
    <row r="2">
      <c r="A2" s="42" t="inlineStr">
        <is>
          <t>Current = live game data after pass 1 and the Gold/Devastators rebalance (pulled 2026-09-29). Proposed = balancing pass 2 (yellow where changed; notes say why). % of target: green 85-115%, red &lt; 85%, orange &gt; 115%. Tier check: the best item of each step must beat the best of every lower step (per class, per slot) by the margin on Item Budget.</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row>
    <row r="3">
      <c r="A3" s="40" t="inlineStr">
        <is>
          <t>Item</t>
        </is>
      </c>
      <c r="M3" s="40" t="inlineStr">
        <is>
          <t>Current (game data)</t>
        </is>
      </c>
      <c r="AC3" s="40" t="inlineStr">
        <is>
          <t>Proposed</t>
        </is>
      </c>
      <c r="AS3" s="40" t="inlineStr"/>
      <c r="AT3" s="40" t="inlineStr">
        <is>
          <t>Value by class (proposed; 0 = class cannot use)</t>
        </is>
      </c>
      <c r="AX3" s="40" t="inlineStr">
        <is>
          <t>Endgame pts by class (proposed)</t>
        </is>
      </c>
      <c r="BB3" s="40" t="inlineStr">
        <is>
          <t>Step check: best of this step vs best of lower steps (steps 1+)</t>
        </is>
      </c>
    </row>
    <row r="4" ht="45" customHeight="1">
      <c r="A4" s="7" t="inlineStr">
        <is>
          <t>ID</t>
        </is>
      </c>
      <c r="B4" s="7" t="inlineStr">
        <is>
          <t>Item</t>
        </is>
      </c>
      <c r="C4" s="7" t="inlineStr">
        <is>
          <t>Slot</t>
        </is>
      </c>
      <c r="D4" s="7" t="inlineStr">
        <is>
          <t>Classes now</t>
        </is>
      </c>
      <c r="E4" s="7" t="inlineStr">
        <is>
          <t>Classes proposed</t>
        </is>
      </c>
      <c r="F4" s="7" t="inlineStr">
        <is>
          <t>Armour line</t>
        </is>
      </c>
      <c r="G4" s="7" t="inlineStr">
        <is>
          <t>Source</t>
        </is>
      </c>
      <c r="H4" s="7" t="inlineStr">
        <is>
          <t>XP gate (effective)</t>
        </is>
      </c>
      <c r="I4" s="7" t="inlineStr">
        <is>
          <t>Step</t>
        </is>
      </c>
      <c r="J4" s="7" t="inlineStr">
        <is>
          <t>Status</t>
        </is>
      </c>
      <c r="K4" s="7" t="inlineStr">
        <is>
          <t>Source tier</t>
        </is>
      </c>
      <c r="L4" s="7" t="inlineStr">
        <is>
          <t>Multiplier</t>
        </is>
      </c>
      <c r="M4" s="7" t="inlineStr">
        <is>
          <t>Level</t>
        </is>
      </c>
      <c r="N4" s="7" t="inlineStr">
        <is>
          <t>HP</t>
        </is>
      </c>
      <c r="O4" s="7" t="inlineStr">
        <is>
          <t>MP</t>
        </is>
      </c>
      <c r="P4" s="7" t="inlineStr">
        <is>
          <t>AC</t>
        </is>
      </c>
      <c r="Q4" s="7" t="inlineStr">
        <is>
          <t>STR</t>
        </is>
      </c>
      <c r="R4" s="7" t="inlineStr">
        <is>
          <t>STA</t>
        </is>
      </c>
      <c r="S4" s="7" t="inlineStr">
        <is>
          <t>DEX</t>
        </is>
      </c>
      <c r="T4" s="7" t="inlineStr">
        <is>
          <t>INT</t>
        </is>
      </c>
      <c r="U4" s="7" t="inlineStr">
        <is>
          <t>Weapon dmg</t>
        </is>
      </c>
      <c r="V4" s="7" t="inlineStr">
        <is>
          <t>Effect</t>
        </is>
      </c>
      <c r="W4" s="7" t="inlineStr">
        <is>
          <t>Melee pts</t>
        </is>
      </c>
      <c r="X4" s="7" t="inlineStr">
        <is>
          <t>Caster pts</t>
        </is>
      </c>
      <c r="Y4" s="7" t="inlineStr">
        <is>
          <t>Target</t>
        </is>
      </c>
      <c r="Z4" s="7" t="inlineStr">
        <is>
          <t>% of target</t>
        </is>
      </c>
      <c r="AA4" s="7" t="inlineStr">
        <is>
          <t>AC curve</t>
        </is>
      </c>
      <c r="AB4" s="7" t="inlineStr">
        <is>
          <t>AC % of curve</t>
        </is>
      </c>
      <c r="AC4" s="7" t="inlineStr">
        <is>
          <t>Level</t>
        </is>
      </c>
      <c r="AD4" s="7" t="inlineStr">
        <is>
          <t>HP</t>
        </is>
      </c>
      <c r="AE4" s="7" t="inlineStr">
        <is>
          <t>MP</t>
        </is>
      </c>
      <c r="AF4" s="7" t="inlineStr">
        <is>
          <t>AC</t>
        </is>
      </c>
      <c r="AG4" s="7" t="inlineStr">
        <is>
          <t>STR</t>
        </is>
      </c>
      <c r="AH4" s="7" t="inlineStr">
        <is>
          <t>STA</t>
        </is>
      </c>
      <c r="AI4" s="7" t="inlineStr">
        <is>
          <t>DEX</t>
        </is>
      </c>
      <c r="AJ4" s="7" t="inlineStr">
        <is>
          <t>INT</t>
        </is>
      </c>
      <c r="AK4" s="7" t="inlineStr">
        <is>
          <t>Weapon dmg</t>
        </is>
      </c>
      <c r="AL4" s="7" t="inlineStr">
        <is>
          <t>Effect</t>
        </is>
      </c>
      <c r="AM4" s="7" t="inlineStr">
        <is>
          <t>Melee pts</t>
        </is>
      </c>
      <c r="AN4" s="7" t="inlineStr">
        <is>
          <t>Caster pts</t>
        </is>
      </c>
      <c r="AO4" s="7" t="inlineStr">
        <is>
          <t>Target</t>
        </is>
      </c>
      <c r="AP4" s="7" t="inlineStr">
        <is>
          <t>% of target</t>
        </is>
      </c>
      <c r="AQ4" s="7" t="inlineStr">
        <is>
          <t>AC curve</t>
        </is>
      </c>
      <c r="AR4" s="7" t="inlineStr">
        <is>
          <t>AC % of curve</t>
        </is>
      </c>
      <c r="AS4" s="7" t="inlineStr">
        <is>
          <t>Notes</t>
        </is>
      </c>
      <c r="AT4" s="7" t="inlineStr">
        <is>
          <t>Warrior</t>
        </is>
      </c>
      <c r="AU4" s="7" t="inlineStr">
        <is>
          <t>Rogue</t>
        </is>
      </c>
      <c r="AV4" s="7" t="inlineStr">
        <is>
          <t>Magus</t>
        </is>
      </c>
      <c r="AW4" s="7" t="inlineStr">
        <is>
          <t>Priest</t>
        </is>
      </c>
      <c r="AX4" s="7" t="inlineStr">
        <is>
          <t>Warrior</t>
        </is>
      </c>
      <c r="AY4" s="7" t="inlineStr">
        <is>
          <t>Rogue</t>
        </is>
      </c>
      <c r="AZ4" s="7" t="inlineStr">
        <is>
          <t>Magus</t>
        </is>
      </c>
      <c r="BA4" s="7" t="inlineStr">
        <is>
          <t>Priest</t>
        </is>
      </c>
      <c r="BB4" s="7" t="inlineStr">
        <is>
          <t>Warrior</t>
        </is>
      </c>
      <c r="BC4" s="7" t="inlineStr">
        <is>
          <t>Rogue</t>
        </is>
      </c>
      <c r="BD4" s="7" t="inlineStr">
        <is>
          <t>Magus</t>
        </is>
      </c>
      <c r="BE4" s="7" t="inlineStr">
        <is>
          <t>Priest</t>
        </is>
      </c>
      <c r="BF4" s="7" t="inlineStr">
        <is>
          <t>Tier check</t>
        </is>
      </c>
    </row>
    <row r="5">
      <c r="A5" s="21" t="n">
        <v>2</v>
      </c>
      <c r="B5" s="21" t="inlineStr">
        <is>
          <t>Old Rags</t>
        </is>
      </c>
      <c r="C5" s="21" t="inlineStr">
        <is>
          <t>Chest</t>
        </is>
      </c>
      <c r="D5" s="21" t="inlineStr">
        <is>
          <t>All</t>
        </is>
      </c>
      <c r="E5" s="21" t="inlineStr">
        <is>
          <t>All</t>
        </is>
      </c>
      <c r="F5" s="21" t="inlineStr">
        <is>
          <t>All classes</t>
        </is>
      </c>
      <c r="G5" s="21" t="inlineStr">
        <is>
          <t>drop: Mouse 5%</t>
        </is>
      </c>
      <c r="H5" s="37" t="n">
        <v>0</v>
      </c>
      <c r="I5" s="21" t="n">
        <v>0</v>
      </c>
      <c r="J5" s="19" t="inlineStr">
        <is>
          <t>Leave</t>
        </is>
      </c>
      <c r="K5" s="21" t="inlineStr">
        <is>
          <t>Vendor</t>
        </is>
      </c>
      <c r="L5" s="31">
        <f>INDEX('Item Budget'!$F$5:$F$13,MATCH(K5,'Item Budget'!$E$5:$E$13,0))+IF(E5="All",0,'Item Budget'!$F$15)+LOOKUP(H5,'Item Budget'!$E$19:$E$23,'Item Budget'!$F$19:$F$23)</f>
        <v/>
      </c>
      <c r="M5" s="21" t="n">
        <v>0</v>
      </c>
      <c r="N5" s="21" t="n">
        <v>0</v>
      </c>
      <c r="O5" s="21" t="n">
        <v>0</v>
      </c>
      <c r="P5" s="21" t="n">
        <v>3</v>
      </c>
      <c r="Q5" s="21" t="n">
        <v>0</v>
      </c>
      <c r="R5" s="21" t="n">
        <v>0</v>
      </c>
      <c r="S5" s="21" t="n">
        <v>0</v>
      </c>
      <c r="T5" s="21" t="n">
        <v>0</v>
      </c>
      <c r="U5" s="21" t="n">
        <v>0</v>
      </c>
      <c r="V5" s="21" t="inlineStr">
        <is>
          <t>(none)</t>
        </is>
      </c>
      <c r="W5" s="61">
        <f>N5*'Item Budget'!$B$5+R5*'Item Budget'!$B$7+P5*'Item Budget'!$B$11+S5*'Item Budget'!$B$10+Q5*'Item Budget'!$B$9+IFERROR(INDEX('Item Budget'!$M$25:$M$95,MATCH(V5,'Item Budget'!$B$25:$B$95,0)),0)+IF($C5="Weapon",U5*'Item Budget'!$B$9,0)</f>
        <v/>
      </c>
      <c r="X5" s="61">
        <f>N5*'Item Budget'!$B$5+R5*'Item Budget'!$B$7+P5*'Item Budget'!$B$11+S5*'Item Budget'!$B$10+O5*'Item Budget'!$B$6+T5*'Item Budget'!$B$8+IFERROR(INDEX('Item Budget'!$N$25:$N$95,MATCH(V5,'Item Budget'!$B$25:$B$95,0)),0)</f>
        <v/>
      </c>
      <c r="Y5" s="61">
        <f>MAX('Item Budget'!$F$16,INDEX('Gear Budget'!$C$8:$C$14,MATCH($C5,'Gear Budget'!$A$8:$A$14,0))*MIN(M5,50))*$L5</f>
        <v/>
      </c>
      <c r="Z5" s="41">
        <f>IF($C5="Caster weapon",X5,MAX(W5,X5))/Y5</f>
        <v/>
      </c>
      <c r="AA5" s="61">
        <f>IF(OR($C5="Weapon",$C5="Caster weapon"),"",'Gear Budget'!$B$5*MAX(1,MIN(M5,50))*INDEX('Gear Budget'!$B$8:$B$14,MATCH($C5,'Gear Budget'!$A$8:$A$14,0))*IF($C5="Shield",IF(D5="Warrior",1,IF(OR(D5="Rogue",D5="All"),0.38/0.6,0.25/0.6)),IFERROR(INDEX('Gear Budget'!$B$18:$B$21,MATCH($F5,'Gear Budget'!$A$18:$A$21,0)),1)))</f>
        <v/>
      </c>
      <c r="AB5" s="41">
        <f>IF(AA5="","",P5/AA5)</f>
        <v/>
      </c>
      <c r="AC5" s="21" t="n">
        <v>0</v>
      </c>
      <c r="AD5" s="21" t="n">
        <v>0</v>
      </c>
      <c r="AE5" s="21" t="n">
        <v>0</v>
      </c>
      <c r="AF5" s="21" t="n">
        <v>3</v>
      </c>
      <c r="AG5" s="21" t="n">
        <v>0</v>
      </c>
      <c r="AH5" s="21" t="n">
        <v>0</v>
      </c>
      <c r="AI5" s="21" t="n">
        <v>0</v>
      </c>
      <c r="AJ5" s="21" t="n">
        <v>0</v>
      </c>
      <c r="AK5" s="21" t="n">
        <v>0</v>
      </c>
      <c r="AL5" s="21" t="inlineStr">
        <is>
          <t>(none)</t>
        </is>
      </c>
      <c r="AM5" s="61">
        <f>AD5*'Item Budget'!$B$5+AH5*'Item Budget'!$B$7+AF5*'Item Budget'!$B$11+AI5*'Item Budget'!$B$10+AG5*'Item Budget'!$B$9+IFERROR(INDEX('Item Budget'!$M$25:$M$95,MATCH(AL5,'Item Budget'!$B$25:$B$95,0)),0)+IF($C5="Weapon",AK5*'Item Budget'!$B$9,0)</f>
        <v/>
      </c>
      <c r="AN5" s="61">
        <f>AD5*'Item Budget'!$B$5+AH5*'Item Budget'!$B$7+AF5*'Item Budget'!$B$11+AI5*'Item Budget'!$B$10+AE5*'Item Budget'!$B$6+AJ5*'Item Budget'!$B$8+IFERROR(INDEX('Item Budget'!$N$25:$N$95,MATCH(AL5,'Item Budget'!$B$25:$B$95,0)),0)</f>
        <v/>
      </c>
      <c r="AO5" s="61">
        <f>MAX('Item Budget'!$F$16,INDEX('Gear Budget'!$C$8:$C$14,MATCH($C5,'Gear Budget'!$A$8:$A$14,0))*MIN(AC5,50))*$L5</f>
        <v/>
      </c>
      <c r="AP5" s="41">
        <f>IF($C5="Caster weapon",AN5,MAX(AM5,AN5))/AO5</f>
        <v/>
      </c>
      <c r="AQ5" s="61">
        <f>IF(OR($C5="Weapon",$C5="Caster weapon"),"",'Gear Budget'!$B$5*MAX(1,MIN(AC5,50))*INDEX('Gear Budget'!$B$8:$B$14,MATCH($C5,'Gear Budget'!$A$8:$A$14,0))*IF($C5="Shield",IF(E5="Warrior",1,IF(OR(E5="Rogue",E5="All"),0.38/0.6,0.25/0.6)),IFERROR(INDEX('Gear Budget'!$B$18:$B$21,MATCH($F5,'Gear Budget'!$A$18:$A$21,0)),1)))</f>
        <v/>
      </c>
      <c r="AR5" s="41">
        <f>IF(AQ5="","",AF5/AQ5)</f>
        <v/>
      </c>
      <c r="AS5" s="64" t="n"/>
      <c r="AT5" s="44">
        <f>IF(OR($E5="All",ISNUMBER(SEARCH("Warrior",$E5))),IF($C5="Caster weapon",(AN5+AF5*('Item Budget'!$AB$14-'Item Budget'!$B$11)),(AM5+AF5*('Item Budget'!$AB$14-'Item Budget'!$B$11))),0)</f>
        <v/>
      </c>
      <c r="AU5" s="44">
        <f>IF(OR($E5="All",ISNUMBER(SEARCH("Rogue",$E5))),IF($C5="Caster weapon",(AN5+AF5*('Item Budget'!$AB$15-'Item Budget'!$B$11)),(AM5+AF5*('Item Budget'!$AB$15-'Item Budget'!$B$11))),0)</f>
        <v/>
      </c>
      <c r="AV5" s="44">
        <f>IF(OR($E5="All",ISNUMBER(SEARCH("Magus",$E5))),(AN5+AF5*('Item Budget'!$AB$16-'Item Budget'!$B$11)),0)</f>
        <v/>
      </c>
      <c r="AW5" s="44">
        <f>IF(OR($E5="All",ISNUMBER(SEARCH("Priest",$E5))),(AN5+AF5*('Item Budget'!$AB$17-'Item Budget'!$B$11)),0)</f>
        <v/>
      </c>
      <c r="AX5" s="44">
        <f>IF(AND(OR($E5="All",ISNUMBER(SEARCH("Warrior",$E5))),AC5&gt;='Item Budget'!$R$10),'Item Budget'!$R$7*100*('Item Budget'!$R$14*(AD5+25*AH5)+'Item Budget'!$S$14*(AE5+25*AJ5))/'Item Budget'!$Z$14+'Item Budget'!$R$9*AF5+IFERROR(INDEX('Item Budget'!$O$25:$O$95,MATCH(AL5,'Item Budget'!$B$25:$B$95,0)),0),0)</f>
        <v/>
      </c>
      <c r="AY5" s="44">
        <f>IF(AND(OR($E5="All",ISNUMBER(SEARCH("Rogue",$E5))),AC5&gt;='Item Budget'!$R$10),'Item Budget'!$R$7*100*('Item Budget'!$R$15*(AD5+25*AH5)+'Item Budget'!$S$15*(AE5+25*AJ5))/'Item Budget'!$Z$15+'Item Budget'!$R$9*AF5+IFERROR(INDEX('Item Budget'!$O$25:$O$95,MATCH(AL5,'Item Budget'!$B$25:$B$95,0)),0),0)</f>
        <v/>
      </c>
      <c r="AZ5" s="44">
        <f>IF(AND(OR($E5="All",ISNUMBER(SEARCH("Magus",$E5))),AC5&gt;='Item Budget'!$R$10),'Item Budget'!$R$7*100*('Item Budget'!$R$16*(AD5+25*AH5)+'Item Budget'!$S$16*(AE5+25*AJ5))/'Item Budget'!$Z$16+'Item Budget'!$R$9*AF5+IFERROR(INDEX('Item Budget'!$O$25:$O$95,MATCH(AL5,'Item Budget'!$B$25:$B$95,0)),0),0)</f>
        <v/>
      </c>
      <c r="BA5" s="44">
        <f>IF(AND(OR($E5="All",ISNUMBER(SEARCH("Priest",$E5))),AC5&gt;='Item Budget'!$R$10),'Item Budget'!$R$7*100*('Item Budget'!$R$17*(AD5+25*AH5)+'Item Budget'!$S$17*(AE5+25*AJ5))/'Item Budget'!$Z$17+'Item Budget'!$R$9*AF5+IFERROR(INDEX('Item Budget'!$O$25:$O$95,MATCH(AL5,'Item Budget'!$B$25:$B$95,0)),0),0)</f>
        <v/>
      </c>
      <c r="BB5" s="52">
        <f>IF(OR($I5&lt;1,IF($I5&gt;=6,AX5,AT5)&lt;=0),"",IF(SUMPRODUCT(MAX(($C$5:$C$215=$C5)*($I$5:$I$215&gt;=1)*($I$5:$I$215&lt;$I5)*IF($I5&gt;=6,$AX$5:$AX$215,$AT$5:$AT$215)))&lt;=0,"",SUMPRODUCT(MAX(($C$5:$C$215=$C5)*($I$5:$I$215=$I5)*IF($I5&gt;=6,$AX$5:$AX$215,$AT$5:$AT$215)))/SUMPRODUCT(MAX(($C$5:$C$215=$C5)*($I$5:$I$215&gt;=1)*($I$5:$I$215&lt;$I5)*IF($I5&gt;=6,$AX$5:$AX$215,$AT$5:$AT$215)))-1))</f>
        <v/>
      </c>
      <c r="BC5" s="52">
        <f>IF(OR($I5&lt;1,IF($I5&gt;=6,AY5,AU5)&lt;=0),"",IF(SUMPRODUCT(MAX(($C$5:$C$215=$C5)*($I$5:$I$215&gt;=1)*($I$5:$I$215&lt;$I5)*IF($I5&gt;=6,$AY$5:$AY$215,$AU$5:$AU$215)))&lt;=0,"",SUMPRODUCT(MAX(($C$5:$C$215=$C5)*($I$5:$I$215=$I5)*IF($I5&gt;=6,$AY$5:$AY$215,$AU$5:$AU$215)))/SUMPRODUCT(MAX(($C$5:$C$215=$C5)*($I$5:$I$215&gt;=1)*($I$5:$I$215&lt;$I5)*IF($I5&gt;=6,$AY$5:$AY$215,$AU$5:$AU$215)))-1))</f>
        <v/>
      </c>
      <c r="BD5" s="52">
        <f>IF(OR($I5&lt;1,IF($I5&gt;=6,AZ5,AV5)&lt;=0),"",IF(SUMPRODUCT(MAX(($C$5:$C$215=$C5)*($I$5:$I$215&gt;=1)*($I$5:$I$215&lt;$I5)*IF($I5&gt;=6,$AZ$5:$AZ$215,$AV$5:$AV$215)))&lt;=0,"",SUMPRODUCT(MAX(($C$5:$C$215=$C5)*($I$5:$I$215=$I5)*IF($I5&gt;=6,$AZ$5:$AZ$215,$AV$5:$AV$215)))/SUMPRODUCT(MAX(($C$5:$C$215=$C5)*($I$5:$I$215&gt;=1)*($I$5:$I$215&lt;$I5)*IF($I5&gt;=6,$AZ$5:$AZ$215,$AV$5:$AV$215)))-1))</f>
        <v/>
      </c>
      <c r="BE5" s="52">
        <f>IF(OR($I5&lt;1,IF($I5&gt;=6,BA5,AW5)&lt;=0),"",IF(SUMPRODUCT(MAX(($C$5:$C$215=$C5)*($I$5:$I$215&gt;=1)*($I$5:$I$215&lt;$I5)*IF($I5&gt;=6,$BA$5:$BA$215,$AW$5:$AW$215)))&lt;=0,"",SUMPRODUCT(MAX(($C$5:$C$215=$C5)*($I$5:$I$215=$I5)*IF($I5&gt;=6,$BA$5:$BA$215,$AW$5:$AW$215)))/SUMPRODUCT(MAX(($C$5:$C$215=$C5)*($I$5:$I$215&gt;=1)*($I$5:$I$215&lt;$I5)*IF($I5&gt;=6,$BA$5:$BA$215,$AW$5:$AW$215)))-1))</f>
        <v/>
      </c>
      <c r="BF5" s="19">
        <f>IF(AND(BB5="",BC5="",BD5="",BE5=""),"",IF(IF(AND(ISNUMBER(BB5),BB5&lt;'Item Budget'!$R$11),"W ","")&amp;IF(AND(ISNUMBER(BC5),BC5&lt;'Item Budget'!$R$11),"R ","")&amp;IF(AND(ISNUMBER(BD5),BD5&lt;'Item Budget'!$R$11),"M ","")&amp;IF(AND(ISNUMBER(BE5),BE5&lt;'Item Budget'!$R$11),"P ","")="","OK","Not above lower step: "&amp;IF(AND(ISNUMBER(BB5),BB5&lt;'Item Budget'!$R$11),"W ","")&amp;IF(AND(ISNUMBER(BC5),BC5&lt;'Item Budget'!$R$11),"R ","")&amp;IF(AND(ISNUMBER(BD5),BD5&lt;'Item Budget'!$R$11),"M ","")&amp;IF(AND(ISNUMBER(BE5),BE5&lt;'Item Budget'!$R$11),"P ","")))</f>
        <v/>
      </c>
    </row>
    <row r="6">
      <c r="A6" s="21" t="n">
        <v>223</v>
      </c>
      <c r="B6" s="21" t="inlineStr">
        <is>
          <t>Peasant Dress</t>
        </is>
      </c>
      <c r="C6" s="21" t="inlineStr">
        <is>
          <t>Chest</t>
        </is>
      </c>
      <c r="D6" s="21" t="inlineStr">
        <is>
          <t>All</t>
        </is>
      </c>
      <c r="E6" s="21" t="inlineStr">
        <is>
          <t>All</t>
        </is>
      </c>
      <c r="F6" s="21" t="inlineStr">
        <is>
          <t>All classes</t>
        </is>
      </c>
      <c r="G6" s="21" t="inlineStr">
        <is>
          <t>vendor: Cloth Armor Guy</t>
        </is>
      </c>
      <c r="H6" s="37" t="n">
        <v>0</v>
      </c>
      <c r="I6" s="21" t="n">
        <v>0</v>
      </c>
      <c r="J6" s="19" t="inlineStr">
        <is>
          <t>Leave</t>
        </is>
      </c>
      <c r="K6" s="21" t="inlineStr">
        <is>
          <t>Vendor</t>
        </is>
      </c>
      <c r="L6" s="31">
        <f>INDEX('Item Budget'!$F$5:$F$13,MATCH(K6,'Item Budget'!$E$5:$E$13,0))+IF(E6="All",0,'Item Budget'!$F$15)+LOOKUP(H6,'Item Budget'!$E$19:$E$23,'Item Budget'!$F$19:$F$23)</f>
        <v/>
      </c>
      <c r="M6" s="21" t="n">
        <v>0</v>
      </c>
      <c r="N6" s="21" t="n">
        <v>0</v>
      </c>
      <c r="O6" s="21" t="n">
        <v>0</v>
      </c>
      <c r="P6" s="21" t="n">
        <v>10</v>
      </c>
      <c r="Q6" s="21" t="n">
        <v>0</v>
      </c>
      <c r="R6" s="21" t="n">
        <v>0</v>
      </c>
      <c r="S6" s="21" t="n">
        <v>0</v>
      </c>
      <c r="T6" s="21" t="n">
        <v>0</v>
      </c>
      <c r="U6" s="21" t="n">
        <v>0</v>
      </c>
      <c r="V6" s="21" t="inlineStr">
        <is>
          <t>(none)</t>
        </is>
      </c>
      <c r="W6" s="61">
        <f>N6*'Item Budget'!$B$5+R6*'Item Budget'!$B$7+P6*'Item Budget'!$B$11+S6*'Item Budget'!$B$10+Q6*'Item Budget'!$B$9+IFERROR(INDEX('Item Budget'!$M$25:$M$95,MATCH(V6,'Item Budget'!$B$25:$B$95,0)),0)+IF($C6="Weapon",U6*'Item Budget'!$B$9,0)</f>
        <v/>
      </c>
      <c r="X6" s="61">
        <f>N6*'Item Budget'!$B$5+R6*'Item Budget'!$B$7+P6*'Item Budget'!$B$11+S6*'Item Budget'!$B$10+O6*'Item Budget'!$B$6+T6*'Item Budget'!$B$8+IFERROR(INDEX('Item Budget'!$N$25:$N$95,MATCH(V6,'Item Budget'!$B$25:$B$95,0)),0)</f>
        <v/>
      </c>
      <c r="Y6" s="61">
        <f>MAX('Item Budget'!$F$16,INDEX('Gear Budget'!$C$8:$C$14,MATCH($C6,'Gear Budget'!$A$8:$A$14,0))*MIN(M6,50))*$L6</f>
        <v/>
      </c>
      <c r="Z6" s="41">
        <f>IF($C6="Caster weapon",X6,MAX(W6,X6))/Y6</f>
        <v/>
      </c>
      <c r="AA6" s="61">
        <f>IF(OR($C6="Weapon",$C6="Caster weapon"),"",'Gear Budget'!$B$5*MAX(1,MIN(M6,50))*INDEX('Gear Budget'!$B$8:$B$14,MATCH($C6,'Gear Budget'!$A$8:$A$14,0))*IF($C6="Shield",IF(D6="Warrior",1,IF(OR(D6="Rogue",D6="All"),0.38/0.6,0.25/0.6)),IFERROR(INDEX('Gear Budget'!$B$18:$B$21,MATCH($F6,'Gear Budget'!$A$18:$A$21,0)),1)))</f>
        <v/>
      </c>
      <c r="AB6" s="41">
        <f>IF(AA6="","",P6/AA6)</f>
        <v/>
      </c>
      <c r="AC6" s="21" t="n">
        <v>0</v>
      </c>
      <c r="AD6" s="21" t="n">
        <v>0</v>
      </c>
      <c r="AE6" s="21" t="n">
        <v>0</v>
      </c>
      <c r="AF6" s="21" t="n">
        <v>10</v>
      </c>
      <c r="AG6" s="21" t="n">
        <v>0</v>
      </c>
      <c r="AH6" s="21" t="n">
        <v>0</v>
      </c>
      <c r="AI6" s="21" t="n">
        <v>0</v>
      </c>
      <c r="AJ6" s="21" t="n">
        <v>0</v>
      </c>
      <c r="AK6" s="21" t="n">
        <v>0</v>
      </c>
      <c r="AL6" s="21" t="inlineStr">
        <is>
          <t>(none)</t>
        </is>
      </c>
      <c r="AM6" s="61">
        <f>AD6*'Item Budget'!$B$5+AH6*'Item Budget'!$B$7+AF6*'Item Budget'!$B$11+AI6*'Item Budget'!$B$10+AG6*'Item Budget'!$B$9+IFERROR(INDEX('Item Budget'!$M$25:$M$95,MATCH(AL6,'Item Budget'!$B$25:$B$95,0)),0)+IF($C6="Weapon",AK6*'Item Budget'!$B$9,0)</f>
        <v/>
      </c>
      <c r="AN6" s="61">
        <f>AD6*'Item Budget'!$B$5+AH6*'Item Budget'!$B$7+AF6*'Item Budget'!$B$11+AI6*'Item Budget'!$B$10+AE6*'Item Budget'!$B$6+AJ6*'Item Budget'!$B$8+IFERROR(INDEX('Item Budget'!$N$25:$N$95,MATCH(AL6,'Item Budget'!$B$25:$B$95,0)),0)</f>
        <v/>
      </c>
      <c r="AO6" s="61">
        <f>MAX('Item Budget'!$F$16,INDEX('Gear Budget'!$C$8:$C$14,MATCH($C6,'Gear Budget'!$A$8:$A$14,0))*MIN(AC6,50))*$L6</f>
        <v/>
      </c>
      <c r="AP6" s="41">
        <f>IF($C6="Caster weapon",AN6,MAX(AM6,AN6))/AO6</f>
        <v/>
      </c>
      <c r="AQ6" s="61">
        <f>IF(OR($C6="Weapon",$C6="Caster weapon"),"",'Gear Budget'!$B$5*MAX(1,MIN(AC6,50))*INDEX('Gear Budget'!$B$8:$B$14,MATCH($C6,'Gear Budget'!$A$8:$A$14,0))*IF($C6="Shield",IF(E6="Warrior",1,IF(OR(E6="Rogue",E6="All"),0.38/0.6,0.25/0.6)),IFERROR(INDEX('Gear Budget'!$B$18:$B$21,MATCH($F6,'Gear Budget'!$A$18:$A$21,0)),1)))</f>
        <v/>
      </c>
      <c r="AR6" s="41">
        <f>IF(AQ6="","",AF6/AQ6)</f>
        <v/>
      </c>
      <c r="AS6" s="64" t="inlineStr">
        <is>
          <t>Pass 1 (applied): Cosmetic vendor dress.</t>
        </is>
      </c>
      <c r="AT6" s="44">
        <f>IF(OR($E6="All",ISNUMBER(SEARCH("Warrior",$E6))),IF($C6="Caster weapon",(AN6+AF6*('Item Budget'!$AB$14-'Item Budget'!$B$11)),(AM6+AF6*('Item Budget'!$AB$14-'Item Budget'!$B$11))),0)</f>
        <v/>
      </c>
      <c r="AU6" s="44">
        <f>IF(OR($E6="All",ISNUMBER(SEARCH("Rogue",$E6))),IF($C6="Caster weapon",(AN6+AF6*('Item Budget'!$AB$15-'Item Budget'!$B$11)),(AM6+AF6*('Item Budget'!$AB$15-'Item Budget'!$B$11))),0)</f>
        <v/>
      </c>
      <c r="AV6" s="44">
        <f>IF(OR($E6="All",ISNUMBER(SEARCH("Magus",$E6))),(AN6+AF6*('Item Budget'!$AB$16-'Item Budget'!$B$11)),0)</f>
        <v/>
      </c>
      <c r="AW6" s="44">
        <f>IF(OR($E6="All",ISNUMBER(SEARCH("Priest",$E6))),(AN6+AF6*('Item Budget'!$AB$17-'Item Budget'!$B$11)),0)</f>
        <v/>
      </c>
      <c r="AX6" s="44">
        <f>IF(AND(OR($E6="All",ISNUMBER(SEARCH("Warrior",$E6))),AC6&gt;='Item Budget'!$R$10),'Item Budget'!$R$7*100*('Item Budget'!$R$14*(AD6+25*AH6)+'Item Budget'!$S$14*(AE6+25*AJ6))/'Item Budget'!$Z$14+'Item Budget'!$R$9*AF6+IFERROR(INDEX('Item Budget'!$O$25:$O$95,MATCH(AL6,'Item Budget'!$B$25:$B$95,0)),0),0)</f>
        <v/>
      </c>
      <c r="AY6" s="44">
        <f>IF(AND(OR($E6="All",ISNUMBER(SEARCH("Rogue",$E6))),AC6&gt;='Item Budget'!$R$10),'Item Budget'!$R$7*100*('Item Budget'!$R$15*(AD6+25*AH6)+'Item Budget'!$S$15*(AE6+25*AJ6))/'Item Budget'!$Z$15+'Item Budget'!$R$9*AF6+IFERROR(INDEX('Item Budget'!$O$25:$O$95,MATCH(AL6,'Item Budget'!$B$25:$B$95,0)),0),0)</f>
        <v/>
      </c>
      <c r="AZ6" s="44">
        <f>IF(AND(OR($E6="All",ISNUMBER(SEARCH("Magus",$E6))),AC6&gt;='Item Budget'!$R$10),'Item Budget'!$R$7*100*('Item Budget'!$R$16*(AD6+25*AH6)+'Item Budget'!$S$16*(AE6+25*AJ6))/'Item Budget'!$Z$16+'Item Budget'!$R$9*AF6+IFERROR(INDEX('Item Budget'!$O$25:$O$95,MATCH(AL6,'Item Budget'!$B$25:$B$95,0)),0),0)</f>
        <v/>
      </c>
      <c r="BA6" s="44">
        <f>IF(AND(OR($E6="All",ISNUMBER(SEARCH("Priest",$E6))),AC6&gt;='Item Budget'!$R$10),'Item Budget'!$R$7*100*('Item Budget'!$R$17*(AD6+25*AH6)+'Item Budget'!$S$17*(AE6+25*AJ6))/'Item Budget'!$Z$17+'Item Budget'!$R$9*AF6+IFERROR(INDEX('Item Budget'!$O$25:$O$95,MATCH(AL6,'Item Budget'!$B$25:$B$95,0)),0),0)</f>
        <v/>
      </c>
      <c r="BB6" s="52">
        <f>IF(OR($I6&lt;1,IF($I6&gt;=6,AX6,AT6)&lt;=0),"",IF(SUMPRODUCT(MAX(($C$5:$C$215=$C6)*($I$5:$I$215&gt;=1)*($I$5:$I$215&lt;$I6)*IF($I6&gt;=6,$AX$5:$AX$215,$AT$5:$AT$215)))&lt;=0,"",SUMPRODUCT(MAX(($C$5:$C$215=$C6)*($I$5:$I$215=$I6)*IF($I6&gt;=6,$AX$5:$AX$215,$AT$5:$AT$215)))/SUMPRODUCT(MAX(($C$5:$C$215=$C6)*($I$5:$I$215&gt;=1)*($I$5:$I$215&lt;$I6)*IF($I6&gt;=6,$AX$5:$AX$215,$AT$5:$AT$215)))-1))</f>
        <v/>
      </c>
      <c r="BC6" s="52">
        <f>IF(OR($I6&lt;1,IF($I6&gt;=6,AY6,AU6)&lt;=0),"",IF(SUMPRODUCT(MAX(($C$5:$C$215=$C6)*($I$5:$I$215&gt;=1)*($I$5:$I$215&lt;$I6)*IF($I6&gt;=6,$AY$5:$AY$215,$AU$5:$AU$215)))&lt;=0,"",SUMPRODUCT(MAX(($C$5:$C$215=$C6)*($I$5:$I$215=$I6)*IF($I6&gt;=6,$AY$5:$AY$215,$AU$5:$AU$215)))/SUMPRODUCT(MAX(($C$5:$C$215=$C6)*($I$5:$I$215&gt;=1)*($I$5:$I$215&lt;$I6)*IF($I6&gt;=6,$AY$5:$AY$215,$AU$5:$AU$215)))-1))</f>
        <v/>
      </c>
      <c r="BD6" s="52">
        <f>IF(OR($I6&lt;1,IF($I6&gt;=6,AZ6,AV6)&lt;=0),"",IF(SUMPRODUCT(MAX(($C$5:$C$215=$C6)*($I$5:$I$215&gt;=1)*($I$5:$I$215&lt;$I6)*IF($I6&gt;=6,$AZ$5:$AZ$215,$AV$5:$AV$215)))&lt;=0,"",SUMPRODUCT(MAX(($C$5:$C$215=$C6)*($I$5:$I$215=$I6)*IF($I6&gt;=6,$AZ$5:$AZ$215,$AV$5:$AV$215)))/SUMPRODUCT(MAX(($C$5:$C$215=$C6)*($I$5:$I$215&gt;=1)*($I$5:$I$215&lt;$I6)*IF($I6&gt;=6,$AZ$5:$AZ$215,$AV$5:$AV$215)))-1))</f>
        <v/>
      </c>
      <c r="BE6" s="52">
        <f>IF(OR($I6&lt;1,IF($I6&gt;=6,BA6,AW6)&lt;=0),"",IF(SUMPRODUCT(MAX(($C$5:$C$215=$C6)*($I$5:$I$215&gt;=1)*($I$5:$I$215&lt;$I6)*IF($I6&gt;=6,$BA$5:$BA$215,$AW$5:$AW$215)))&lt;=0,"",SUMPRODUCT(MAX(($C$5:$C$215=$C6)*($I$5:$I$215=$I6)*IF($I6&gt;=6,$BA$5:$BA$215,$AW$5:$AW$215)))/SUMPRODUCT(MAX(($C$5:$C$215=$C6)*($I$5:$I$215&gt;=1)*($I$5:$I$215&lt;$I6)*IF($I6&gt;=6,$BA$5:$BA$215,$AW$5:$AW$215)))-1))</f>
        <v/>
      </c>
      <c r="BF6" s="19">
        <f>IF(AND(BB6="",BC6="",BD6="",BE6=""),"",IF(IF(AND(ISNUMBER(BB6),BB6&lt;'Item Budget'!$R$11),"W ","")&amp;IF(AND(ISNUMBER(BC6),BC6&lt;'Item Budget'!$R$11),"R ","")&amp;IF(AND(ISNUMBER(BD6),BD6&lt;'Item Budget'!$R$11),"M ","")&amp;IF(AND(ISNUMBER(BE6),BE6&lt;'Item Budget'!$R$11),"P ","")="","OK","Not above lower step: "&amp;IF(AND(ISNUMBER(BB6),BB6&lt;'Item Budget'!$R$11),"W ","")&amp;IF(AND(ISNUMBER(BC6),BC6&lt;'Item Budget'!$R$11),"R ","")&amp;IF(AND(ISNUMBER(BD6),BD6&lt;'Item Budget'!$R$11),"M ","")&amp;IF(AND(ISNUMBER(BE6),BE6&lt;'Item Budget'!$R$11),"P ","")))</f>
        <v/>
      </c>
    </row>
    <row r="7">
      <c r="A7" s="21" t="n">
        <v>150</v>
      </c>
      <c r="B7" s="21" t="inlineStr">
        <is>
          <t>Cloth Tunic</t>
        </is>
      </c>
      <c r="C7" s="21" t="inlineStr">
        <is>
          <t>Chest</t>
        </is>
      </c>
      <c r="D7" s="21" t="inlineStr">
        <is>
          <t>All</t>
        </is>
      </c>
      <c r="E7" s="21" t="inlineStr">
        <is>
          <t>All</t>
        </is>
      </c>
      <c r="F7" s="21" t="inlineStr">
        <is>
          <t>All classes</t>
        </is>
      </c>
      <c r="G7" s="21" t="inlineStr">
        <is>
          <t>vendor: Cloth Armor Guy</t>
        </is>
      </c>
      <c r="H7" s="37" t="n">
        <v>0</v>
      </c>
      <c r="I7" s="21" t="n">
        <v>0</v>
      </c>
      <c r="J7" s="3" t="inlineStr">
        <is>
          <t>Applied</t>
        </is>
      </c>
      <c r="K7" s="21" t="inlineStr">
        <is>
          <t>Vendor</t>
        </is>
      </c>
      <c r="L7" s="31">
        <f>INDEX('Item Budget'!$F$5:$F$13,MATCH(K7,'Item Budget'!$E$5:$E$13,0))+IF(E7="All",0,'Item Budget'!$F$15)+LOOKUP(H7,'Item Budget'!$E$19:$E$23,'Item Budget'!$F$19:$F$23)</f>
        <v/>
      </c>
      <c r="M7" s="21" t="n">
        <v>1</v>
      </c>
      <c r="N7" s="21" t="n">
        <v>10</v>
      </c>
      <c r="O7" s="21" t="n">
        <v>10</v>
      </c>
      <c r="P7" s="21" t="n">
        <v>10</v>
      </c>
      <c r="Q7" s="21" t="n">
        <v>0</v>
      </c>
      <c r="R7" s="21" t="n">
        <v>1</v>
      </c>
      <c r="S7" s="21" t="n">
        <v>0</v>
      </c>
      <c r="T7" s="21" t="n">
        <v>1</v>
      </c>
      <c r="U7" s="21" t="n">
        <v>0</v>
      </c>
      <c r="V7" s="21" t="inlineStr">
        <is>
          <t>(none)</t>
        </is>
      </c>
      <c r="W7" s="61">
        <f>N7*'Item Budget'!$B$5+R7*'Item Budget'!$B$7+P7*'Item Budget'!$B$11+S7*'Item Budget'!$B$10+Q7*'Item Budget'!$B$9+IFERROR(INDEX('Item Budget'!$M$25:$M$95,MATCH(V7,'Item Budget'!$B$25:$B$95,0)),0)+IF($C7="Weapon",U7*'Item Budget'!$B$9,0)</f>
        <v/>
      </c>
      <c r="X7" s="61">
        <f>N7*'Item Budget'!$B$5+R7*'Item Budget'!$B$7+P7*'Item Budget'!$B$11+S7*'Item Budget'!$B$10+O7*'Item Budget'!$B$6+T7*'Item Budget'!$B$8+IFERROR(INDEX('Item Budget'!$N$25:$N$95,MATCH(V7,'Item Budget'!$B$25:$B$95,0)),0)</f>
        <v/>
      </c>
      <c r="Y7" s="61">
        <f>MAX('Item Budget'!$F$16,INDEX('Gear Budget'!$C$8:$C$14,MATCH($C7,'Gear Budget'!$A$8:$A$14,0))*MIN(M7,50))*$L7</f>
        <v/>
      </c>
      <c r="Z7" s="41">
        <f>IF($C7="Caster weapon",X7,MAX(W7,X7))/Y7</f>
        <v/>
      </c>
      <c r="AA7" s="61">
        <f>IF(OR($C7="Weapon",$C7="Caster weapon"),"",'Gear Budget'!$B$5*MAX(1,MIN(M7,50))*INDEX('Gear Budget'!$B$8:$B$14,MATCH($C7,'Gear Budget'!$A$8:$A$14,0))*IF($C7="Shield",IF(D7="Warrior",1,IF(OR(D7="Rogue",D7="All"),0.38/0.6,0.25/0.6)),IFERROR(INDEX('Gear Budget'!$B$18:$B$21,MATCH($F7,'Gear Budget'!$A$18:$A$21,0)),1)))</f>
        <v/>
      </c>
      <c r="AB7" s="41">
        <f>IF(AA7="","",P7/AA7)</f>
        <v/>
      </c>
      <c r="AC7" s="21" t="n">
        <v>1</v>
      </c>
      <c r="AD7" s="21" t="n">
        <v>10</v>
      </c>
      <c r="AE7" s="21" t="n">
        <v>10</v>
      </c>
      <c r="AF7" s="21" t="n">
        <v>10</v>
      </c>
      <c r="AG7" s="21" t="n">
        <v>0</v>
      </c>
      <c r="AH7" s="21" t="n">
        <v>1</v>
      </c>
      <c r="AI7" s="21" t="n">
        <v>0</v>
      </c>
      <c r="AJ7" s="21" t="n">
        <v>1</v>
      </c>
      <c r="AK7" s="21" t="n">
        <v>0</v>
      </c>
      <c r="AL7" s="21" t="inlineStr">
        <is>
          <t>(none)</t>
        </is>
      </c>
      <c r="AM7" s="61">
        <f>AD7*'Item Budget'!$B$5+AH7*'Item Budget'!$B$7+AF7*'Item Budget'!$B$11+AI7*'Item Budget'!$B$10+AG7*'Item Budget'!$B$9+IFERROR(INDEX('Item Budget'!$M$25:$M$95,MATCH(AL7,'Item Budget'!$B$25:$B$95,0)),0)+IF($C7="Weapon",AK7*'Item Budget'!$B$9,0)</f>
        <v/>
      </c>
      <c r="AN7" s="61">
        <f>AD7*'Item Budget'!$B$5+AH7*'Item Budget'!$B$7+AF7*'Item Budget'!$B$11+AI7*'Item Budget'!$B$10+AE7*'Item Budget'!$B$6+AJ7*'Item Budget'!$B$8+IFERROR(INDEX('Item Budget'!$N$25:$N$95,MATCH(AL7,'Item Budget'!$B$25:$B$95,0)),0)</f>
        <v/>
      </c>
      <c r="AO7" s="61">
        <f>MAX('Item Budget'!$F$16,INDEX('Gear Budget'!$C$8:$C$14,MATCH($C7,'Gear Budget'!$A$8:$A$14,0))*MIN(AC7,50))*$L7</f>
        <v/>
      </c>
      <c r="AP7" s="41">
        <f>IF($C7="Caster weapon",AN7,MAX(AM7,AN7))/AO7</f>
        <v/>
      </c>
      <c r="AQ7" s="61">
        <f>IF(OR($C7="Weapon",$C7="Caster weapon"),"",'Gear Budget'!$B$5*MAX(1,MIN(AC7,50))*INDEX('Gear Budget'!$B$8:$B$14,MATCH($C7,'Gear Budget'!$A$8:$A$14,0))*IF($C7="Shield",IF(E7="Warrior",1,IF(OR(E7="Rogue",E7="All"),0.38/0.6,0.25/0.6)),IFERROR(INDEX('Gear Budget'!$B$18:$B$21,MATCH($F7,'Gear Budget'!$A$18:$A$21,0)),1)))</f>
        <v/>
      </c>
      <c r="AR7" s="41">
        <f>IF(AQ7="","",AF7/AQ7)</f>
        <v/>
      </c>
      <c r="AS7" s="64" t="inlineStr">
        <is>
          <t>Pass 1 (applied): Token stats on the starter set.</t>
        </is>
      </c>
      <c r="AT7" s="44">
        <f>IF(OR($E7="All",ISNUMBER(SEARCH("Warrior",$E7))),IF($C7="Caster weapon",(AN7+AF7*('Item Budget'!$AB$14-'Item Budget'!$B$11)),(AM7+AF7*('Item Budget'!$AB$14-'Item Budget'!$B$11))),0)</f>
        <v/>
      </c>
      <c r="AU7" s="44">
        <f>IF(OR($E7="All",ISNUMBER(SEARCH("Rogue",$E7))),IF($C7="Caster weapon",(AN7+AF7*('Item Budget'!$AB$15-'Item Budget'!$B$11)),(AM7+AF7*('Item Budget'!$AB$15-'Item Budget'!$B$11))),0)</f>
        <v/>
      </c>
      <c r="AV7" s="44">
        <f>IF(OR($E7="All",ISNUMBER(SEARCH("Magus",$E7))),(AN7+AF7*('Item Budget'!$AB$16-'Item Budget'!$B$11)),0)</f>
        <v/>
      </c>
      <c r="AW7" s="44">
        <f>IF(OR($E7="All",ISNUMBER(SEARCH("Priest",$E7))),(AN7+AF7*('Item Budget'!$AB$17-'Item Budget'!$B$11)),0)</f>
        <v/>
      </c>
      <c r="AX7" s="44">
        <f>IF(AND(OR($E7="All",ISNUMBER(SEARCH("Warrior",$E7))),AC7&gt;='Item Budget'!$R$10),'Item Budget'!$R$7*100*('Item Budget'!$R$14*(AD7+25*AH7)+'Item Budget'!$S$14*(AE7+25*AJ7))/'Item Budget'!$Z$14+'Item Budget'!$R$9*AF7+IFERROR(INDEX('Item Budget'!$O$25:$O$95,MATCH(AL7,'Item Budget'!$B$25:$B$95,0)),0),0)</f>
        <v/>
      </c>
      <c r="AY7" s="44">
        <f>IF(AND(OR($E7="All",ISNUMBER(SEARCH("Rogue",$E7))),AC7&gt;='Item Budget'!$R$10),'Item Budget'!$R$7*100*('Item Budget'!$R$15*(AD7+25*AH7)+'Item Budget'!$S$15*(AE7+25*AJ7))/'Item Budget'!$Z$15+'Item Budget'!$R$9*AF7+IFERROR(INDEX('Item Budget'!$O$25:$O$95,MATCH(AL7,'Item Budget'!$B$25:$B$95,0)),0),0)</f>
        <v/>
      </c>
      <c r="AZ7" s="44">
        <f>IF(AND(OR($E7="All",ISNUMBER(SEARCH("Magus",$E7))),AC7&gt;='Item Budget'!$R$10),'Item Budget'!$R$7*100*('Item Budget'!$R$16*(AD7+25*AH7)+'Item Budget'!$S$16*(AE7+25*AJ7))/'Item Budget'!$Z$16+'Item Budget'!$R$9*AF7+IFERROR(INDEX('Item Budget'!$O$25:$O$95,MATCH(AL7,'Item Budget'!$B$25:$B$95,0)),0),0)</f>
        <v/>
      </c>
      <c r="BA7" s="44">
        <f>IF(AND(OR($E7="All",ISNUMBER(SEARCH("Priest",$E7))),AC7&gt;='Item Budget'!$R$10),'Item Budget'!$R$7*100*('Item Budget'!$R$17*(AD7+25*AH7)+'Item Budget'!$S$17*(AE7+25*AJ7))/'Item Budget'!$Z$17+'Item Budget'!$R$9*AF7+IFERROR(INDEX('Item Budget'!$O$25:$O$95,MATCH(AL7,'Item Budget'!$B$25:$B$95,0)),0),0)</f>
        <v/>
      </c>
      <c r="BB7" s="52">
        <f>IF(OR($I7&lt;1,IF($I7&gt;=6,AX7,AT7)&lt;=0),"",IF(SUMPRODUCT(MAX(($C$5:$C$215=$C7)*($I$5:$I$215&gt;=1)*($I$5:$I$215&lt;$I7)*IF($I7&gt;=6,$AX$5:$AX$215,$AT$5:$AT$215)))&lt;=0,"",SUMPRODUCT(MAX(($C$5:$C$215=$C7)*($I$5:$I$215=$I7)*IF($I7&gt;=6,$AX$5:$AX$215,$AT$5:$AT$215)))/SUMPRODUCT(MAX(($C$5:$C$215=$C7)*($I$5:$I$215&gt;=1)*($I$5:$I$215&lt;$I7)*IF($I7&gt;=6,$AX$5:$AX$215,$AT$5:$AT$215)))-1))</f>
        <v/>
      </c>
      <c r="BC7" s="52">
        <f>IF(OR($I7&lt;1,IF($I7&gt;=6,AY7,AU7)&lt;=0),"",IF(SUMPRODUCT(MAX(($C$5:$C$215=$C7)*($I$5:$I$215&gt;=1)*($I$5:$I$215&lt;$I7)*IF($I7&gt;=6,$AY$5:$AY$215,$AU$5:$AU$215)))&lt;=0,"",SUMPRODUCT(MAX(($C$5:$C$215=$C7)*($I$5:$I$215=$I7)*IF($I7&gt;=6,$AY$5:$AY$215,$AU$5:$AU$215)))/SUMPRODUCT(MAX(($C$5:$C$215=$C7)*($I$5:$I$215&gt;=1)*($I$5:$I$215&lt;$I7)*IF($I7&gt;=6,$AY$5:$AY$215,$AU$5:$AU$215)))-1))</f>
        <v/>
      </c>
      <c r="BD7" s="52">
        <f>IF(OR($I7&lt;1,IF($I7&gt;=6,AZ7,AV7)&lt;=0),"",IF(SUMPRODUCT(MAX(($C$5:$C$215=$C7)*($I$5:$I$215&gt;=1)*($I$5:$I$215&lt;$I7)*IF($I7&gt;=6,$AZ$5:$AZ$215,$AV$5:$AV$215)))&lt;=0,"",SUMPRODUCT(MAX(($C$5:$C$215=$C7)*($I$5:$I$215=$I7)*IF($I7&gt;=6,$AZ$5:$AZ$215,$AV$5:$AV$215)))/SUMPRODUCT(MAX(($C$5:$C$215=$C7)*($I$5:$I$215&gt;=1)*($I$5:$I$215&lt;$I7)*IF($I7&gt;=6,$AZ$5:$AZ$215,$AV$5:$AV$215)))-1))</f>
        <v/>
      </c>
      <c r="BE7" s="52">
        <f>IF(OR($I7&lt;1,IF($I7&gt;=6,BA7,AW7)&lt;=0),"",IF(SUMPRODUCT(MAX(($C$5:$C$215=$C7)*($I$5:$I$215&gt;=1)*($I$5:$I$215&lt;$I7)*IF($I7&gt;=6,$BA$5:$BA$215,$AW$5:$AW$215)))&lt;=0,"",SUMPRODUCT(MAX(($C$5:$C$215=$C7)*($I$5:$I$215=$I7)*IF($I7&gt;=6,$BA$5:$BA$215,$AW$5:$AW$215)))/SUMPRODUCT(MAX(($C$5:$C$215=$C7)*($I$5:$I$215&gt;=1)*($I$5:$I$215&lt;$I7)*IF($I7&gt;=6,$BA$5:$BA$215,$AW$5:$AW$215)))-1))</f>
        <v/>
      </c>
      <c r="BF7" s="19">
        <f>IF(AND(BB7="",BC7="",BD7="",BE7=""),"",IF(IF(AND(ISNUMBER(BB7),BB7&lt;'Item Budget'!$R$11),"W ","")&amp;IF(AND(ISNUMBER(BC7),BC7&lt;'Item Budget'!$R$11),"R ","")&amp;IF(AND(ISNUMBER(BD7),BD7&lt;'Item Budget'!$R$11),"M ","")&amp;IF(AND(ISNUMBER(BE7),BE7&lt;'Item Budget'!$R$11),"P ","")="","OK","Not above lower step: "&amp;IF(AND(ISNUMBER(BB7),BB7&lt;'Item Budget'!$R$11),"W ","")&amp;IF(AND(ISNUMBER(BC7),BC7&lt;'Item Budget'!$R$11),"R ","")&amp;IF(AND(ISNUMBER(BD7),BD7&lt;'Item Budget'!$R$11),"M ","")&amp;IF(AND(ISNUMBER(BE7),BE7&lt;'Item Budget'!$R$11),"P ","")))</f>
        <v/>
      </c>
    </row>
    <row r="8">
      <c r="A8" s="21" t="n">
        <v>450</v>
      </c>
      <c r="B8" s="21" t="inlineStr">
        <is>
          <t>Cloth Shirt</t>
        </is>
      </c>
      <c r="C8" s="21" t="inlineStr">
        <is>
          <t>Chest</t>
        </is>
      </c>
      <c r="D8" s="21" t="inlineStr">
        <is>
          <t>All</t>
        </is>
      </c>
      <c r="E8" s="21" t="inlineStr">
        <is>
          <t>All</t>
        </is>
      </c>
      <c r="F8" s="21" t="inlineStr">
        <is>
          <t>All classes</t>
        </is>
      </c>
      <c r="G8" s="21" t="inlineStr">
        <is>
          <t>craft</t>
        </is>
      </c>
      <c r="H8" s="37" t="n">
        <v>0</v>
      </c>
      <c r="I8" s="21" t="n">
        <v>0</v>
      </c>
      <c r="J8" s="19" t="inlineStr">
        <is>
          <t>Leave</t>
        </is>
      </c>
      <c r="K8" s="21" t="inlineStr">
        <is>
          <t>Crafted</t>
        </is>
      </c>
      <c r="L8" s="31">
        <f>INDEX('Item Budget'!$F$5:$F$13,MATCH(K8,'Item Budget'!$E$5:$E$13,0))+IF(E8="All",0,'Item Budget'!$F$15)+LOOKUP(H8,'Item Budget'!$E$19:$E$23,'Item Budget'!$F$19:$F$23)</f>
        <v/>
      </c>
      <c r="M8" s="21" t="n">
        <v>1</v>
      </c>
      <c r="N8" s="21" t="n">
        <v>10</v>
      </c>
      <c r="O8" s="21" t="n">
        <v>10</v>
      </c>
      <c r="P8" s="21" t="n">
        <v>30</v>
      </c>
      <c r="Q8" s="21" t="n">
        <v>1</v>
      </c>
      <c r="R8" s="21" t="n">
        <v>1</v>
      </c>
      <c r="S8" s="21" t="n">
        <v>1</v>
      </c>
      <c r="T8" s="21" t="n">
        <v>1</v>
      </c>
      <c r="U8" s="21" t="n">
        <v>0</v>
      </c>
      <c r="V8" s="21" t="inlineStr">
        <is>
          <t>(none)</t>
        </is>
      </c>
      <c r="W8" s="61">
        <f>N8*'Item Budget'!$B$5+R8*'Item Budget'!$B$7+P8*'Item Budget'!$B$11+S8*'Item Budget'!$B$10+Q8*'Item Budget'!$B$9+IFERROR(INDEX('Item Budget'!$M$25:$M$95,MATCH(V8,'Item Budget'!$B$25:$B$95,0)),0)+IF($C8="Weapon",U8*'Item Budget'!$B$9,0)</f>
        <v/>
      </c>
      <c r="X8" s="61">
        <f>N8*'Item Budget'!$B$5+R8*'Item Budget'!$B$7+P8*'Item Budget'!$B$11+S8*'Item Budget'!$B$10+O8*'Item Budget'!$B$6+T8*'Item Budget'!$B$8+IFERROR(INDEX('Item Budget'!$N$25:$N$95,MATCH(V8,'Item Budget'!$B$25:$B$95,0)),0)</f>
        <v/>
      </c>
      <c r="Y8" s="61">
        <f>MAX('Item Budget'!$F$16,INDEX('Gear Budget'!$C$8:$C$14,MATCH($C8,'Gear Budget'!$A$8:$A$14,0))*MIN(M8,50))*$L8</f>
        <v/>
      </c>
      <c r="Z8" s="41">
        <f>IF($C8="Caster weapon",X8,MAX(W8,X8))/Y8</f>
        <v/>
      </c>
      <c r="AA8" s="61">
        <f>IF(OR($C8="Weapon",$C8="Caster weapon"),"",'Gear Budget'!$B$5*MAX(1,MIN(M8,50))*INDEX('Gear Budget'!$B$8:$B$14,MATCH($C8,'Gear Budget'!$A$8:$A$14,0))*IF($C8="Shield",IF(D8="Warrior",1,IF(OR(D8="Rogue",D8="All"),0.38/0.6,0.25/0.6)),IFERROR(INDEX('Gear Budget'!$B$18:$B$21,MATCH($F8,'Gear Budget'!$A$18:$A$21,0)),1)))</f>
        <v/>
      </c>
      <c r="AB8" s="41">
        <f>IF(AA8="","",P8/AA8)</f>
        <v/>
      </c>
      <c r="AC8" s="21" t="n">
        <v>1</v>
      </c>
      <c r="AD8" s="21" t="n">
        <v>10</v>
      </c>
      <c r="AE8" s="21" t="n">
        <v>10</v>
      </c>
      <c r="AF8" s="21" t="n">
        <v>30</v>
      </c>
      <c r="AG8" s="21" t="n">
        <v>1</v>
      </c>
      <c r="AH8" s="21" t="n">
        <v>1</v>
      </c>
      <c r="AI8" s="21" t="n">
        <v>1</v>
      </c>
      <c r="AJ8" s="21" t="n">
        <v>1</v>
      </c>
      <c r="AK8" s="21" t="n">
        <v>0</v>
      </c>
      <c r="AL8" s="21" t="inlineStr">
        <is>
          <t>(none)</t>
        </is>
      </c>
      <c r="AM8" s="61">
        <f>AD8*'Item Budget'!$B$5+AH8*'Item Budget'!$B$7+AF8*'Item Budget'!$B$11+AI8*'Item Budget'!$B$10+AG8*'Item Budget'!$B$9+IFERROR(INDEX('Item Budget'!$M$25:$M$95,MATCH(AL8,'Item Budget'!$B$25:$B$95,0)),0)+IF($C8="Weapon",AK8*'Item Budget'!$B$9,0)</f>
        <v/>
      </c>
      <c r="AN8" s="61">
        <f>AD8*'Item Budget'!$B$5+AH8*'Item Budget'!$B$7+AF8*'Item Budget'!$B$11+AI8*'Item Budget'!$B$10+AE8*'Item Budget'!$B$6+AJ8*'Item Budget'!$B$8+IFERROR(INDEX('Item Budget'!$N$25:$N$95,MATCH(AL8,'Item Budget'!$B$25:$B$95,0)),0)</f>
        <v/>
      </c>
      <c r="AO8" s="61">
        <f>MAX('Item Budget'!$F$16,INDEX('Gear Budget'!$C$8:$C$14,MATCH($C8,'Gear Budget'!$A$8:$A$14,0))*MIN(AC8,50))*$L8</f>
        <v/>
      </c>
      <c r="AP8" s="41">
        <f>IF($C8="Caster weapon",AN8,MAX(AM8,AN8))/AO8</f>
        <v/>
      </c>
      <c r="AQ8" s="61">
        <f>IF(OR($C8="Weapon",$C8="Caster weapon"),"",'Gear Budget'!$B$5*MAX(1,MIN(AC8,50))*INDEX('Gear Budget'!$B$8:$B$14,MATCH($C8,'Gear Budget'!$A$8:$A$14,0))*IF($C8="Shield",IF(E8="Warrior",1,IF(OR(E8="Rogue",E8="All"),0.38/0.6,0.25/0.6)),IFERROR(INDEX('Gear Budget'!$B$18:$B$21,MATCH($F8,'Gear Budget'!$A$18:$A$21,0)),1)))</f>
        <v/>
      </c>
      <c r="AR8" s="41">
        <f>IF(AQ8="","",AF8/AQ8)</f>
        <v/>
      </c>
      <c r="AS8" s="64" t="n"/>
      <c r="AT8" s="44">
        <f>IF(OR($E8="All",ISNUMBER(SEARCH("Warrior",$E8))),IF($C8="Caster weapon",(AN8+AF8*('Item Budget'!$AB$14-'Item Budget'!$B$11)),(AM8+AF8*('Item Budget'!$AB$14-'Item Budget'!$B$11))),0)</f>
        <v/>
      </c>
      <c r="AU8" s="44">
        <f>IF(OR($E8="All",ISNUMBER(SEARCH("Rogue",$E8))),IF($C8="Caster weapon",(AN8+AF8*('Item Budget'!$AB$15-'Item Budget'!$B$11)),(AM8+AF8*('Item Budget'!$AB$15-'Item Budget'!$B$11))),0)</f>
        <v/>
      </c>
      <c r="AV8" s="44">
        <f>IF(OR($E8="All",ISNUMBER(SEARCH("Magus",$E8))),(AN8+AF8*('Item Budget'!$AB$16-'Item Budget'!$B$11)),0)</f>
        <v/>
      </c>
      <c r="AW8" s="44">
        <f>IF(OR($E8="All",ISNUMBER(SEARCH("Priest",$E8))),(AN8+AF8*('Item Budget'!$AB$17-'Item Budget'!$B$11)),0)</f>
        <v/>
      </c>
      <c r="AX8" s="44">
        <f>IF(AND(OR($E8="All",ISNUMBER(SEARCH("Warrior",$E8))),AC8&gt;='Item Budget'!$R$10),'Item Budget'!$R$7*100*('Item Budget'!$R$14*(AD8+25*AH8)+'Item Budget'!$S$14*(AE8+25*AJ8))/'Item Budget'!$Z$14+'Item Budget'!$R$9*AF8+IFERROR(INDEX('Item Budget'!$O$25:$O$95,MATCH(AL8,'Item Budget'!$B$25:$B$95,0)),0),0)</f>
        <v/>
      </c>
      <c r="AY8" s="44">
        <f>IF(AND(OR($E8="All",ISNUMBER(SEARCH("Rogue",$E8))),AC8&gt;='Item Budget'!$R$10),'Item Budget'!$R$7*100*('Item Budget'!$R$15*(AD8+25*AH8)+'Item Budget'!$S$15*(AE8+25*AJ8))/'Item Budget'!$Z$15+'Item Budget'!$R$9*AF8+IFERROR(INDEX('Item Budget'!$O$25:$O$95,MATCH(AL8,'Item Budget'!$B$25:$B$95,0)),0),0)</f>
        <v/>
      </c>
      <c r="AZ8" s="44">
        <f>IF(AND(OR($E8="All",ISNUMBER(SEARCH("Magus",$E8))),AC8&gt;='Item Budget'!$R$10),'Item Budget'!$R$7*100*('Item Budget'!$R$16*(AD8+25*AH8)+'Item Budget'!$S$16*(AE8+25*AJ8))/'Item Budget'!$Z$16+'Item Budget'!$R$9*AF8+IFERROR(INDEX('Item Budget'!$O$25:$O$95,MATCH(AL8,'Item Budget'!$B$25:$B$95,0)),0),0)</f>
        <v/>
      </c>
      <c r="BA8" s="44">
        <f>IF(AND(OR($E8="All",ISNUMBER(SEARCH("Priest",$E8))),AC8&gt;='Item Budget'!$R$10),'Item Budget'!$R$7*100*('Item Budget'!$R$17*(AD8+25*AH8)+'Item Budget'!$S$17*(AE8+25*AJ8))/'Item Budget'!$Z$17+'Item Budget'!$R$9*AF8+IFERROR(INDEX('Item Budget'!$O$25:$O$95,MATCH(AL8,'Item Budget'!$B$25:$B$95,0)),0),0)</f>
        <v/>
      </c>
      <c r="BB8" s="52">
        <f>IF(OR($I8&lt;1,IF($I8&gt;=6,AX8,AT8)&lt;=0),"",IF(SUMPRODUCT(MAX(($C$5:$C$215=$C8)*($I$5:$I$215&gt;=1)*($I$5:$I$215&lt;$I8)*IF($I8&gt;=6,$AX$5:$AX$215,$AT$5:$AT$215)))&lt;=0,"",SUMPRODUCT(MAX(($C$5:$C$215=$C8)*($I$5:$I$215=$I8)*IF($I8&gt;=6,$AX$5:$AX$215,$AT$5:$AT$215)))/SUMPRODUCT(MAX(($C$5:$C$215=$C8)*($I$5:$I$215&gt;=1)*($I$5:$I$215&lt;$I8)*IF($I8&gt;=6,$AX$5:$AX$215,$AT$5:$AT$215)))-1))</f>
        <v/>
      </c>
      <c r="BC8" s="52">
        <f>IF(OR($I8&lt;1,IF($I8&gt;=6,AY8,AU8)&lt;=0),"",IF(SUMPRODUCT(MAX(($C$5:$C$215=$C8)*($I$5:$I$215&gt;=1)*($I$5:$I$215&lt;$I8)*IF($I8&gt;=6,$AY$5:$AY$215,$AU$5:$AU$215)))&lt;=0,"",SUMPRODUCT(MAX(($C$5:$C$215=$C8)*($I$5:$I$215=$I8)*IF($I8&gt;=6,$AY$5:$AY$215,$AU$5:$AU$215)))/SUMPRODUCT(MAX(($C$5:$C$215=$C8)*($I$5:$I$215&gt;=1)*($I$5:$I$215&lt;$I8)*IF($I8&gt;=6,$AY$5:$AY$215,$AU$5:$AU$215)))-1))</f>
        <v/>
      </c>
      <c r="BD8" s="52">
        <f>IF(OR($I8&lt;1,IF($I8&gt;=6,AZ8,AV8)&lt;=0),"",IF(SUMPRODUCT(MAX(($C$5:$C$215=$C8)*($I$5:$I$215&gt;=1)*($I$5:$I$215&lt;$I8)*IF($I8&gt;=6,$AZ$5:$AZ$215,$AV$5:$AV$215)))&lt;=0,"",SUMPRODUCT(MAX(($C$5:$C$215=$C8)*($I$5:$I$215=$I8)*IF($I8&gt;=6,$AZ$5:$AZ$215,$AV$5:$AV$215)))/SUMPRODUCT(MAX(($C$5:$C$215=$C8)*($I$5:$I$215&gt;=1)*($I$5:$I$215&lt;$I8)*IF($I8&gt;=6,$AZ$5:$AZ$215,$AV$5:$AV$215)))-1))</f>
        <v/>
      </c>
      <c r="BE8" s="52">
        <f>IF(OR($I8&lt;1,IF($I8&gt;=6,BA8,AW8)&lt;=0),"",IF(SUMPRODUCT(MAX(($C$5:$C$215=$C8)*($I$5:$I$215&gt;=1)*($I$5:$I$215&lt;$I8)*IF($I8&gt;=6,$BA$5:$BA$215,$AW$5:$AW$215)))&lt;=0,"",SUMPRODUCT(MAX(($C$5:$C$215=$C8)*($I$5:$I$215=$I8)*IF($I8&gt;=6,$BA$5:$BA$215,$AW$5:$AW$215)))/SUMPRODUCT(MAX(($C$5:$C$215=$C8)*($I$5:$I$215&gt;=1)*($I$5:$I$215&lt;$I8)*IF($I8&gt;=6,$BA$5:$BA$215,$AW$5:$AW$215)))-1))</f>
        <v/>
      </c>
      <c r="BF8" s="19">
        <f>IF(AND(BB8="",BC8="",BD8="",BE8=""),"",IF(IF(AND(ISNUMBER(BB8),BB8&lt;'Item Budget'!$R$11),"W ","")&amp;IF(AND(ISNUMBER(BC8),BC8&lt;'Item Budget'!$R$11),"R ","")&amp;IF(AND(ISNUMBER(BD8),BD8&lt;'Item Budget'!$R$11),"M ","")&amp;IF(AND(ISNUMBER(BE8),BE8&lt;'Item Budget'!$R$11),"P ","")="","OK","Not above lower step: "&amp;IF(AND(ISNUMBER(BB8),BB8&lt;'Item Budget'!$R$11),"W ","")&amp;IF(AND(ISNUMBER(BC8),BC8&lt;'Item Budget'!$R$11),"R ","")&amp;IF(AND(ISNUMBER(BD8),BD8&lt;'Item Budget'!$R$11),"M ","")&amp;IF(AND(ISNUMBER(BE8),BE8&lt;'Item Budget'!$R$11),"P ","")))</f>
        <v/>
      </c>
    </row>
    <row r="9">
      <c r="A9" s="21" t="n">
        <v>155</v>
      </c>
      <c r="B9" s="21" t="inlineStr">
        <is>
          <t>Leather Tunic</t>
        </is>
      </c>
      <c r="C9" s="21" t="inlineStr">
        <is>
          <t>Chest</t>
        </is>
      </c>
      <c r="D9" s="21" t="inlineStr">
        <is>
          <t>All</t>
        </is>
      </c>
      <c r="E9" s="21" t="inlineStr">
        <is>
          <t>All</t>
        </is>
      </c>
      <c r="F9" s="21" t="inlineStr">
        <is>
          <t>Warrior plate</t>
        </is>
      </c>
      <c r="G9" s="21" t="inlineStr">
        <is>
          <t>vendor: Leather Armor Guy</t>
        </is>
      </c>
      <c r="H9" s="37" t="n">
        <v>0</v>
      </c>
      <c r="I9" s="21" t="n">
        <v>0</v>
      </c>
      <c r="J9" s="3" t="inlineStr">
        <is>
          <t>Applied</t>
        </is>
      </c>
      <c r="K9" s="21" t="inlineStr">
        <is>
          <t>Vendor</t>
        </is>
      </c>
      <c r="L9" s="31">
        <f>INDEX('Item Budget'!$F$5:$F$13,MATCH(K9,'Item Budget'!$E$5:$E$13,0))+IF(E9="All",0,'Item Budget'!$F$15)+LOOKUP(H9,'Item Budget'!$E$19:$E$23,'Item Budget'!$F$19:$F$23)</f>
        <v/>
      </c>
      <c r="M9" s="21" t="n">
        <v>10</v>
      </c>
      <c r="N9" s="21" t="n">
        <v>25</v>
      </c>
      <c r="O9" s="21" t="n">
        <v>25</v>
      </c>
      <c r="P9" s="21" t="n">
        <v>15</v>
      </c>
      <c r="Q9" s="21" t="n">
        <v>2</v>
      </c>
      <c r="R9" s="21" t="n">
        <v>3</v>
      </c>
      <c r="S9" s="21" t="n">
        <v>0</v>
      </c>
      <c r="T9" s="21" t="n">
        <v>1</v>
      </c>
      <c r="U9" s="21" t="n">
        <v>0</v>
      </c>
      <c r="V9" s="21" t="inlineStr">
        <is>
          <t>(none)</t>
        </is>
      </c>
      <c r="W9" s="61">
        <f>N9*'Item Budget'!$B$5+R9*'Item Budget'!$B$7+P9*'Item Budget'!$B$11+S9*'Item Budget'!$B$10+Q9*'Item Budget'!$B$9+IFERROR(INDEX('Item Budget'!$M$25:$M$95,MATCH(V9,'Item Budget'!$B$25:$B$95,0)),0)+IF($C9="Weapon",U9*'Item Budget'!$B$9,0)</f>
        <v/>
      </c>
      <c r="X9" s="61">
        <f>N9*'Item Budget'!$B$5+R9*'Item Budget'!$B$7+P9*'Item Budget'!$B$11+S9*'Item Budget'!$B$10+O9*'Item Budget'!$B$6+T9*'Item Budget'!$B$8+IFERROR(INDEX('Item Budget'!$N$25:$N$95,MATCH(V9,'Item Budget'!$B$25:$B$95,0)),0)</f>
        <v/>
      </c>
      <c r="Y9" s="61">
        <f>MAX('Item Budget'!$F$16,INDEX('Gear Budget'!$C$8:$C$14,MATCH($C9,'Gear Budget'!$A$8:$A$14,0))*MIN(M9,50))*$L9</f>
        <v/>
      </c>
      <c r="Z9" s="41">
        <f>IF($C9="Caster weapon",X9,MAX(W9,X9))/Y9</f>
        <v/>
      </c>
      <c r="AA9" s="61">
        <f>IF(OR($C9="Weapon",$C9="Caster weapon"),"",'Gear Budget'!$B$5*MAX(1,MIN(M9,50))*INDEX('Gear Budget'!$B$8:$B$14,MATCH($C9,'Gear Budget'!$A$8:$A$14,0))*IF($C9="Shield",IF(D9="Warrior",1,IF(OR(D9="Rogue",D9="All"),0.38/0.6,0.25/0.6)),IFERROR(INDEX('Gear Budget'!$B$18:$B$21,MATCH($F9,'Gear Budget'!$A$18:$A$21,0)),1)))</f>
        <v/>
      </c>
      <c r="AB9" s="41">
        <f>IF(AA9="","",P9/AA9)</f>
        <v/>
      </c>
      <c r="AC9" s="21" t="n">
        <v>10</v>
      </c>
      <c r="AD9" s="21" t="n">
        <v>25</v>
      </c>
      <c r="AE9" s="21" t="n">
        <v>25</v>
      </c>
      <c r="AF9" s="21" t="n">
        <v>15</v>
      </c>
      <c r="AG9" s="21" t="n">
        <v>2</v>
      </c>
      <c r="AH9" s="21" t="n">
        <v>3</v>
      </c>
      <c r="AI9" s="21" t="n">
        <v>0</v>
      </c>
      <c r="AJ9" s="21" t="n">
        <v>1</v>
      </c>
      <c r="AK9" s="21" t="n">
        <v>0</v>
      </c>
      <c r="AL9" s="21" t="inlineStr">
        <is>
          <t>(none)</t>
        </is>
      </c>
      <c r="AM9" s="61">
        <f>AD9*'Item Budget'!$B$5+AH9*'Item Budget'!$B$7+AF9*'Item Budget'!$B$11+AI9*'Item Budget'!$B$10+AG9*'Item Budget'!$B$9+IFERROR(INDEX('Item Budget'!$M$25:$M$95,MATCH(AL9,'Item Budget'!$B$25:$B$95,0)),0)+IF($C9="Weapon",AK9*'Item Budget'!$B$9,0)</f>
        <v/>
      </c>
      <c r="AN9" s="61">
        <f>AD9*'Item Budget'!$B$5+AH9*'Item Budget'!$B$7+AF9*'Item Budget'!$B$11+AI9*'Item Budget'!$B$10+AE9*'Item Budget'!$B$6+AJ9*'Item Budget'!$B$8+IFERROR(INDEX('Item Budget'!$N$25:$N$95,MATCH(AL9,'Item Budget'!$B$25:$B$95,0)),0)</f>
        <v/>
      </c>
      <c r="AO9" s="61">
        <f>MAX('Item Budget'!$F$16,INDEX('Gear Budget'!$C$8:$C$14,MATCH($C9,'Gear Budget'!$A$8:$A$14,0))*MIN(AC9,50))*$L9</f>
        <v/>
      </c>
      <c r="AP9" s="41">
        <f>IF($C9="Caster weapon",AN9,MAX(AM9,AN9))/AO9</f>
        <v/>
      </c>
      <c r="AQ9" s="61">
        <f>IF(OR($C9="Weapon",$C9="Caster weapon"),"",'Gear Budget'!$B$5*MAX(1,MIN(AC9,50))*INDEX('Gear Budget'!$B$8:$B$14,MATCH($C9,'Gear Budget'!$A$8:$A$14,0))*IF($C9="Shield",IF(E9="Warrior",1,IF(OR(E9="Rogue",E9="All"),0.38/0.6,0.25/0.6)),IFERROR(INDEX('Gear Budget'!$B$18:$B$21,MATCH($F9,'Gear Budget'!$A$18:$A$21,0)),1)))</f>
        <v/>
      </c>
      <c r="AR9" s="41">
        <f>IF(AQ9="","",AF9/AQ9)</f>
        <v/>
      </c>
      <c r="AS9" s="64" t="inlineStr">
        <is>
          <t>Pass 1 (applied): Leather L10 opened to all classes (Magus gets L10 armour). STR/STA plus a little MP/INT.</t>
        </is>
      </c>
      <c r="AT9" s="44">
        <f>IF(OR($E9="All",ISNUMBER(SEARCH("Warrior",$E9))),IF($C9="Caster weapon",(AN9+AF9*('Item Budget'!$AB$14-'Item Budget'!$B$11)),(AM9+AF9*('Item Budget'!$AB$14-'Item Budget'!$B$11))),0)</f>
        <v/>
      </c>
      <c r="AU9" s="44">
        <f>IF(OR($E9="All",ISNUMBER(SEARCH("Rogue",$E9))),IF($C9="Caster weapon",(AN9+AF9*('Item Budget'!$AB$15-'Item Budget'!$B$11)),(AM9+AF9*('Item Budget'!$AB$15-'Item Budget'!$B$11))),0)</f>
        <v/>
      </c>
      <c r="AV9" s="44">
        <f>IF(OR($E9="All",ISNUMBER(SEARCH("Magus",$E9))),(AN9+AF9*('Item Budget'!$AB$16-'Item Budget'!$B$11)),0)</f>
        <v/>
      </c>
      <c r="AW9" s="44">
        <f>IF(OR($E9="All",ISNUMBER(SEARCH("Priest",$E9))),(AN9+AF9*('Item Budget'!$AB$17-'Item Budget'!$B$11)),0)</f>
        <v/>
      </c>
      <c r="AX9" s="44">
        <f>IF(AND(OR($E9="All",ISNUMBER(SEARCH("Warrior",$E9))),AC9&gt;='Item Budget'!$R$10),'Item Budget'!$R$7*100*('Item Budget'!$R$14*(AD9+25*AH9)+'Item Budget'!$S$14*(AE9+25*AJ9))/'Item Budget'!$Z$14+'Item Budget'!$R$9*AF9+IFERROR(INDEX('Item Budget'!$O$25:$O$95,MATCH(AL9,'Item Budget'!$B$25:$B$95,0)),0),0)</f>
        <v/>
      </c>
      <c r="AY9" s="44">
        <f>IF(AND(OR($E9="All",ISNUMBER(SEARCH("Rogue",$E9))),AC9&gt;='Item Budget'!$R$10),'Item Budget'!$R$7*100*('Item Budget'!$R$15*(AD9+25*AH9)+'Item Budget'!$S$15*(AE9+25*AJ9))/'Item Budget'!$Z$15+'Item Budget'!$R$9*AF9+IFERROR(INDEX('Item Budget'!$O$25:$O$95,MATCH(AL9,'Item Budget'!$B$25:$B$95,0)),0),0)</f>
        <v/>
      </c>
      <c r="AZ9" s="44">
        <f>IF(AND(OR($E9="All",ISNUMBER(SEARCH("Magus",$E9))),AC9&gt;='Item Budget'!$R$10),'Item Budget'!$R$7*100*('Item Budget'!$R$16*(AD9+25*AH9)+'Item Budget'!$S$16*(AE9+25*AJ9))/'Item Budget'!$Z$16+'Item Budget'!$R$9*AF9+IFERROR(INDEX('Item Budget'!$O$25:$O$95,MATCH(AL9,'Item Budget'!$B$25:$B$95,0)),0),0)</f>
        <v/>
      </c>
      <c r="BA9" s="44">
        <f>IF(AND(OR($E9="All",ISNUMBER(SEARCH("Priest",$E9))),AC9&gt;='Item Budget'!$R$10),'Item Budget'!$R$7*100*('Item Budget'!$R$17*(AD9+25*AH9)+'Item Budget'!$S$17*(AE9+25*AJ9))/'Item Budget'!$Z$17+'Item Budget'!$R$9*AF9+IFERROR(INDEX('Item Budget'!$O$25:$O$95,MATCH(AL9,'Item Budget'!$B$25:$B$95,0)),0),0)</f>
        <v/>
      </c>
      <c r="BB9" s="52">
        <f>IF(OR($I9&lt;1,IF($I9&gt;=6,AX9,AT9)&lt;=0),"",IF(SUMPRODUCT(MAX(($C$5:$C$215=$C9)*($I$5:$I$215&gt;=1)*($I$5:$I$215&lt;$I9)*IF($I9&gt;=6,$AX$5:$AX$215,$AT$5:$AT$215)))&lt;=0,"",SUMPRODUCT(MAX(($C$5:$C$215=$C9)*($I$5:$I$215=$I9)*IF($I9&gt;=6,$AX$5:$AX$215,$AT$5:$AT$215)))/SUMPRODUCT(MAX(($C$5:$C$215=$C9)*($I$5:$I$215&gt;=1)*($I$5:$I$215&lt;$I9)*IF($I9&gt;=6,$AX$5:$AX$215,$AT$5:$AT$215)))-1))</f>
        <v/>
      </c>
      <c r="BC9" s="52">
        <f>IF(OR($I9&lt;1,IF($I9&gt;=6,AY9,AU9)&lt;=0),"",IF(SUMPRODUCT(MAX(($C$5:$C$215=$C9)*($I$5:$I$215&gt;=1)*($I$5:$I$215&lt;$I9)*IF($I9&gt;=6,$AY$5:$AY$215,$AU$5:$AU$215)))&lt;=0,"",SUMPRODUCT(MAX(($C$5:$C$215=$C9)*($I$5:$I$215=$I9)*IF($I9&gt;=6,$AY$5:$AY$215,$AU$5:$AU$215)))/SUMPRODUCT(MAX(($C$5:$C$215=$C9)*($I$5:$I$215&gt;=1)*($I$5:$I$215&lt;$I9)*IF($I9&gt;=6,$AY$5:$AY$215,$AU$5:$AU$215)))-1))</f>
        <v/>
      </c>
      <c r="BD9" s="52">
        <f>IF(OR($I9&lt;1,IF($I9&gt;=6,AZ9,AV9)&lt;=0),"",IF(SUMPRODUCT(MAX(($C$5:$C$215=$C9)*($I$5:$I$215&gt;=1)*($I$5:$I$215&lt;$I9)*IF($I9&gt;=6,$AZ$5:$AZ$215,$AV$5:$AV$215)))&lt;=0,"",SUMPRODUCT(MAX(($C$5:$C$215=$C9)*($I$5:$I$215=$I9)*IF($I9&gt;=6,$AZ$5:$AZ$215,$AV$5:$AV$215)))/SUMPRODUCT(MAX(($C$5:$C$215=$C9)*($I$5:$I$215&gt;=1)*($I$5:$I$215&lt;$I9)*IF($I9&gt;=6,$AZ$5:$AZ$215,$AV$5:$AV$215)))-1))</f>
        <v/>
      </c>
      <c r="BE9" s="52">
        <f>IF(OR($I9&lt;1,IF($I9&gt;=6,BA9,AW9)&lt;=0),"",IF(SUMPRODUCT(MAX(($C$5:$C$215=$C9)*($I$5:$I$215&gt;=1)*($I$5:$I$215&lt;$I9)*IF($I9&gt;=6,$BA$5:$BA$215,$AW$5:$AW$215)))&lt;=0,"",SUMPRODUCT(MAX(($C$5:$C$215=$C9)*($I$5:$I$215=$I9)*IF($I9&gt;=6,$BA$5:$BA$215,$AW$5:$AW$215)))/SUMPRODUCT(MAX(($C$5:$C$215=$C9)*($I$5:$I$215&gt;=1)*($I$5:$I$215&lt;$I9)*IF($I9&gt;=6,$BA$5:$BA$215,$AW$5:$AW$215)))-1))</f>
        <v/>
      </c>
      <c r="BF9" s="19">
        <f>IF(AND(BB9="",BC9="",BD9="",BE9=""),"",IF(IF(AND(ISNUMBER(BB9),BB9&lt;'Item Budget'!$R$11),"W ","")&amp;IF(AND(ISNUMBER(BC9),BC9&lt;'Item Budget'!$R$11),"R ","")&amp;IF(AND(ISNUMBER(BD9),BD9&lt;'Item Budget'!$R$11),"M ","")&amp;IF(AND(ISNUMBER(BE9),BE9&lt;'Item Budget'!$R$11),"P ","")="","OK","Not above lower step: "&amp;IF(AND(ISNUMBER(BB9),BB9&lt;'Item Budget'!$R$11),"W ","")&amp;IF(AND(ISNUMBER(BC9),BC9&lt;'Item Budget'!$R$11),"R ","")&amp;IF(AND(ISNUMBER(BD9),BD9&lt;'Item Budget'!$R$11),"M ","")&amp;IF(AND(ISNUMBER(BE9),BE9&lt;'Item Budget'!$R$11),"P ","")))</f>
        <v/>
      </c>
    </row>
    <row r="10">
      <c r="A10" s="21" t="n">
        <v>48</v>
      </c>
      <c r="B10" s="21" t="inlineStr">
        <is>
          <t>Blizzard Robes</t>
        </is>
      </c>
      <c r="C10" s="21" t="inlineStr">
        <is>
          <t>Chest</t>
        </is>
      </c>
      <c r="D10" s="21" t="inlineStr">
        <is>
          <t>Magus/Priest</t>
        </is>
      </c>
      <c r="E10" s="21" t="inlineStr">
        <is>
          <t>Magus/Priest</t>
        </is>
      </c>
      <c r="F10" s="21" t="inlineStr">
        <is>
          <t>Caster cloth</t>
        </is>
      </c>
      <c r="G10" s="21" t="inlineStr">
        <is>
          <t>drop: Leafeater 4%</t>
        </is>
      </c>
      <c r="H10" s="37" t="n">
        <v>0</v>
      </c>
      <c r="I10" s="21" t="n">
        <v>0</v>
      </c>
      <c r="J10" s="3" t="inlineStr">
        <is>
          <t>Applied</t>
        </is>
      </c>
      <c r="K10" s="21" t="inlineStr">
        <is>
          <t>Rare boss drop</t>
        </is>
      </c>
      <c r="L10" s="31">
        <f>INDEX('Item Budget'!$F$5:$F$13,MATCH(K10,'Item Budget'!$E$5:$E$13,0))+IF(E10="All",0,'Item Budget'!$F$15)+LOOKUP(H10,'Item Budget'!$E$19:$E$23,'Item Budget'!$F$19:$F$23)</f>
        <v/>
      </c>
      <c r="M10" s="21" t="n">
        <v>12</v>
      </c>
      <c r="N10" s="21" t="n">
        <v>50</v>
      </c>
      <c r="O10" s="21" t="n">
        <v>100</v>
      </c>
      <c r="P10" s="21" t="n">
        <v>30</v>
      </c>
      <c r="Q10" s="21" t="n">
        <v>0</v>
      </c>
      <c r="R10" s="21" t="n">
        <v>4</v>
      </c>
      <c r="S10" s="21" t="n">
        <v>0</v>
      </c>
      <c r="T10" s="21" t="n">
        <v>6</v>
      </c>
      <c r="U10" s="21" t="n">
        <v>0</v>
      </c>
      <c r="V10" s="21" t="inlineStr">
        <is>
          <t>(none)</t>
        </is>
      </c>
      <c r="W10" s="61">
        <f>N10*'Item Budget'!$B$5+R10*'Item Budget'!$B$7+P10*'Item Budget'!$B$11+S10*'Item Budget'!$B$10+Q10*'Item Budget'!$B$9+IFERROR(INDEX('Item Budget'!$M$25:$M$95,MATCH(V10,'Item Budget'!$B$25:$B$95,0)),0)+IF($C10="Weapon",U10*'Item Budget'!$B$9,0)</f>
        <v/>
      </c>
      <c r="X10" s="61">
        <f>N10*'Item Budget'!$B$5+R10*'Item Budget'!$B$7+P10*'Item Budget'!$B$11+S10*'Item Budget'!$B$10+O10*'Item Budget'!$B$6+T10*'Item Budget'!$B$8+IFERROR(INDEX('Item Budget'!$N$25:$N$95,MATCH(V10,'Item Budget'!$B$25:$B$95,0)),0)</f>
        <v/>
      </c>
      <c r="Y10" s="61">
        <f>MAX('Item Budget'!$F$16,INDEX('Gear Budget'!$C$8:$C$14,MATCH($C10,'Gear Budget'!$A$8:$A$14,0))*MIN(M10,50))*$L10</f>
        <v/>
      </c>
      <c r="Z10" s="41">
        <f>IF($C10="Caster weapon",X10,MAX(W10,X10))/Y10</f>
        <v/>
      </c>
      <c r="AA10" s="61">
        <f>IF(OR($C10="Weapon",$C10="Caster weapon"),"",'Gear Budget'!$B$5*MAX(1,MIN(M10,50))*INDEX('Gear Budget'!$B$8:$B$14,MATCH($C10,'Gear Budget'!$A$8:$A$14,0))*IF($C10="Shield",IF(D10="Warrior",1,IF(OR(D10="Rogue",D10="All"),0.38/0.6,0.25/0.6)),IFERROR(INDEX('Gear Budget'!$B$18:$B$21,MATCH($F10,'Gear Budget'!$A$18:$A$21,0)),1)))</f>
        <v/>
      </c>
      <c r="AB10" s="41">
        <f>IF(AA10="","",P10/AA10)</f>
        <v/>
      </c>
      <c r="AC10" s="21" t="n">
        <v>12</v>
      </c>
      <c r="AD10" s="21" t="n">
        <v>50</v>
      </c>
      <c r="AE10" s="21" t="n">
        <v>100</v>
      </c>
      <c r="AF10" s="21" t="n">
        <v>30</v>
      </c>
      <c r="AG10" s="21" t="n">
        <v>0</v>
      </c>
      <c r="AH10" s="21" t="n">
        <v>4</v>
      </c>
      <c r="AI10" s="21" t="n">
        <v>0</v>
      </c>
      <c r="AJ10" s="21" t="n">
        <v>6</v>
      </c>
      <c r="AK10" s="21" t="n">
        <v>0</v>
      </c>
      <c r="AL10" s="21" t="inlineStr">
        <is>
          <t>(none)</t>
        </is>
      </c>
      <c r="AM10" s="61">
        <f>AD10*'Item Budget'!$B$5+AH10*'Item Budget'!$B$7+AF10*'Item Budget'!$B$11+AI10*'Item Budget'!$B$10+AG10*'Item Budget'!$B$9+IFERROR(INDEX('Item Budget'!$M$25:$M$95,MATCH(AL10,'Item Budget'!$B$25:$B$95,0)),0)+IF($C10="Weapon",AK10*'Item Budget'!$B$9,0)</f>
        <v/>
      </c>
      <c r="AN10" s="61">
        <f>AD10*'Item Budget'!$B$5+AH10*'Item Budget'!$B$7+AF10*'Item Budget'!$B$11+AI10*'Item Budget'!$B$10+AE10*'Item Budget'!$B$6+AJ10*'Item Budget'!$B$8+IFERROR(INDEX('Item Budget'!$N$25:$N$95,MATCH(AL10,'Item Budget'!$B$25:$B$95,0)),0)</f>
        <v/>
      </c>
      <c r="AO10" s="61">
        <f>MAX('Item Budget'!$F$16,INDEX('Gear Budget'!$C$8:$C$14,MATCH($C10,'Gear Budget'!$A$8:$A$14,0))*MIN(AC10,50))*$L10</f>
        <v/>
      </c>
      <c r="AP10" s="41">
        <f>IF($C10="Caster weapon",AN10,MAX(AM10,AN10))/AO10</f>
        <v/>
      </c>
      <c r="AQ10" s="61">
        <f>IF(OR($C10="Weapon",$C10="Caster weapon"),"",'Gear Budget'!$B$5*MAX(1,MIN(AC10,50))*INDEX('Gear Budget'!$B$8:$B$14,MATCH($C10,'Gear Budget'!$A$8:$A$14,0))*IF($C10="Shield",IF(E10="Warrior",1,IF(OR(E10="Rogue",E10="All"),0.38/0.6,0.25/0.6)),IFERROR(INDEX('Gear Budget'!$B$18:$B$21,MATCH($F10,'Gear Budget'!$A$18:$A$21,0)),1)))</f>
        <v/>
      </c>
      <c r="AR10" s="41">
        <f>IF(AQ10="","",AF10/AQ10)</f>
        <v/>
      </c>
      <c r="AS10" s="64" t="inlineStr">
        <is>
          <t>Pass 1 (applied): Leafeater boss drop (1 h respawn, 4%). Was barely above the Leather Tunic for casters; now about the Silk Tunic (L20), so it carries a caster from L12 to L20.</t>
        </is>
      </c>
      <c r="AT10" s="44">
        <f>IF(OR($E10="All",ISNUMBER(SEARCH("Warrior",$E10))),IF($C10="Caster weapon",(AN10+AF10*('Item Budget'!$AB$14-'Item Budget'!$B$11)),(AM10+AF10*('Item Budget'!$AB$14-'Item Budget'!$B$11))),0)</f>
        <v/>
      </c>
      <c r="AU10" s="44">
        <f>IF(OR($E10="All",ISNUMBER(SEARCH("Rogue",$E10))),IF($C10="Caster weapon",(AN10+AF10*('Item Budget'!$AB$15-'Item Budget'!$B$11)),(AM10+AF10*('Item Budget'!$AB$15-'Item Budget'!$B$11))),0)</f>
        <v/>
      </c>
      <c r="AV10" s="44">
        <f>IF(OR($E10="All",ISNUMBER(SEARCH("Magus",$E10))),(AN10+AF10*('Item Budget'!$AB$16-'Item Budget'!$B$11)),0)</f>
        <v/>
      </c>
      <c r="AW10" s="44">
        <f>IF(OR($E10="All",ISNUMBER(SEARCH("Priest",$E10))),(AN10+AF10*('Item Budget'!$AB$17-'Item Budget'!$B$11)),0)</f>
        <v/>
      </c>
      <c r="AX10" s="44">
        <f>IF(AND(OR($E10="All",ISNUMBER(SEARCH("Warrior",$E10))),AC10&gt;='Item Budget'!$R$10),'Item Budget'!$R$7*100*('Item Budget'!$R$14*(AD10+25*AH10)+'Item Budget'!$S$14*(AE10+25*AJ10))/'Item Budget'!$Z$14+'Item Budget'!$R$9*AF10+IFERROR(INDEX('Item Budget'!$O$25:$O$95,MATCH(AL10,'Item Budget'!$B$25:$B$95,0)),0),0)</f>
        <v/>
      </c>
      <c r="AY10" s="44">
        <f>IF(AND(OR($E10="All",ISNUMBER(SEARCH("Rogue",$E10))),AC10&gt;='Item Budget'!$R$10),'Item Budget'!$R$7*100*('Item Budget'!$R$15*(AD10+25*AH10)+'Item Budget'!$S$15*(AE10+25*AJ10))/'Item Budget'!$Z$15+'Item Budget'!$R$9*AF10+IFERROR(INDEX('Item Budget'!$O$25:$O$95,MATCH(AL10,'Item Budget'!$B$25:$B$95,0)),0),0)</f>
        <v/>
      </c>
      <c r="AZ10" s="44">
        <f>IF(AND(OR($E10="All",ISNUMBER(SEARCH("Magus",$E10))),AC10&gt;='Item Budget'!$R$10),'Item Budget'!$R$7*100*('Item Budget'!$R$16*(AD10+25*AH10)+'Item Budget'!$S$16*(AE10+25*AJ10))/'Item Budget'!$Z$16+'Item Budget'!$R$9*AF10+IFERROR(INDEX('Item Budget'!$O$25:$O$95,MATCH(AL10,'Item Budget'!$B$25:$B$95,0)),0),0)</f>
        <v/>
      </c>
      <c r="BA10" s="44">
        <f>IF(AND(OR($E10="All",ISNUMBER(SEARCH("Priest",$E10))),AC10&gt;='Item Budget'!$R$10),'Item Budget'!$R$7*100*('Item Budget'!$R$17*(AD10+25*AH10)+'Item Budget'!$S$17*(AE10+25*AJ10))/'Item Budget'!$Z$17+'Item Budget'!$R$9*AF10+IFERROR(INDEX('Item Budget'!$O$25:$O$95,MATCH(AL10,'Item Budget'!$B$25:$B$95,0)),0),0)</f>
        <v/>
      </c>
      <c r="BB10" s="52">
        <f>IF(OR($I10&lt;1,IF($I10&gt;=6,AX10,AT10)&lt;=0),"",IF(SUMPRODUCT(MAX(($C$5:$C$215=$C10)*($I$5:$I$215&gt;=1)*($I$5:$I$215&lt;$I10)*IF($I10&gt;=6,$AX$5:$AX$215,$AT$5:$AT$215)))&lt;=0,"",SUMPRODUCT(MAX(($C$5:$C$215=$C10)*($I$5:$I$215=$I10)*IF($I10&gt;=6,$AX$5:$AX$215,$AT$5:$AT$215)))/SUMPRODUCT(MAX(($C$5:$C$215=$C10)*($I$5:$I$215&gt;=1)*($I$5:$I$215&lt;$I10)*IF($I10&gt;=6,$AX$5:$AX$215,$AT$5:$AT$215)))-1))</f>
        <v/>
      </c>
      <c r="BC10" s="52">
        <f>IF(OR($I10&lt;1,IF($I10&gt;=6,AY10,AU10)&lt;=0),"",IF(SUMPRODUCT(MAX(($C$5:$C$215=$C10)*($I$5:$I$215&gt;=1)*($I$5:$I$215&lt;$I10)*IF($I10&gt;=6,$AY$5:$AY$215,$AU$5:$AU$215)))&lt;=0,"",SUMPRODUCT(MAX(($C$5:$C$215=$C10)*($I$5:$I$215=$I10)*IF($I10&gt;=6,$AY$5:$AY$215,$AU$5:$AU$215)))/SUMPRODUCT(MAX(($C$5:$C$215=$C10)*($I$5:$I$215&gt;=1)*($I$5:$I$215&lt;$I10)*IF($I10&gt;=6,$AY$5:$AY$215,$AU$5:$AU$215)))-1))</f>
        <v/>
      </c>
      <c r="BD10" s="52">
        <f>IF(OR($I10&lt;1,IF($I10&gt;=6,AZ10,AV10)&lt;=0),"",IF(SUMPRODUCT(MAX(($C$5:$C$215=$C10)*($I$5:$I$215&gt;=1)*($I$5:$I$215&lt;$I10)*IF($I10&gt;=6,$AZ$5:$AZ$215,$AV$5:$AV$215)))&lt;=0,"",SUMPRODUCT(MAX(($C$5:$C$215=$C10)*($I$5:$I$215=$I10)*IF($I10&gt;=6,$AZ$5:$AZ$215,$AV$5:$AV$215)))/SUMPRODUCT(MAX(($C$5:$C$215=$C10)*($I$5:$I$215&gt;=1)*($I$5:$I$215&lt;$I10)*IF($I10&gt;=6,$AZ$5:$AZ$215,$AV$5:$AV$215)))-1))</f>
        <v/>
      </c>
      <c r="BE10" s="52">
        <f>IF(OR($I10&lt;1,IF($I10&gt;=6,BA10,AW10)&lt;=0),"",IF(SUMPRODUCT(MAX(($C$5:$C$215=$C10)*($I$5:$I$215&gt;=1)*($I$5:$I$215&lt;$I10)*IF($I10&gt;=6,$BA$5:$BA$215,$AW$5:$AW$215)))&lt;=0,"",SUMPRODUCT(MAX(($C$5:$C$215=$C10)*($I$5:$I$215=$I10)*IF($I10&gt;=6,$BA$5:$BA$215,$AW$5:$AW$215)))/SUMPRODUCT(MAX(($C$5:$C$215=$C10)*($I$5:$I$215&gt;=1)*($I$5:$I$215&lt;$I10)*IF($I10&gt;=6,$BA$5:$BA$215,$AW$5:$AW$215)))-1))</f>
        <v/>
      </c>
      <c r="BF10" s="19">
        <f>IF(AND(BB10="",BC10="",BD10="",BE10=""),"",IF(IF(AND(ISNUMBER(BB10),BB10&lt;'Item Budget'!$R$11),"W ","")&amp;IF(AND(ISNUMBER(BC10),BC10&lt;'Item Budget'!$R$11),"R ","")&amp;IF(AND(ISNUMBER(BD10),BD10&lt;'Item Budget'!$R$11),"M ","")&amp;IF(AND(ISNUMBER(BE10),BE10&lt;'Item Budget'!$R$11),"P ","")="","OK","Not above lower step: "&amp;IF(AND(ISNUMBER(BB10),BB10&lt;'Item Budget'!$R$11),"W ","")&amp;IF(AND(ISNUMBER(BC10),BC10&lt;'Item Budget'!$R$11),"R ","")&amp;IF(AND(ISNUMBER(BD10),BD10&lt;'Item Budget'!$R$11),"M ","")&amp;IF(AND(ISNUMBER(BE10),BE10&lt;'Item Budget'!$R$11),"P ","")))</f>
        <v/>
      </c>
    </row>
    <row r="11">
      <c r="A11" s="21" t="n">
        <v>148</v>
      </c>
      <c r="B11" s="21" t="inlineStr">
        <is>
          <t>Bronze Chestplate</t>
        </is>
      </c>
      <c r="C11" s="21" t="inlineStr">
        <is>
          <t>Chest</t>
        </is>
      </c>
      <c r="D11" s="21" t="inlineStr">
        <is>
          <t>Rogue/Warrior</t>
        </is>
      </c>
      <c r="E11" s="21" t="inlineStr">
        <is>
          <t>Rogue/Warrior</t>
        </is>
      </c>
      <c r="F11" s="21" t="inlineStr">
        <is>
          <t>Warrior plate</t>
        </is>
      </c>
      <c r="G11" s="21" t="inlineStr">
        <is>
          <t>vendor: Bronze Armor Guy</t>
        </is>
      </c>
      <c r="H11" s="37" t="n">
        <v>0</v>
      </c>
      <c r="I11" s="21" t="n">
        <v>0</v>
      </c>
      <c r="J11" s="3" t="inlineStr">
        <is>
          <t>Applied</t>
        </is>
      </c>
      <c r="K11" s="21" t="inlineStr">
        <is>
          <t>Vendor</t>
        </is>
      </c>
      <c r="L11" s="31">
        <f>INDEX('Item Budget'!$F$5:$F$13,MATCH(K11,'Item Budget'!$E$5:$E$13,0))+IF(E11="All",0,'Item Budget'!$F$15)+LOOKUP(H11,'Item Budget'!$E$19:$E$23,'Item Budget'!$F$19:$F$23)</f>
        <v/>
      </c>
      <c r="M11" s="21" t="n">
        <v>20</v>
      </c>
      <c r="N11" s="21" t="n">
        <v>50</v>
      </c>
      <c r="O11" s="21" t="n">
        <v>0</v>
      </c>
      <c r="P11" s="21" t="n">
        <v>36</v>
      </c>
      <c r="Q11" s="21" t="n">
        <v>4</v>
      </c>
      <c r="R11" s="21" t="n">
        <v>5</v>
      </c>
      <c r="S11" s="21" t="n">
        <v>0</v>
      </c>
      <c r="T11" s="21" t="n">
        <v>0</v>
      </c>
      <c r="U11" s="21" t="n">
        <v>0</v>
      </c>
      <c r="V11" s="21" t="inlineStr">
        <is>
          <t>(none)</t>
        </is>
      </c>
      <c r="W11" s="61">
        <f>N11*'Item Budget'!$B$5+R11*'Item Budget'!$B$7+P11*'Item Budget'!$B$11+S11*'Item Budget'!$B$10+Q11*'Item Budget'!$B$9+IFERROR(INDEX('Item Budget'!$M$25:$M$95,MATCH(V11,'Item Budget'!$B$25:$B$95,0)),0)+IF($C11="Weapon",U11*'Item Budget'!$B$9,0)</f>
        <v/>
      </c>
      <c r="X11" s="61">
        <f>N11*'Item Budget'!$B$5+R11*'Item Budget'!$B$7+P11*'Item Budget'!$B$11+S11*'Item Budget'!$B$10+O11*'Item Budget'!$B$6+T11*'Item Budget'!$B$8+IFERROR(INDEX('Item Budget'!$N$25:$N$95,MATCH(V11,'Item Budget'!$B$25:$B$95,0)),0)</f>
        <v/>
      </c>
      <c r="Y11" s="61">
        <f>MAX('Item Budget'!$F$16,INDEX('Gear Budget'!$C$8:$C$14,MATCH($C11,'Gear Budget'!$A$8:$A$14,0))*MIN(M11,50))*$L11</f>
        <v/>
      </c>
      <c r="Z11" s="41">
        <f>IF($C11="Caster weapon",X11,MAX(W11,X11))/Y11</f>
        <v/>
      </c>
      <c r="AA11" s="61">
        <f>IF(OR($C11="Weapon",$C11="Caster weapon"),"",'Gear Budget'!$B$5*MAX(1,MIN(M11,50))*INDEX('Gear Budget'!$B$8:$B$14,MATCH($C11,'Gear Budget'!$A$8:$A$14,0))*IF($C11="Shield",IF(D11="Warrior",1,IF(OR(D11="Rogue",D11="All"),0.38/0.6,0.25/0.6)),IFERROR(INDEX('Gear Budget'!$B$18:$B$21,MATCH($F11,'Gear Budget'!$A$18:$A$21,0)),1)))</f>
        <v/>
      </c>
      <c r="AB11" s="41">
        <f>IF(AA11="","",P11/AA11)</f>
        <v/>
      </c>
      <c r="AC11" s="21" t="n">
        <v>20</v>
      </c>
      <c r="AD11" s="21" t="n">
        <v>50</v>
      </c>
      <c r="AE11" s="21" t="n">
        <v>0</v>
      </c>
      <c r="AF11" s="21" t="n">
        <v>36</v>
      </c>
      <c r="AG11" s="21" t="n">
        <v>4</v>
      </c>
      <c r="AH11" s="21" t="n">
        <v>5</v>
      </c>
      <c r="AI11" s="21" t="n">
        <v>0</v>
      </c>
      <c r="AJ11" s="21" t="n">
        <v>0</v>
      </c>
      <c r="AK11" s="21" t="n">
        <v>0</v>
      </c>
      <c r="AL11" s="21" t="inlineStr">
        <is>
          <t>(none)</t>
        </is>
      </c>
      <c r="AM11" s="61">
        <f>AD11*'Item Budget'!$B$5+AH11*'Item Budget'!$B$7+AF11*'Item Budget'!$B$11+AI11*'Item Budget'!$B$10+AG11*'Item Budget'!$B$9+IFERROR(INDEX('Item Budget'!$M$25:$M$95,MATCH(AL11,'Item Budget'!$B$25:$B$95,0)),0)+IF($C11="Weapon",AK11*'Item Budget'!$B$9,0)</f>
        <v/>
      </c>
      <c r="AN11" s="61">
        <f>AD11*'Item Budget'!$B$5+AH11*'Item Budget'!$B$7+AF11*'Item Budget'!$B$11+AI11*'Item Budget'!$B$10+AE11*'Item Budget'!$B$6+AJ11*'Item Budget'!$B$8+IFERROR(INDEX('Item Budget'!$N$25:$N$95,MATCH(AL11,'Item Budget'!$B$25:$B$95,0)),0)</f>
        <v/>
      </c>
      <c r="AO11" s="61">
        <f>MAX('Item Budget'!$F$16,INDEX('Gear Budget'!$C$8:$C$14,MATCH($C11,'Gear Budget'!$A$8:$A$14,0))*MIN(AC11,50))*$L11</f>
        <v/>
      </c>
      <c r="AP11" s="41">
        <f>IF($C11="Caster weapon",AN11,MAX(AM11,AN11))/AO11</f>
        <v/>
      </c>
      <c r="AQ11" s="61">
        <f>IF(OR($C11="Weapon",$C11="Caster weapon"),"",'Gear Budget'!$B$5*MAX(1,MIN(AC11,50))*INDEX('Gear Budget'!$B$8:$B$14,MATCH($C11,'Gear Budget'!$A$8:$A$14,0))*IF($C11="Shield",IF(E11="Warrior",1,IF(OR(E11="Rogue",E11="All"),0.38/0.6,0.25/0.6)),IFERROR(INDEX('Gear Budget'!$B$18:$B$21,MATCH($F11,'Gear Budget'!$A$18:$A$21,0)),1)))</f>
        <v/>
      </c>
      <c r="AR11" s="41">
        <f>IF(AQ11="","",AF11/AQ11)</f>
        <v/>
      </c>
      <c r="AS11" s="64" t="inlineStr">
        <is>
          <t>Pass 1 (applied): Moved to L20 (10/20/30 vendor ladder). On the AC curve plus STR/STA.</t>
        </is>
      </c>
      <c r="AT11" s="44">
        <f>IF(OR($E11="All",ISNUMBER(SEARCH("Warrior",$E11))),IF($C11="Caster weapon",(AN11+AF11*('Item Budget'!$AB$14-'Item Budget'!$B$11)),(AM11+AF11*('Item Budget'!$AB$14-'Item Budget'!$B$11))),0)</f>
        <v/>
      </c>
      <c r="AU11" s="44">
        <f>IF(OR($E11="All",ISNUMBER(SEARCH("Rogue",$E11))),IF($C11="Caster weapon",(AN11+AF11*('Item Budget'!$AB$15-'Item Budget'!$B$11)),(AM11+AF11*('Item Budget'!$AB$15-'Item Budget'!$B$11))),0)</f>
        <v/>
      </c>
      <c r="AV11" s="44">
        <f>IF(OR($E11="All",ISNUMBER(SEARCH("Magus",$E11))),(AN11+AF11*('Item Budget'!$AB$16-'Item Budget'!$B$11)),0)</f>
        <v/>
      </c>
      <c r="AW11" s="44">
        <f>IF(OR($E11="All",ISNUMBER(SEARCH("Priest",$E11))),(AN11+AF11*('Item Budget'!$AB$17-'Item Budget'!$B$11)),0)</f>
        <v/>
      </c>
      <c r="AX11" s="44">
        <f>IF(AND(OR($E11="All",ISNUMBER(SEARCH("Warrior",$E11))),AC11&gt;='Item Budget'!$R$10),'Item Budget'!$R$7*100*('Item Budget'!$R$14*(AD11+25*AH11)+'Item Budget'!$S$14*(AE11+25*AJ11))/'Item Budget'!$Z$14+'Item Budget'!$R$9*AF11+IFERROR(INDEX('Item Budget'!$O$25:$O$95,MATCH(AL11,'Item Budget'!$B$25:$B$95,0)),0),0)</f>
        <v/>
      </c>
      <c r="AY11" s="44">
        <f>IF(AND(OR($E11="All",ISNUMBER(SEARCH("Rogue",$E11))),AC11&gt;='Item Budget'!$R$10),'Item Budget'!$R$7*100*('Item Budget'!$R$15*(AD11+25*AH11)+'Item Budget'!$S$15*(AE11+25*AJ11))/'Item Budget'!$Z$15+'Item Budget'!$R$9*AF11+IFERROR(INDEX('Item Budget'!$O$25:$O$95,MATCH(AL11,'Item Budget'!$B$25:$B$95,0)),0),0)</f>
        <v/>
      </c>
      <c r="AZ11" s="44">
        <f>IF(AND(OR($E11="All",ISNUMBER(SEARCH("Magus",$E11))),AC11&gt;='Item Budget'!$R$10),'Item Budget'!$R$7*100*('Item Budget'!$R$16*(AD11+25*AH11)+'Item Budget'!$S$16*(AE11+25*AJ11))/'Item Budget'!$Z$16+'Item Budget'!$R$9*AF11+IFERROR(INDEX('Item Budget'!$O$25:$O$95,MATCH(AL11,'Item Budget'!$B$25:$B$95,0)),0),0)</f>
        <v/>
      </c>
      <c r="BA11" s="44">
        <f>IF(AND(OR($E11="All",ISNUMBER(SEARCH("Priest",$E11))),AC11&gt;='Item Budget'!$R$10),'Item Budget'!$R$7*100*('Item Budget'!$R$17*(AD11+25*AH11)+'Item Budget'!$S$17*(AE11+25*AJ11))/'Item Budget'!$Z$17+'Item Budget'!$R$9*AF11+IFERROR(INDEX('Item Budget'!$O$25:$O$95,MATCH(AL11,'Item Budget'!$B$25:$B$95,0)),0),0)</f>
        <v/>
      </c>
      <c r="BB11" s="52">
        <f>IF(OR($I11&lt;1,IF($I11&gt;=6,AX11,AT11)&lt;=0),"",IF(SUMPRODUCT(MAX(($C$5:$C$215=$C11)*($I$5:$I$215&gt;=1)*($I$5:$I$215&lt;$I11)*IF($I11&gt;=6,$AX$5:$AX$215,$AT$5:$AT$215)))&lt;=0,"",SUMPRODUCT(MAX(($C$5:$C$215=$C11)*($I$5:$I$215=$I11)*IF($I11&gt;=6,$AX$5:$AX$215,$AT$5:$AT$215)))/SUMPRODUCT(MAX(($C$5:$C$215=$C11)*($I$5:$I$215&gt;=1)*($I$5:$I$215&lt;$I11)*IF($I11&gt;=6,$AX$5:$AX$215,$AT$5:$AT$215)))-1))</f>
        <v/>
      </c>
      <c r="BC11" s="52">
        <f>IF(OR($I11&lt;1,IF($I11&gt;=6,AY11,AU11)&lt;=0),"",IF(SUMPRODUCT(MAX(($C$5:$C$215=$C11)*($I$5:$I$215&gt;=1)*($I$5:$I$215&lt;$I11)*IF($I11&gt;=6,$AY$5:$AY$215,$AU$5:$AU$215)))&lt;=0,"",SUMPRODUCT(MAX(($C$5:$C$215=$C11)*($I$5:$I$215=$I11)*IF($I11&gt;=6,$AY$5:$AY$215,$AU$5:$AU$215)))/SUMPRODUCT(MAX(($C$5:$C$215=$C11)*($I$5:$I$215&gt;=1)*($I$5:$I$215&lt;$I11)*IF($I11&gt;=6,$AY$5:$AY$215,$AU$5:$AU$215)))-1))</f>
        <v/>
      </c>
      <c r="BD11" s="52">
        <f>IF(OR($I11&lt;1,IF($I11&gt;=6,AZ11,AV11)&lt;=0),"",IF(SUMPRODUCT(MAX(($C$5:$C$215=$C11)*($I$5:$I$215&gt;=1)*($I$5:$I$215&lt;$I11)*IF($I11&gt;=6,$AZ$5:$AZ$215,$AV$5:$AV$215)))&lt;=0,"",SUMPRODUCT(MAX(($C$5:$C$215=$C11)*($I$5:$I$215=$I11)*IF($I11&gt;=6,$AZ$5:$AZ$215,$AV$5:$AV$215)))/SUMPRODUCT(MAX(($C$5:$C$215=$C11)*($I$5:$I$215&gt;=1)*($I$5:$I$215&lt;$I11)*IF($I11&gt;=6,$AZ$5:$AZ$215,$AV$5:$AV$215)))-1))</f>
        <v/>
      </c>
      <c r="BE11" s="52">
        <f>IF(OR($I11&lt;1,IF($I11&gt;=6,BA11,AW11)&lt;=0),"",IF(SUMPRODUCT(MAX(($C$5:$C$215=$C11)*($I$5:$I$215&gt;=1)*($I$5:$I$215&lt;$I11)*IF($I11&gt;=6,$BA$5:$BA$215,$AW$5:$AW$215)))&lt;=0,"",SUMPRODUCT(MAX(($C$5:$C$215=$C11)*($I$5:$I$215=$I11)*IF($I11&gt;=6,$BA$5:$BA$215,$AW$5:$AW$215)))/SUMPRODUCT(MAX(($C$5:$C$215=$C11)*($I$5:$I$215&gt;=1)*($I$5:$I$215&lt;$I11)*IF($I11&gt;=6,$BA$5:$BA$215,$AW$5:$AW$215)))-1))</f>
        <v/>
      </c>
      <c r="BF11" s="19">
        <f>IF(AND(BB11="",BC11="",BD11="",BE11=""),"",IF(IF(AND(ISNUMBER(BB11),BB11&lt;'Item Budget'!$R$11),"W ","")&amp;IF(AND(ISNUMBER(BC11),BC11&lt;'Item Budget'!$R$11),"R ","")&amp;IF(AND(ISNUMBER(BD11),BD11&lt;'Item Budget'!$R$11),"M ","")&amp;IF(AND(ISNUMBER(BE11),BE11&lt;'Item Budget'!$R$11),"P ","")="","OK","Not above lower step: "&amp;IF(AND(ISNUMBER(BB11),BB11&lt;'Item Budget'!$R$11),"W ","")&amp;IF(AND(ISNUMBER(BC11),BC11&lt;'Item Budget'!$R$11),"R ","")&amp;IF(AND(ISNUMBER(BD11),BD11&lt;'Item Budget'!$R$11),"M ","")&amp;IF(AND(ISNUMBER(BE11),BE11&lt;'Item Budget'!$R$11),"P ","")))</f>
        <v/>
      </c>
    </row>
    <row r="12">
      <c r="A12" s="21" t="n">
        <v>158</v>
      </c>
      <c r="B12" s="21" t="inlineStr">
        <is>
          <t>Silk Tunic</t>
        </is>
      </c>
      <c r="C12" s="21" t="inlineStr">
        <is>
          <t>Chest</t>
        </is>
      </c>
      <c r="D12" s="21" t="inlineStr">
        <is>
          <t>Magus/Priest</t>
        </is>
      </c>
      <c r="E12" s="21" t="inlineStr">
        <is>
          <t>Magus/Priest</t>
        </is>
      </c>
      <c r="F12" s="21" t="inlineStr">
        <is>
          <t>Caster cloth</t>
        </is>
      </c>
      <c r="G12" s="21" t="inlineStr">
        <is>
          <t>vendor: Silk Armor Guy</t>
        </is>
      </c>
      <c r="H12" s="37" t="n">
        <v>0</v>
      </c>
      <c r="I12" s="21" t="n">
        <v>0</v>
      </c>
      <c r="J12" s="3" t="inlineStr">
        <is>
          <t>Applied</t>
        </is>
      </c>
      <c r="K12" s="21" t="inlineStr">
        <is>
          <t>Vendor</t>
        </is>
      </c>
      <c r="L12" s="31">
        <f>INDEX('Item Budget'!$F$5:$F$13,MATCH(K12,'Item Budget'!$E$5:$E$13,0))+IF(E12="All",0,'Item Budget'!$F$15)+LOOKUP(H12,'Item Budget'!$E$19:$E$23,'Item Budget'!$F$19:$F$23)</f>
        <v/>
      </c>
      <c r="M12" s="21" t="n">
        <v>20</v>
      </c>
      <c r="N12" s="21" t="n">
        <v>50</v>
      </c>
      <c r="O12" s="21" t="n">
        <v>100</v>
      </c>
      <c r="P12" s="21" t="n">
        <v>20</v>
      </c>
      <c r="Q12" s="21" t="n">
        <v>0</v>
      </c>
      <c r="R12" s="21" t="n">
        <v>4</v>
      </c>
      <c r="S12" s="21" t="n">
        <v>0</v>
      </c>
      <c r="T12" s="21" t="n">
        <v>10</v>
      </c>
      <c r="U12" s="21" t="n">
        <v>0</v>
      </c>
      <c r="V12" s="21" t="inlineStr">
        <is>
          <t>(none)</t>
        </is>
      </c>
      <c r="W12" s="61">
        <f>N12*'Item Budget'!$B$5+R12*'Item Budget'!$B$7+P12*'Item Budget'!$B$11+S12*'Item Budget'!$B$10+Q12*'Item Budget'!$B$9+IFERROR(INDEX('Item Budget'!$M$25:$M$95,MATCH(V12,'Item Budget'!$B$25:$B$95,0)),0)+IF($C12="Weapon",U12*'Item Budget'!$B$9,0)</f>
        <v/>
      </c>
      <c r="X12" s="61">
        <f>N12*'Item Budget'!$B$5+R12*'Item Budget'!$B$7+P12*'Item Budget'!$B$11+S12*'Item Budget'!$B$10+O12*'Item Budget'!$B$6+T12*'Item Budget'!$B$8+IFERROR(INDEX('Item Budget'!$N$25:$N$95,MATCH(V12,'Item Budget'!$B$25:$B$95,0)),0)</f>
        <v/>
      </c>
      <c r="Y12" s="61">
        <f>MAX('Item Budget'!$F$16,INDEX('Gear Budget'!$C$8:$C$14,MATCH($C12,'Gear Budget'!$A$8:$A$14,0))*MIN(M12,50))*$L12</f>
        <v/>
      </c>
      <c r="Z12" s="41">
        <f>IF($C12="Caster weapon",X12,MAX(W12,X12))/Y12</f>
        <v/>
      </c>
      <c r="AA12" s="61">
        <f>IF(OR($C12="Weapon",$C12="Caster weapon"),"",'Gear Budget'!$B$5*MAX(1,MIN(M12,50))*INDEX('Gear Budget'!$B$8:$B$14,MATCH($C12,'Gear Budget'!$A$8:$A$14,0))*IF($C12="Shield",IF(D12="Warrior",1,IF(OR(D12="Rogue",D12="All"),0.38/0.6,0.25/0.6)),IFERROR(INDEX('Gear Budget'!$B$18:$B$21,MATCH($F12,'Gear Budget'!$A$18:$A$21,0)),1)))</f>
        <v/>
      </c>
      <c r="AB12" s="41">
        <f>IF(AA12="","",P12/AA12)</f>
        <v/>
      </c>
      <c r="AC12" s="21" t="n">
        <v>20</v>
      </c>
      <c r="AD12" s="21" t="n">
        <v>50</v>
      </c>
      <c r="AE12" s="21" t="n">
        <v>100</v>
      </c>
      <c r="AF12" s="21" t="n">
        <v>20</v>
      </c>
      <c r="AG12" s="21" t="n">
        <v>0</v>
      </c>
      <c r="AH12" s="21" t="n">
        <v>4</v>
      </c>
      <c r="AI12" s="21" t="n">
        <v>0</v>
      </c>
      <c r="AJ12" s="21" t="n">
        <v>10</v>
      </c>
      <c r="AK12" s="21" t="n">
        <v>0</v>
      </c>
      <c r="AL12" s="21" t="inlineStr">
        <is>
          <t>(none)</t>
        </is>
      </c>
      <c r="AM12" s="61">
        <f>AD12*'Item Budget'!$B$5+AH12*'Item Budget'!$B$7+AF12*'Item Budget'!$B$11+AI12*'Item Budget'!$B$10+AG12*'Item Budget'!$B$9+IFERROR(INDEX('Item Budget'!$M$25:$M$95,MATCH(AL12,'Item Budget'!$B$25:$B$95,0)),0)+IF($C12="Weapon",AK12*'Item Budget'!$B$9,0)</f>
        <v/>
      </c>
      <c r="AN12" s="61">
        <f>AD12*'Item Budget'!$B$5+AH12*'Item Budget'!$B$7+AF12*'Item Budget'!$B$11+AI12*'Item Budget'!$B$10+AE12*'Item Budget'!$B$6+AJ12*'Item Budget'!$B$8+IFERROR(INDEX('Item Budget'!$N$25:$N$95,MATCH(AL12,'Item Budget'!$B$25:$B$95,0)),0)</f>
        <v/>
      </c>
      <c r="AO12" s="61">
        <f>MAX('Item Budget'!$F$16,INDEX('Gear Budget'!$C$8:$C$14,MATCH($C12,'Gear Budget'!$A$8:$A$14,0))*MIN(AC12,50))*$L12</f>
        <v/>
      </c>
      <c r="AP12" s="41">
        <f>IF($C12="Caster weapon",AN12,MAX(AM12,AN12))/AO12</f>
        <v/>
      </c>
      <c r="AQ12" s="61">
        <f>IF(OR($C12="Weapon",$C12="Caster weapon"),"",'Gear Budget'!$B$5*MAX(1,MIN(AC12,50))*INDEX('Gear Budget'!$B$8:$B$14,MATCH($C12,'Gear Budget'!$A$8:$A$14,0))*IF($C12="Shield",IF(E12="Warrior",1,IF(OR(E12="Rogue",E12="All"),0.38/0.6,0.25/0.6)),IFERROR(INDEX('Gear Budget'!$B$18:$B$21,MATCH($F12,'Gear Budget'!$A$18:$A$21,0)),1)))</f>
        <v/>
      </c>
      <c r="AR12" s="41">
        <f>IF(AQ12="","",AF12/AQ12)</f>
        <v/>
      </c>
      <c r="AS12" s="64" t="inlineStr">
        <is>
          <t>Pass 1 (applied): Stays L20 (caster L20 set). AC unchanged; INT/MP/STA added.</t>
        </is>
      </c>
      <c r="AT12" s="44">
        <f>IF(OR($E12="All",ISNUMBER(SEARCH("Warrior",$E12))),IF($C12="Caster weapon",(AN12+AF12*('Item Budget'!$AB$14-'Item Budget'!$B$11)),(AM12+AF12*('Item Budget'!$AB$14-'Item Budget'!$B$11))),0)</f>
        <v/>
      </c>
      <c r="AU12" s="44">
        <f>IF(OR($E12="All",ISNUMBER(SEARCH("Rogue",$E12))),IF($C12="Caster weapon",(AN12+AF12*('Item Budget'!$AB$15-'Item Budget'!$B$11)),(AM12+AF12*('Item Budget'!$AB$15-'Item Budget'!$B$11))),0)</f>
        <v/>
      </c>
      <c r="AV12" s="44">
        <f>IF(OR($E12="All",ISNUMBER(SEARCH("Magus",$E12))),(AN12+AF12*('Item Budget'!$AB$16-'Item Budget'!$B$11)),0)</f>
        <v/>
      </c>
      <c r="AW12" s="44">
        <f>IF(OR($E12="All",ISNUMBER(SEARCH("Priest",$E12))),(AN12+AF12*('Item Budget'!$AB$17-'Item Budget'!$B$11)),0)</f>
        <v/>
      </c>
      <c r="AX12" s="44">
        <f>IF(AND(OR($E12="All",ISNUMBER(SEARCH("Warrior",$E12))),AC12&gt;='Item Budget'!$R$10),'Item Budget'!$R$7*100*('Item Budget'!$R$14*(AD12+25*AH12)+'Item Budget'!$S$14*(AE12+25*AJ12))/'Item Budget'!$Z$14+'Item Budget'!$R$9*AF12+IFERROR(INDEX('Item Budget'!$O$25:$O$95,MATCH(AL12,'Item Budget'!$B$25:$B$95,0)),0),0)</f>
        <v/>
      </c>
      <c r="AY12" s="44">
        <f>IF(AND(OR($E12="All",ISNUMBER(SEARCH("Rogue",$E12))),AC12&gt;='Item Budget'!$R$10),'Item Budget'!$R$7*100*('Item Budget'!$R$15*(AD12+25*AH12)+'Item Budget'!$S$15*(AE12+25*AJ12))/'Item Budget'!$Z$15+'Item Budget'!$R$9*AF12+IFERROR(INDEX('Item Budget'!$O$25:$O$95,MATCH(AL12,'Item Budget'!$B$25:$B$95,0)),0),0)</f>
        <v/>
      </c>
      <c r="AZ12" s="44">
        <f>IF(AND(OR($E12="All",ISNUMBER(SEARCH("Magus",$E12))),AC12&gt;='Item Budget'!$R$10),'Item Budget'!$R$7*100*('Item Budget'!$R$16*(AD12+25*AH12)+'Item Budget'!$S$16*(AE12+25*AJ12))/'Item Budget'!$Z$16+'Item Budget'!$R$9*AF12+IFERROR(INDEX('Item Budget'!$O$25:$O$95,MATCH(AL12,'Item Budget'!$B$25:$B$95,0)),0),0)</f>
        <v/>
      </c>
      <c r="BA12" s="44">
        <f>IF(AND(OR($E12="All",ISNUMBER(SEARCH("Priest",$E12))),AC12&gt;='Item Budget'!$R$10),'Item Budget'!$R$7*100*('Item Budget'!$R$17*(AD12+25*AH12)+'Item Budget'!$S$17*(AE12+25*AJ12))/'Item Budget'!$Z$17+'Item Budget'!$R$9*AF12+IFERROR(INDEX('Item Budget'!$O$25:$O$95,MATCH(AL12,'Item Budget'!$B$25:$B$95,0)),0),0)</f>
        <v/>
      </c>
      <c r="BB12" s="52">
        <f>IF(OR($I12&lt;1,IF($I12&gt;=6,AX12,AT12)&lt;=0),"",IF(SUMPRODUCT(MAX(($C$5:$C$215=$C12)*($I$5:$I$215&gt;=1)*($I$5:$I$215&lt;$I12)*IF($I12&gt;=6,$AX$5:$AX$215,$AT$5:$AT$215)))&lt;=0,"",SUMPRODUCT(MAX(($C$5:$C$215=$C12)*($I$5:$I$215=$I12)*IF($I12&gt;=6,$AX$5:$AX$215,$AT$5:$AT$215)))/SUMPRODUCT(MAX(($C$5:$C$215=$C12)*($I$5:$I$215&gt;=1)*($I$5:$I$215&lt;$I12)*IF($I12&gt;=6,$AX$5:$AX$215,$AT$5:$AT$215)))-1))</f>
        <v/>
      </c>
      <c r="BC12" s="52">
        <f>IF(OR($I12&lt;1,IF($I12&gt;=6,AY12,AU12)&lt;=0),"",IF(SUMPRODUCT(MAX(($C$5:$C$215=$C12)*($I$5:$I$215&gt;=1)*($I$5:$I$215&lt;$I12)*IF($I12&gt;=6,$AY$5:$AY$215,$AU$5:$AU$215)))&lt;=0,"",SUMPRODUCT(MAX(($C$5:$C$215=$C12)*($I$5:$I$215=$I12)*IF($I12&gt;=6,$AY$5:$AY$215,$AU$5:$AU$215)))/SUMPRODUCT(MAX(($C$5:$C$215=$C12)*($I$5:$I$215&gt;=1)*($I$5:$I$215&lt;$I12)*IF($I12&gt;=6,$AY$5:$AY$215,$AU$5:$AU$215)))-1))</f>
        <v/>
      </c>
      <c r="BD12" s="52">
        <f>IF(OR($I12&lt;1,IF($I12&gt;=6,AZ12,AV12)&lt;=0),"",IF(SUMPRODUCT(MAX(($C$5:$C$215=$C12)*($I$5:$I$215&gt;=1)*($I$5:$I$215&lt;$I12)*IF($I12&gt;=6,$AZ$5:$AZ$215,$AV$5:$AV$215)))&lt;=0,"",SUMPRODUCT(MAX(($C$5:$C$215=$C12)*($I$5:$I$215=$I12)*IF($I12&gt;=6,$AZ$5:$AZ$215,$AV$5:$AV$215)))/SUMPRODUCT(MAX(($C$5:$C$215=$C12)*($I$5:$I$215&gt;=1)*($I$5:$I$215&lt;$I12)*IF($I12&gt;=6,$AZ$5:$AZ$215,$AV$5:$AV$215)))-1))</f>
        <v/>
      </c>
      <c r="BE12" s="52">
        <f>IF(OR($I12&lt;1,IF($I12&gt;=6,BA12,AW12)&lt;=0),"",IF(SUMPRODUCT(MAX(($C$5:$C$215=$C12)*($I$5:$I$215&gt;=1)*($I$5:$I$215&lt;$I12)*IF($I12&gt;=6,$BA$5:$BA$215,$AW$5:$AW$215)))&lt;=0,"",SUMPRODUCT(MAX(($C$5:$C$215=$C12)*($I$5:$I$215=$I12)*IF($I12&gt;=6,$BA$5:$BA$215,$AW$5:$AW$215)))/SUMPRODUCT(MAX(($C$5:$C$215=$C12)*($I$5:$I$215&gt;=1)*($I$5:$I$215&lt;$I12)*IF($I12&gt;=6,$BA$5:$BA$215,$AW$5:$AW$215)))-1))</f>
        <v/>
      </c>
      <c r="BF12" s="19">
        <f>IF(AND(BB12="",BC12="",BD12="",BE12=""),"",IF(IF(AND(ISNUMBER(BB12),BB12&lt;'Item Budget'!$R$11),"W ","")&amp;IF(AND(ISNUMBER(BC12),BC12&lt;'Item Budget'!$R$11),"R ","")&amp;IF(AND(ISNUMBER(BD12),BD12&lt;'Item Budget'!$R$11),"M ","")&amp;IF(AND(ISNUMBER(BE12),BE12&lt;'Item Budget'!$R$11),"P ","")="","OK","Not above lower step: "&amp;IF(AND(ISNUMBER(BB12),BB12&lt;'Item Budget'!$R$11),"W ","")&amp;IF(AND(ISNUMBER(BC12),BC12&lt;'Item Budget'!$R$11),"R ","")&amp;IF(AND(ISNUMBER(BD12),BD12&lt;'Item Budget'!$R$11),"M ","")&amp;IF(AND(ISNUMBER(BE12),BE12&lt;'Item Budget'!$R$11),"P ","")))</f>
        <v/>
      </c>
    </row>
    <row r="13">
      <c r="A13" s="21" t="n">
        <v>160</v>
      </c>
      <c r="B13" s="21" t="inlineStr">
        <is>
          <t>Thick Skin of the Boar</t>
        </is>
      </c>
      <c r="C13" s="21" t="inlineStr">
        <is>
          <t>Chest</t>
        </is>
      </c>
      <c r="D13" s="21" t="inlineStr">
        <is>
          <t>All</t>
        </is>
      </c>
      <c r="E13" s="21" t="inlineStr">
        <is>
          <t>All</t>
        </is>
      </c>
      <c r="F13" s="21" t="inlineStr">
        <is>
          <t>All classes</t>
        </is>
      </c>
      <c r="G13" s="21" t="inlineStr">
        <is>
          <t>drop: Flying Piglet 6%</t>
        </is>
      </c>
      <c r="H13" s="37" t="n">
        <v>0</v>
      </c>
      <c r="I13" s="21" t="n">
        <v>0</v>
      </c>
      <c r="J13" s="19" t="inlineStr">
        <is>
          <t>Leave</t>
        </is>
      </c>
      <c r="K13" s="21" t="inlineStr">
        <is>
          <t>Rare drop</t>
        </is>
      </c>
      <c r="L13" s="31">
        <f>INDEX('Item Budget'!$F$5:$F$13,MATCH(K13,'Item Budget'!$E$5:$E$13,0))+IF(E13="All",0,'Item Budget'!$F$15)+LOOKUP(H13,'Item Budget'!$E$19:$E$23,'Item Budget'!$F$19:$F$23)</f>
        <v/>
      </c>
      <c r="M13" s="21" t="n">
        <v>20</v>
      </c>
      <c r="N13" s="21" t="n">
        <v>0</v>
      </c>
      <c r="O13" s="21" t="n">
        <v>0</v>
      </c>
      <c r="P13" s="21" t="n">
        <v>60</v>
      </c>
      <c r="Q13" s="21" t="n">
        <v>6</v>
      </c>
      <c r="R13" s="21" t="n">
        <v>6</v>
      </c>
      <c r="S13" s="21" t="n">
        <v>6</v>
      </c>
      <c r="T13" s="21" t="n">
        <v>6</v>
      </c>
      <c r="U13" s="21" t="n">
        <v>0</v>
      </c>
      <c r="V13" s="21" t="inlineStr">
        <is>
          <t>Haste V</t>
        </is>
      </c>
      <c r="W13" s="61">
        <f>N13*'Item Budget'!$B$5+R13*'Item Budget'!$B$7+P13*'Item Budget'!$B$11+S13*'Item Budget'!$B$10+Q13*'Item Budget'!$B$9+IFERROR(INDEX('Item Budget'!$M$25:$M$95,MATCH(V13,'Item Budget'!$B$25:$B$95,0)),0)+IF($C13="Weapon",U13*'Item Budget'!$B$9,0)</f>
        <v/>
      </c>
      <c r="X13" s="61">
        <f>N13*'Item Budget'!$B$5+R13*'Item Budget'!$B$7+P13*'Item Budget'!$B$11+S13*'Item Budget'!$B$10+O13*'Item Budget'!$B$6+T13*'Item Budget'!$B$8+IFERROR(INDEX('Item Budget'!$N$25:$N$95,MATCH(V13,'Item Budget'!$B$25:$B$95,0)),0)</f>
        <v/>
      </c>
      <c r="Y13" s="61">
        <f>MAX('Item Budget'!$F$16,INDEX('Gear Budget'!$C$8:$C$14,MATCH($C13,'Gear Budget'!$A$8:$A$14,0))*MIN(M13,50))*$L13</f>
        <v/>
      </c>
      <c r="Z13" s="41">
        <f>IF($C13="Caster weapon",X13,MAX(W13,X13))/Y13</f>
        <v/>
      </c>
      <c r="AA13" s="61">
        <f>IF(OR($C13="Weapon",$C13="Caster weapon"),"",'Gear Budget'!$B$5*MAX(1,MIN(M13,50))*INDEX('Gear Budget'!$B$8:$B$14,MATCH($C13,'Gear Budget'!$A$8:$A$14,0))*IF($C13="Shield",IF(D13="Warrior",1,IF(OR(D13="Rogue",D13="All"),0.38/0.6,0.25/0.6)),IFERROR(INDEX('Gear Budget'!$B$18:$B$21,MATCH($F13,'Gear Budget'!$A$18:$A$21,0)),1)))</f>
        <v/>
      </c>
      <c r="AB13" s="41">
        <f>IF(AA13="","",P13/AA13)</f>
        <v/>
      </c>
      <c r="AC13" s="21" t="n">
        <v>20</v>
      </c>
      <c r="AD13" s="21" t="n">
        <v>0</v>
      </c>
      <c r="AE13" s="21" t="n">
        <v>0</v>
      </c>
      <c r="AF13" s="21" t="n">
        <v>60</v>
      </c>
      <c r="AG13" s="21" t="n">
        <v>6</v>
      </c>
      <c r="AH13" s="21" t="n">
        <v>6</v>
      </c>
      <c r="AI13" s="21" t="n">
        <v>6</v>
      </c>
      <c r="AJ13" s="21" t="n">
        <v>6</v>
      </c>
      <c r="AK13" s="21" t="n">
        <v>0</v>
      </c>
      <c r="AL13" s="21" t="inlineStr">
        <is>
          <t>Haste V</t>
        </is>
      </c>
      <c r="AM13" s="61">
        <f>AD13*'Item Budget'!$B$5+AH13*'Item Budget'!$B$7+AF13*'Item Budget'!$B$11+AI13*'Item Budget'!$B$10+AG13*'Item Budget'!$B$9+IFERROR(INDEX('Item Budget'!$M$25:$M$95,MATCH(AL13,'Item Budget'!$B$25:$B$95,0)),0)+IF($C13="Weapon",AK13*'Item Budget'!$B$9,0)</f>
        <v/>
      </c>
      <c r="AN13" s="61">
        <f>AD13*'Item Budget'!$B$5+AH13*'Item Budget'!$B$7+AF13*'Item Budget'!$B$11+AI13*'Item Budget'!$B$10+AE13*'Item Budget'!$B$6+AJ13*'Item Budget'!$B$8+IFERROR(INDEX('Item Budget'!$N$25:$N$95,MATCH(AL13,'Item Budget'!$B$25:$B$95,0)),0)</f>
        <v/>
      </c>
      <c r="AO13" s="61">
        <f>MAX('Item Budget'!$F$16,INDEX('Gear Budget'!$C$8:$C$14,MATCH($C13,'Gear Budget'!$A$8:$A$14,0))*MIN(AC13,50))*$L13</f>
        <v/>
      </c>
      <c r="AP13" s="41">
        <f>IF($C13="Caster weapon",AN13,MAX(AM13,AN13))/AO13</f>
        <v/>
      </c>
      <c r="AQ13" s="61">
        <f>IF(OR($C13="Weapon",$C13="Caster weapon"),"",'Gear Budget'!$B$5*MAX(1,MIN(AC13,50))*INDEX('Gear Budget'!$B$8:$B$14,MATCH($C13,'Gear Budget'!$A$8:$A$14,0))*IF($C13="Shield",IF(E13="Warrior",1,IF(OR(E13="Rogue",E13="All"),0.38/0.6,0.25/0.6)),IFERROR(INDEX('Gear Budget'!$B$18:$B$21,MATCH($F13,'Gear Budget'!$A$18:$A$21,0)),1)))</f>
        <v/>
      </c>
      <c r="AR13" s="41">
        <f>IF(AQ13="","",AF13/AQ13)</f>
        <v/>
      </c>
      <c r="AS13" s="64" t="n"/>
      <c r="AT13" s="44">
        <f>IF(OR($E13="All",ISNUMBER(SEARCH("Warrior",$E13))),IF($C13="Caster weapon",(AN13+AF13*('Item Budget'!$AB$14-'Item Budget'!$B$11)),(AM13+AF13*('Item Budget'!$AB$14-'Item Budget'!$B$11))),0)</f>
        <v/>
      </c>
      <c r="AU13" s="44">
        <f>IF(OR($E13="All",ISNUMBER(SEARCH("Rogue",$E13))),IF($C13="Caster weapon",(AN13+AF13*('Item Budget'!$AB$15-'Item Budget'!$B$11)),(AM13+AF13*('Item Budget'!$AB$15-'Item Budget'!$B$11))),0)</f>
        <v/>
      </c>
      <c r="AV13" s="44">
        <f>IF(OR($E13="All",ISNUMBER(SEARCH("Magus",$E13))),(AN13+AF13*('Item Budget'!$AB$16-'Item Budget'!$B$11)),0)</f>
        <v/>
      </c>
      <c r="AW13" s="44">
        <f>IF(OR($E13="All",ISNUMBER(SEARCH("Priest",$E13))),(AN13+AF13*('Item Budget'!$AB$17-'Item Budget'!$B$11)),0)</f>
        <v/>
      </c>
      <c r="AX13" s="44">
        <f>IF(AND(OR($E13="All",ISNUMBER(SEARCH("Warrior",$E13))),AC13&gt;='Item Budget'!$R$10),'Item Budget'!$R$7*100*('Item Budget'!$R$14*(AD13+25*AH13)+'Item Budget'!$S$14*(AE13+25*AJ13))/'Item Budget'!$Z$14+'Item Budget'!$R$9*AF13+IFERROR(INDEX('Item Budget'!$O$25:$O$95,MATCH(AL13,'Item Budget'!$B$25:$B$95,0)),0),0)</f>
        <v/>
      </c>
      <c r="AY13" s="44">
        <f>IF(AND(OR($E13="All",ISNUMBER(SEARCH("Rogue",$E13))),AC13&gt;='Item Budget'!$R$10),'Item Budget'!$R$7*100*('Item Budget'!$R$15*(AD13+25*AH13)+'Item Budget'!$S$15*(AE13+25*AJ13))/'Item Budget'!$Z$15+'Item Budget'!$R$9*AF13+IFERROR(INDEX('Item Budget'!$O$25:$O$95,MATCH(AL13,'Item Budget'!$B$25:$B$95,0)),0),0)</f>
        <v/>
      </c>
      <c r="AZ13" s="44">
        <f>IF(AND(OR($E13="All",ISNUMBER(SEARCH("Magus",$E13))),AC13&gt;='Item Budget'!$R$10),'Item Budget'!$R$7*100*('Item Budget'!$R$16*(AD13+25*AH13)+'Item Budget'!$S$16*(AE13+25*AJ13))/'Item Budget'!$Z$16+'Item Budget'!$R$9*AF13+IFERROR(INDEX('Item Budget'!$O$25:$O$95,MATCH(AL13,'Item Budget'!$B$25:$B$95,0)),0),0)</f>
        <v/>
      </c>
      <c r="BA13" s="44">
        <f>IF(AND(OR($E13="All",ISNUMBER(SEARCH("Priest",$E13))),AC13&gt;='Item Budget'!$R$10),'Item Budget'!$R$7*100*('Item Budget'!$R$17*(AD13+25*AH13)+'Item Budget'!$S$17*(AE13+25*AJ13))/'Item Budget'!$Z$17+'Item Budget'!$R$9*AF13+IFERROR(INDEX('Item Budget'!$O$25:$O$95,MATCH(AL13,'Item Budget'!$B$25:$B$95,0)),0),0)</f>
        <v/>
      </c>
      <c r="BB13" s="52">
        <f>IF(OR($I13&lt;1,IF($I13&gt;=6,AX13,AT13)&lt;=0),"",IF(SUMPRODUCT(MAX(($C$5:$C$215=$C13)*($I$5:$I$215&gt;=1)*($I$5:$I$215&lt;$I13)*IF($I13&gt;=6,$AX$5:$AX$215,$AT$5:$AT$215)))&lt;=0,"",SUMPRODUCT(MAX(($C$5:$C$215=$C13)*($I$5:$I$215=$I13)*IF($I13&gt;=6,$AX$5:$AX$215,$AT$5:$AT$215)))/SUMPRODUCT(MAX(($C$5:$C$215=$C13)*($I$5:$I$215&gt;=1)*($I$5:$I$215&lt;$I13)*IF($I13&gt;=6,$AX$5:$AX$215,$AT$5:$AT$215)))-1))</f>
        <v/>
      </c>
      <c r="BC13" s="52">
        <f>IF(OR($I13&lt;1,IF($I13&gt;=6,AY13,AU13)&lt;=0),"",IF(SUMPRODUCT(MAX(($C$5:$C$215=$C13)*($I$5:$I$215&gt;=1)*($I$5:$I$215&lt;$I13)*IF($I13&gt;=6,$AY$5:$AY$215,$AU$5:$AU$215)))&lt;=0,"",SUMPRODUCT(MAX(($C$5:$C$215=$C13)*($I$5:$I$215=$I13)*IF($I13&gt;=6,$AY$5:$AY$215,$AU$5:$AU$215)))/SUMPRODUCT(MAX(($C$5:$C$215=$C13)*($I$5:$I$215&gt;=1)*($I$5:$I$215&lt;$I13)*IF($I13&gt;=6,$AY$5:$AY$215,$AU$5:$AU$215)))-1))</f>
        <v/>
      </c>
      <c r="BD13" s="52">
        <f>IF(OR($I13&lt;1,IF($I13&gt;=6,AZ13,AV13)&lt;=0),"",IF(SUMPRODUCT(MAX(($C$5:$C$215=$C13)*($I$5:$I$215&gt;=1)*($I$5:$I$215&lt;$I13)*IF($I13&gt;=6,$AZ$5:$AZ$215,$AV$5:$AV$215)))&lt;=0,"",SUMPRODUCT(MAX(($C$5:$C$215=$C13)*($I$5:$I$215=$I13)*IF($I13&gt;=6,$AZ$5:$AZ$215,$AV$5:$AV$215)))/SUMPRODUCT(MAX(($C$5:$C$215=$C13)*($I$5:$I$215&gt;=1)*($I$5:$I$215&lt;$I13)*IF($I13&gt;=6,$AZ$5:$AZ$215,$AV$5:$AV$215)))-1))</f>
        <v/>
      </c>
      <c r="BE13" s="52">
        <f>IF(OR($I13&lt;1,IF($I13&gt;=6,BA13,AW13)&lt;=0),"",IF(SUMPRODUCT(MAX(($C$5:$C$215=$C13)*($I$5:$I$215&gt;=1)*($I$5:$I$215&lt;$I13)*IF($I13&gt;=6,$BA$5:$BA$215,$AW$5:$AW$215)))&lt;=0,"",SUMPRODUCT(MAX(($C$5:$C$215=$C13)*($I$5:$I$215=$I13)*IF($I13&gt;=6,$BA$5:$BA$215,$AW$5:$AW$215)))/SUMPRODUCT(MAX(($C$5:$C$215=$C13)*($I$5:$I$215&gt;=1)*($I$5:$I$215&lt;$I13)*IF($I13&gt;=6,$BA$5:$BA$215,$AW$5:$AW$215)))-1))</f>
        <v/>
      </c>
      <c r="BF13" s="19">
        <f>IF(AND(BB13="",BC13="",BD13="",BE13=""),"",IF(IF(AND(ISNUMBER(BB13),BB13&lt;'Item Budget'!$R$11),"W ","")&amp;IF(AND(ISNUMBER(BC13),BC13&lt;'Item Budget'!$R$11),"R ","")&amp;IF(AND(ISNUMBER(BD13),BD13&lt;'Item Budget'!$R$11),"M ","")&amp;IF(AND(ISNUMBER(BE13),BE13&lt;'Item Budget'!$R$11),"P ","")="","OK","Not above lower step: "&amp;IF(AND(ISNUMBER(BB13),BB13&lt;'Item Budget'!$R$11),"W ","")&amp;IF(AND(ISNUMBER(BC13),BC13&lt;'Item Budget'!$R$11),"R ","")&amp;IF(AND(ISNUMBER(BD13),BD13&lt;'Item Budget'!$R$11),"M ","")&amp;IF(AND(ISNUMBER(BE13),BE13&lt;'Item Budget'!$R$11),"P ","")))</f>
        <v/>
      </c>
    </row>
    <row r="14">
      <c r="A14" s="21" t="n">
        <v>256</v>
      </c>
      <c r="B14" s="21" t="inlineStr">
        <is>
          <t>Shirt of the Fallen Loser</t>
        </is>
      </c>
      <c r="C14" s="21" t="inlineStr">
        <is>
          <t>Chest</t>
        </is>
      </c>
      <c r="D14" s="21" t="inlineStr">
        <is>
          <t>All</t>
        </is>
      </c>
      <c r="E14" s="21" t="inlineStr">
        <is>
          <t>All</t>
        </is>
      </c>
      <c r="F14" s="21" t="inlineStr">
        <is>
          <t>All classes</t>
        </is>
      </c>
      <c r="G14" s="21" t="inlineStr">
        <is>
          <t>drop: Carrots 10%</t>
        </is>
      </c>
      <c r="H14" s="37" t="n">
        <v>0</v>
      </c>
      <c r="I14" s="21" t="n">
        <v>0</v>
      </c>
      <c r="J14" s="3" t="inlineStr">
        <is>
          <t>Applied</t>
        </is>
      </c>
      <c r="K14" s="21" t="inlineStr">
        <is>
          <t>Rare boss drop</t>
        </is>
      </c>
      <c r="L14" s="31">
        <f>INDEX('Item Budget'!$F$5:$F$13,MATCH(K14,'Item Budget'!$E$5:$E$13,0))+IF(E14="All",0,'Item Budget'!$F$15)+LOOKUP(H14,'Item Budget'!$E$19:$E$23,'Item Budget'!$F$19:$F$23)</f>
        <v/>
      </c>
      <c r="M14" s="21" t="n">
        <v>20</v>
      </c>
      <c r="N14" s="21" t="n">
        <v>150</v>
      </c>
      <c r="O14" s="21" t="n">
        <v>150</v>
      </c>
      <c r="P14" s="21" t="n">
        <v>50</v>
      </c>
      <c r="Q14" s="21" t="n">
        <v>5</v>
      </c>
      <c r="R14" s="21" t="n">
        <v>6</v>
      </c>
      <c r="S14" s="21" t="n">
        <v>5</v>
      </c>
      <c r="T14" s="21" t="n">
        <v>6</v>
      </c>
      <c r="U14" s="21" t="n">
        <v>0</v>
      </c>
      <c r="V14" s="21" t="inlineStr">
        <is>
          <t>(none)</t>
        </is>
      </c>
      <c r="W14" s="61">
        <f>N14*'Item Budget'!$B$5+R14*'Item Budget'!$B$7+P14*'Item Budget'!$B$11+S14*'Item Budget'!$B$10+Q14*'Item Budget'!$B$9+IFERROR(INDEX('Item Budget'!$M$25:$M$95,MATCH(V14,'Item Budget'!$B$25:$B$95,0)),0)+IF($C14="Weapon",U14*'Item Budget'!$B$9,0)</f>
        <v/>
      </c>
      <c r="X14" s="61">
        <f>N14*'Item Budget'!$B$5+R14*'Item Budget'!$B$7+P14*'Item Budget'!$B$11+S14*'Item Budget'!$B$10+O14*'Item Budget'!$B$6+T14*'Item Budget'!$B$8+IFERROR(INDEX('Item Budget'!$N$25:$N$95,MATCH(V14,'Item Budget'!$B$25:$B$95,0)),0)</f>
        <v/>
      </c>
      <c r="Y14" s="61">
        <f>MAX('Item Budget'!$F$16,INDEX('Gear Budget'!$C$8:$C$14,MATCH($C14,'Gear Budget'!$A$8:$A$14,0))*MIN(M14,50))*$L14</f>
        <v/>
      </c>
      <c r="Z14" s="41">
        <f>IF($C14="Caster weapon",X14,MAX(W14,X14))/Y14</f>
        <v/>
      </c>
      <c r="AA14" s="61">
        <f>IF(OR($C14="Weapon",$C14="Caster weapon"),"",'Gear Budget'!$B$5*MAX(1,MIN(M14,50))*INDEX('Gear Budget'!$B$8:$B$14,MATCH($C14,'Gear Budget'!$A$8:$A$14,0))*IF($C14="Shield",IF(D14="Warrior",1,IF(OR(D14="Rogue",D14="All"),0.38/0.6,0.25/0.6)),IFERROR(INDEX('Gear Budget'!$B$18:$B$21,MATCH($F14,'Gear Budget'!$A$18:$A$21,0)),1)))</f>
        <v/>
      </c>
      <c r="AB14" s="41">
        <f>IF(AA14="","",P14/AA14)</f>
        <v/>
      </c>
      <c r="AC14" s="21" t="n">
        <v>20</v>
      </c>
      <c r="AD14" s="21" t="n">
        <v>150</v>
      </c>
      <c r="AE14" s="21" t="n">
        <v>150</v>
      </c>
      <c r="AF14" s="21" t="n">
        <v>50</v>
      </c>
      <c r="AG14" s="21" t="n">
        <v>5</v>
      </c>
      <c r="AH14" s="21" t="n">
        <v>6</v>
      </c>
      <c r="AI14" s="21" t="n">
        <v>5</v>
      </c>
      <c r="AJ14" s="21" t="n">
        <v>6</v>
      </c>
      <c r="AK14" s="21" t="n">
        <v>0</v>
      </c>
      <c r="AL14" s="21" t="inlineStr">
        <is>
          <t>(none)</t>
        </is>
      </c>
      <c r="AM14" s="61">
        <f>AD14*'Item Budget'!$B$5+AH14*'Item Budget'!$B$7+AF14*'Item Budget'!$B$11+AI14*'Item Budget'!$B$10+AG14*'Item Budget'!$B$9+IFERROR(INDEX('Item Budget'!$M$25:$M$95,MATCH(AL14,'Item Budget'!$B$25:$B$95,0)),0)+IF($C14="Weapon",AK14*'Item Budget'!$B$9,0)</f>
        <v/>
      </c>
      <c r="AN14" s="61">
        <f>AD14*'Item Budget'!$B$5+AH14*'Item Budget'!$B$7+AF14*'Item Budget'!$B$11+AI14*'Item Budget'!$B$10+AE14*'Item Budget'!$B$6+AJ14*'Item Budget'!$B$8+IFERROR(INDEX('Item Budget'!$N$25:$N$95,MATCH(AL14,'Item Budget'!$B$25:$B$95,0)),0)</f>
        <v/>
      </c>
      <c r="AO14" s="61">
        <f>MAX('Item Budget'!$F$16,INDEX('Gear Budget'!$C$8:$C$14,MATCH($C14,'Gear Budget'!$A$8:$A$14,0))*MIN(AC14,50))*$L14</f>
        <v/>
      </c>
      <c r="AP14" s="41">
        <f>IF($C14="Caster weapon",AN14,MAX(AM14,AN14))/AO14</f>
        <v/>
      </c>
      <c r="AQ14" s="61">
        <f>IF(OR($C14="Weapon",$C14="Caster weapon"),"",'Gear Budget'!$B$5*MAX(1,MIN(AC14,50))*INDEX('Gear Budget'!$B$8:$B$14,MATCH($C14,'Gear Budget'!$A$8:$A$14,0))*IF($C14="Shield",IF(E14="Warrior",1,IF(OR(E14="Rogue",E14="All"),0.38/0.6,0.25/0.6)),IFERROR(INDEX('Gear Budget'!$B$18:$B$21,MATCH($F14,'Gear Budget'!$A$18:$A$21,0)),1)))</f>
        <v/>
      </c>
      <c r="AR14" s="41">
        <f>IF(AQ14="","",AF14/AQ14)</f>
        <v/>
      </c>
      <c r="AS14" s="64" t="inlineStr">
        <is>
          <t>Pass 1 (applied): Carrots boss drop (1 h respawn): was 25 HP and +2 stats.</t>
        </is>
      </c>
      <c r="AT14" s="44">
        <f>IF(OR($E14="All",ISNUMBER(SEARCH("Warrior",$E14))),IF($C14="Caster weapon",(AN14+AF14*('Item Budget'!$AB$14-'Item Budget'!$B$11)),(AM14+AF14*('Item Budget'!$AB$14-'Item Budget'!$B$11))),0)</f>
        <v/>
      </c>
      <c r="AU14" s="44">
        <f>IF(OR($E14="All",ISNUMBER(SEARCH("Rogue",$E14))),IF($C14="Caster weapon",(AN14+AF14*('Item Budget'!$AB$15-'Item Budget'!$B$11)),(AM14+AF14*('Item Budget'!$AB$15-'Item Budget'!$B$11))),0)</f>
        <v/>
      </c>
      <c r="AV14" s="44">
        <f>IF(OR($E14="All",ISNUMBER(SEARCH("Magus",$E14))),(AN14+AF14*('Item Budget'!$AB$16-'Item Budget'!$B$11)),0)</f>
        <v/>
      </c>
      <c r="AW14" s="44">
        <f>IF(OR($E14="All",ISNUMBER(SEARCH("Priest",$E14))),(AN14+AF14*('Item Budget'!$AB$17-'Item Budget'!$B$11)),0)</f>
        <v/>
      </c>
      <c r="AX14" s="44">
        <f>IF(AND(OR($E14="All",ISNUMBER(SEARCH("Warrior",$E14))),AC14&gt;='Item Budget'!$R$10),'Item Budget'!$R$7*100*('Item Budget'!$R$14*(AD14+25*AH14)+'Item Budget'!$S$14*(AE14+25*AJ14))/'Item Budget'!$Z$14+'Item Budget'!$R$9*AF14+IFERROR(INDEX('Item Budget'!$O$25:$O$95,MATCH(AL14,'Item Budget'!$B$25:$B$95,0)),0),0)</f>
        <v/>
      </c>
      <c r="AY14" s="44">
        <f>IF(AND(OR($E14="All",ISNUMBER(SEARCH("Rogue",$E14))),AC14&gt;='Item Budget'!$R$10),'Item Budget'!$R$7*100*('Item Budget'!$R$15*(AD14+25*AH14)+'Item Budget'!$S$15*(AE14+25*AJ14))/'Item Budget'!$Z$15+'Item Budget'!$R$9*AF14+IFERROR(INDEX('Item Budget'!$O$25:$O$95,MATCH(AL14,'Item Budget'!$B$25:$B$95,0)),0),0)</f>
        <v/>
      </c>
      <c r="AZ14" s="44">
        <f>IF(AND(OR($E14="All",ISNUMBER(SEARCH("Magus",$E14))),AC14&gt;='Item Budget'!$R$10),'Item Budget'!$R$7*100*('Item Budget'!$R$16*(AD14+25*AH14)+'Item Budget'!$S$16*(AE14+25*AJ14))/'Item Budget'!$Z$16+'Item Budget'!$R$9*AF14+IFERROR(INDEX('Item Budget'!$O$25:$O$95,MATCH(AL14,'Item Budget'!$B$25:$B$95,0)),0),0)</f>
        <v/>
      </c>
      <c r="BA14" s="44">
        <f>IF(AND(OR($E14="All",ISNUMBER(SEARCH("Priest",$E14))),AC14&gt;='Item Budget'!$R$10),'Item Budget'!$R$7*100*('Item Budget'!$R$17*(AD14+25*AH14)+'Item Budget'!$S$17*(AE14+25*AJ14))/'Item Budget'!$Z$17+'Item Budget'!$R$9*AF14+IFERROR(INDEX('Item Budget'!$O$25:$O$95,MATCH(AL14,'Item Budget'!$B$25:$B$95,0)),0),0)</f>
        <v/>
      </c>
      <c r="BB14" s="52">
        <f>IF(OR($I14&lt;1,IF($I14&gt;=6,AX14,AT14)&lt;=0),"",IF(SUMPRODUCT(MAX(($C$5:$C$215=$C14)*($I$5:$I$215&gt;=1)*($I$5:$I$215&lt;$I14)*IF($I14&gt;=6,$AX$5:$AX$215,$AT$5:$AT$215)))&lt;=0,"",SUMPRODUCT(MAX(($C$5:$C$215=$C14)*($I$5:$I$215=$I14)*IF($I14&gt;=6,$AX$5:$AX$215,$AT$5:$AT$215)))/SUMPRODUCT(MAX(($C$5:$C$215=$C14)*($I$5:$I$215&gt;=1)*($I$5:$I$215&lt;$I14)*IF($I14&gt;=6,$AX$5:$AX$215,$AT$5:$AT$215)))-1))</f>
        <v/>
      </c>
      <c r="BC14" s="52">
        <f>IF(OR($I14&lt;1,IF($I14&gt;=6,AY14,AU14)&lt;=0),"",IF(SUMPRODUCT(MAX(($C$5:$C$215=$C14)*($I$5:$I$215&gt;=1)*($I$5:$I$215&lt;$I14)*IF($I14&gt;=6,$AY$5:$AY$215,$AU$5:$AU$215)))&lt;=0,"",SUMPRODUCT(MAX(($C$5:$C$215=$C14)*($I$5:$I$215=$I14)*IF($I14&gt;=6,$AY$5:$AY$215,$AU$5:$AU$215)))/SUMPRODUCT(MAX(($C$5:$C$215=$C14)*($I$5:$I$215&gt;=1)*($I$5:$I$215&lt;$I14)*IF($I14&gt;=6,$AY$5:$AY$215,$AU$5:$AU$215)))-1))</f>
        <v/>
      </c>
      <c r="BD14" s="52">
        <f>IF(OR($I14&lt;1,IF($I14&gt;=6,AZ14,AV14)&lt;=0),"",IF(SUMPRODUCT(MAX(($C$5:$C$215=$C14)*($I$5:$I$215&gt;=1)*($I$5:$I$215&lt;$I14)*IF($I14&gt;=6,$AZ$5:$AZ$215,$AV$5:$AV$215)))&lt;=0,"",SUMPRODUCT(MAX(($C$5:$C$215=$C14)*($I$5:$I$215=$I14)*IF($I14&gt;=6,$AZ$5:$AZ$215,$AV$5:$AV$215)))/SUMPRODUCT(MAX(($C$5:$C$215=$C14)*($I$5:$I$215&gt;=1)*($I$5:$I$215&lt;$I14)*IF($I14&gt;=6,$AZ$5:$AZ$215,$AV$5:$AV$215)))-1))</f>
        <v/>
      </c>
      <c r="BE14" s="52">
        <f>IF(OR($I14&lt;1,IF($I14&gt;=6,BA14,AW14)&lt;=0),"",IF(SUMPRODUCT(MAX(($C$5:$C$215=$C14)*($I$5:$I$215&gt;=1)*($I$5:$I$215&lt;$I14)*IF($I14&gt;=6,$BA$5:$BA$215,$AW$5:$AW$215)))&lt;=0,"",SUMPRODUCT(MAX(($C$5:$C$215=$C14)*($I$5:$I$215=$I14)*IF($I14&gt;=6,$BA$5:$BA$215,$AW$5:$AW$215)))/SUMPRODUCT(MAX(($C$5:$C$215=$C14)*($I$5:$I$215&gt;=1)*($I$5:$I$215&lt;$I14)*IF($I14&gt;=6,$BA$5:$BA$215,$AW$5:$AW$215)))-1))</f>
        <v/>
      </c>
      <c r="BF14" s="19">
        <f>IF(AND(BB14="",BC14="",BD14="",BE14=""),"",IF(IF(AND(ISNUMBER(BB14),BB14&lt;'Item Budget'!$R$11),"W ","")&amp;IF(AND(ISNUMBER(BC14),BC14&lt;'Item Budget'!$R$11),"R ","")&amp;IF(AND(ISNUMBER(BD14),BD14&lt;'Item Budget'!$R$11),"M ","")&amp;IF(AND(ISNUMBER(BE14),BE14&lt;'Item Budget'!$R$11),"P ","")="","OK","Not above lower step: "&amp;IF(AND(ISNUMBER(BB14),BB14&lt;'Item Budget'!$R$11),"W ","")&amp;IF(AND(ISNUMBER(BC14),BC14&lt;'Item Budget'!$R$11),"R ","")&amp;IF(AND(ISNUMBER(BD14),BD14&lt;'Item Budget'!$R$11),"M ","")&amp;IF(AND(ISNUMBER(BE14),BE14&lt;'Item Budget'!$R$11),"P ","")))</f>
        <v/>
      </c>
    </row>
    <row r="15">
      <c r="A15" s="21" t="n">
        <v>161</v>
      </c>
      <c r="B15" s="21" t="inlineStr">
        <is>
          <t>Tunic of the Poo Flinger</t>
        </is>
      </c>
      <c r="C15" s="21" t="inlineStr">
        <is>
          <t>Chest</t>
        </is>
      </c>
      <c r="D15" s="21" t="inlineStr">
        <is>
          <t>All</t>
        </is>
      </c>
      <c r="E15" s="21" t="inlineStr">
        <is>
          <t>All</t>
        </is>
      </c>
      <c r="F15" s="21" t="inlineStr">
        <is>
          <t>All classes</t>
        </is>
      </c>
      <c r="G15" s="21" t="inlineStr">
        <is>
          <t>drop: Frantic Monkey 8%</t>
        </is>
      </c>
      <c r="H15" s="37" t="n">
        <v>0</v>
      </c>
      <c r="I15" s="21" t="n">
        <v>0</v>
      </c>
      <c r="J15" s="19" t="inlineStr">
        <is>
          <t>Leave</t>
        </is>
      </c>
      <c r="K15" s="21" t="inlineStr">
        <is>
          <t>Rare boss drop</t>
        </is>
      </c>
      <c r="L15" s="31">
        <f>INDEX('Item Budget'!$F$5:$F$13,MATCH(K15,'Item Budget'!$E$5:$E$13,0))+IF(E15="All",0,'Item Budget'!$F$15)+LOOKUP(H15,'Item Budget'!$E$19:$E$23,'Item Budget'!$F$19:$F$23)</f>
        <v/>
      </c>
      <c r="M15" s="21" t="n">
        <v>25</v>
      </c>
      <c r="N15" s="21" t="n">
        <v>300</v>
      </c>
      <c r="O15" s="21" t="n">
        <v>300</v>
      </c>
      <c r="P15" s="21" t="n">
        <v>125</v>
      </c>
      <c r="Q15" s="21" t="n">
        <v>25</v>
      </c>
      <c r="R15" s="21" t="n">
        <v>25</v>
      </c>
      <c r="S15" s="21" t="n">
        <v>25</v>
      </c>
      <c r="T15" s="21" t="n">
        <v>25</v>
      </c>
      <c r="U15" s="21" t="n">
        <v>0</v>
      </c>
      <c r="V15" s="21" t="inlineStr">
        <is>
          <t>(none)</t>
        </is>
      </c>
      <c r="W15" s="61">
        <f>N15*'Item Budget'!$B$5+R15*'Item Budget'!$B$7+P15*'Item Budget'!$B$11+S15*'Item Budget'!$B$10+Q15*'Item Budget'!$B$9+IFERROR(INDEX('Item Budget'!$M$25:$M$95,MATCH(V15,'Item Budget'!$B$25:$B$95,0)),0)+IF($C15="Weapon",U15*'Item Budget'!$B$9,0)</f>
        <v/>
      </c>
      <c r="X15" s="61">
        <f>N15*'Item Budget'!$B$5+R15*'Item Budget'!$B$7+P15*'Item Budget'!$B$11+S15*'Item Budget'!$B$10+O15*'Item Budget'!$B$6+T15*'Item Budget'!$B$8+IFERROR(INDEX('Item Budget'!$N$25:$N$95,MATCH(V15,'Item Budget'!$B$25:$B$95,0)),0)</f>
        <v/>
      </c>
      <c r="Y15" s="61">
        <f>MAX('Item Budget'!$F$16,INDEX('Gear Budget'!$C$8:$C$14,MATCH($C15,'Gear Budget'!$A$8:$A$14,0))*MIN(M15,50))*$L15</f>
        <v/>
      </c>
      <c r="Z15" s="41">
        <f>IF($C15="Caster weapon",X15,MAX(W15,X15))/Y15</f>
        <v/>
      </c>
      <c r="AA15" s="61">
        <f>IF(OR($C15="Weapon",$C15="Caster weapon"),"",'Gear Budget'!$B$5*MAX(1,MIN(M15,50))*INDEX('Gear Budget'!$B$8:$B$14,MATCH($C15,'Gear Budget'!$A$8:$A$14,0))*IF($C15="Shield",IF(D15="Warrior",1,IF(OR(D15="Rogue",D15="All"),0.38/0.6,0.25/0.6)),IFERROR(INDEX('Gear Budget'!$B$18:$B$21,MATCH($F15,'Gear Budget'!$A$18:$A$21,0)),1)))</f>
        <v/>
      </c>
      <c r="AB15" s="41">
        <f>IF(AA15="","",P15/AA15)</f>
        <v/>
      </c>
      <c r="AC15" s="21" t="n">
        <v>25</v>
      </c>
      <c r="AD15" s="21" t="n">
        <v>300</v>
      </c>
      <c r="AE15" s="21" t="n">
        <v>300</v>
      </c>
      <c r="AF15" s="21" t="n">
        <v>125</v>
      </c>
      <c r="AG15" s="21" t="n">
        <v>25</v>
      </c>
      <c r="AH15" s="21" t="n">
        <v>25</v>
      </c>
      <c r="AI15" s="21" t="n">
        <v>25</v>
      </c>
      <c r="AJ15" s="21" t="n">
        <v>25</v>
      </c>
      <c r="AK15" s="21" t="n">
        <v>0</v>
      </c>
      <c r="AL15" s="21" t="inlineStr">
        <is>
          <t>(none)</t>
        </is>
      </c>
      <c r="AM15" s="61">
        <f>AD15*'Item Budget'!$B$5+AH15*'Item Budget'!$B$7+AF15*'Item Budget'!$B$11+AI15*'Item Budget'!$B$10+AG15*'Item Budget'!$B$9+IFERROR(INDEX('Item Budget'!$M$25:$M$95,MATCH(AL15,'Item Budget'!$B$25:$B$95,0)),0)+IF($C15="Weapon",AK15*'Item Budget'!$B$9,0)</f>
        <v/>
      </c>
      <c r="AN15" s="61">
        <f>AD15*'Item Budget'!$B$5+AH15*'Item Budget'!$B$7+AF15*'Item Budget'!$B$11+AI15*'Item Budget'!$B$10+AE15*'Item Budget'!$B$6+AJ15*'Item Budget'!$B$8+IFERROR(INDEX('Item Budget'!$N$25:$N$95,MATCH(AL15,'Item Budget'!$B$25:$B$95,0)),0)</f>
        <v/>
      </c>
      <c r="AO15" s="61">
        <f>MAX('Item Budget'!$F$16,INDEX('Gear Budget'!$C$8:$C$14,MATCH($C15,'Gear Budget'!$A$8:$A$14,0))*MIN(AC15,50))*$L15</f>
        <v/>
      </c>
      <c r="AP15" s="41">
        <f>IF($C15="Caster weapon",AN15,MAX(AM15,AN15))/AO15</f>
        <v/>
      </c>
      <c r="AQ15" s="61">
        <f>IF(OR($C15="Weapon",$C15="Caster weapon"),"",'Gear Budget'!$B$5*MAX(1,MIN(AC15,50))*INDEX('Gear Budget'!$B$8:$B$14,MATCH($C15,'Gear Budget'!$A$8:$A$14,0))*IF($C15="Shield",IF(E15="Warrior",1,IF(OR(E15="Rogue",E15="All"),0.38/0.6,0.25/0.6)),IFERROR(INDEX('Gear Budget'!$B$18:$B$21,MATCH($F15,'Gear Budget'!$A$18:$A$21,0)),1)))</f>
        <v/>
      </c>
      <c r="AR15" s="41">
        <f>IF(AQ15="","",AF15/AQ15)</f>
        <v/>
      </c>
      <c r="AS15" s="64" t="inlineStr">
        <is>
          <t>Pass 1 (applied): Poo Flinger: rare drop from a 12 h boss. Ignored for comparison.</t>
        </is>
      </c>
      <c r="AT15" s="44">
        <f>IF(OR($E15="All",ISNUMBER(SEARCH("Warrior",$E15))),IF($C15="Caster weapon",(AN15+AF15*('Item Budget'!$AB$14-'Item Budget'!$B$11)),(AM15+AF15*('Item Budget'!$AB$14-'Item Budget'!$B$11))),0)</f>
        <v/>
      </c>
      <c r="AU15" s="44">
        <f>IF(OR($E15="All",ISNUMBER(SEARCH("Rogue",$E15))),IF($C15="Caster weapon",(AN15+AF15*('Item Budget'!$AB$15-'Item Budget'!$B$11)),(AM15+AF15*('Item Budget'!$AB$15-'Item Budget'!$B$11))),0)</f>
        <v/>
      </c>
      <c r="AV15" s="44">
        <f>IF(OR($E15="All",ISNUMBER(SEARCH("Magus",$E15))),(AN15+AF15*('Item Budget'!$AB$16-'Item Budget'!$B$11)),0)</f>
        <v/>
      </c>
      <c r="AW15" s="44">
        <f>IF(OR($E15="All",ISNUMBER(SEARCH("Priest",$E15))),(AN15+AF15*('Item Budget'!$AB$17-'Item Budget'!$B$11)),0)</f>
        <v/>
      </c>
      <c r="AX15" s="44">
        <f>IF(AND(OR($E15="All",ISNUMBER(SEARCH("Warrior",$E15))),AC15&gt;='Item Budget'!$R$10),'Item Budget'!$R$7*100*('Item Budget'!$R$14*(AD15+25*AH15)+'Item Budget'!$S$14*(AE15+25*AJ15))/'Item Budget'!$Z$14+'Item Budget'!$R$9*AF15+IFERROR(INDEX('Item Budget'!$O$25:$O$95,MATCH(AL15,'Item Budget'!$B$25:$B$95,0)),0),0)</f>
        <v/>
      </c>
      <c r="AY15" s="44">
        <f>IF(AND(OR($E15="All",ISNUMBER(SEARCH("Rogue",$E15))),AC15&gt;='Item Budget'!$R$10),'Item Budget'!$R$7*100*('Item Budget'!$R$15*(AD15+25*AH15)+'Item Budget'!$S$15*(AE15+25*AJ15))/'Item Budget'!$Z$15+'Item Budget'!$R$9*AF15+IFERROR(INDEX('Item Budget'!$O$25:$O$95,MATCH(AL15,'Item Budget'!$B$25:$B$95,0)),0),0)</f>
        <v/>
      </c>
      <c r="AZ15" s="44">
        <f>IF(AND(OR($E15="All",ISNUMBER(SEARCH("Magus",$E15))),AC15&gt;='Item Budget'!$R$10),'Item Budget'!$R$7*100*('Item Budget'!$R$16*(AD15+25*AH15)+'Item Budget'!$S$16*(AE15+25*AJ15))/'Item Budget'!$Z$16+'Item Budget'!$R$9*AF15+IFERROR(INDEX('Item Budget'!$O$25:$O$95,MATCH(AL15,'Item Budget'!$B$25:$B$95,0)),0),0)</f>
        <v/>
      </c>
      <c r="BA15" s="44">
        <f>IF(AND(OR($E15="All",ISNUMBER(SEARCH("Priest",$E15))),AC15&gt;='Item Budget'!$R$10),'Item Budget'!$R$7*100*('Item Budget'!$R$17*(AD15+25*AH15)+'Item Budget'!$S$17*(AE15+25*AJ15))/'Item Budget'!$Z$17+'Item Budget'!$R$9*AF15+IFERROR(INDEX('Item Budget'!$O$25:$O$95,MATCH(AL15,'Item Budget'!$B$25:$B$95,0)),0),0)</f>
        <v/>
      </c>
      <c r="BB15" s="52">
        <f>IF(OR($I15&lt;1,IF($I15&gt;=6,AX15,AT15)&lt;=0),"",IF(SUMPRODUCT(MAX(($C$5:$C$215=$C15)*($I$5:$I$215&gt;=1)*($I$5:$I$215&lt;$I15)*IF($I15&gt;=6,$AX$5:$AX$215,$AT$5:$AT$215)))&lt;=0,"",SUMPRODUCT(MAX(($C$5:$C$215=$C15)*($I$5:$I$215=$I15)*IF($I15&gt;=6,$AX$5:$AX$215,$AT$5:$AT$215)))/SUMPRODUCT(MAX(($C$5:$C$215=$C15)*($I$5:$I$215&gt;=1)*($I$5:$I$215&lt;$I15)*IF($I15&gt;=6,$AX$5:$AX$215,$AT$5:$AT$215)))-1))</f>
        <v/>
      </c>
      <c r="BC15" s="52">
        <f>IF(OR($I15&lt;1,IF($I15&gt;=6,AY15,AU15)&lt;=0),"",IF(SUMPRODUCT(MAX(($C$5:$C$215=$C15)*($I$5:$I$215&gt;=1)*($I$5:$I$215&lt;$I15)*IF($I15&gt;=6,$AY$5:$AY$215,$AU$5:$AU$215)))&lt;=0,"",SUMPRODUCT(MAX(($C$5:$C$215=$C15)*($I$5:$I$215=$I15)*IF($I15&gt;=6,$AY$5:$AY$215,$AU$5:$AU$215)))/SUMPRODUCT(MAX(($C$5:$C$215=$C15)*($I$5:$I$215&gt;=1)*($I$5:$I$215&lt;$I15)*IF($I15&gt;=6,$AY$5:$AY$215,$AU$5:$AU$215)))-1))</f>
        <v/>
      </c>
      <c r="BD15" s="52">
        <f>IF(OR($I15&lt;1,IF($I15&gt;=6,AZ15,AV15)&lt;=0),"",IF(SUMPRODUCT(MAX(($C$5:$C$215=$C15)*($I$5:$I$215&gt;=1)*($I$5:$I$215&lt;$I15)*IF($I15&gt;=6,$AZ$5:$AZ$215,$AV$5:$AV$215)))&lt;=0,"",SUMPRODUCT(MAX(($C$5:$C$215=$C15)*($I$5:$I$215=$I15)*IF($I15&gt;=6,$AZ$5:$AZ$215,$AV$5:$AV$215)))/SUMPRODUCT(MAX(($C$5:$C$215=$C15)*($I$5:$I$215&gt;=1)*($I$5:$I$215&lt;$I15)*IF($I15&gt;=6,$AZ$5:$AZ$215,$AV$5:$AV$215)))-1))</f>
        <v/>
      </c>
      <c r="BE15" s="52">
        <f>IF(OR($I15&lt;1,IF($I15&gt;=6,BA15,AW15)&lt;=0),"",IF(SUMPRODUCT(MAX(($C$5:$C$215=$C15)*($I$5:$I$215&gt;=1)*($I$5:$I$215&lt;$I15)*IF($I15&gt;=6,$BA$5:$BA$215,$AW$5:$AW$215)))&lt;=0,"",SUMPRODUCT(MAX(($C$5:$C$215=$C15)*($I$5:$I$215=$I15)*IF($I15&gt;=6,$BA$5:$BA$215,$AW$5:$AW$215)))/SUMPRODUCT(MAX(($C$5:$C$215=$C15)*($I$5:$I$215&gt;=1)*($I$5:$I$215&lt;$I15)*IF($I15&gt;=6,$BA$5:$BA$215,$AW$5:$AW$215)))-1))</f>
        <v/>
      </c>
      <c r="BF15" s="19">
        <f>IF(AND(BB15="",BC15="",BD15="",BE15=""),"",IF(IF(AND(ISNUMBER(BB15),BB15&lt;'Item Budget'!$R$11),"W ","")&amp;IF(AND(ISNUMBER(BC15),BC15&lt;'Item Budget'!$R$11),"R ","")&amp;IF(AND(ISNUMBER(BD15),BD15&lt;'Item Budget'!$R$11),"M ","")&amp;IF(AND(ISNUMBER(BE15),BE15&lt;'Item Budget'!$R$11),"P ","")="","OK","Not above lower step: "&amp;IF(AND(ISNUMBER(BB15),BB15&lt;'Item Budget'!$R$11),"W ","")&amp;IF(AND(ISNUMBER(BC15),BC15&lt;'Item Budget'!$R$11),"R ","")&amp;IF(AND(ISNUMBER(BD15),BD15&lt;'Item Budget'!$R$11),"M ","")&amp;IF(AND(ISNUMBER(BE15),BE15&lt;'Item Budget'!$R$11),"P ","")))</f>
        <v/>
      </c>
    </row>
    <row r="16">
      <c r="A16" s="21" t="n">
        <v>52</v>
      </c>
      <c r="B16" s="21" t="inlineStr">
        <is>
          <t>Shirt #297741384</t>
        </is>
      </c>
      <c r="C16" s="21" t="inlineStr">
        <is>
          <t>Chest</t>
        </is>
      </c>
      <c r="D16" s="21" t="inlineStr">
        <is>
          <t>All</t>
        </is>
      </c>
      <c r="E16" s="21" t="inlineStr">
        <is>
          <t>All</t>
        </is>
      </c>
      <c r="F16" s="21" t="inlineStr">
        <is>
          <t>All classes</t>
        </is>
      </c>
      <c r="G16" s="21" t="inlineStr">
        <is>
          <t>drop: Goo Jr. 10%</t>
        </is>
      </c>
      <c r="H16" s="37" t="n">
        <v>0</v>
      </c>
      <c r="I16" s="21" t="n">
        <v>0</v>
      </c>
      <c r="J16" s="3" t="inlineStr">
        <is>
          <t>Applied</t>
        </is>
      </c>
      <c r="K16" s="21" t="inlineStr">
        <is>
          <t>Rare boss drop</t>
        </is>
      </c>
      <c r="L16" s="31">
        <f>INDEX('Item Budget'!$F$5:$F$13,MATCH(K16,'Item Budget'!$E$5:$E$13,0))+IF(E16="All",0,'Item Budget'!$F$15)+LOOKUP(H16,'Item Budget'!$E$19:$E$23,'Item Budget'!$F$19:$F$23)</f>
        <v/>
      </c>
      <c r="M16" s="21" t="n">
        <v>25</v>
      </c>
      <c r="N16" s="21" t="n">
        <v>200</v>
      </c>
      <c r="O16" s="21" t="n">
        <v>200</v>
      </c>
      <c r="P16" s="21" t="n">
        <v>55</v>
      </c>
      <c r="Q16" s="21" t="n">
        <v>7</v>
      </c>
      <c r="R16" s="21" t="n">
        <v>7</v>
      </c>
      <c r="S16" s="21" t="n">
        <v>5</v>
      </c>
      <c r="T16" s="21" t="n">
        <v>7</v>
      </c>
      <c r="U16" s="21" t="n">
        <v>0</v>
      </c>
      <c r="V16" s="21" t="inlineStr">
        <is>
          <t>(none)</t>
        </is>
      </c>
      <c r="W16" s="61">
        <f>N16*'Item Budget'!$B$5+R16*'Item Budget'!$B$7+P16*'Item Budget'!$B$11+S16*'Item Budget'!$B$10+Q16*'Item Budget'!$B$9+IFERROR(INDEX('Item Budget'!$M$25:$M$95,MATCH(V16,'Item Budget'!$B$25:$B$95,0)),0)+IF($C16="Weapon",U16*'Item Budget'!$B$9,0)</f>
        <v/>
      </c>
      <c r="X16" s="61">
        <f>N16*'Item Budget'!$B$5+R16*'Item Budget'!$B$7+P16*'Item Budget'!$B$11+S16*'Item Budget'!$B$10+O16*'Item Budget'!$B$6+T16*'Item Budget'!$B$8+IFERROR(INDEX('Item Budget'!$N$25:$N$95,MATCH(V16,'Item Budget'!$B$25:$B$95,0)),0)</f>
        <v/>
      </c>
      <c r="Y16" s="61">
        <f>MAX('Item Budget'!$F$16,INDEX('Gear Budget'!$C$8:$C$14,MATCH($C16,'Gear Budget'!$A$8:$A$14,0))*MIN(M16,50))*$L16</f>
        <v/>
      </c>
      <c r="Z16" s="41">
        <f>IF($C16="Caster weapon",X16,MAX(W16,X16))/Y16</f>
        <v/>
      </c>
      <c r="AA16" s="61">
        <f>IF(OR($C16="Weapon",$C16="Caster weapon"),"",'Gear Budget'!$B$5*MAX(1,MIN(M16,50))*INDEX('Gear Budget'!$B$8:$B$14,MATCH($C16,'Gear Budget'!$A$8:$A$14,0))*IF($C16="Shield",IF(D16="Warrior",1,IF(OR(D16="Rogue",D16="All"),0.38/0.6,0.25/0.6)),IFERROR(INDEX('Gear Budget'!$B$18:$B$21,MATCH($F16,'Gear Budget'!$A$18:$A$21,0)),1)))</f>
        <v/>
      </c>
      <c r="AB16" s="41">
        <f>IF(AA16="","",P16/AA16)</f>
        <v/>
      </c>
      <c r="AC16" s="21" t="n">
        <v>25</v>
      </c>
      <c r="AD16" s="21" t="n">
        <v>200</v>
      </c>
      <c r="AE16" s="21" t="n">
        <v>200</v>
      </c>
      <c r="AF16" s="21" t="n">
        <v>55</v>
      </c>
      <c r="AG16" s="21" t="n">
        <v>7</v>
      </c>
      <c r="AH16" s="21" t="n">
        <v>7</v>
      </c>
      <c r="AI16" s="21" t="n">
        <v>5</v>
      </c>
      <c r="AJ16" s="21" t="n">
        <v>7</v>
      </c>
      <c r="AK16" s="21" t="n">
        <v>0</v>
      </c>
      <c r="AL16" s="21" t="inlineStr">
        <is>
          <t>(none)</t>
        </is>
      </c>
      <c r="AM16" s="61">
        <f>AD16*'Item Budget'!$B$5+AH16*'Item Budget'!$B$7+AF16*'Item Budget'!$B$11+AI16*'Item Budget'!$B$10+AG16*'Item Budget'!$B$9+IFERROR(INDEX('Item Budget'!$M$25:$M$95,MATCH(AL16,'Item Budget'!$B$25:$B$95,0)),0)+IF($C16="Weapon",AK16*'Item Budget'!$B$9,0)</f>
        <v/>
      </c>
      <c r="AN16" s="61">
        <f>AD16*'Item Budget'!$B$5+AH16*'Item Budget'!$B$7+AF16*'Item Budget'!$B$11+AI16*'Item Budget'!$B$10+AE16*'Item Budget'!$B$6+AJ16*'Item Budget'!$B$8+IFERROR(INDEX('Item Budget'!$N$25:$N$95,MATCH(AL16,'Item Budget'!$B$25:$B$95,0)),0)</f>
        <v/>
      </c>
      <c r="AO16" s="61">
        <f>MAX('Item Budget'!$F$16,INDEX('Gear Budget'!$C$8:$C$14,MATCH($C16,'Gear Budget'!$A$8:$A$14,0))*MIN(AC16,50))*$L16</f>
        <v/>
      </c>
      <c r="AP16" s="41">
        <f>IF($C16="Caster weapon",AN16,MAX(AM16,AN16))/AO16</f>
        <v/>
      </c>
      <c r="AQ16" s="61">
        <f>IF(OR($C16="Weapon",$C16="Caster weapon"),"",'Gear Budget'!$B$5*MAX(1,MIN(AC16,50))*INDEX('Gear Budget'!$B$8:$B$14,MATCH($C16,'Gear Budget'!$A$8:$A$14,0))*IF($C16="Shield",IF(E16="Warrior",1,IF(OR(E16="Rogue",E16="All"),0.38/0.6,0.25/0.6)),IFERROR(INDEX('Gear Budget'!$B$18:$B$21,MATCH($F16,'Gear Budget'!$A$18:$A$21,0)),1)))</f>
        <v/>
      </c>
      <c r="AR16" s="41">
        <f>IF(AQ16="","",AF16/AQ16)</f>
        <v/>
      </c>
      <c r="AS16" s="64" t="inlineStr">
        <is>
          <t>Pass 1 (applied): Goo Jr. boss drop (1 h respawn): was 20/20 and +3 stats.</t>
        </is>
      </c>
      <c r="AT16" s="44">
        <f>IF(OR($E16="All",ISNUMBER(SEARCH("Warrior",$E16))),IF($C16="Caster weapon",(AN16+AF16*('Item Budget'!$AB$14-'Item Budget'!$B$11)),(AM16+AF16*('Item Budget'!$AB$14-'Item Budget'!$B$11))),0)</f>
        <v/>
      </c>
      <c r="AU16" s="44">
        <f>IF(OR($E16="All",ISNUMBER(SEARCH("Rogue",$E16))),IF($C16="Caster weapon",(AN16+AF16*('Item Budget'!$AB$15-'Item Budget'!$B$11)),(AM16+AF16*('Item Budget'!$AB$15-'Item Budget'!$B$11))),0)</f>
        <v/>
      </c>
      <c r="AV16" s="44">
        <f>IF(OR($E16="All",ISNUMBER(SEARCH("Magus",$E16))),(AN16+AF16*('Item Budget'!$AB$16-'Item Budget'!$B$11)),0)</f>
        <v/>
      </c>
      <c r="AW16" s="44">
        <f>IF(OR($E16="All",ISNUMBER(SEARCH("Priest",$E16))),(AN16+AF16*('Item Budget'!$AB$17-'Item Budget'!$B$11)),0)</f>
        <v/>
      </c>
      <c r="AX16" s="44">
        <f>IF(AND(OR($E16="All",ISNUMBER(SEARCH("Warrior",$E16))),AC16&gt;='Item Budget'!$R$10),'Item Budget'!$R$7*100*('Item Budget'!$R$14*(AD16+25*AH16)+'Item Budget'!$S$14*(AE16+25*AJ16))/'Item Budget'!$Z$14+'Item Budget'!$R$9*AF16+IFERROR(INDEX('Item Budget'!$O$25:$O$95,MATCH(AL16,'Item Budget'!$B$25:$B$95,0)),0),0)</f>
        <v/>
      </c>
      <c r="AY16" s="44">
        <f>IF(AND(OR($E16="All",ISNUMBER(SEARCH("Rogue",$E16))),AC16&gt;='Item Budget'!$R$10),'Item Budget'!$R$7*100*('Item Budget'!$R$15*(AD16+25*AH16)+'Item Budget'!$S$15*(AE16+25*AJ16))/'Item Budget'!$Z$15+'Item Budget'!$R$9*AF16+IFERROR(INDEX('Item Budget'!$O$25:$O$95,MATCH(AL16,'Item Budget'!$B$25:$B$95,0)),0),0)</f>
        <v/>
      </c>
      <c r="AZ16" s="44">
        <f>IF(AND(OR($E16="All",ISNUMBER(SEARCH("Magus",$E16))),AC16&gt;='Item Budget'!$R$10),'Item Budget'!$R$7*100*('Item Budget'!$R$16*(AD16+25*AH16)+'Item Budget'!$S$16*(AE16+25*AJ16))/'Item Budget'!$Z$16+'Item Budget'!$R$9*AF16+IFERROR(INDEX('Item Budget'!$O$25:$O$95,MATCH(AL16,'Item Budget'!$B$25:$B$95,0)),0),0)</f>
        <v/>
      </c>
      <c r="BA16" s="44">
        <f>IF(AND(OR($E16="All",ISNUMBER(SEARCH("Priest",$E16))),AC16&gt;='Item Budget'!$R$10),'Item Budget'!$R$7*100*('Item Budget'!$R$17*(AD16+25*AH16)+'Item Budget'!$S$17*(AE16+25*AJ16))/'Item Budget'!$Z$17+'Item Budget'!$R$9*AF16+IFERROR(INDEX('Item Budget'!$O$25:$O$95,MATCH(AL16,'Item Budget'!$B$25:$B$95,0)),0),0)</f>
        <v/>
      </c>
      <c r="BB16" s="52">
        <f>IF(OR($I16&lt;1,IF($I16&gt;=6,AX16,AT16)&lt;=0),"",IF(SUMPRODUCT(MAX(($C$5:$C$215=$C16)*($I$5:$I$215&gt;=1)*($I$5:$I$215&lt;$I16)*IF($I16&gt;=6,$AX$5:$AX$215,$AT$5:$AT$215)))&lt;=0,"",SUMPRODUCT(MAX(($C$5:$C$215=$C16)*($I$5:$I$215=$I16)*IF($I16&gt;=6,$AX$5:$AX$215,$AT$5:$AT$215)))/SUMPRODUCT(MAX(($C$5:$C$215=$C16)*($I$5:$I$215&gt;=1)*($I$5:$I$215&lt;$I16)*IF($I16&gt;=6,$AX$5:$AX$215,$AT$5:$AT$215)))-1))</f>
        <v/>
      </c>
      <c r="BC16" s="52">
        <f>IF(OR($I16&lt;1,IF($I16&gt;=6,AY16,AU16)&lt;=0),"",IF(SUMPRODUCT(MAX(($C$5:$C$215=$C16)*($I$5:$I$215&gt;=1)*($I$5:$I$215&lt;$I16)*IF($I16&gt;=6,$AY$5:$AY$215,$AU$5:$AU$215)))&lt;=0,"",SUMPRODUCT(MAX(($C$5:$C$215=$C16)*($I$5:$I$215=$I16)*IF($I16&gt;=6,$AY$5:$AY$215,$AU$5:$AU$215)))/SUMPRODUCT(MAX(($C$5:$C$215=$C16)*($I$5:$I$215&gt;=1)*($I$5:$I$215&lt;$I16)*IF($I16&gt;=6,$AY$5:$AY$215,$AU$5:$AU$215)))-1))</f>
        <v/>
      </c>
      <c r="BD16" s="52">
        <f>IF(OR($I16&lt;1,IF($I16&gt;=6,AZ16,AV16)&lt;=0),"",IF(SUMPRODUCT(MAX(($C$5:$C$215=$C16)*($I$5:$I$215&gt;=1)*($I$5:$I$215&lt;$I16)*IF($I16&gt;=6,$AZ$5:$AZ$215,$AV$5:$AV$215)))&lt;=0,"",SUMPRODUCT(MAX(($C$5:$C$215=$C16)*($I$5:$I$215=$I16)*IF($I16&gt;=6,$AZ$5:$AZ$215,$AV$5:$AV$215)))/SUMPRODUCT(MAX(($C$5:$C$215=$C16)*($I$5:$I$215&gt;=1)*($I$5:$I$215&lt;$I16)*IF($I16&gt;=6,$AZ$5:$AZ$215,$AV$5:$AV$215)))-1))</f>
        <v/>
      </c>
      <c r="BE16" s="52">
        <f>IF(OR($I16&lt;1,IF($I16&gt;=6,BA16,AW16)&lt;=0),"",IF(SUMPRODUCT(MAX(($C$5:$C$215=$C16)*($I$5:$I$215&gt;=1)*($I$5:$I$215&lt;$I16)*IF($I16&gt;=6,$BA$5:$BA$215,$AW$5:$AW$215)))&lt;=0,"",SUMPRODUCT(MAX(($C$5:$C$215=$C16)*($I$5:$I$215=$I16)*IF($I16&gt;=6,$BA$5:$BA$215,$AW$5:$AW$215)))/SUMPRODUCT(MAX(($C$5:$C$215=$C16)*($I$5:$I$215&gt;=1)*($I$5:$I$215&lt;$I16)*IF($I16&gt;=6,$BA$5:$BA$215,$AW$5:$AW$215)))-1))</f>
        <v/>
      </c>
      <c r="BF16" s="19">
        <f>IF(AND(BB16="",BC16="",BD16="",BE16=""),"",IF(IF(AND(ISNUMBER(BB16),BB16&lt;'Item Budget'!$R$11),"W ","")&amp;IF(AND(ISNUMBER(BC16),BC16&lt;'Item Budget'!$R$11),"R ","")&amp;IF(AND(ISNUMBER(BD16),BD16&lt;'Item Budget'!$R$11),"M ","")&amp;IF(AND(ISNUMBER(BE16),BE16&lt;'Item Budget'!$R$11),"P ","")="","OK","Not above lower step: "&amp;IF(AND(ISNUMBER(BB16),BB16&lt;'Item Budget'!$R$11),"W ","")&amp;IF(AND(ISNUMBER(BC16),BC16&lt;'Item Budget'!$R$11),"R ","")&amp;IF(AND(ISNUMBER(BD16),BD16&lt;'Item Budget'!$R$11),"M ","")&amp;IF(AND(ISNUMBER(BE16),BE16&lt;'Item Budget'!$R$11),"P ","")))</f>
        <v/>
      </c>
    </row>
    <row r="17">
      <c r="A17" s="21" t="n">
        <v>410</v>
      </c>
      <c r="B17" s="21" t="inlineStr">
        <is>
          <t>Frilly Top</t>
        </is>
      </c>
      <c r="C17" s="21" t="inlineStr">
        <is>
          <t>Chest</t>
        </is>
      </c>
      <c r="D17" s="21" t="inlineStr">
        <is>
          <t>All</t>
        </is>
      </c>
      <c r="E17" s="21" t="inlineStr">
        <is>
          <t>All</t>
        </is>
      </c>
      <c r="F17" s="21" t="inlineStr">
        <is>
          <t>All classes</t>
        </is>
      </c>
      <c r="G17" s="21" t="inlineStr">
        <is>
          <t>drop: Disciple Von Chief 20%</t>
        </is>
      </c>
      <c r="H17" s="37" t="n">
        <v>100000000</v>
      </c>
      <c r="I17" s="21" t="n">
        <v>7</v>
      </c>
      <c r="J17" s="19" t="inlineStr">
        <is>
          <t>Leave</t>
        </is>
      </c>
      <c r="K17" s="21" t="inlineStr">
        <is>
          <t>Rare boss drop</t>
        </is>
      </c>
      <c r="L17" s="31">
        <f>INDEX('Item Budget'!$F$5:$F$13,MATCH(K17,'Item Budget'!$E$5:$E$13,0))+IF(E17="All",0,'Item Budget'!$F$15)+LOOKUP(H17,'Item Budget'!$E$19:$E$23,'Item Budget'!$F$19:$F$23)</f>
        <v/>
      </c>
      <c r="M17" s="21" t="n">
        <v>25</v>
      </c>
      <c r="N17" s="21" t="n">
        <v>400</v>
      </c>
      <c r="O17" s="21" t="n">
        <v>400</v>
      </c>
      <c r="P17" s="21" t="n">
        <v>50</v>
      </c>
      <c r="Q17" s="21" t="n">
        <v>25</v>
      </c>
      <c r="R17" s="21" t="n">
        <v>25</v>
      </c>
      <c r="S17" s="21" t="n">
        <v>25</v>
      </c>
      <c r="T17" s="21" t="n">
        <v>25</v>
      </c>
      <c r="U17" s="21" t="n">
        <v>0</v>
      </c>
      <c r="V17" s="21" t="inlineStr">
        <is>
          <t>(none)</t>
        </is>
      </c>
      <c r="W17" s="61">
        <f>N17*'Item Budget'!$B$5+R17*'Item Budget'!$B$7+P17*'Item Budget'!$B$11+S17*'Item Budget'!$B$10+Q17*'Item Budget'!$B$9+IFERROR(INDEX('Item Budget'!$M$25:$M$95,MATCH(V17,'Item Budget'!$B$25:$B$95,0)),0)+IF($C17="Weapon",U17*'Item Budget'!$B$9,0)</f>
        <v/>
      </c>
      <c r="X17" s="61">
        <f>N17*'Item Budget'!$B$5+R17*'Item Budget'!$B$7+P17*'Item Budget'!$B$11+S17*'Item Budget'!$B$10+O17*'Item Budget'!$B$6+T17*'Item Budget'!$B$8+IFERROR(INDEX('Item Budget'!$N$25:$N$95,MATCH(V17,'Item Budget'!$B$25:$B$95,0)),0)</f>
        <v/>
      </c>
      <c r="Y17" s="61">
        <f>MAX('Item Budget'!$F$16,INDEX('Gear Budget'!$C$8:$C$14,MATCH($C17,'Gear Budget'!$A$8:$A$14,0))*MIN(M17,50))*$L17</f>
        <v/>
      </c>
      <c r="Z17" s="41">
        <f>IF($C17="Caster weapon",X17,MAX(W17,X17))/Y17</f>
        <v/>
      </c>
      <c r="AA17" s="61">
        <f>IF(OR($C17="Weapon",$C17="Caster weapon"),"",'Gear Budget'!$B$5*MAX(1,MIN(M17,50))*INDEX('Gear Budget'!$B$8:$B$14,MATCH($C17,'Gear Budget'!$A$8:$A$14,0))*IF($C17="Shield",IF(D17="Warrior",1,IF(OR(D17="Rogue",D17="All"),0.38/0.6,0.25/0.6)),IFERROR(INDEX('Gear Budget'!$B$18:$B$21,MATCH($F17,'Gear Budget'!$A$18:$A$21,0)),1)))</f>
        <v/>
      </c>
      <c r="AB17" s="41">
        <f>IF(AA17="","",P17/AA17)</f>
        <v/>
      </c>
      <c r="AC17" s="21" t="n">
        <v>25</v>
      </c>
      <c r="AD17" s="21" t="n">
        <v>400</v>
      </c>
      <c r="AE17" s="21" t="n">
        <v>400</v>
      </c>
      <c r="AF17" s="21" t="n">
        <v>50</v>
      </c>
      <c r="AG17" s="21" t="n">
        <v>25</v>
      </c>
      <c r="AH17" s="21" t="n">
        <v>25</v>
      </c>
      <c r="AI17" s="21" t="n">
        <v>25</v>
      </c>
      <c r="AJ17" s="21" t="n">
        <v>25</v>
      </c>
      <c r="AK17" s="21" t="n">
        <v>0</v>
      </c>
      <c r="AL17" s="21" t="inlineStr">
        <is>
          <t>(none)</t>
        </is>
      </c>
      <c r="AM17" s="61">
        <f>AD17*'Item Budget'!$B$5+AH17*'Item Budget'!$B$7+AF17*'Item Budget'!$B$11+AI17*'Item Budget'!$B$10+AG17*'Item Budget'!$B$9+IFERROR(INDEX('Item Budget'!$M$25:$M$95,MATCH(AL17,'Item Budget'!$B$25:$B$95,0)),0)+IF($C17="Weapon",AK17*'Item Budget'!$B$9,0)</f>
        <v/>
      </c>
      <c r="AN17" s="61">
        <f>AD17*'Item Budget'!$B$5+AH17*'Item Budget'!$B$7+AF17*'Item Budget'!$B$11+AI17*'Item Budget'!$B$10+AE17*'Item Budget'!$B$6+AJ17*'Item Budget'!$B$8+IFERROR(INDEX('Item Budget'!$N$25:$N$95,MATCH(AL17,'Item Budget'!$B$25:$B$95,0)),0)</f>
        <v/>
      </c>
      <c r="AO17" s="61">
        <f>MAX('Item Budget'!$F$16,INDEX('Gear Budget'!$C$8:$C$14,MATCH($C17,'Gear Budget'!$A$8:$A$14,0))*MIN(AC17,50))*$L17</f>
        <v/>
      </c>
      <c r="AP17" s="41">
        <f>IF($C17="Caster weapon",AN17,MAX(AM17,AN17))/AO17</f>
        <v/>
      </c>
      <c r="AQ17" s="61">
        <f>IF(OR($C17="Weapon",$C17="Caster weapon"),"",'Gear Budget'!$B$5*MAX(1,MIN(AC17,50))*INDEX('Gear Budget'!$B$8:$B$14,MATCH($C17,'Gear Budget'!$A$8:$A$14,0))*IF($C17="Shield",IF(E17="Warrior",1,IF(OR(E17="Rogue",E17="All"),0.38/0.6,0.25/0.6)),IFERROR(INDEX('Gear Budget'!$B$18:$B$21,MATCH($F17,'Gear Budget'!$A$18:$A$21,0)),1)))</f>
        <v/>
      </c>
      <c r="AR17" s="41">
        <f>IF(AQ17="","",AF17/AQ17)</f>
        <v/>
      </c>
      <c r="AS17" s="64" t="n"/>
      <c r="AT17" s="44">
        <f>IF(OR($E17="All",ISNUMBER(SEARCH("Warrior",$E17))),IF($C17="Caster weapon",(AN17+AF17*('Item Budget'!$AB$14-'Item Budget'!$B$11)),(AM17+AF17*('Item Budget'!$AB$14-'Item Budget'!$B$11))),0)</f>
        <v/>
      </c>
      <c r="AU17" s="44">
        <f>IF(OR($E17="All",ISNUMBER(SEARCH("Rogue",$E17))),IF($C17="Caster weapon",(AN17+AF17*('Item Budget'!$AB$15-'Item Budget'!$B$11)),(AM17+AF17*('Item Budget'!$AB$15-'Item Budget'!$B$11))),0)</f>
        <v/>
      </c>
      <c r="AV17" s="44">
        <f>IF(OR($E17="All",ISNUMBER(SEARCH("Magus",$E17))),(AN17+AF17*('Item Budget'!$AB$16-'Item Budget'!$B$11)),0)</f>
        <v/>
      </c>
      <c r="AW17" s="44">
        <f>IF(OR($E17="All",ISNUMBER(SEARCH("Priest",$E17))),(AN17+AF17*('Item Budget'!$AB$17-'Item Budget'!$B$11)),0)</f>
        <v/>
      </c>
      <c r="AX17" s="44">
        <f>IF(AND(OR($E17="All",ISNUMBER(SEARCH("Warrior",$E17))),AC17&gt;='Item Budget'!$R$10),'Item Budget'!$R$7*100*('Item Budget'!$R$14*(AD17+25*AH17)+'Item Budget'!$S$14*(AE17+25*AJ17))/'Item Budget'!$Z$14+'Item Budget'!$R$9*AF17+IFERROR(INDEX('Item Budget'!$O$25:$O$95,MATCH(AL17,'Item Budget'!$B$25:$B$95,0)),0),0)</f>
        <v/>
      </c>
      <c r="AY17" s="44">
        <f>IF(AND(OR($E17="All",ISNUMBER(SEARCH("Rogue",$E17))),AC17&gt;='Item Budget'!$R$10),'Item Budget'!$R$7*100*('Item Budget'!$R$15*(AD17+25*AH17)+'Item Budget'!$S$15*(AE17+25*AJ17))/'Item Budget'!$Z$15+'Item Budget'!$R$9*AF17+IFERROR(INDEX('Item Budget'!$O$25:$O$95,MATCH(AL17,'Item Budget'!$B$25:$B$95,0)),0),0)</f>
        <v/>
      </c>
      <c r="AZ17" s="44">
        <f>IF(AND(OR($E17="All",ISNUMBER(SEARCH("Magus",$E17))),AC17&gt;='Item Budget'!$R$10),'Item Budget'!$R$7*100*('Item Budget'!$R$16*(AD17+25*AH17)+'Item Budget'!$S$16*(AE17+25*AJ17))/'Item Budget'!$Z$16+'Item Budget'!$R$9*AF17+IFERROR(INDEX('Item Budget'!$O$25:$O$95,MATCH(AL17,'Item Budget'!$B$25:$B$95,0)),0),0)</f>
        <v/>
      </c>
      <c r="BA17" s="44">
        <f>IF(AND(OR($E17="All",ISNUMBER(SEARCH("Priest",$E17))),AC17&gt;='Item Budget'!$R$10),'Item Budget'!$R$7*100*('Item Budget'!$R$17*(AD17+25*AH17)+'Item Budget'!$S$17*(AE17+25*AJ17))/'Item Budget'!$Z$17+'Item Budget'!$R$9*AF17+IFERROR(INDEX('Item Budget'!$O$25:$O$95,MATCH(AL17,'Item Budget'!$B$25:$B$95,0)),0),0)</f>
        <v/>
      </c>
      <c r="BB17" s="52">
        <f>IF(OR($I17&lt;1,IF($I17&gt;=6,AX17,AT17)&lt;=0),"",IF(SUMPRODUCT(MAX(($C$5:$C$215=$C17)*($I$5:$I$215&gt;=1)*($I$5:$I$215&lt;$I17)*IF($I17&gt;=6,$AX$5:$AX$215,$AT$5:$AT$215)))&lt;=0,"",SUMPRODUCT(MAX(($C$5:$C$215=$C17)*($I$5:$I$215=$I17)*IF($I17&gt;=6,$AX$5:$AX$215,$AT$5:$AT$215)))/SUMPRODUCT(MAX(($C$5:$C$215=$C17)*($I$5:$I$215&gt;=1)*($I$5:$I$215&lt;$I17)*IF($I17&gt;=6,$AX$5:$AX$215,$AT$5:$AT$215)))-1))</f>
        <v/>
      </c>
      <c r="BC17" s="52">
        <f>IF(OR($I17&lt;1,IF($I17&gt;=6,AY17,AU17)&lt;=0),"",IF(SUMPRODUCT(MAX(($C$5:$C$215=$C17)*($I$5:$I$215&gt;=1)*($I$5:$I$215&lt;$I17)*IF($I17&gt;=6,$AY$5:$AY$215,$AU$5:$AU$215)))&lt;=0,"",SUMPRODUCT(MAX(($C$5:$C$215=$C17)*($I$5:$I$215=$I17)*IF($I17&gt;=6,$AY$5:$AY$215,$AU$5:$AU$215)))/SUMPRODUCT(MAX(($C$5:$C$215=$C17)*($I$5:$I$215&gt;=1)*($I$5:$I$215&lt;$I17)*IF($I17&gt;=6,$AY$5:$AY$215,$AU$5:$AU$215)))-1))</f>
        <v/>
      </c>
      <c r="BD17" s="52">
        <f>IF(OR($I17&lt;1,IF($I17&gt;=6,AZ17,AV17)&lt;=0),"",IF(SUMPRODUCT(MAX(($C$5:$C$215=$C17)*($I$5:$I$215&gt;=1)*($I$5:$I$215&lt;$I17)*IF($I17&gt;=6,$AZ$5:$AZ$215,$AV$5:$AV$215)))&lt;=0,"",SUMPRODUCT(MAX(($C$5:$C$215=$C17)*($I$5:$I$215=$I17)*IF($I17&gt;=6,$AZ$5:$AZ$215,$AV$5:$AV$215)))/SUMPRODUCT(MAX(($C$5:$C$215=$C17)*($I$5:$I$215&gt;=1)*($I$5:$I$215&lt;$I17)*IF($I17&gt;=6,$AZ$5:$AZ$215,$AV$5:$AV$215)))-1))</f>
        <v/>
      </c>
      <c r="BE17" s="52">
        <f>IF(OR($I17&lt;1,IF($I17&gt;=6,BA17,AW17)&lt;=0),"",IF(SUMPRODUCT(MAX(($C$5:$C$215=$C17)*($I$5:$I$215&gt;=1)*($I$5:$I$215&lt;$I17)*IF($I17&gt;=6,$BA$5:$BA$215,$AW$5:$AW$215)))&lt;=0,"",SUMPRODUCT(MAX(($C$5:$C$215=$C17)*($I$5:$I$215=$I17)*IF($I17&gt;=6,$BA$5:$BA$215,$AW$5:$AW$215)))/SUMPRODUCT(MAX(($C$5:$C$215=$C17)*($I$5:$I$215&gt;=1)*($I$5:$I$215&lt;$I17)*IF($I17&gt;=6,$BA$5:$BA$215,$AW$5:$AW$215)))-1))</f>
        <v/>
      </c>
      <c r="BF17" s="19">
        <f>IF(AND(BB17="",BC17="",BD17="",BE17=""),"",IF(IF(AND(ISNUMBER(BB17),BB17&lt;'Item Budget'!$R$11),"W ","")&amp;IF(AND(ISNUMBER(BC17),BC17&lt;'Item Budget'!$R$11),"R ","")&amp;IF(AND(ISNUMBER(BD17),BD17&lt;'Item Budget'!$R$11),"M ","")&amp;IF(AND(ISNUMBER(BE17),BE17&lt;'Item Budget'!$R$11),"P ","")="","OK","Not above lower step: "&amp;IF(AND(ISNUMBER(BB17),BB17&lt;'Item Budget'!$R$11),"W ","")&amp;IF(AND(ISNUMBER(BC17),BC17&lt;'Item Budget'!$R$11),"R ","")&amp;IF(AND(ISNUMBER(BD17),BD17&lt;'Item Budget'!$R$11),"M ","")&amp;IF(AND(ISNUMBER(BE17),BE17&lt;'Item Budget'!$R$11),"P ","")))</f>
        <v/>
      </c>
    </row>
    <row r="18">
      <c r="A18" s="21" t="n">
        <v>154</v>
      </c>
      <c r="B18" s="21" t="inlineStr">
        <is>
          <t>Iron Chestplate</t>
        </is>
      </c>
      <c r="C18" s="21" t="inlineStr">
        <is>
          <t>Chest</t>
        </is>
      </c>
      <c r="D18" s="21" t="inlineStr">
        <is>
          <t>Rogue</t>
        </is>
      </c>
      <c r="E18" s="21" t="inlineStr">
        <is>
          <t>Rogue</t>
        </is>
      </c>
      <c r="F18" s="21" t="inlineStr">
        <is>
          <t>Rogue</t>
        </is>
      </c>
      <c r="G18" s="21" t="inlineStr">
        <is>
          <t>vendor: Iron Armor Guy</t>
        </is>
      </c>
      <c r="H18" s="37" t="n">
        <v>0</v>
      </c>
      <c r="I18" s="21" t="n">
        <v>0</v>
      </c>
      <c r="J18" s="3" t="inlineStr">
        <is>
          <t>Pass 2</t>
        </is>
      </c>
      <c r="K18" s="21" t="inlineStr">
        <is>
          <t>Vendor</t>
        </is>
      </c>
      <c r="L18" s="31">
        <f>INDEX('Item Budget'!$F$5:$F$13,MATCH(K18,'Item Budget'!$E$5:$E$13,0))+IF(E18="All",0,'Item Budget'!$F$15)+LOOKUP(H18,'Item Budget'!$E$19:$E$23,'Item Budget'!$F$19:$F$23)</f>
        <v/>
      </c>
      <c r="M18" s="21" t="n">
        <v>30</v>
      </c>
      <c r="N18" s="21" t="n">
        <v>100</v>
      </c>
      <c r="O18" s="21" t="n">
        <v>0</v>
      </c>
      <c r="P18" s="21" t="n">
        <v>45</v>
      </c>
      <c r="Q18" s="21" t="n">
        <v>6</v>
      </c>
      <c r="R18" s="21" t="n">
        <v>6</v>
      </c>
      <c r="S18" s="21" t="n">
        <v>15</v>
      </c>
      <c r="T18" s="21" t="n">
        <v>0</v>
      </c>
      <c r="U18" s="21" t="n">
        <v>0</v>
      </c>
      <c r="V18" s="21" t="inlineStr">
        <is>
          <t>(none)</t>
        </is>
      </c>
      <c r="W18" s="61">
        <f>N18*'Item Budget'!$B$5+R18*'Item Budget'!$B$7+P18*'Item Budget'!$B$11+S18*'Item Budget'!$B$10+Q18*'Item Budget'!$B$9+IFERROR(INDEX('Item Budget'!$M$25:$M$95,MATCH(V18,'Item Budget'!$B$25:$B$95,0)),0)+IF($C18="Weapon",U18*'Item Budget'!$B$9,0)</f>
        <v/>
      </c>
      <c r="X18" s="61">
        <f>N18*'Item Budget'!$B$5+R18*'Item Budget'!$B$7+P18*'Item Budget'!$B$11+S18*'Item Budget'!$B$10+O18*'Item Budget'!$B$6+T18*'Item Budget'!$B$8+IFERROR(INDEX('Item Budget'!$N$25:$N$95,MATCH(V18,'Item Budget'!$B$25:$B$95,0)),0)</f>
        <v/>
      </c>
      <c r="Y18" s="61">
        <f>MAX('Item Budget'!$F$16,INDEX('Gear Budget'!$C$8:$C$14,MATCH($C18,'Gear Budget'!$A$8:$A$14,0))*MIN(M18,50))*$L18</f>
        <v/>
      </c>
      <c r="Z18" s="41">
        <f>IF($C18="Caster weapon",X18,MAX(W18,X18))/Y18</f>
        <v/>
      </c>
      <c r="AA18" s="61">
        <f>IF(OR($C18="Weapon",$C18="Caster weapon"),"",'Gear Budget'!$B$5*MAX(1,MIN(M18,50))*INDEX('Gear Budget'!$B$8:$B$14,MATCH($C18,'Gear Budget'!$A$8:$A$14,0))*IF($C18="Shield",IF(D18="Warrior",1,IF(OR(D18="Rogue",D18="All"),0.38/0.6,0.25/0.6)),IFERROR(INDEX('Gear Budget'!$B$18:$B$21,MATCH($F18,'Gear Budget'!$A$18:$A$21,0)),1)))</f>
        <v/>
      </c>
      <c r="AB18" s="41">
        <f>IF(AA18="","",P18/AA18)</f>
        <v/>
      </c>
      <c r="AC18" s="21" t="n">
        <v>30</v>
      </c>
      <c r="AD18" s="20" t="n">
        <v>125</v>
      </c>
      <c r="AE18" s="21" t="n">
        <v>0</v>
      </c>
      <c r="AF18" s="20" t="n">
        <v>56</v>
      </c>
      <c r="AG18" s="20" t="n">
        <v>7</v>
      </c>
      <c r="AH18" s="20" t="n">
        <v>7</v>
      </c>
      <c r="AI18" s="20" t="n">
        <v>19</v>
      </c>
      <c r="AJ18" s="21" t="n">
        <v>0</v>
      </c>
      <c r="AK18" s="21" t="n">
        <v>0</v>
      </c>
      <c r="AL18" s="21" t="inlineStr">
        <is>
          <t>(none)</t>
        </is>
      </c>
      <c r="AM18" s="61">
        <f>AD18*'Item Budget'!$B$5+AH18*'Item Budget'!$B$7+AF18*'Item Budget'!$B$11+AI18*'Item Budget'!$B$10+AG18*'Item Budget'!$B$9+IFERROR(INDEX('Item Budget'!$M$25:$M$95,MATCH(AL18,'Item Budget'!$B$25:$B$95,0)),0)+IF($C18="Weapon",AK18*'Item Budget'!$B$9,0)</f>
        <v/>
      </c>
      <c r="AN18" s="61">
        <f>AD18*'Item Budget'!$B$5+AH18*'Item Budget'!$B$7+AF18*'Item Budget'!$B$11+AI18*'Item Budget'!$B$10+AE18*'Item Budget'!$B$6+AJ18*'Item Budget'!$B$8+IFERROR(INDEX('Item Budget'!$N$25:$N$95,MATCH(AL18,'Item Budget'!$B$25:$B$95,0)),0)</f>
        <v/>
      </c>
      <c r="AO18" s="61">
        <f>MAX('Item Budget'!$F$16,INDEX('Gear Budget'!$C$8:$C$14,MATCH($C18,'Gear Budget'!$A$8:$A$14,0))*MIN(AC18,50))*$L18</f>
        <v/>
      </c>
      <c r="AP18" s="41">
        <f>IF($C18="Caster weapon",AN18,MAX(AM18,AN18))/AO18</f>
        <v/>
      </c>
      <c r="AQ18" s="61">
        <f>IF(OR($C18="Weapon",$C18="Caster weapon"),"",'Gear Budget'!$B$5*MAX(1,MIN(AC18,50))*INDEX('Gear Budget'!$B$8:$B$14,MATCH($C18,'Gear Budget'!$A$8:$A$14,0))*IF($C18="Shield",IF(E18="Warrior",1,IF(OR(E18="Rogue",E18="All"),0.38/0.6,0.25/0.6)),IFERROR(INDEX('Gear Budget'!$B$18:$B$21,MATCH($F18,'Gear Budget'!$A$18:$A$21,0)),1)))</f>
        <v/>
      </c>
      <c r="AR18" s="41">
        <f>IF(AQ18="","",AF18/AQ18)</f>
        <v/>
      </c>
      <c r="AS18" s="64" t="inlineStr">
        <is>
          <t>L30 vendor: 1.85x the matching L20 vendor piece (Bronze Chestplate) so it is a clear upgrade</t>
        </is>
      </c>
      <c r="AT18" s="44">
        <f>IF(OR($E18="All",ISNUMBER(SEARCH("Warrior",$E18))),IF($C18="Caster weapon",(AN18+AF18*('Item Budget'!$AB$14-'Item Budget'!$B$11)),(AM18+AF18*('Item Budget'!$AB$14-'Item Budget'!$B$11))),0)</f>
        <v/>
      </c>
      <c r="AU18" s="44">
        <f>IF(OR($E18="All",ISNUMBER(SEARCH("Rogue",$E18))),IF($C18="Caster weapon",(AN18+AF18*('Item Budget'!$AB$15-'Item Budget'!$B$11)),(AM18+AF18*('Item Budget'!$AB$15-'Item Budget'!$B$11))),0)</f>
        <v/>
      </c>
      <c r="AV18" s="44">
        <f>IF(OR($E18="All",ISNUMBER(SEARCH("Magus",$E18))),(AN18+AF18*('Item Budget'!$AB$16-'Item Budget'!$B$11)),0)</f>
        <v/>
      </c>
      <c r="AW18" s="44">
        <f>IF(OR($E18="All",ISNUMBER(SEARCH("Priest",$E18))),(AN18+AF18*('Item Budget'!$AB$17-'Item Budget'!$B$11)),0)</f>
        <v/>
      </c>
      <c r="AX18" s="44">
        <f>IF(AND(OR($E18="All",ISNUMBER(SEARCH("Warrior",$E18))),AC18&gt;='Item Budget'!$R$10),'Item Budget'!$R$7*100*('Item Budget'!$R$14*(AD18+25*AH18)+'Item Budget'!$S$14*(AE18+25*AJ18))/'Item Budget'!$Z$14+'Item Budget'!$R$9*AF18+IFERROR(INDEX('Item Budget'!$O$25:$O$95,MATCH(AL18,'Item Budget'!$B$25:$B$95,0)),0),0)</f>
        <v/>
      </c>
      <c r="AY18" s="44">
        <f>IF(AND(OR($E18="All",ISNUMBER(SEARCH("Rogue",$E18))),AC18&gt;='Item Budget'!$R$10),'Item Budget'!$R$7*100*('Item Budget'!$R$15*(AD18+25*AH18)+'Item Budget'!$S$15*(AE18+25*AJ18))/'Item Budget'!$Z$15+'Item Budget'!$R$9*AF18+IFERROR(INDEX('Item Budget'!$O$25:$O$95,MATCH(AL18,'Item Budget'!$B$25:$B$95,0)),0),0)</f>
        <v/>
      </c>
      <c r="AZ18" s="44">
        <f>IF(AND(OR($E18="All",ISNUMBER(SEARCH("Magus",$E18))),AC18&gt;='Item Budget'!$R$10),'Item Budget'!$R$7*100*('Item Budget'!$R$16*(AD18+25*AH18)+'Item Budget'!$S$16*(AE18+25*AJ18))/'Item Budget'!$Z$16+'Item Budget'!$R$9*AF18+IFERROR(INDEX('Item Budget'!$O$25:$O$95,MATCH(AL18,'Item Budget'!$B$25:$B$95,0)),0),0)</f>
        <v/>
      </c>
      <c r="BA18" s="44">
        <f>IF(AND(OR($E18="All",ISNUMBER(SEARCH("Priest",$E18))),AC18&gt;='Item Budget'!$R$10),'Item Budget'!$R$7*100*('Item Budget'!$R$17*(AD18+25*AH18)+'Item Budget'!$S$17*(AE18+25*AJ18))/'Item Budget'!$Z$17+'Item Budget'!$R$9*AF18+IFERROR(INDEX('Item Budget'!$O$25:$O$95,MATCH(AL18,'Item Budget'!$B$25:$B$95,0)),0),0)</f>
        <v/>
      </c>
      <c r="BB18" s="52">
        <f>IF(OR($I18&lt;1,IF($I18&gt;=6,AX18,AT18)&lt;=0),"",IF(SUMPRODUCT(MAX(($C$5:$C$215=$C18)*($I$5:$I$215&gt;=1)*($I$5:$I$215&lt;$I18)*IF($I18&gt;=6,$AX$5:$AX$215,$AT$5:$AT$215)))&lt;=0,"",SUMPRODUCT(MAX(($C$5:$C$215=$C18)*($I$5:$I$215=$I18)*IF($I18&gt;=6,$AX$5:$AX$215,$AT$5:$AT$215)))/SUMPRODUCT(MAX(($C$5:$C$215=$C18)*($I$5:$I$215&gt;=1)*($I$5:$I$215&lt;$I18)*IF($I18&gt;=6,$AX$5:$AX$215,$AT$5:$AT$215)))-1))</f>
        <v/>
      </c>
      <c r="BC18" s="52">
        <f>IF(OR($I18&lt;1,IF($I18&gt;=6,AY18,AU18)&lt;=0),"",IF(SUMPRODUCT(MAX(($C$5:$C$215=$C18)*($I$5:$I$215&gt;=1)*($I$5:$I$215&lt;$I18)*IF($I18&gt;=6,$AY$5:$AY$215,$AU$5:$AU$215)))&lt;=0,"",SUMPRODUCT(MAX(($C$5:$C$215=$C18)*($I$5:$I$215=$I18)*IF($I18&gt;=6,$AY$5:$AY$215,$AU$5:$AU$215)))/SUMPRODUCT(MAX(($C$5:$C$215=$C18)*($I$5:$I$215&gt;=1)*($I$5:$I$215&lt;$I18)*IF($I18&gt;=6,$AY$5:$AY$215,$AU$5:$AU$215)))-1))</f>
        <v/>
      </c>
      <c r="BD18" s="52">
        <f>IF(OR($I18&lt;1,IF($I18&gt;=6,AZ18,AV18)&lt;=0),"",IF(SUMPRODUCT(MAX(($C$5:$C$215=$C18)*($I$5:$I$215&gt;=1)*($I$5:$I$215&lt;$I18)*IF($I18&gt;=6,$AZ$5:$AZ$215,$AV$5:$AV$215)))&lt;=0,"",SUMPRODUCT(MAX(($C$5:$C$215=$C18)*($I$5:$I$215=$I18)*IF($I18&gt;=6,$AZ$5:$AZ$215,$AV$5:$AV$215)))/SUMPRODUCT(MAX(($C$5:$C$215=$C18)*($I$5:$I$215&gt;=1)*($I$5:$I$215&lt;$I18)*IF($I18&gt;=6,$AZ$5:$AZ$215,$AV$5:$AV$215)))-1))</f>
        <v/>
      </c>
      <c r="BE18" s="52">
        <f>IF(OR($I18&lt;1,IF($I18&gt;=6,BA18,AW18)&lt;=0),"",IF(SUMPRODUCT(MAX(($C$5:$C$215=$C18)*($I$5:$I$215&gt;=1)*($I$5:$I$215&lt;$I18)*IF($I18&gt;=6,$BA$5:$BA$215,$AW$5:$AW$215)))&lt;=0,"",SUMPRODUCT(MAX(($C$5:$C$215=$C18)*($I$5:$I$215=$I18)*IF($I18&gt;=6,$BA$5:$BA$215,$AW$5:$AW$215)))/SUMPRODUCT(MAX(($C$5:$C$215=$C18)*($I$5:$I$215&gt;=1)*($I$5:$I$215&lt;$I18)*IF($I18&gt;=6,$BA$5:$BA$215,$AW$5:$AW$215)))-1))</f>
        <v/>
      </c>
      <c r="BF18" s="19">
        <f>IF(AND(BB18="",BC18="",BD18="",BE18=""),"",IF(IF(AND(ISNUMBER(BB18),BB18&lt;'Item Budget'!$R$11),"W ","")&amp;IF(AND(ISNUMBER(BC18),BC18&lt;'Item Budget'!$R$11),"R ","")&amp;IF(AND(ISNUMBER(BD18),BD18&lt;'Item Budget'!$R$11),"M ","")&amp;IF(AND(ISNUMBER(BE18),BE18&lt;'Item Budget'!$R$11),"P ","")="","OK","Not above lower step: "&amp;IF(AND(ISNUMBER(BB18),BB18&lt;'Item Budget'!$R$11),"W ","")&amp;IF(AND(ISNUMBER(BC18),BC18&lt;'Item Budget'!$R$11),"R ","")&amp;IF(AND(ISNUMBER(BD18),BD18&lt;'Item Budget'!$R$11),"M ","")&amp;IF(AND(ISNUMBER(BE18),BE18&lt;'Item Budget'!$R$11),"P ","")))</f>
        <v/>
      </c>
    </row>
    <row r="19">
      <c r="A19" s="21" t="n">
        <v>159</v>
      </c>
      <c r="B19" s="21" t="inlineStr">
        <is>
          <t>Steel Chestplate</t>
        </is>
      </c>
      <c r="C19" s="21" t="inlineStr">
        <is>
          <t>Chest</t>
        </is>
      </c>
      <c r="D19" s="21" t="inlineStr">
        <is>
          <t>Warrior</t>
        </is>
      </c>
      <c r="E19" s="21" t="inlineStr">
        <is>
          <t>Warrior</t>
        </is>
      </c>
      <c r="F19" s="21" t="inlineStr">
        <is>
          <t>Warrior plate</t>
        </is>
      </c>
      <c r="G19" s="21" t="inlineStr">
        <is>
          <t>vendor: Steel Armor Guy</t>
        </is>
      </c>
      <c r="H19" s="37" t="n">
        <v>0</v>
      </c>
      <c r="I19" s="21" t="n">
        <v>0</v>
      </c>
      <c r="J19" s="3" t="inlineStr">
        <is>
          <t>Pass 2</t>
        </is>
      </c>
      <c r="K19" s="21" t="inlineStr">
        <is>
          <t>Vendor</t>
        </is>
      </c>
      <c r="L19" s="31">
        <f>INDEX('Item Budget'!$F$5:$F$13,MATCH(K19,'Item Budget'!$E$5:$E$13,0))+IF(E19="All",0,'Item Budget'!$F$15)+LOOKUP(H19,'Item Budget'!$E$19:$E$23,'Item Budget'!$F$19:$F$23)</f>
        <v/>
      </c>
      <c r="M19" s="21" t="n">
        <v>30</v>
      </c>
      <c r="N19" s="21" t="n">
        <v>100</v>
      </c>
      <c r="O19" s="21" t="n">
        <v>0</v>
      </c>
      <c r="P19" s="21" t="n">
        <v>60</v>
      </c>
      <c r="Q19" s="21" t="n">
        <v>5</v>
      </c>
      <c r="R19" s="21" t="n">
        <v>8</v>
      </c>
      <c r="S19" s="21" t="n">
        <v>0</v>
      </c>
      <c r="T19" s="21" t="n">
        <v>0</v>
      </c>
      <c r="U19" s="21" t="n">
        <v>0</v>
      </c>
      <c r="V19" s="21" t="inlineStr">
        <is>
          <t>(none)</t>
        </is>
      </c>
      <c r="W19" s="61">
        <f>N19*'Item Budget'!$B$5+R19*'Item Budget'!$B$7+P19*'Item Budget'!$B$11+S19*'Item Budget'!$B$10+Q19*'Item Budget'!$B$9+IFERROR(INDEX('Item Budget'!$M$25:$M$95,MATCH(V19,'Item Budget'!$B$25:$B$95,0)),0)+IF($C19="Weapon",U19*'Item Budget'!$B$9,0)</f>
        <v/>
      </c>
      <c r="X19" s="61">
        <f>N19*'Item Budget'!$B$5+R19*'Item Budget'!$B$7+P19*'Item Budget'!$B$11+S19*'Item Budget'!$B$10+O19*'Item Budget'!$B$6+T19*'Item Budget'!$B$8+IFERROR(INDEX('Item Budget'!$N$25:$N$95,MATCH(V19,'Item Budget'!$B$25:$B$95,0)),0)</f>
        <v/>
      </c>
      <c r="Y19" s="61">
        <f>MAX('Item Budget'!$F$16,INDEX('Gear Budget'!$C$8:$C$14,MATCH($C19,'Gear Budget'!$A$8:$A$14,0))*MIN(M19,50))*$L19</f>
        <v/>
      </c>
      <c r="Z19" s="41">
        <f>IF($C19="Caster weapon",X19,MAX(W19,X19))/Y19</f>
        <v/>
      </c>
      <c r="AA19" s="61">
        <f>IF(OR($C19="Weapon",$C19="Caster weapon"),"",'Gear Budget'!$B$5*MAX(1,MIN(M19,50))*INDEX('Gear Budget'!$B$8:$B$14,MATCH($C19,'Gear Budget'!$A$8:$A$14,0))*IF($C19="Shield",IF(D19="Warrior",1,IF(OR(D19="Rogue",D19="All"),0.38/0.6,0.25/0.6)),IFERROR(INDEX('Gear Budget'!$B$18:$B$21,MATCH($F19,'Gear Budget'!$A$18:$A$21,0)),1)))</f>
        <v/>
      </c>
      <c r="AB19" s="41">
        <f>IF(AA19="","",P19/AA19)</f>
        <v/>
      </c>
      <c r="AC19" s="21" t="n">
        <v>30</v>
      </c>
      <c r="AD19" s="20" t="n">
        <v>120</v>
      </c>
      <c r="AE19" s="21" t="n">
        <v>0</v>
      </c>
      <c r="AF19" s="20" t="n">
        <v>72</v>
      </c>
      <c r="AG19" s="20" t="n">
        <v>6</v>
      </c>
      <c r="AH19" s="20" t="n">
        <v>10</v>
      </c>
      <c r="AI19" s="21" t="n">
        <v>0</v>
      </c>
      <c r="AJ19" s="21" t="n">
        <v>0</v>
      </c>
      <c r="AK19" s="21" t="n">
        <v>0</v>
      </c>
      <c r="AL19" s="21" t="inlineStr">
        <is>
          <t>(none)</t>
        </is>
      </c>
      <c r="AM19" s="61">
        <f>AD19*'Item Budget'!$B$5+AH19*'Item Budget'!$B$7+AF19*'Item Budget'!$B$11+AI19*'Item Budget'!$B$10+AG19*'Item Budget'!$B$9+IFERROR(INDEX('Item Budget'!$M$25:$M$95,MATCH(AL19,'Item Budget'!$B$25:$B$95,0)),0)+IF($C19="Weapon",AK19*'Item Budget'!$B$9,0)</f>
        <v/>
      </c>
      <c r="AN19" s="61">
        <f>AD19*'Item Budget'!$B$5+AH19*'Item Budget'!$B$7+AF19*'Item Budget'!$B$11+AI19*'Item Budget'!$B$10+AE19*'Item Budget'!$B$6+AJ19*'Item Budget'!$B$8+IFERROR(INDEX('Item Budget'!$N$25:$N$95,MATCH(AL19,'Item Budget'!$B$25:$B$95,0)),0)</f>
        <v/>
      </c>
      <c r="AO19" s="61">
        <f>MAX('Item Budget'!$F$16,INDEX('Gear Budget'!$C$8:$C$14,MATCH($C19,'Gear Budget'!$A$8:$A$14,0))*MIN(AC19,50))*$L19</f>
        <v/>
      </c>
      <c r="AP19" s="41">
        <f>IF($C19="Caster weapon",AN19,MAX(AM19,AN19))/AO19</f>
        <v/>
      </c>
      <c r="AQ19" s="61">
        <f>IF(OR($C19="Weapon",$C19="Caster weapon"),"",'Gear Budget'!$B$5*MAX(1,MIN(AC19,50))*INDEX('Gear Budget'!$B$8:$B$14,MATCH($C19,'Gear Budget'!$A$8:$A$14,0))*IF($C19="Shield",IF(E19="Warrior",1,IF(OR(E19="Rogue",E19="All"),0.38/0.6,0.25/0.6)),IFERROR(INDEX('Gear Budget'!$B$18:$B$21,MATCH($F19,'Gear Budget'!$A$18:$A$21,0)),1)))</f>
        <v/>
      </c>
      <c r="AR19" s="41">
        <f>IF(AQ19="","",AF19/AQ19)</f>
        <v/>
      </c>
      <c r="AS19" s="64" t="inlineStr">
        <is>
          <t>L30 vendor: 1.85x the matching L20 vendor piece (Bronze Chestplate) so it is a clear upgrade</t>
        </is>
      </c>
      <c r="AT19" s="44">
        <f>IF(OR($E19="All",ISNUMBER(SEARCH("Warrior",$E19))),IF($C19="Caster weapon",(AN19+AF19*('Item Budget'!$AB$14-'Item Budget'!$B$11)),(AM19+AF19*('Item Budget'!$AB$14-'Item Budget'!$B$11))),0)</f>
        <v/>
      </c>
      <c r="AU19" s="44">
        <f>IF(OR($E19="All",ISNUMBER(SEARCH("Rogue",$E19))),IF($C19="Caster weapon",(AN19+AF19*('Item Budget'!$AB$15-'Item Budget'!$B$11)),(AM19+AF19*('Item Budget'!$AB$15-'Item Budget'!$B$11))),0)</f>
        <v/>
      </c>
      <c r="AV19" s="44">
        <f>IF(OR($E19="All",ISNUMBER(SEARCH("Magus",$E19))),(AN19+AF19*('Item Budget'!$AB$16-'Item Budget'!$B$11)),0)</f>
        <v/>
      </c>
      <c r="AW19" s="44">
        <f>IF(OR($E19="All",ISNUMBER(SEARCH("Priest",$E19))),(AN19+AF19*('Item Budget'!$AB$17-'Item Budget'!$B$11)),0)</f>
        <v/>
      </c>
      <c r="AX19" s="44">
        <f>IF(AND(OR($E19="All",ISNUMBER(SEARCH("Warrior",$E19))),AC19&gt;='Item Budget'!$R$10),'Item Budget'!$R$7*100*('Item Budget'!$R$14*(AD19+25*AH19)+'Item Budget'!$S$14*(AE19+25*AJ19))/'Item Budget'!$Z$14+'Item Budget'!$R$9*AF19+IFERROR(INDEX('Item Budget'!$O$25:$O$95,MATCH(AL19,'Item Budget'!$B$25:$B$95,0)),0),0)</f>
        <v/>
      </c>
      <c r="AY19" s="44">
        <f>IF(AND(OR($E19="All",ISNUMBER(SEARCH("Rogue",$E19))),AC19&gt;='Item Budget'!$R$10),'Item Budget'!$R$7*100*('Item Budget'!$R$15*(AD19+25*AH19)+'Item Budget'!$S$15*(AE19+25*AJ19))/'Item Budget'!$Z$15+'Item Budget'!$R$9*AF19+IFERROR(INDEX('Item Budget'!$O$25:$O$95,MATCH(AL19,'Item Budget'!$B$25:$B$95,0)),0),0)</f>
        <v/>
      </c>
      <c r="AZ19" s="44">
        <f>IF(AND(OR($E19="All",ISNUMBER(SEARCH("Magus",$E19))),AC19&gt;='Item Budget'!$R$10),'Item Budget'!$R$7*100*('Item Budget'!$R$16*(AD19+25*AH19)+'Item Budget'!$S$16*(AE19+25*AJ19))/'Item Budget'!$Z$16+'Item Budget'!$R$9*AF19+IFERROR(INDEX('Item Budget'!$O$25:$O$95,MATCH(AL19,'Item Budget'!$B$25:$B$95,0)),0),0)</f>
        <v/>
      </c>
      <c r="BA19" s="44">
        <f>IF(AND(OR($E19="All",ISNUMBER(SEARCH("Priest",$E19))),AC19&gt;='Item Budget'!$R$10),'Item Budget'!$R$7*100*('Item Budget'!$R$17*(AD19+25*AH19)+'Item Budget'!$S$17*(AE19+25*AJ19))/'Item Budget'!$Z$17+'Item Budget'!$R$9*AF19+IFERROR(INDEX('Item Budget'!$O$25:$O$95,MATCH(AL19,'Item Budget'!$B$25:$B$95,0)),0),0)</f>
        <v/>
      </c>
      <c r="BB19" s="52">
        <f>IF(OR($I19&lt;1,IF($I19&gt;=6,AX19,AT19)&lt;=0),"",IF(SUMPRODUCT(MAX(($C$5:$C$215=$C19)*($I$5:$I$215&gt;=1)*($I$5:$I$215&lt;$I19)*IF($I19&gt;=6,$AX$5:$AX$215,$AT$5:$AT$215)))&lt;=0,"",SUMPRODUCT(MAX(($C$5:$C$215=$C19)*($I$5:$I$215=$I19)*IF($I19&gt;=6,$AX$5:$AX$215,$AT$5:$AT$215)))/SUMPRODUCT(MAX(($C$5:$C$215=$C19)*($I$5:$I$215&gt;=1)*($I$5:$I$215&lt;$I19)*IF($I19&gt;=6,$AX$5:$AX$215,$AT$5:$AT$215)))-1))</f>
        <v/>
      </c>
      <c r="BC19" s="52">
        <f>IF(OR($I19&lt;1,IF($I19&gt;=6,AY19,AU19)&lt;=0),"",IF(SUMPRODUCT(MAX(($C$5:$C$215=$C19)*($I$5:$I$215&gt;=1)*($I$5:$I$215&lt;$I19)*IF($I19&gt;=6,$AY$5:$AY$215,$AU$5:$AU$215)))&lt;=0,"",SUMPRODUCT(MAX(($C$5:$C$215=$C19)*($I$5:$I$215=$I19)*IF($I19&gt;=6,$AY$5:$AY$215,$AU$5:$AU$215)))/SUMPRODUCT(MAX(($C$5:$C$215=$C19)*($I$5:$I$215&gt;=1)*($I$5:$I$215&lt;$I19)*IF($I19&gt;=6,$AY$5:$AY$215,$AU$5:$AU$215)))-1))</f>
        <v/>
      </c>
      <c r="BD19" s="52">
        <f>IF(OR($I19&lt;1,IF($I19&gt;=6,AZ19,AV19)&lt;=0),"",IF(SUMPRODUCT(MAX(($C$5:$C$215=$C19)*($I$5:$I$215&gt;=1)*($I$5:$I$215&lt;$I19)*IF($I19&gt;=6,$AZ$5:$AZ$215,$AV$5:$AV$215)))&lt;=0,"",SUMPRODUCT(MAX(($C$5:$C$215=$C19)*($I$5:$I$215=$I19)*IF($I19&gt;=6,$AZ$5:$AZ$215,$AV$5:$AV$215)))/SUMPRODUCT(MAX(($C$5:$C$215=$C19)*($I$5:$I$215&gt;=1)*($I$5:$I$215&lt;$I19)*IF($I19&gt;=6,$AZ$5:$AZ$215,$AV$5:$AV$215)))-1))</f>
        <v/>
      </c>
      <c r="BE19" s="52">
        <f>IF(OR($I19&lt;1,IF($I19&gt;=6,BA19,AW19)&lt;=0),"",IF(SUMPRODUCT(MAX(($C$5:$C$215=$C19)*($I$5:$I$215&gt;=1)*($I$5:$I$215&lt;$I19)*IF($I19&gt;=6,$BA$5:$BA$215,$AW$5:$AW$215)))&lt;=0,"",SUMPRODUCT(MAX(($C$5:$C$215=$C19)*($I$5:$I$215=$I19)*IF($I19&gt;=6,$BA$5:$BA$215,$AW$5:$AW$215)))/SUMPRODUCT(MAX(($C$5:$C$215=$C19)*($I$5:$I$215&gt;=1)*($I$5:$I$215&lt;$I19)*IF($I19&gt;=6,$BA$5:$BA$215,$AW$5:$AW$215)))-1))</f>
        <v/>
      </c>
      <c r="BF19" s="19">
        <f>IF(AND(BB19="",BC19="",BD19="",BE19=""),"",IF(IF(AND(ISNUMBER(BB19),BB19&lt;'Item Budget'!$R$11),"W ","")&amp;IF(AND(ISNUMBER(BC19),BC19&lt;'Item Budget'!$R$11),"R ","")&amp;IF(AND(ISNUMBER(BD19),BD19&lt;'Item Budget'!$R$11),"M ","")&amp;IF(AND(ISNUMBER(BE19),BE19&lt;'Item Budget'!$R$11),"P ","")="","OK","Not above lower step: "&amp;IF(AND(ISNUMBER(BB19),BB19&lt;'Item Budget'!$R$11),"W ","")&amp;IF(AND(ISNUMBER(BC19),BC19&lt;'Item Budget'!$R$11),"R ","")&amp;IF(AND(ISNUMBER(BD19),BD19&lt;'Item Budget'!$R$11),"M ","")&amp;IF(AND(ISNUMBER(BE19),BE19&lt;'Item Budget'!$R$11),"P ","")))</f>
        <v/>
      </c>
    </row>
    <row r="20">
      <c r="A20" s="53" t="n">
        <v>700</v>
      </c>
      <c r="B20" s="53" t="inlineStr">
        <is>
          <t>Woven Silk Tunic</t>
        </is>
      </c>
      <c r="C20" s="53" t="inlineStr">
        <is>
          <t>Chest</t>
        </is>
      </c>
      <c r="D20" s="53" t="inlineStr">
        <is>
          <t>Magus/Priest</t>
        </is>
      </c>
      <c r="E20" s="21" t="inlineStr">
        <is>
          <t>Magus/Priest</t>
        </is>
      </c>
      <c r="F20" s="53" t="inlineStr">
        <is>
          <t>Caster cloth</t>
        </is>
      </c>
      <c r="G20" s="53" t="inlineStr">
        <is>
          <t>vendor: Silk Armor Guy</t>
        </is>
      </c>
      <c r="H20" s="54" t="n">
        <v>0</v>
      </c>
      <c r="I20" s="53" t="n">
        <v>0</v>
      </c>
      <c r="J20" s="55" t="inlineStr">
        <is>
          <t>Pass 2</t>
        </is>
      </c>
      <c r="K20" s="53" t="inlineStr">
        <is>
          <t>Vendor</t>
        </is>
      </c>
      <c r="L20" s="56">
        <f>INDEX('Item Budget'!$F$5:$F$13,MATCH(K20,'Item Budget'!$E$5:$E$13,0))+IF(E20="All",0,'Item Budget'!$F$15)+LOOKUP(H20,'Item Budget'!$E$19:$E$23,'Item Budget'!$F$19:$F$23)</f>
        <v/>
      </c>
      <c r="M20" s="21" t="n">
        <v>30</v>
      </c>
      <c r="N20" s="21" t="n">
        <v>75</v>
      </c>
      <c r="O20" s="21" t="n">
        <v>150</v>
      </c>
      <c r="P20" s="21" t="n">
        <v>30</v>
      </c>
      <c r="Q20" s="21" t="n">
        <v>0</v>
      </c>
      <c r="R20" s="21" t="n">
        <v>6</v>
      </c>
      <c r="S20" s="21" t="n">
        <v>0</v>
      </c>
      <c r="T20" s="21" t="n">
        <v>14</v>
      </c>
      <c r="U20" s="21" t="n">
        <v>0</v>
      </c>
      <c r="V20" s="21" t="inlineStr">
        <is>
          <t>(none)</t>
        </is>
      </c>
      <c r="W20" s="61">
        <f>N20*'Item Budget'!$B$5+R20*'Item Budget'!$B$7+P20*'Item Budget'!$B$11+S20*'Item Budget'!$B$10+Q20*'Item Budget'!$B$9+IFERROR(INDEX('Item Budget'!$M$25:$M$95,MATCH(V20,'Item Budget'!$B$25:$B$95,0)),0)+IF($C20="Weapon",U20*'Item Budget'!$B$9,0)</f>
        <v/>
      </c>
      <c r="X20" s="61">
        <f>N20*'Item Budget'!$B$5+R20*'Item Budget'!$B$7+P20*'Item Budget'!$B$11+S20*'Item Budget'!$B$10+O20*'Item Budget'!$B$6+T20*'Item Budget'!$B$8+IFERROR(INDEX('Item Budget'!$N$25:$N$95,MATCH(V20,'Item Budget'!$B$25:$B$95,0)),0)</f>
        <v/>
      </c>
      <c r="Y20" s="61">
        <f>MAX('Item Budget'!$F$16,INDEX('Gear Budget'!$C$8:$C$14,MATCH($C20,'Gear Budget'!$A$8:$A$14,0))*MIN(M20,50))*$L20</f>
        <v/>
      </c>
      <c r="Z20" s="41">
        <f>IF($C20="Caster weapon",X20,MAX(W20,X20))/Y20</f>
        <v/>
      </c>
      <c r="AA20" s="61">
        <f>IF(OR($C20="Weapon",$C20="Caster weapon"),"",'Gear Budget'!$B$5*MAX(1,MIN(M20,50))*INDEX('Gear Budget'!$B$8:$B$14,MATCH($C20,'Gear Budget'!$A$8:$A$14,0))*IF($C20="Shield",IF(D20="Warrior",1,IF(OR(D20="Rogue",D20="All"),0.38/0.6,0.25/0.6)),IFERROR(INDEX('Gear Budget'!$B$18:$B$21,MATCH($F20,'Gear Budget'!$A$18:$A$21,0)),1)))</f>
        <v/>
      </c>
      <c r="AB20" s="41">
        <f>IF(AA20="","",P20/AA20)</f>
        <v/>
      </c>
      <c r="AC20" s="21" t="n">
        <v>30</v>
      </c>
      <c r="AD20" s="20" t="n">
        <v>95</v>
      </c>
      <c r="AE20" s="20" t="n">
        <v>190</v>
      </c>
      <c r="AF20" s="20" t="n">
        <v>38</v>
      </c>
      <c r="AG20" s="21" t="n">
        <v>0</v>
      </c>
      <c r="AH20" s="20" t="n">
        <v>8</v>
      </c>
      <c r="AI20" s="21" t="n">
        <v>0</v>
      </c>
      <c r="AJ20" s="20" t="n">
        <v>18</v>
      </c>
      <c r="AK20" s="21" t="n">
        <v>0</v>
      </c>
      <c r="AL20" s="21" t="inlineStr">
        <is>
          <t>(none)</t>
        </is>
      </c>
      <c r="AM20" s="61">
        <f>AD20*'Item Budget'!$B$5+AH20*'Item Budget'!$B$7+AF20*'Item Budget'!$B$11+AI20*'Item Budget'!$B$10+AG20*'Item Budget'!$B$9+IFERROR(INDEX('Item Budget'!$M$25:$M$95,MATCH(AL20,'Item Budget'!$B$25:$B$95,0)),0)+IF($C20="Weapon",AK20*'Item Budget'!$B$9,0)</f>
        <v/>
      </c>
      <c r="AN20" s="61">
        <f>AD20*'Item Budget'!$B$5+AH20*'Item Budget'!$B$7+AF20*'Item Budget'!$B$11+AI20*'Item Budget'!$B$10+AE20*'Item Budget'!$B$6+AJ20*'Item Budget'!$B$8+IFERROR(INDEX('Item Budget'!$N$25:$N$95,MATCH(AL20,'Item Budget'!$B$25:$B$95,0)),0)</f>
        <v/>
      </c>
      <c r="AO20" s="61">
        <f>MAX('Item Budget'!$F$16,INDEX('Gear Budget'!$C$8:$C$14,MATCH($C20,'Gear Budget'!$A$8:$A$14,0))*MIN(AC20,50))*$L20</f>
        <v/>
      </c>
      <c r="AP20" s="41">
        <f>IF($C20="Caster weapon",AN20,MAX(AM20,AN20))/AO20</f>
        <v/>
      </c>
      <c r="AQ20" s="61">
        <f>IF(OR($C20="Weapon",$C20="Caster weapon"),"",'Gear Budget'!$B$5*MAX(1,MIN(AC20,50))*INDEX('Gear Budget'!$B$8:$B$14,MATCH($C20,'Gear Budget'!$A$8:$A$14,0))*IF($C20="Shield",IF(E20="Warrior",1,IF(OR(E20="Rogue",E20="All"),0.38/0.6,0.25/0.6)),IFERROR(INDEX('Gear Budget'!$B$18:$B$21,MATCH($F20,'Gear Budget'!$A$18:$A$21,0)),1)))</f>
        <v/>
      </c>
      <c r="AR20" s="41">
        <f>IF(AQ20="","",AF20/AQ20)</f>
        <v/>
      </c>
      <c r="AS20" s="64" t="inlineStr">
        <is>
          <t>L30 vendor: 1.85x the matching L20 vendor piece (Silk Tunic) so it is a clear upgrade</t>
        </is>
      </c>
      <c r="AT20" s="44">
        <f>IF(OR($E20="All",ISNUMBER(SEARCH("Warrior",$E20))),IF($C20="Caster weapon",(AN20+AF20*('Item Budget'!$AB$14-'Item Budget'!$B$11)),(AM20+AF20*('Item Budget'!$AB$14-'Item Budget'!$B$11))),0)</f>
        <v/>
      </c>
      <c r="AU20" s="44">
        <f>IF(OR($E20="All",ISNUMBER(SEARCH("Rogue",$E20))),IF($C20="Caster weapon",(AN20+AF20*('Item Budget'!$AB$15-'Item Budget'!$B$11)),(AM20+AF20*('Item Budget'!$AB$15-'Item Budget'!$B$11))),0)</f>
        <v/>
      </c>
      <c r="AV20" s="44">
        <f>IF(OR($E20="All",ISNUMBER(SEARCH("Magus",$E20))),(AN20+AF20*('Item Budget'!$AB$16-'Item Budget'!$B$11)),0)</f>
        <v/>
      </c>
      <c r="AW20" s="44">
        <f>IF(OR($E20="All",ISNUMBER(SEARCH("Priest",$E20))),(AN20+AF20*('Item Budget'!$AB$17-'Item Budget'!$B$11)),0)</f>
        <v/>
      </c>
      <c r="AX20" s="44">
        <f>IF(AND(OR($E20="All",ISNUMBER(SEARCH("Warrior",$E20))),AC20&gt;='Item Budget'!$R$10),'Item Budget'!$R$7*100*('Item Budget'!$R$14*(AD20+25*AH20)+'Item Budget'!$S$14*(AE20+25*AJ20))/'Item Budget'!$Z$14+'Item Budget'!$R$9*AF20+IFERROR(INDEX('Item Budget'!$O$25:$O$95,MATCH(AL20,'Item Budget'!$B$25:$B$95,0)),0),0)</f>
        <v/>
      </c>
      <c r="AY20" s="44">
        <f>IF(AND(OR($E20="All",ISNUMBER(SEARCH("Rogue",$E20))),AC20&gt;='Item Budget'!$R$10),'Item Budget'!$R$7*100*('Item Budget'!$R$15*(AD20+25*AH20)+'Item Budget'!$S$15*(AE20+25*AJ20))/'Item Budget'!$Z$15+'Item Budget'!$R$9*AF20+IFERROR(INDEX('Item Budget'!$O$25:$O$95,MATCH(AL20,'Item Budget'!$B$25:$B$95,0)),0),0)</f>
        <v/>
      </c>
      <c r="AZ20" s="44">
        <f>IF(AND(OR($E20="All",ISNUMBER(SEARCH("Magus",$E20))),AC20&gt;='Item Budget'!$R$10),'Item Budget'!$R$7*100*('Item Budget'!$R$16*(AD20+25*AH20)+'Item Budget'!$S$16*(AE20+25*AJ20))/'Item Budget'!$Z$16+'Item Budget'!$R$9*AF20+IFERROR(INDEX('Item Budget'!$O$25:$O$95,MATCH(AL20,'Item Budget'!$B$25:$B$95,0)),0),0)</f>
        <v/>
      </c>
      <c r="BA20" s="44">
        <f>IF(AND(OR($E20="All",ISNUMBER(SEARCH("Priest",$E20))),AC20&gt;='Item Budget'!$R$10),'Item Budget'!$R$7*100*('Item Budget'!$R$17*(AD20+25*AH20)+'Item Budget'!$S$17*(AE20+25*AJ20))/'Item Budget'!$Z$17+'Item Budget'!$R$9*AF20+IFERROR(INDEX('Item Budget'!$O$25:$O$95,MATCH(AL20,'Item Budget'!$B$25:$B$95,0)),0),0)</f>
        <v/>
      </c>
      <c r="BB20" s="52">
        <f>IF(OR($I20&lt;1,IF($I20&gt;=6,AX20,AT20)&lt;=0),"",IF(SUMPRODUCT(MAX(($C$5:$C$215=$C20)*($I$5:$I$215&gt;=1)*($I$5:$I$215&lt;$I20)*IF($I20&gt;=6,$AX$5:$AX$215,$AT$5:$AT$215)))&lt;=0,"",SUMPRODUCT(MAX(($C$5:$C$215=$C20)*($I$5:$I$215=$I20)*IF($I20&gt;=6,$AX$5:$AX$215,$AT$5:$AT$215)))/SUMPRODUCT(MAX(($C$5:$C$215=$C20)*($I$5:$I$215&gt;=1)*($I$5:$I$215&lt;$I20)*IF($I20&gt;=6,$AX$5:$AX$215,$AT$5:$AT$215)))-1))</f>
        <v/>
      </c>
      <c r="BC20" s="52">
        <f>IF(OR($I20&lt;1,IF($I20&gt;=6,AY20,AU20)&lt;=0),"",IF(SUMPRODUCT(MAX(($C$5:$C$215=$C20)*($I$5:$I$215&gt;=1)*($I$5:$I$215&lt;$I20)*IF($I20&gt;=6,$AY$5:$AY$215,$AU$5:$AU$215)))&lt;=0,"",SUMPRODUCT(MAX(($C$5:$C$215=$C20)*($I$5:$I$215=$I20)*IF($I20&gt;=6,$AY$5:$AY$215,$AU$5:$AU$215)))/SUMPRODUCT(MAX(($C$5:$C$215=$C20)*($I$5:$I$215&gt;=1)*($I$5:$I$215&lt;$I20)*IF($I20&gt;=6,$AY$5:$AY$215,$AU$5:$AU$215)))-1))</f>
        <v/>
      </c>
      <c r="BD20" s="52">
        <f>IF(OR($I20&lt;1,IF($I20&gt;=6,AZ20,AV20)&lt;=0),"",IF(SUMPRODUCT(MAX(($C$5:$C$215=$C20)*($I$5:$I$215&gt;=1)*($I$5:$I$215&lt;$I20)*IF($I20&gt;=6,$AZ$5:$AZ$215,$AV$5:$AV$215)))&lt;=0,"",SUMPRODUCT(MAX(($C$5:$C$215=$C20)*($I$5:$I$215=$I20)*IF($I20&gt;=6,$AZ$5:$AZ$215,$AV$5:$AV$215)))/SUMPRODUCT(MAX(($C$5:$C$215=$C20)*($I$5:$I$215&gt;=1)*($I$5:$I$215&lt;$I20)*IF($I20&gt;=6,$AZ$5:$AZ$215,$AV$5:$AV$215)))-1))</f>
        <v/>
      </c>
      <c r="BE20" s="52">
        <f>IF(OR($I20&lt;1,IF($I20&gt;=6,BA20,AW20)&lt;=0),"",IF(SUMPRODUCT(MAX(($C$5:$C$215=$C20)*($I$5:$I$215&gt;=1)*($I$5:$I$215&lt;$I20)*IF($I20&gt;=6,$BA$5:$BA$215,$AW$5:$AW$215)))&lt;=0,"",SUMPRODUCT(MAX(($C$5:$C$215=$C20)*($I$5:$I$215=$I20)*IF($I20&gt;=6,$BA$5:$BA$215,$AW$5:$AW$215)))/SUMPRODUCT(MAX(($C$5:$C$215=$C20)*($I$5:$I$215&gt;=1)*($I$5:$I$215&lt;$I20)*IF($I20&gt;=6,$BA$5:$BA$215,$AW$5:$AW$215)))-1))</f>
        <v/>
      </c>
      <c r="BF20" s="19">
        <f>IF(AND(BB20="",BC20="",BD20="",BE20=""),"",IF(IF(AND(ISNUMBER(BB20),BB20&lt;'Item Budget'!$R$11),"W ","")&amp;IF(AND(ISNUMBER(BC20),BC20&lt;'Item Budget'!$R$11),"R ","")&amp;IF(AND(ISNUMBER(BD20),BD20&lt;'Item Budget'!$R$11),"M ","")&amp;IF(AND(ISNUMBER(BE20),BE20&lt;'Item Budget'!$R$11),"P ","")="","OK","Not above lower step: "&amp;IF(AND(ISNUMBER(BB20),BB20&lt;'Item Budget'!$R$11),"W ","")&amp;IF(AND(ISNUMBER(BC20),BC20&lt;'Item Budget'!$R$11),"R ","")&amp;IF(AND(ISNUMBER(BD20),BD20&lt;'Item Budget'!$R$11),"M ","")&amp;IF(AND(ISNUMBER(BE20),BE20&lt;'Item Budget'!$R$11),"P ","")))</f>
        <v/>
      </c>
    </row>
    <row r="21">
      <c r="A21" s="21" t="n">
        <v>226</v>
      </c>
      <c r="B21" s="21" t="inlineStr">
        <is>
          <t>Priests Tunic</t>
        </is>
      </c>
      <c r="C21" s="21" t="inlineStr">
        <is>
          <t>Chest</t>
        </is>
      </c>
      <c r="D21" s="21" t="inlineStr">
        <is>
          <t>Priest</t>
        </is>
      </c>
      <c r="E21" s="21" t="inlineStr">
        <is>
          <t>Priest</t>
        </is>
      </c>
      <c r="F21" s="21" t="inlineStr">
        <is>
          <t>Caster cloth</t>
        </is>
      </c>
      <c r="G21" s="21" t="inlineStr">
        <is>
          <t>drop: Ecto 7%</t>
        </is>
      </c>
      <c r="H21" s="37" t="n">
        <v>0</v>
      </c>
      <c r="I21" s="21" t="n">
        <v>0</v>
      </c>
      <c r="J21" s="3" t="inlineStr">
        <is>
          <t>Pass 2</t>
        </is>
      </c>
      <c r="K21" s="21" t="inlineStr">
        <is>
          <t>Rare boss drop</t>
        </is>
      </c>
      <c r="L21" s="31">
        <f>INDEX('Item Budget'!$F$5:$F$13,MATCH(K21,'Item Budget'!$E$5:$E$13,0))+IF(E21="All",0,'Item Budget'!$F$15)+LOOKUP(H21,'Item Budget'!$E$19:$E$23,'Item Budget'!$F$19:$F$23)</f>
        <v/>
      </c>
      <c r="M21" s="21" t="n">
        <v>40</v>
      </c>
      <c r="N21" s="21" t="n">
        <v>250</v>
      </c>
      <c r="O21" s="21" t="n">
        <v>350</v>
      </c>
      <c r="P21" s="21" t="n">
        <v>45</v>
      </c>
      <c r="Q21" s="21" t="n">
        <v>0</v>
      </c>
      <c r="R21" s="21" t="n">
        <v>14</v>
      </c>
      <c r="S21" s="21" t="n">
        <v>0</v>
      </c>
      <c r="T21" s="21" t="n">
        <v>22</v>
      </c>
      <c r="U21" s="21" t="n">
        <v>0</v>
      </c>
      <c r="V21" s="21" t="inlineStr">
        <is>
          <t>(none)</t>
        </is>
      </c>
      <c r="W21" s="61">
        <f>N21*'Item Budget'!$B$5+R21*'Item Budget'!$B$7+P21*'Item Budget'!$B$11+S21*'Item Budget'!$B$10+Q21*'Item Budget'!$B$9+IFERROR(INDEX('Item Budget'!$M$25:$M$95,MATCH(V21,'Item Budget'!$B$25:$B$95,0)),0)+IF($C21="Weapon",U21*'Item Budget'!$B$9,0)</f>
        <v/>
      </c>
      <c r="X21" s="61">
        <f>N21*'Item Budget'!$B$5+R21*'Item Budget'!$B$7+P21*'Item Budget'!$B$11+S21*'Item Budget'!$B$10+O21*'Item Budget'!$B$6+T21*'Item Budget'!$B$8+IFERROR(INDEX('Item Budget'!$N$25:$N$95,MATCH(V21,'Item Budget'!$B$25:$B$95,0)),0)</f>
        <v/>
      </c>
      <c r="Y21" s="61">
        <f>MAX('Item Budget'!$F$16,INDEX('Gear Budget'!$C$8:$C$14,MATCH($C21,'Gear Budget'!$A$8:$A$14,0))*MIN(M21,50))*$L21</f>
        <v/>
      </c>
      <c r="Z21" s="41">
        <f>IF($C21="Caster weapon",X21,MAX(W21,X21))/Y21</f>
        <v/>
      </c>
      <c r="AA21" s="61">
        <f>IF(OR($C21="Weapon",$C21="Caster weapon"),"",'Gear Budget'!$B$5*MAX(1,MIN(M21,50))*INDEX('Gear Budget'!$B$8:$B$14,MATCH($C21,'Gear Budget'!$A$8:$A$14,0))*IF($C21="Shield",IF(D21="Warrior",1,IF(OR(D21="Rogue",D21="All"),0.38/0.6,0.25/0.6)),IFERROR(INDEX('Gear Budget'!$B$18:$B$21,MATCH($F21,'Gear Budget'!$A$18:$A$21,0)),1)))</f>
        <v/>
      </c>
      <c r="AB21" s="41">
        <f>IF(AA21="","",P21/AA21)</f>
        <v/>
      </c>
      <c r="AC21" s="21" t="n">
        <v>40</v>
      </c>
      <c r="AD21" s="20" t="n">
        <v>225</v>
      </c>
      <c r="AE21" s="20" t="n">
        <v>325</v>
      </c>
      <c r="AF21" s="20" t="n">
        <v>42</v>
      </c>
      <c r="AG21" s="21" t="n">
        <v>0</v>
      </c>
      <c r="AH21" s="20" t="n">
        <v>13</v>
      </c>
      <c r="AI21" s="21" t="n">
        <v>0</v>
      </c>
      <c r="AJ21" s="20" t="n">
        <v>20</v>
      </c>
      <c r="AK21" s="21" t="n">
        <v>0</v>
      </c>
      <c r="AL21" s="21" t="inlineStr">
        <is>
          <t>(none)</t>
        </is>
      </c>
      <c r="AM21" s="61">
        <f>AD21*'Item Budget'!$B$5+AH21*'Item Budget'!$B$7+AF21*'Item Budget'!$B$11+AI21*'Item Budget'!$B$10+AG21*'Item Budget'!$B$9+IFERROR(INDEX('Item Budget'!$M$25:$M$95,MATCH(AL21,'Item Budget'!$B$25:$B$95,0)),0)+IF($C21="Weapon",AK21*'Item Budget'!$B$9,0)</f>
        <v/>
      </c>
      <c r="AN21" s="61">
        <f>AD21*'Item Budget'!$B$5+AH21*'Item Budget'!$B$7+AF21*'Item Budget'!$B$11+AI21*'Item Budget'!$B$10+AE21*'Item Budget'!$B$6+AJ21*'Item Budget'!$B$8+IFERROR(INDEX('Item Budget'!$N$25:$N$95,MATCH(AL21,'Item Budget'!$B$25:$B$95,0)),0)</f>
        <v/>
      </c>
      <c r="AO21" s="61">
        <f>MAX('Item Budget'!$F$16,INDEX('Gear Budget'!$C$8:$C$14,MATCH($C21,'Gear Budget'!$A$8:$A$14,0))*MIN(AC21,50))*$L21</f>
        <v/>
      </c>
      <c r="AP21" s="41">
        <f>IF($C21="Caster weapon",AN21,MAX(AM21,AN21))/AO21</f>
        <v/>
      </c>
      <c r="AQ21" s="61">
        <f>IF(OR($C21="Weapon",$C21="Caster weapon"),"",'Gear Budget'!$B$5*MAX(1,MIN(AC21,50))*INDEX('Gear Budget'!$B$8:$B$14,MATCH($C21,'Gear Budget'!$A$8:$A$14,0))*IF($C21="Shield",IF(E21="Warrior",1,IF(OR(E21="Rogue",E21="All"),0.38/0.6,0.25/0.6)),IFERROR(INDEX('Gear Budget'!$B$18:$B$21,MATCH($F21,'Gear Budget'!$A$18:$A$21,0)),1)))</f>
        <v/>
      </c>
      <c r="AR21" s="41">
        <f>IF(AQ21="","",AF21/AQ21)</f>
        <v/>
      </c>
      <c r="AS21" s="64" t="inlineStr">
        <is>
          <t>L40 boss set: lowered so Punchy is a clear (+25%) upgrade</t>
        </is>
      </c>
      <c r="AT21" s="44">
        <f>IF(OR($E21="All",ISNUMBER(SEARCH("Warrior",$E21))),IF($C21="Caster weapon",(AN21+AF21*('Item Budget'!$AB$14-'Item Budget'!$B$11)),(AM21+AF21*('Item Budget'!$AB$14-'Item Budget'!$B$11))),0)</f>
        <v/>
      </c>
      <c r="AU21" s="44">
        <f>IF(OR($E21="All",ISNUMBER(SEARCH("Rogue",$E21))),IF($C21="Caster weapon",(AN21+AF21*('Item Budget'!$AB$15-'Item Budget'!$B$11)),(AM21+AF21*('Item Budget'!$AB$15-'Item Budget'!$B$11))),0)</f>
        <v/>
      </c>
      <c r="AV21" s="44">
        <f>IF(OR($E21="All",ISNUMBER(SEARCH("Magus",$E21))),(AN21+AF21*('Item Budget'!$AB$16-'Item Budget'!$B$11)),0)</f>
        <v/>
      </c>
      <c r="AW21" s="44">
        <f>IF(OR($E21="All",ISNUMBER(SEARCH("Priest",$E21))),(AN21+AF21*('Item Budget'!$AB$17-'Item Budget'!$B$11)),0)</f>
        <v/>
      </c>
      <c r="AX21" s="44">
        <f>IF(AND(OR($E21="All",ISNUMBER(SEARCH("Warrior",$E21))),AC21&gt;='Item Budget'!$R$10),'Item Budget'!$R$7*100*('Item Budget'!$R$14*(AD21+25*AH21)+'Item Budget'!$S$14*(AE21+25*AJ21))/'Item Budget'!$Z$14+'Item Budget'!$R$9*AF21+IFERROR(INDEX('Item Budget'!$O$25:$O$95,MATCH(AL21,'Item Budget'!$B$25:$B$95,0)),0),0)</f>
        <v/>
      </c>
      <c r="AY21" s="44">
        <f>IF(AND(OR($E21="All",ISNUMBER(SEARCH("Rogue",$E21))),AC21&gt;='Item Budget'!$R$10),'Item Budget'!$R$7*100*('Item Budget'!$R$15*(AD21+25*AH21)+'Item Budget'!$S$15*(AE21+25*AJ21))/'Item Budget'!$Z$15+'Item Budget'!$R$9*AF21+IFERROR(INDEX('Item Budget'!$O$25:$O$95,MATCH(AL21,'Item Budget'!$B$25:$B$95,0)),0),0)</f>
        <v/>
      </c>
      <c r="AZ21" s="44">
        <f>IF(AND(OR($E21="All",ISNUMBER(SEARCH("Magus",$E21))),AC21&gt;='Item Budget'!$R$10),'Item Budget'!$R$7*100*('Item Budget'!$R$16*(AD21+25*AH21)+'Item Budget'!$S$16*(AE21+25*AJ21))/'Item Budget'!$Z$16+'Item Budget'!$R$9*AF21+IFERROR(INDEX('Item Budget'!$O$25:$O$95,MATCH(AL21,'Item Budget'!$B$25:$B$95,0)),0),0)</f>
        <v/>
      </c>
      <c r="BA21" s="44">
        <f>IF(AND(OR($E21="All",ISNUMBER(SEARCH("Priest",$E21))),AC21&gt;='Item Budget'!$R$10),'Item Budget'!$R$7*100*('Item Budget'!$R$17*(AD21+25*AH21)+'Item Budget'!$S$17*(AE21+25*AJ21))/'Item Budget'!$Z$17+'Item Budget'!$R$9*AF21+IFERROR(INDEX('Item Budget'!$O$25:$O$95,MATCH(AL21,'Item Budget'!$B$25:$B$95,0)),0),0)</f>
        <v/>
      </c>
      <c r="BB21" s="52">
        <f>IF(OR($I21&lt;1,IF($I21&gt;=6,AX21,AT21)&lt;=0),"",IF(SUMPRODUCT(MAX(($C$5:$C$215=$C21)*($I$5:$I$215&gt;=1)*($I$5:$I$215&lt;$I21)*IF($I21&gt;=6,$AX$5:$AX$215,$AT$5:$AT$215)))&lt;=0,"",SUMPRODUCT(MAX(($C$5:$C$215=$C21)*($I$5:$I$215=$I21)*IF($I21&gt;=6,$AX$5:$AX$215,$AT$5:$AT$215)))/SUMPRODUCT(MAX(($C$5:$C$215=$C21)*($I$5:$I$215&gt;=1)*($I$5:$I$215&lt;$I21)*IF($I21&gt;=6,$AX$5:$AX$215,$AT$5:$AT$215)))-1))</f>
        <v/>
      </c>
      <c r="BC21" s="52">
        <f>IF(OR($I21&lt;1,IF($I21&gt;=6,AY21,AU21)&lt;=0),"",IF(SUMPRODUCT(MAX(($C$5:$C$215=$C21)*($I$5:$I$215&gt;=1)*($I$5:$I$215&lt;$I21)*IF($I21&gt;=6,$AY$5:$AY$215,$AU$5:$AU$215)))&lt;=0,"",SUMPRODUCT(MAX(($C$5:$C$215=$C21)*($I$5:$I$215=$I21)*IF($I21&gt;=6,$AY$5:$AY$215,$AU$5:$AU$215)))/SUMPRODUCT(MAX(($C$5:$C$215=$C21)*($I$5:$I$215&gt;=1)*($I$5:$I$215&lt;$I21)*IF($I21&gt;=6,$AY$5:$AY$215,$AU$5:$AU$215)))-1))</f>
        <v/>
      </c>
      <c r="BD21" s="52">
        <f>IF(OR($I21&lt;1,IF($I21&gt;=6,AZ21,AV21)&lt;=0),"",IF(SUMPRODUCT(MAX(($C$5:$C$215=$C21)*($I$5:$I$215&gt;=1)*($I$5:$I$215&lt;$I21)*IF($I21&gt;=6,$AZ$5:$AZ$215,$AV$5:$AV$215)))&lt;=0,"",SUMPRODUCT(MAX(($C$5:$C$215=$C21)*($I$5:$I$215=$I21)*IF($I21&gt;=6,$AZ$5:$AZ$215,$AV$5:$AV$215)))/SUMPRODUCT(MAX(($C$5:$C$215=$C21)*($I$5:$I$215&gt;=1)*($I$5:$I$215&lt;$I21)*IF($I21&gt;=6,$AZ$5:$AZ$215,$AV$5:$AV$215)))-1))</f>
        <v/>
      </c>
      <c r="BE21" s="52">
        <f>IF(OR($I21&lt;1,IF($I21&gt;=6,BA21,AW21)&lt;=0),"",IF(SUMPRODUCT(MAX(($C$5:$C$215=$C21)*($I$5:$I$215&gt;=1)*($I$5:$I$215&lt;$I21)*IF($I21&gt;=6,$BA$5:$BA$215,$AW$5:$AW$215)))&lt;=0,"",SUMPRODUCT(MAX(($C$5:$C$215=$C21)*($I$5:$I$215=$I21)*IF($I21&gt;=6,$BA$5:$BA$215,$AW$5:$AW$215)))/SUMPRODUCT(MAX(($C$5:$C$215=$C21)*($I$5:$I$215&gt;=1)*($I$5:$I$215&lt;$I21)*IF($I21&gt;=6,$BA$5:$BA$215,$AW$5:$AW$215)))-1))</f>
        <v/>
      </c>
      <c r="BF21" s="19">
        <f>IF(AND(BB21="",BC21="",BD21="",BE21=""),"",IF(IF(AND(ISNUMBER(BB21),BB21&lt;'Item Budget'!$R$11),"W ","")&amp;IF(AND(ISNUMBER(BC21),BC21&lt;'Item Budget'!$R$11),"R ","")&amp;IF(AND(ISNUMBER(BD21),BD21&lt;'Item Budget'!$R$11),"M ","")&amp;IF(AND(ISNUMBER(BE21),BE21&lt;'Item Budget'!$R$11),"P ","")="","OK","Not above lower step: "&amp;IF(AND(ISNUMBER(BB21),BB21&lt;'Item Budget'!$R$11),"W ","")&amp;IF(AND(ISNUMBER(BC21),BC21&lt;'Item Budget'!$R$11),"R ","")&amp;IF(AND(ISNUMBER(BD21),BD21&lt;'Item Budget'!$R$11),"M ","")&amp;IF(AND(ISNUMBER(BE21),BE21&lt;'Item Budget'!$R$11),"P ","")))</f>
        <v/>
      </c>
    </row>
    <row r="22">
      <c r="A22" s="21" t="n">
        <v>229</v>
      </c>
      <c r="B22" s="21" t="inlineStr">
        <is>
          <t>Magus Tunic</t>
        </is>
      </c>
      <c r="C22" s="21" t="inlineStr">
        <is>
          <t>Chest</t>
        </is>
      </c>
      <c r="D22" s="21" t="inlineStr">
        <is>
          <t>Magus</t>
        </is>
      </c>
      <c r="E22" s="21" t="inlineStr">
        <is>
          <t>Magus</t>
        </is>
      </c>
      <c r="F22" s="21" t="inlineStr">
        <is>
          <t>Caster cloth</t>
        </is>
      </c>
      <c r="G22" s="21" t="inlineStr">
        <is>
          <t>drop: Ecto 7%</t>
        </is>
      </c>
      <c r="H22" s="37" t="n">
        <v>0</v>
      </c>
      <c r="I22" s="21" t="n">
        <v>0</v>
      </c>
      <c r="J22" s="3" t="inlineStr">
        <is>
          <t>Pass 2</t>
        </is>
      </c>
      <c r="K22" s="21" t="inlineStr">
        <is>
          <t>Rare boss drop</t>
        </is>
      </c>
      <c r="L22" s="31">
        <f>INDEX('Item Budget'!$F$5:$F$13,MATCH(K22,'Item Budget'!$E$5:$E$13,0))+IF(E22="All",0,'Item Budget'!$F$15)+LOOKUP(H22,'Item Budget'!$E$19:$E$23,'Item Budget'!$F$19:$F$23)</f>
        <v/>
      </c>
      <c r="M22" s="21" t="n">
        <v>40</v>
      </c>
      <c r="N22" s="21" t="n">
        <v>75</v>
      </c>
      <c r="O22" s="21" t="n">
        <v>500</v>
      </c>
      <c r="P22" s="21" t="n">
        <v>45</v>
      </c>
      <c r="Q22" s="21" t="n">
        <v>0</v>
      </c>
      <c r="R22" s="21" t="n">
        <v>8</v>
      </c>
      <c r="S22" s="21" t="n">
        <v>0</v>
      </c>
      <c r="T22" s="21" t="n">
        <v>29</v>
      </c>
      <c r="U22" s="21" t="n">
        <v>0</v>
      </c>
      <c r="V22" s="21" t="inlineStr">
        <is>
          <t>(none)</t>
        </is>
      </c>
      <c r="W22" s="61">
        <f>N22*'Item Budget'!$B$5+R22*'Item Budget'!$B$7+P22*'Item Budget'!$B$11+S22*'Item Budget'!$B$10+Q22*'Item Budget'!$B$9+IFERROR(INDEX('Item Budget'!$M$25:$M$95,MATCH(V22,'Item Budget'!$B$25:$B$95,0)),0)+IF($C22="Weapon",U22*'Item Budget'!$B$9,0)</f>
        <v/>
      </c>
      <c r="X22" s="61">
        <f>N22*'Item Budget'!$B$5+R22*'Item Budget'!$B$7+P22*'Item Budget'!$B$11+S22*'Item Budget'!$B$10+O22*'Item Budget'!$B$6+T22*'Item Budget'!$B$8+IFERROR(INDEX('Item Budget'!$N$25:$N$95,MATCH(V22,'Item Budget'!$B$25:$B$95,0)),0)</f>
        <v/>
      </c>
      <c r="Y22" s="61">
        <f>MAX('Item Budget'!$F$16,INDEX('Gear Budget'!$C$8:$C$14,MATCH($C22,'Gear Budget'!$A$8:$A$14,0))*MIN(M22,50))*$L22</f>
        <v/>
      </c>
      <c r="Z22" s="41">
        <f>IF($C22="Caster weapon",X22,MAX(W22,X22))/Y22</f>
        <v/>
      </c>
      <c r="AA22" s="61">
        <f>IF(OR($C22="Weapon",$C22="Caster weapon"),"",'Gear Budget'!$B$5*MAX(1,MIN(M22,50))*INDEX('Gear Budget'!$B$8:$B$14,MATCH($C22,'Gear Budget'!$A$8:$A$14,0))*IF($C22="Shield",IF(D22="Warrior",1,IF(OR(D22="Rogue",D22="All"),0.38/0.6,0.25/0.6)),IFERROR(INDEX('Gear Budget'!$B$18:$B$21,MATCH($F22,'Gear Budget'!$A$18:$A$21,0)),1)))</f>
        <v/>
      </c>
      <c r="AB22" s="41">
        <f>IF(AA22="","",P22/AA22)</f>
        <v/>
      </c>
      <c r="AC22" s="21" t="n">
        <v>40</v>
      </c>
      <c r="AD22" s="20" t="n">
        <v>70</v>
      </c>
      <c r="AE22" s="20" t="n">
        <v>475</v>
      </c>
      <c r="AF22" s="20" t="n">
        <v>42</v>
      </c>
      <c r="AG22" s="21" t="n">
        <v>0</v>
      </c>
      <c r="AH22" s="20" t="n">
        <v>7</v>
      </c>
      <c r="AI22" s="21" t="n">
        <v>0</v>
      </c>
      <c r="AJ22" s="20" t="n">
        <v>27</v>
      </c>
      <c r="AK22" s="21" t="n">
        <v>0</v>
      </c>
      <c r="AL22" s="21" t="inlineStr">
        <is>
          <t>(none)</t>
        </is>
      </c>
      <c r="AM22" s="61">
        <f>AD22*'Item Budget'!$B$5+AH22*'Item Budget'!$B$7+AF22*'Item Budget'!$B$11+AI22*'Item Budget'!$B$10+AG22*'Item Budget'!$B$9+IFERROR(INDEX('Item Budget'!$M$25:$M$95,MATCH(AL22,'Item Budget'!$B$25:$B$95,0)),0)+IF($C22="Weapon",AK22*'Item Budget'!$B$9,0)</f>
        <v/>
      </c>
      <c r="AN22" s="61">
        <f>AD22*'Item Budget'!$B$5+AH22*'Item Budget'!$B$7+AF22*'Item Budget'!$B$11+AI22*'Item Budget'!$B$10+AE22*'Item Budget'!$B$6+AJ22*'Item Budget'!$B$8+IFERROR(INDEX('Item Budget'!$N$25:$N$95,MATCH(AL22,'Item Budget'!$B$25:$B$95,0)),0)</f>
        <v/>
      </c>
      <c r="AO22" s="61">
        <f>MAX('Item Budget'!$F$16,INDEX('Gear Budget'!$C$8:$C$14,MATCH($C22,'Gear Budget'!$A$8:$A$14,0))*MIN(AC22,50))*$L22</f>
        <v/>
      </c>
      <c r="AP22" s="41">
        <f>IF($C22="Caster weapon",AN22,MAX(AM22,AN22))/AO22</f>
        <v/>
      </c>
      <c r="AQ22" s="61">
        <f>IF(OR($C22="Weapon",$C22="Caster weapon"),"",'Gear Budget'!$B$5*MAX(1,MIN(AC22,50))*INDEX('Gear Budget'!$B$8:$B$14,MATCH($C22,'Gear Budget'!$A$8:$A$14,0))*IF($C22="Shield",IF(E22="Warrior",1,IF(OR(E22="Rogue",E22="All"),0.38/0.6,0.25/0.6)),IFERROR(INDEX('Gear Budget'!$B$18:$B$21,MATCH($F22,'Gear Budget'!$A$18:$A$21,0)),1)))</f>
        <v/>
      </c>
      <c r="AR22" s="41">
        <f>IF(AQ22="","",AF22/AQ22)</f>
        <v/>
      </c>
      <c r="AS22" s="64" t="inlineStr">
        <is>
          <t>L40 boss set: lowered so Punchy is a clear (+25%) upgrade</t>
        </is>
      </c>
      <c r="AT22" s="44">
        <f>IF(OR($E22="All",ISNUMBER(SEARCH("Warrior",$E22))),IF($C22="Caster weapon",(AN22+AF22*('Item Budget'!$AB$14-'Item Budget'!$B$11)),(AM22+AF22*('Item Budget'!$AB$14-'Item Budget'!$B$11))),0)</f>
        <v/>
      </c>
      <c r="AU22" s="44">
        <f>IF(OR($E22="All",ISNUMBER(SEARCH("Rogue",$E22))),IF($C22="Caster weapon",(AN22+AF22*('Item Budget'!$AB$15-'Item Budget'!$B$11)),(AM22+AF22*('Item Budget'!$AB$15-'Item Budget'!$B$11))),0)</f>
        <v/>
      </c>
      <c r="AV22" s="44">
        <f>IF(OR($E22="All",ISNUMBER(SEARCH("Magus",$E22))),(AN22+AF22*('Item Budget'!$AB$16-'Item Budget'!$B$11)),0)</f>
        <v/>
      </c>
      <c r="AW22" s="44">
        <f>IF(OR($E22="All",ISNUMBER(SEARCH("Priest",$E22))),(AN22+AF22*('Item Budget'!$AB$17-'Item Budget'!$B$11)),0)</f>
        <v/>
      </c>
      <c r="AX22" s="44">
        <f>IF(AND(OR($E22="All",ISNUMBER(SEARCH("Warrior",$E22))),AC22&gt;='Item Budget'!$R$10),'Item Budget'!$R$7*100*('Item Budget'!$R$14*(AD22+25*AH22)+'Item Budget'!$S$14*(AE22+25*AJ22))/'Item Budget'!$Z$14+'Item Budget'!$R$9*AF22+IFERROR(INDEX('Item Budget'!$O$25:$O$95,MATCH(AL22,'Item Budget'!$B$25:$B$95,0)),0),0)</f>
        <v/>
      </c>
      <c r="AY22" s="44">
        <f>IF(AND(OR($E22="All",ISNUMBER(SEARCH("Rogue",$E22))),AC22&gt;='Item Budget'!$R$10),'Item Budget'!$R$7*100*('Item Budget'!$R$15*(AD22+25*AH22)+'Item Budget'!$S$15*(AE22+25*AJ22))/'Item Budget'!$Z$15+'Item Budget'!$R$9*AF22+IFERROR(INDEX('Item Budget'!$O$25:$O$95,MATCH(AL22,'Item Budget'!$B$25:$B$95,0)),0),0)</f>
        <v/>
      </c>
      <c r="AZ22" s="44">
        <f>IF(AND(OR($E22="All",ISNUMBER(SEARCH("Magus",$E22))),AC22&gt;='Item Budget'!$R$10),'Item Budget'!$R$7*100*('Item Budget'!$R$16*(AD22+25*AH22)+'Item Budget'!$S$16*(AE22+25*AJ22))/'Item Budget'!$Z$16+'Item Budget'!$R$9*AF22+IFERROR(INDEX('Item Budget'!$O$25:$O$95,MATCH(AL22,'Item Budget'!$B$25:$B$95,0)),0),0)</f>
        <v/>
      </c>
      <c r="BA22" s="44">
        <f>IF(AND(OR($E22="All",ISNUMBER(SEARCH("Priest",$E22))),AC22&gt;='Item Budget'!$R$10),'Item Budget'!$R$7*100*('Item Budget'!$R$17*(AD22+25*AH22)+'Item Budget'!$S$17*(AE22+25*AJ22))/'Item Budget'!$Z$17+'Item Budget'!$R$9*AF22+IFERROR(INDEX('Item Budget'!$O$25:$O$95,MATCH(AL22,'Item Budget'!$B$25:$B$95,0)),0),0)</f>
        <v/>
      </c>
      <c r="BB22" s="52">
        <f>IF(OR($I22&lt;1,IF($I22&gt;=6,AX22,AT22)&lt;=0),"",IF(SUMPRODUCT(MAX(($C$5:$C$215=$C22)*($I$5:$I$215&gt;=1)*($I$5:$I$215&lt;$I22)*IF($I22&gt;=6,$AX$5:$AX$215,$AT$5:$AT$215)))&lt;=0,"",SUMPRODUCT(MAX(($C$5:$C$215=$C22)*($I$5:$I$215=$I22)*IF($I22&gt;=6,$AX$5:$AX$215,$AT$5:$AT$215)))/SUMPRODUCT(MAX(($C$5:$C$215=$C22)*($I$5:$I$215&gt;=1)*($I$5:$I$215&lt;$I22)*IF($I22&gt;=6,$AX$5:$AX$215,$AT$5:$AT$215)))-1))</f>
        <v/>
      </c>
      <c r="BC22" s="52">
        <f>IF(OR($I22&lt;1,IF($I22&gt;=6,AY22,AU22)&lt;=0),"",IF(SUMPRODUCT(MAX(($C$5:$C$215=$C22)*($I$5:$I$215&gt;=1)*($I$5:$I$215&lt;$I22)*IF($I22&gt;=6,$AY$5:$AY$215,$AU$5:$AU$215)))&lt;=0,"",SUMPRODUCT(MAX(($C$5:$C$215=$C22)*($I$5:$I$215=$I22)*IF($I22&gt;=6,$AY$5:$AY$215,$AU$5:$AU$215)))/SUMPRODUCT(MAX(($C$5:$C$215=$C22)*($I$5:$I$215&gt;=1)*($I$5:$I$215&lt;$I22)*IF($I22&gt;=6,$AY$5:$AY$215,$AU$5:$AU$215)))-1))</f>
        <v/>
      </c>
      <c r="BD22" s="52">
        <f>IF(OR($I22&lt;1,IF($I22&gt;=6,AZ22,AV22)&lt;=0),"",IF(SUMPRODUCT(MAX(($C$5:$C$215=$C22)*($I$5:$I$215&gt;=1)*($I$5:$I$215&lt;$I22)*IF($I22&gt;=6,$AZ$5:$AZ$215,$AV$5:$AV$215)))&lt;=0,"",SUMPRODUCT(MAX(($C$5:$C$215=$C22)*($I$5:$I$215=$I22)*IF($I22&gt;=6,$AZ$5:$AZ$215,$AV$5:$AV$215)))/SUMPRODUCT(MAX(($C$5:$C$215=$C22)*($I$5:$I$215&gt;=1)*($I$5:$I$215&lt;$I22)*IF($I22&gt;=6,$AZ$5:$AZ$215,$AV$5:$AV$215)))-1))</f>
        <v/>
      </c>
      <c r="BE22" s="52">
        <f>IF(OR($I22&lt;1,IF($I22&gt;=6,BA22,AW22)&lt;=0),"",IF(SUMPRODUCT(MAX(($C$5:$C$215=$C22)*($I$5:$I$215&gt;=1)*($I$5:$I$215&lt;$I22)*IF($I22&gt;=6,$BA$5:$BA$215,$AW$5:$AW$215)))&lt;=0,"",SUMPRODUCT(MAX(($C$5:$C$215=$C22)*($I$5:$I$215=$I22)*IF($I22&gt;=6,$BA$5:$BA$215,$AW$5:$AW$215)))/SUMPRODUCT(MAX(($C$5:$C$215=$C22)*($I$5:$I$215&gt;=1)*($I$5:$I$215&lt;$I22)*IF($I22&gt;=6,$BA$5:$BA$215,$AW$5:$AW$215)))-1))</f>
        <v/>
      </c>
      <c r="BF22" s="19">
        <f>IF(AND(BB22="",BC22="",BD22="",BE22=""),"",IF(IF(AND(ISNUMBER(BB22),BB22&lt;'Item Budget'!$R$11),"W ","")&amp;IF(AND(ISNUMBER(BC22),BC22&lt;'Item Budget'!$R$11),"R ","")&amp;IF(AND(ISNUMBER(BD22),BD22&lt;'Item Budget'!$R$11),"M ","")&amp;IF(AND(ISNUMBER(BE22),BE22&lt;'Item Budget'!$R$11),"P ","")="","OK","Not above lower step: "&amp;IF(AND(ISNUMBER(BB22),BB22&lt;'Item Budget'!$R$11),"W ","")&amp;IF(AND(ISNUMBER(BC22),BC22&lt;'Item Budget'!$R$11),"R ","")&amp;IF(AND(ISNUMBER(BD22),BD22&lt;'Item Budget'!$R$11),"M ","")&amp;IF(AND(ISNUMBER(BE22),BE22&lt;'Item Budget'!$R$11),"P ","")))</f>
        <v/>
      </c>
    </row>
    <row r="23">
      <c r="A23" s="21" t="n">
        <v>234</v>
      </c>
      <c r="B23" s="21" t="inlineStr">
        <is>
          <t>Warriors Chestplate</t>
        </is>
      </c>
      <c r="C23" s="21" t="inlineStr">
        <is>
          <t>Chest</t>
        </is>
      </c>
      <c r="D23" s="21" t="inlineStr">
        <is>
          <t>Warrior</t>
        </is>
      </c>
      <c r="E23" s="21" t="inlineStr">
        <is>
          <t>Warrior</t>
        </is>
      </c>
      <c r="F23" s="21" t="inlineStr">
        <is>
          <t>Warrior plate</t>
        </is>
      </c>
      <c r="G23" s="21" t="inlineStr">
        <is>
          <t>drop: Ecto 7%</t>
        </is>
      </c>
      <c r="H23" s="37" t="n">
        <v>0</v>
      </c>
      <c r="I23" s="21" t="n">
        <v>0</v>
      </c>
      <c r="J23" s="3" t="inlineStr">
        <is>
          <t>Pass 2</t>
        </is>
      </c>
      <c r="K23" s="21" t="inlineStr">
        <is>
          <t>Rare boss drop</t>
        </is>
      </c>
      <c r="L23" s="31">
        <f>INDEX('Item Budget'!$F$5:$F$13,MATCH(K23,'Item Budget'!$E$5:$E$13,0))+IF(E23="All",0,'Item Budget'!$F$15)+LOOKUP(H23,'Item Budget'!$E$19:$E$23,'Item Budget'!$F$19:$F$23)</f>
        <v/>
      </c>
      <c r="M23" s="21" t="n">
        <v>40</v>
      </c>
      <c r="N23" s="21" t="n">
        <v>250</v>
      </c>
      <c r="O23" s="21" t="n">
        <v>0</v>
      </c>
      <c r="P23" s="21" t="n">
        <v>85</v>
      </c>
      <c r="Q23" s="21" t="n">
        <v>12</v>
      </c>
      <c r="R23" s="21" t="n">
        <v>14</v>
      </c>
      <c r="S23" s="21" t="n">
        <v>5</v>
      </c>
      <c r="T23" s="21" t="n">
        <v>0</v>
      </c>
      <c r="U23" s="21" t="n">
        <v>0</v>
      </c>
      <c r="V23" s="21" t="inlineStr">
        <is>
          <t>(none)</t>
        </is>
      </c>
      <c r="W23" s="61">
        <f>N23*'Item Budget'!$B$5+R23*'Item Budget'!$B$7+P23*'Item Budget'!$B$11+S23*'Item Budget'!$B$10+Q23*'Item Budget'!$B$9+IFERROR(INDEX('Item Budget'!$M$25:$M$95,MATCH(V23,'Item Budget'!$B$25:$B$95,0)),0)+IF($C23="Weapon",U23*'Item Budget'!$B$9,0)</f>
        <v/>
      </c>
      <c r="X23" s="61">
        <f>N23*'Item Budget'!$B$5+R23*'Item Budget'!$B$7+P23*'Item Budget'!$B$11+S23*'Item Budget'!$B$10+O23*'Item Budget'!$B$6+T23*'Item Budget'!$B$8+IFERROR(INDEX('Item Budget'!$N$25:$N$95,MATCH(V23,'Item Budget'!$B$25:$B$95,0)),0)</f>
        <v/>
      </c>
      <c r="Y23" s="61">
        <f>MAX('Item Budget'!$F$16,INDEX('Gear Budget'!$C$8:$C$14,MATCH($C23,'Gear Budget'!$A$8:$A$14,0))*MIN(M23,50))*$L23</f>
        <v/>
      </c>
      <c r="Z23" s="41">
        <f>IF($C23="Caster weapon",X23,MAX(W23,X23))/Y23</f>
        <v/>
      </c>
      <c r="AA23" s="61">
        <f>IF(OR($C23="Weapon",$C23="Caster weapon"),"",'Gear Budget'!$B$5*MAX(1,MIN(M23,50))*INDEX('Gear Budget'!$B$8:$B$14,MATCH($C23,'Gear Budget'!$A$8:$A$14,0))*IF($C23="Shield",IF(D23="Warrior",1,IF(OR(D23="Rogue",D23="All"),0.38/0.6,0.25/0.6)),IFERROR(INDEX('Gear Budget'!$B$18:$B$21,MATCH($F23,'Gear Budget'!$A$18:$A$21,0)),1)))</f>
        <v/>
      </c>
      <c r="AB23" s="41">
        <f>IF(AA23="","",P23/AA23)</f>
        <v/>
      </c>
      <c r="AC23" s="21" t="n">
        <v>40</v>
      </c>
      <c r="AD23" s="20" t="n">
        <v>225</v>
      </c>
      <c r="AE23" s="21" t="n">
        <v>0</v>
      </c>
      <c r="AF23" s="20" t="n">
        <v>79</v>
      </c>
      <c r="AG23" s="20" t="n">
        <v>11</v>
      </c>
      <c r="AH23" s="20" t="n">
        <v>13</v>
      </c>
      <c r="AI23" s="21" t="n">
        <v>5</v>
      </c>
      <c r="AJ23" s="21" t="n">
        <v>0</v>
      </c>
      <c r="AK23" s="21" t="n">
        <v>0</v>
      </c>
      <c r="AL23" s="21" t="inlineStr">
        <is>
          <t>(none)</t>
        </is>
      </c>
      <c r="AM23" s="61">
        <f>AD23*'Item Budget'!$B$5+AH23*'Item Budget'!$B$7+AF23*'Item Budget'!$B$11+AI23*'Item Budget'!$B$10+AG23*'Item Budget'!$B$9+IFERROR(INDEX('Item Budget'!$M$25:$M$95,MATCH(AL23,'Item Budget'!$B$25:$B$95,0)),0)+IF($C23="Weapon",AK23*'Item Budget'!$B$9,0)</f>
        <v/>
      </c>
      <c r="AN23" s="61">
        <f>AD23*'Item Budget'!$B$5+AH23*'Item Budget'!$B$7+AF23*'Item Budget'!$B$11+AI23*'Item Budget'!$B$10+AE23*'Item Budget'!$B$6+AJ23*'Item Budget'!$B$8+IFERROR(INDEX('Item Budget'!$N$25:$N$95,MATCH(AL23,'Item Budget'!$B$25:$B$95,0)),0)</f>
        <v/>
      </c>
      <c r="AO23" s="61">
        <f>MAX('Item Budget'!$F$16,INDEX('Gear Budget'!$C$8:$C$14,MATCH($C23,'Gear Budget'!$A$8:$A$14,0))*MIN(AC23,50))*$L23</f>
        <v/>
      </c>
      <c r="AP23" s="41">
        <f>IF($C23="Caster weapon",AN23,MAX(AM23,AN23))/AO23</f>
        <v/>
      </c>
      <c r="AQ23" s="61">
        <f>IF(OR($C23="Weapon",$C23="Caster weapon"),"",'Gear Budget'!$B$5*MAX(1,MIN(AC23,50))*INDEX('Gear Budget'!$B$8:$B$14,MATCH($C23,'Gear Budget'!$A$8:$A$14,0))*IF($C23="Shield",IF(E23="Warrior",1,IF(OR(E23="Rogue",E23="All"),0.38/0.6,0.25/0.6)),IFERROR(INDEX('Gear Budget'!$B$18:$B$21,MATCH($F23,'Gear Budget'!$A$18:$A$21,0)),1)))</f>
        <v/>
      </c>
      <c r="AR23" s="41">
        <f>IF(AQ23="","",AF23/AQ23)</f>
        <v/>
      </c>
      <c r="AS23" s="64" t="inlineStr">
        <is>
          <t>L40 boss set: lowered so Punchy is a clear (+25%) upgrade</t>
        </is>
      </c>
      <c r="AT23" s="44">
        <f>IF(OR($E23="All",ISNUMBER(SEARCH("Warrior",$E23))),IF($C23="Caster weapon",(AN23+AF23*('Item Budget'!$AB$14-'Item Budget'!$B$11)),(AM23+AF23*('Item Budget'!$AB$14-'Item Budget'!$B$11))),0)</f>
        <v/>
      </c>
      <c r="AU23" s="44">
        <f>IF(OR($E23="All",ISNUMBER(SEARCH("Rogue",$E23))),IF($C23="Caster weapon",(AN23+AF23*('Item Budget'!$AB$15-'Item Budget'!$B$11)),(AM23+AF23*('Item Budget'!$AB$15-'Item Budget'!$B$11))),0)</f>
        <v/>
      </c>
      <c r="AV23" s="44">
        <f>IF(OR($E23="All",ISNUMBER(SEARCH("Magus",$E23))),(AN23+AF23*('Item Budget'!$AB$16-'Item Budget'!$B$11)),0)</f>
        <v/>
      </c>
      <c r="AW23" s="44">
        <f>IF(OR($E23="All",ISNUMBER(SEARCH("Priest",$E23))),(AN23+AF23*('Item Budget'!$AB$17-'Item Budget'!$B$11)),0)</f>
        <v/>
      </c>
      <c r="AX23" s="44">
        <f>IF(AND(OR($E23="All",ISNUMBER(SEARCH("Warrior",$E23))),AC23&gt;='Item Budget'!$R$10),'Item Budget'!$R$7*100*('Item Budget'!$R$14*(AD23+25*AH23)+'Item Budget'!$S$14*(AE23+25*AJ23))/'Item Budget'!$Z$14+'Item Budget'!$R$9*AF23+IFERROR(INDEX('Item Budget'!$O$25:$O$95,MATCH(AL23,'Item Budget'!$B$25:$B$95,0)),0),0)</f>
        <v/>
      </c>
      <c r="AY23" s="44">
        <f>IF(AND(OR($E23="All",ISNUMBER(SEARCH("Rogue",$E23))),AC23&gt;='Item Budget'!$R$10),'Item Budget'!$R$7*100*('Item Budget'!$R$15*(AD23+25*AH23)+'Item Budget'!$S$15*(AE23+25*AJ23))/'Item Budget'!$Z$15+'Item Budget'!$R$9*AF23+IFERROR(INDEX('Item Budget'!$O$25:$O$95,MATCH(AL23,'Item Budget'!$B$25:$B$95,0)),0),0)</f>
        <v/>
      </c>
      <c r="AZ23" s="44">
        <f>IF(AND(OR($E23="All",ISNUMBER(SEARCH("Magus",$E23))),AC23&gt;='Item Budget'!$R$10),'Item Budget'!$R$7*100*('Item Budget'!$R$16*(AD23+25*AH23)+'Item Budget'!$S$16*(AE23+25*AJ23))/'Item Budget'!$Z$16+'Item Budget'!$R$9*AF23+IFERROR(INDEX('Item Budget'!$O$25:$O$95,MATCH(AL23,'Item Budget'!$B$25:$B$95,0)),0),0)</f>
        <v/>
      </c>
      <c r="BA23" s="44">
        <f>IF(AND(OR($E23="All",ISNUMBER(SEARCH("Priest",$E23))),AC23&gt;='Item Budget'!$R$10),'Item Budget'!$R$7*100*('Item Budget'!$R$17*(AD23+25*AH23)+'Item Budget'!$S$17*(AE23+25*AJ23))/'Item Budget'!$Z$17+'Item Budget'!$R$9*AF23+IFERROR(INDEX('Item Budget'!$O$25:$O$95,MATCH(AL23,'Item Budget'!$B$25:$B$95,0)),0),0)</f>
        <v/>
      </c>
      <c r="BB23" s="52">
        <f>IF(OR($I23&lt;1,IF($I23&gt;=6,AX23,AT23)&lt;=0),"",IF(SUMPRODUCT(MAX(($C$5:$C$215=$C23)*($I$5:$I$215&gt;=1)*($I$5:$I$215&lt;$I23)*IF($I23&gt;=6,$AX$5:$AX$215,$AT$5:$AT$215)))&lt;=0,"",SUMPRODUCT(MAX(($C$5:$C$215=$C23)*($I$5:$I$215=$I23)*IF($I23&gt;=6,$AX$5:$AX$215,$AT$5:$AT$215)))/SUMPRODUCT(MAX(($C$5:$C$215=$C23)*($I$5:$I$215&gt;=1)*($I$5:$I$215&lt;$I23)*IF($I23&gt;=6,$AX$5:$AX$215,$AT$5:$AT$215)))-1))</f>
        <v/>
      </c>
      <c r="BC23" s="52">
        <f>IF(OR($I23&lt;1,IF($I23&gt;=6,AY23,AU23)&lt;=0),"",IF(SUMPRODUCT(MAX(($C$5:$C$215=$C23)*($I$5:$I$215&gt;=1)*($I$5:$I$215&lt;$I23)*IF($I23&gt;=6,$AY$5:$AY$215,$AU$5:$AU$215)))&lt;=0,"",SUMPRODUCT(MAX(($C$5:$C$215=$C23)*($I$5:$I$215=$I23)*IF($I23&gt;=6,$AY$5:$AY$215,$AU$5:$AU$215)))/SUMPRODUCT(MAX(($C$5:$C$215=$C23)*($I$5:$I$215&gt;=1)*($I$5:$I$215&lt;$I23)*IF($I23&gt;=6,$AY$5:$AY$215,$AU$5:$AU$215)))-1))</f>
        <v/>
      </c>
      <c r="BD23" s="52">
        <f>IF(OR($I23&lt;1,IF($I23&gt;=6,AZ23,AV23)&lt;=0),"",IF(SUMPRODUCT(MAX(($C$5:$C$215=$C23)*($I$5:$I$215&gt;=1)*($I$5:$I$215&lt;$I23)*IF($I23&gt;=6,$AZ$5:$AZ$215,$AV$5:$AV$215)))&lt;=0,"",SUMPRODUCT(MAX(($C$5:$C$215=$C23)*($I$5:$I$215=$I23)*IF($I23&gt;=6,$AZ$5:$AZ$215,$AV$5:$AV$215)))/SUMPRODUCT(MAX(($C$5:$C$215=$C23)*($I$5:$I$215&gt;=1)*($I$5:$I$215&lt;$I23)*IF($I23&gt;=6,$AZ$5:$AZ$215,$AV$5:$AV$215)))-1))</f>
        <v/>
      </c>
      <c r="BE23" s="52">
        <f>IF(OR($I23&lt;1,IF($I23&gt;=6,BA23,AW23)&lt;=0),"",IF(SUMPRODUCT(MAX(($C$5:$C$215=$C23)*($I$5:$I$215&gt;=1)*($I$5:$I$215&lt;$I23)*IF($I23&gt;=6,$BA$5:$BA$215,$AW$5:$AW$215)))&lt;=0,"",SUMPRODUCT(MAX(($C$5:$C$215=$C23)*($I$5:$I$215=$I23)*IF($I23&gt;=6,$BA$5:$BA$215,$AW$5:$AW$215)))/SUMPRODUCT(MAX(($C$5:$C$215=$C23)*($I$5:$I$215&gt;=1)*($I$5:$I$215&lt;$I23)*IF($I23&gt;=6,$BA$5:$BA$215,$AW$5:$AW$215)))-1))</f>
        <v/>
      </c>
      <c r="BF23" s="19">
        <f>IF(AND(BB23="",BC23="",BD23="",BE23=""),"",IF(IF(AND(ISNUMBER(BB23),BB23&lt;'Item Budget'!$R$11),"W ","")&amp;IF(AND(ISNUMBER(BC23),BC23&lt;'Item Budget'!$R$11),"R ","")&amp;IF(AND(ISNUMBER(BD23),BD23&lt;'Item Budget'!$R$11),"M ","")&amp;IF(AND(ISNUMBER(BE23),BE23&lt;'Item Budget'!$R$11),"P ","")="","OK","Not above lower step: "&amp;IF(AND(ISNUMBER(BB23),BB23&lt;'Item Budget'!$R$11),"W ","")&amp;IF(AND(ISNUMBER(BC23),BC23&lt;'Item Budget'!$R$11),"R ","")&amp;IF(AND(ISNUMBER(BD23),BD23&lt;'Item Budget'!$R$11),"M ","")&amp;IF(AND(ISNUMBER(BE23),BE23&lt;'Item Budget'!$R$11),"P ","")))</f>
        <v/>
      </c>
    </row>
    <row r="24">
      <c r="A24" s="21" t="n">
        <v>238</v>
      </c>
      <c r="B24" s="21" t="inlineStr">
        <is>
          <t>Rogues Chestplate</t>
        </is>
      </c>
      <c r="C24" s="21" t="inlineStr">
        <is>
          <t>Chest</t>
        </is>
      </c>
      <c r="D24" s="21" t="inlineStr">
        <is>
          <t>Rogue</t>
        </is>
      </c>
      <c r="E24" s="21" t="inlineStr">
        <is>
          <t>Rogue</t>
        </is>
      </c>
      <c r="F24" s="21" t="inlineStr">
        <is>
          <t>Rogue</t>
        </is>
      </c>
      <c r="G24" s="21" t="inlineStr">
        <is>
          <t>drop: Ecto 7%</t>
        </is>
      </c>
      <c r="H24" s="37" t="n">
        <v>0</v>
      </c>
      <c r="I24" s="21" t="n">
        <v>0</v>
      </c>
      <c r="J24" s="3" t="inlineStr">
        <is>
          <t>Pass 2</t>
        </is>
      </c>
      <c r="K24" s="21" t="inlineStr">
        <is>
          <t>Rare boss drop</t>
        </is>
      </c>
      <c r="L24" s="31">
        <f>INDEX('Item Budget'!$F$5:$F$13,MATCH(K24,'Item Budget'!$E$5:$E$13,0))+IF(E24="All",0,'Item Budget'!$F$15)+LOOKUP(H24,'Item Budget'!$E$19:$E$23,'Item Budget'!$F$19:$F$23)</f>
        <v/>
      </c>
      <c r="M24" s="21" t="n">
        <v>40</v>
      </c>
      <c r="N24" s="21" t="n">
        <v>200</v>
      </c>
      <c r="O24" s="21" t="n">
        <v>100</v>
      </c>
      <c r="P24" s="21" t="n">
        <v>60</v>
      </c>
      <c r="Q24" s="21" t="n">
        <v>14</v>
      </c>
      <c r="R24" s="21" t="n">
        <v>16</v>
      </c>
      <c r="S24" s="21" t="n">
        <v>20</v>
      </c>
      <c r="T24" s="21" t="n">
        <v>0</v>
      </c>
      <c r="U24" s="21" t="n">
        <v>0</v>
      </c>
      <c r="V24" s="21" t="inlineStr">
        <is>
          <t>(none)</t>
        </is>
      </c>
      <c r="W24" s="61">
        <f>N24*'Item Budget'!$B$5+R24*'Item Budget'!$B$7+P24*'Item Budget'!$B$11+S24*'Item Budget'!$B$10+Q24*'Item Budget'!$B$9+IFERROR(INDEX('Item Budget'!$M$25:$M$95,MATCH(V24,'Item Budget'!$B$25:$B$95,0)),0)+IF($C24="Weapon",U24*'Item Budget'!$B$9,0)</f>
        <v/>
      </c>
      <c r="X24" s="61">
        <f>N24*'Item Budget'!$B$5+R24*'Item Budget'!$B$7+P24*'Item Budget'!$B$11+S24*'Item Budget'!$B$10+O24*'Item Budget'!$B$6+T24*'Item Budget'!$B$8+IFERROR(INDEX('Item Budget'!$N$25:$N$95,MATCH(V24,'Item Budget'!$B$25:$B$95,0)),0)</f>
        <v/>
      </c>
      <c r="Y24" s="61">
        <f>MAX('Item Budget'!$F$16,INDEX('Gear Budget'!$C$8:$C$14,MATCH($C24,'Gear Budget'!$A$8:$A$14,0))*MIN(M24,50))*$L24</f>
        <v/>
      </c>
      <c r="Z24" s="41">
        <f>IF($C24="Caster weapon",X24,MAX(W24,X24))/Y24</f>
        <v/>
      </c>
      <c r="AA24" s="61">
        <f>IF(OR($C24="Weapon",$C24="Caster weapon"),"",'Gear Budget'!$B$5*MAX(1,MIN(M24,50))*INDEX('Gear Budget'!$B$8:$B$14,MATCH($C24,'Gear Budget'!$A$8:$A$14,0))*IF($C24="Shield",IF(D24="Warrior",1,IF(OR(D24="Rogue",D24="All"),0.38/0.6,0.25/0.6)),IFERROR(INDEX('Gear Budget'!$B$18:$B$21,MATCH($F24,'Gear Budget'!$A$18:$A$21,0)),1)))</f>
        <v/>
      </c>
      <c r="AB24" s="41">
        <f>IF(AA24="","",P24/AA24)</f>
        <v/>
      </c>
      <c r="AC24" s="21" t="n">
        <v>40</v>
      </c>
      <c r="AD24" s="20" t="n">
        <v>185</v>
      </c>
      <c r="AE24" s="20" t="n">
        <v>95</v>
      </c>
      <c r="AF24" s="20" t="n">
        <v>56</v>
      </c>
      <c r="AG24" s="20" t="n">
        <v>13</v>
      </c>
      <c r="AH24" s="20" t="n">
        <v>15</v>
      </c>
      <c r="AI24" s="20" t="n">
        <v>19</v>
      </c>
      <c r="AJ24" s="21" t="n">
        <v>0</v>
      </c>
      <c r="AK24" s="21" t="n">
        <v>0</v>
      </c>
      <c r="AL24" s="21" t="inlineStr">
        <is>
          <t>(none)</t>
        </is>
      </c>
      <c r="AM24" s="61">
        <f>AD24*'Item Budget'!$B$5+AH24*'Item Budget'!$B$7+AF24*'Item Budget'!$B$11+AI24*'Item Budget'!$B$10+AG24*'Item Budget'!$B$9+IFERROR(INDEX('Item Budget'!$M$25:$M$95,MATCH(AL24,'Item Budget'!$B$25:$B$95,0)),0)+IF($C24="Weapon",AK24*'Item Budget'!$B$9,0)</f>
        <v/>
      </c>
      <c r="AN24" s="61">
        <f>AD24*'Item Budget'!$B$5+AH24*'Item Budget'!$B$7+AF24*'Item Budget'!$B$11+AI24*'Item Budget'!$B$10+AE24*'Item Budget'!$B$6+AJ24*'Item Budget'!$B$8+IFERROR(INDEX('Item Budget'!$N$25:$N$95,MATCH(AL24,'Item Budget'!$B$25:$B$95,0)),0)</f>
        <v/>
      </c>
      <c r="AO24" s="61">
        <f>MAX('Item Budget'!$F$16,INDEX('Gear Budget'!$C$8:$C$14,MATCH($C24,'Gear Budget'!$A$8:$A$14,0))*MIN(AC24,50))*$L24</f>
        <v/>
      </c>
      <c r="AP24" s="41">
        <f>IF($C24="Caster weapon",AN24,MAX(AM24,AN24))/AO24</f>
        <v/>
      </c>
      <c r="AQ24" s="61">
        <f>IF(OR($C24="Weapon",$C24="Caster weapon"),"",'Gear Budget'!$B$5*MAX(1,MIN(AC24,50))*INDEX('Gear Budget'!$B$8:$B$14,MATCH($C24,'Gear Budget'!$A$8:$A$14,0))*IF($C24="Shield",IF(E24="Warrior",1,IF(OR(E24="Rogue",E24="All"),0.38/0.6,0.25/0.6)),IFERROR(INDEX('Gear Budget'!$B$18:$B$21,MATCH($F24,'Gear Budget'!$A$18:$A$21,0)),1)))</f>
        <v/>
      </c>
      <c r="AR24" s="41">
        <f>IF(AQ24="","",AF24/AQ24)</f>
        <v/>
      </c>
      <c r="AS24" s="64" t="inlineStr">
        <is>
          <t>L40 boss set: lowered so Punchy is a clear (+25%) upgrade</t>
        </is>
      </c>
      <c r="AT24" s="44">
        <f>IF(OR($E24="All",ISNUMBER(SEARCH("Warrior",$E24))),IF($C24="Caster weapon",(AN24+AF24*('Item Budget'!$AB$14-'Item Budget'!$B$11)),(AM24+AF24*('Item Budget'!$AB$14-'Item Budget'!$B$11))),0)</f>
        <v/>
      </c>
      <c r="AU24" s="44">
        <f>IF(OR($E24="All",ISNUMBER(SEARCH("Rogue",$E24))),IF($C24="Caster weapon",(AN24+AF24*('Item Budget'!$AB$15-'Item Budget'!$B$11)),(AM24+AF24*('Item Budget'!$AB$15-'Item Budget'!$B$11))),0)</f>
        <v/>
      </c>
      <c r="AV24" s="44">
        <f>IF(OR($E24="All",ISNUMBER(SEARCH("Magus",$E24))),(AN24+AF24*('Item Budget'!$AB$16-'Item Budget'!$B$11)),0)</f>
        <v/>
      </c>
      <c r="AW24" s="44">
        <f>IF(OR($E24="All",ISNUMBER(SEARCH("Priest",$E24))),(AN24+AF24*('Item Budget'!$AB$17-'Item Budget'!$B$11)),0)</f>
        <v/>
      </c>
      <c r="AX24" s="44">
        <f>IF(AND(OR($E24="All",ISNUMBER(SEARCH("Warrior",$E24))),AC24&gt;='Item Budget'!$R$10),'Item Budget'!$R$7*100*('Item Budget'!$R$14*(AD24+25*AH24)+'Item Budget'!$S$14*(AE24+25*AJ24))/'Item Budget'!$Z$14+'Item Budget'!$R$9*AF24+IFERROR(INDEX('Item Budget'!$O$25:$O$95,MATCH(AL24,'Item Budget'!$B$25:$B$95,0)),0),0)</f>
        <v/>
      </c>
      <c r="AY24" s="44">
        <f>IF(AND(OR($E24="All",ISNUMBER(SEARCH("Rogue",$E24))),AC24&gt;='Item Budget'!$R$10),'Item Budget'!$R$7*100*('Item Budget'!$R$15*(AD24+25*AH24)+'Item Budget'!$S$15*(AE24+25*AJ24))/'Item Budget'!$Z$15+'Item Budget'!$R$9*AF24+IFERROR(INDEX('Item Budget'!$O$25:$O$95,MATCH(AL24,'Item Budget'!$B$25:$B$95,0)),0),0)</f>
        <v/>
      </c>
      <c r="AZ24" s="44">
        <f>IF(AND(OR($E24="All",ISNUMBER(SEARCH("Magus",$E24))),AC24&gt;='Item Budget'!$R$10),'Item Budget'!$R$7*100*('Item Budget'!$R$16*(AD24+25*AH24)+'Item Budget'!$S$16*(AE24+25*AJ24))/'Item Budget'!$Z$16+'Item Budget'!$R$9*AF24+IFERROR(INDEX('Item Budget'!$O$25:$O$95,MATCH(AL24,'Item Budget'!$B$25:$B$95,0)),0),0)</f>
        <v/>
      </c>
      <c r="BA24" s="44">
        <f>IF(AND(OR($E24="All",ISNUMBER(SEARCH("Priest",$E24))),AC24&gt;='Item Budget'!$R$10),'Item Budget'!$R$7*100*('Item Budget'!$R$17*(AD24+25*AH24)+'Item Budget'!$S$17*(AE24+25*AJ24))/'Item Budget'!$Z$17+'Item Budget'!$R$9*AF24+IFERROR(INDEX('Item Budget'!$O$25:$O$95,MATCH(AL24,'Item Budget'!$B$25:$B$95,0)),0),0)</f>
        <v/>
      </c>
      <c r="BB24" s="52">
        <f>IF(OR($I24&lt;1,IF($I24&gt;=6,AX24,AT24)&lt;=0),"",IF(SUMPRODUCT(MAX(($C$5:$C$215=$C24)*($I$5:$I$215&gt;=1)*($I$5:$I$215&lt;$I24)*IF($I24&gt;=6,$AX$5:$AX$215,$AT$5:$AT$215)))&lt;=0,"",SUMPRODUCT(MAX(($C$5:$C$215=$C24)*($I$5:$I$215=$I24)*IF($I24&gt;=6,$AX$5:$AX$215,$AT$5:$AT$215)))/SUMPRODUCT(MAX(($C$5:$C$215=$C24)*($I$5:$I$215&gt;=1)*($I$5:$I$215&lt;$I24)*IF($I24&gt;=6,$AX$5:$AX$215,$AT$5:$AT$215)))-1))</f>
        <v/>
      </c>
      <c r="BC24" s="52">
        <f>IF(OR($I24&lt;1,IF($I24&gt;=6,AY24,AU24)&lt;=0),"",IF(SUMPRODUCT(MAX(($C$5:$C$215=$C24)*($I$5:$I$215&gt;=1)*($I$5:$I$215&lt;$I24)*IF($I24&gt;=6,$AY$5:$AY$215,$AU$5:$AU$215)))&lt;=0,"",SUMPRODUCT(MAX(($C$5:$C$215=$C24)*($I$5:$I$215=$I24)*IF($I24&gt;=6,$AY$5:$AY$215,$AU$5:$AU$215)))/SUMPRODUCT(MAX(($C$5:$C$215=$C24)*($I$5:$I$215&gt;=1)*($I$5:$I$215&lt;$I24)*IF($I24&gt;=6,$AY$5:$AY$215,$AU$5:$AU$215)))-1))</f>
        <v/>
      </c>
      <c r="BD24" s="52">
        <f>IF(OR($I24&lt;1,IF($I24&gt;=6,AZ24,AV24)&lt;=0),"",IF(SUMPRODUCT(MAX(($C$5:$C$215=$C24)*($I$5:$I$215&gt;=1)*($I$5:$I$215&lt;$I24)*IF($I24&gt;=6,$AZ$5:$AZ$215,$AV$5:$AV$215)))&lt;=0,"",SUMPRODUCT(MAX(($C$5:$C$215=$C24)*($I$5:$I$215=$I24)*IF($I24&gt;=6,$AZ$5:$AZ$215,$AV$5:$AV$215)))/SUMPRODUCT(MAX(($C$5:$C$215=$C24)*($I$5:$I$215&gt;=1)*($I$5:$I$215&lt;$I24)*IF($I24&gt;=6,$AZ$5:$AZ$215,$AV$5:$AV$215)))-1))</f>
        <v/>
      </c>
      <c r="BE24" s="52">
        <f>IF(OR($I24&lt;1,IF($I24&gt;=6,BA24,AW24)&lt;=0),"",IF(SUMPRODUCT(MAX(($C$5:$C$215=$C24)*($I$5:$I$215&gt;=1)*($I$5:$I$215&lt;$I24)*IF($I24&gt;=6,$BA$5:$BA$215,$AW$5:$AW$215)))&lt;=0,"",SUMPRODUCT(MAX(($C$5:$C$215=$C24)*($I$5:$I$215=$I24)*IF($I24&gt;=6,$BA$5:$BA$215,$AW$5:$AW$215)))/SUMPRODUCT(MAX(($C$5:$C$215=$C24)*($I$5:$I$215&gt;=1)*($I$5:$I$215&lt;$I24)*IF($I24&gt;=6,$BA$5:$BA$215,$AW$5:$AW$215)))-1))</f>
        <v/>
      </c>
      <c r="BF24" s="19">
        <f>IF(AND(BB24="",BC24="",BD24="",BE24=""),"",IF(IF(AND(ISNUMBER(BB24),BB24&lt;'Item Budget'!$R$11),"W ","")&amp;IF(AND(ISNUMBER(BC24),BC24&lt;'Item Budget'!$R$11),"R ","")&amp;IF(AND(ISNUMBER(BD24),BD24&lt;'Item Budget'!$R$11),"M ","")&amp;IF(AND(ISNUMBER(BE24),BE24&lt;'Item Budget'!$R$11),"P ","")="","OK","Not above lower step: "&amp;IF(AND(ISNUMBER(BB24),BB24&lt;'Item Budget'!$R$11),"W ","")&amp;IF(AND(ISNUMBER(BC24),BC24&lt;'Item Budget'!$R$11),"R ","")&amp;IF(AND(ISNUMBER(BD24),BD24&lt;'Item Budget'!$R$11),"M ","")&amp;IF(AND(ISNUMBER(BE24),BE24&lt;'Item Budget'!$R$11),"P ","")))</f>
        <v/>
      </c>
    </row>
    <row r="25">
      <c r="A25" s="21" t="n">
        <v>151</v>
      </c>
      <c r="B25" s="21" t="inlineStr">
        <is>
          <t>Devastators Robes</t>
        </is>
      </c>
      <c r="C25" s="21" t="inlineStr">
        <is>
          <t>Chest</t>
        </is>
      </c>
      <c r="D25" s="21" t="inlineStr">
        <is>
          <t>Magus/Priest</t>
        </is>
      </c>
      <c r="E25" s="21" t="inlineStr">
        <is>
          <t>Magus/Priest</t>
        </is>
      </c>
      <c r="F25" s="21" t="inlineStr">
        <is>
          <t>Caster cloth</t>
        </is>
      </c>
      <c r="G25" s="21" t="inlineStr">
        <is>
          <t>drop: Showboat 10%</t>
        </is>
      </c>
      <c r="H25" s="37" t="n">
        <v>0</v>
      </c>
      <c r="I25" s="21" t="n">
        <v>4</v>
      </c>
      <c r="J25" s="19" t="inlineStr">
        <is>
          <t>Pass 2</t>
        </is>
      </c>
      <c r="K25" s="21" t="inlineStr">
        <is>
          <t>Rare boss drop</t>
        </is>
      </c>
      <c r="L25" s="31">
        <f>INDEX('Item Budget'!$F$5:$F$13,MATCH(K25,'Item Budget'!$E$5:$E$13,0))+IF(E25="All",0,'Item Budget'!$F$15)+LOOKUP(H25,'Item Budget'!$E$19:$E$23,'Item Budget'!$F$19:$F$23)</f>
        <v/>
      </c>
      <c r="M25" s="21" t="n">
        <v>50</v>
      </c>
      <c r="N25" s="21" t="n">
        <v>50</v>
      </c>
      <c r="O25" s="21" t="n">
        <v>200</v>
      </c>
      <c r="P25" s="21" t="n">
        <v>150</v>
      </c>
      <c r="Q25" s="21" t="n">
        <v>0</v>
      </c>
      <c r="R25" s="21" t="n">
        <v>0</v>
      </c>
      <c r="S25" s="21" t="n">
        <v>15</v>
      </c>
      <c r="T25" s="21" t="n">
        <v>15</v>
      </c>
      <c r="U25" s="21" t="n">
        <v>0</v>
      </c>
      <c r="V25" s="21" t="inlineStr">
        <is>
          <t>(none)</t>
        </is>
      </c>
      <c r="W25" s="61">
        <f>N25*'Item Budget'!$B$5+R25*'Item Budget'!$B$7+P25*'Item Budget'!$B$11+S25*'Item Budget'!$B$10+Q25*'Item Budget'!$B$9+IFERROR(INDEX('Item Budget'!$M$25:$M$95,MATCH(V25,'Item Budget'!$B$25:$B$95,0)),0)+IF($C25="Weapon",U25*'Item Budget'!$B$9,0)</f>
        <v/>
      </c>
      <c r="X25" s="61">
        <f>N25*'Item Budget'!$B$5+R25*'Item Budget'!$B$7+P25*'Item Budget'!$B$11+S25*'Item Budget'!$B$10+O25*'Item Budget'!$B$6+T25*'Item Budget'!$B$8+IFERROR(INDEX('Item Budget'!$N$25:$N$95,MATCH(V25,'Item Budget'!$B$25:$B$95,0)),0)</f>
        <v/>
      </c>
      <c r="Y25" s="61">
        <f>MAX('Item Budget'!$F$16,INDEX('Gear Budget'!$C$8:$C$14,MATCH($C25,'Gear Budget'!$A$8:$A$14,0))*MIN(M25,50))*$L25</f>
        <v/>
      </c>
      <c r="Z25" s="41">
        <f>IF($C25="Caster weapon",X25,MAX(W25,X25))/Y25</f>
        <v/>
      </c>
      <c r="AA25" s="61">
        <f>IF(OR($C25="Weapon",$C25="Caster weapon"),"",'Gear Budget'!$B$5*MAX(1,MIN(M25,50))*INDEX('Gear Budget'!$B$8:$B$14,MATCH($C25,'Gear Budget'!$A$8:$A$14,0))*IF($C25="Shield",IF(D25="Warrior",1,IF(OR(D25="Rogue",D25="All"),0.38/0.6,0.25/0.6)),IFERROR(INDEX('Gear Budget'!$B$18:$B$21,MATCH($F25,'Gear Budget'!$A$18:$A$21,0)),1)))</f>
        <v/>
      </c>
      <c r="AB25" s="41">
        <f>IF(AA25="","",P25/AA25)</f>
        <v/>
      </c>
      <c r="AC25" s="21" t="n">
        <v>50</v>
      </c>
      <c r="AD25" s="20" t="n">
        <v>160</v>
      </c>
      <c r="AE25" s="20" t="n">
        <v>650</v>
      </c>
      <c r="AF25" s="21" t="n">
        <v>150</v>
      </c>
      <c r="AG25" s="21" t="n">
        <v>0</v>
      </c>
      <c r="AH25" s="21" t="n">
        <v>0</v>
      </c>
      <c r="AI25" s="21" t="n">
        <v>15</v>
      </c>
      <c r="AJ25" s="20" t="n">
        <v>47</v>
      </c>
      <c r="AK25" s="21" t="n">
        <v>0</v>
      </c>
      <c r="AL25" s="21" t="inlineStr">
        <is>
          <t>(none)</t>
        </is>
      </c>
      <c r="AM25" s="61">
        <f>AD25*'Item Budget'!$B$5+AH25*'Item Budget'!$B$7+AF25*'Item Budget'!$B$11+AI25*'Item Budget'!$B$10+AG25*'Item Budget'!$B$9+IFERROR(INDEX('Item Budget'!$M$25:$M$95,MATCH(AL25,'Item Budget'!$B$25:$B$95,0)),0)+IF($C25="Weapon",AK25*'Item Budget'!$B$9,0)</f>
        <v/>
      </c>
      <c r="AN25" s="61">
        <f>AD25*'Item Budget'!$B$5+AH25*'Item Budget'!$B$7+AF25*'Item Budget'!$B$11+AI25*'Item Budget'!$B$10+AE25*'Item Budget'!$B$6+AJ25*'Item Budget'!$B$8+IFERROR(INDEX('Item Budget'!$N$25:$N$95,MATCH(AL25,'Item Budget'!$B$25:$B$95,0)),0)</f>
        <v/>
      </c>
      <c r="AO25" s="61">
        <f>MAX('Item Budget'!$F$16,INDEX('Gear Budget'!$C$8:$C$14,MATCH($C25,'Gear Budget'!$A$8:$A$14,0))*MIN(AC25,50))*$L25</f>
        <v/>
      </c>
      <c r="AP25" s="41">
        <f>IF($C25="Caster weapon",AN25,MAX(AM25,AN25))/AO25</f>
        <v/>
      </c>
      <c r="AQ25" s="61">
        <f>IF(OR($C25="Weapon",$C25="Caster weapon"),"",'Gear Budget'!$B$5*MAX(1,MIN(AC25,50))*INDEX('Gear Budget'!$B$8:$B$14,MATCH($C25,'Gear Budget'!$A$8:$A$14,0))*IF($C25="Shield",IF(E25="Warrior",1,IF(OR(E25="Rogue",E25="All"),0.38/0.6,0.25/0.6)),IFERROR(INDEX('Gear Budget'!$B$18:$B$21,MATCH($F25,'Gear Budget'!$A$18:$A$21,0)),1)))</f>
        <v/>
      </c>
      <c r="AR25" s="41">
        <f>IF(AQ25="","",AF25/AQ25)</f>
        <v/>
      </c>
      <c r="AS25" s="64" t="inlineStr">
        <is>
          <t>Raised so it is 10% over Nagan Robes for Priest (pass 2 class weights)</t>
        </is>
      </c>
      <c r="AT25" s="44">
        <f>IF(OR($E25="All",ISNUMBER(SEARCH("Warrior",$E25))),IF($C25="Caster weapon",(AN25+AF25*('Item Budget'!$AB$14-'Item Budget'!$B$11)),(AM25+AF25*('Item Budget'!$AB$14-'Item Budget'!$B$11))),0)</f>
        <v/>
      </c>
      <c r="AU25" s="44">
        <f>IF(OR($E25="All",ISNUMBER(SEARCH("Rogue",$E25))),IF($C25="Caster weapon",(AN25+AF25*('Item Budget'!$AB$15-'Item Budget'!$B$11)),(AM25+AF25*('Item Budget'!$AB$15-'Item Budget'!$B$11))),0)</f>
        <v/>
      </c>
      <c r="AV25" s="44">
        <f>IF(OR($E25="All",ISNUMBER(SEARCH("Magus",$E25))),(AN25+AF25*('Item Budget'!$AB$16-'Item Budget'!$B$11)),0)</f>
        <v/>
      </c>
      <c r="AW25" s="44">
        <f>IF(OR($E25="All",ISNUMBER(SEARCH("Priest",$E25))),(AN25+AF25*('Item Budget'!$AB$17-'Item Budget'!$B$11)),0)</f>
        <v/>
      </c>
      <c r="AX25" s="44">
        <f>IF(AND(OR($E25="All",ISNUMBER(SEARCH("Warrior",$E25))),AC25&gt;='Item Budget'!$R$10),'Item Budget'!$R$7*100*('Item Budget'!$R$14*(AD25+25*AH25)+'Item Budget'!$S$14*(AE25+25*AJ25))/'Item Budget'!$Z$14+'Item Budget'!$R$9*AF25+IFERROR(INDEX('Item Budget'!$O$25:$O$95,MATCH(AL25,'Item Budget'!$B$25:$B$95,0)),0),0)</f>
        <v/>
      </c>
      <c r="AY25" s="44">
        <f>IF(AND(OR($E25="All",ISNUMBER(SEARCH("Rogue",$E25))),AC25&gt;='Item Budget'!$R$10),'Item Budget'!$R$7*100*('Item Budget'!$R$15*(AD25+25*AH25)+'Item Budget'!$S$15*(AE25+25*AJ25))/'Item Budget'!$Z$15+'Item Budget'!$R$9*AF25+IFERROR(INDEX('Item Budget'!$O$25:$O$95,MATCH(AL25,'Item Budget'!$B$25:$B$95,0)),0),0)</f>
        <v/>
      </c>
      <c r="AZ25" s="44">
        <f>IF(AND(OR($E25="All",ISNUMBER(SEARCH("Magus",$E25))),AC25&gt;='Item Budget'!$R$10),'Item Budget'!$R$7*100*('Item Budget'!$R$16*(AD25+25*AH25)+'Item Budget'!$S$16*(AE25+25*AJ25))/'Item Budget'!$Z$16+'Item Budget'!$R$9*AF25+IFERROR(INDEX('Item Budget'!$O$25:$O$95,MATCH(AL25,'Item Budget'!$B$25:$B$95,0)),0),0)</f>
        <v/>
      </c>
      <c r="BA25" s="44">
        <f>IF(AND(OR($E25="All",ISNUMBER(SEARCH("Priest",$E25))),AC25&gt;='Item Budget'!$R$10),'Item Budget'!$R$7*100*('Item Budget'!$R$17*(AD25+25*AH25)+'Item Budget'!$S$17*(AE25+25*AJ25))/'Item Budget'!$Z$17+'Item Budget'!$R$9*AF25+IFERROR(INDEX('Item Budget'!$O$25:$O$95,MATCH(AL25,'Item Budget'!$B$25:$B$95,0)),0),0)</f>
        <v/>
      </c>
      <c r="BB25" s="52">
        <f>IF(OR($I25&lt;1,IF($I25&gt;=6,AX25,AT25)&lt;=0),"",IF(SUMPRODUCT(MAX(($C$5:$C$215=$C25)*($I$5:$I$215&gt;=1)*($I$5:$I$215&lt;$I25)*IF($I25&gt;=6,$AX$5:$AX$215,$AT$5:$AT$215)))&lt;=0,"",SUMPRODUCT(MAX(($C$5:$C$215=$C25)*($I$5:$I$215=$I25)*IF($I25&gt;=6,$AX$5:$AX$215,$AT$5:$AT$215)))/SUMPRODUCT(MAX(($C$5:$C$215=$C25)*($I$5:$I$215&gt;=1)*($I$5:$I$215&lt;$I25)*IF($I25&gt;=6,$AX$5:$AX$215,$AT$5:$AT$215)))-1))</f>
        <v/>
      </c>
      <c r="BC25" s="52">
        <f>IF(OR($I25&lt;1,IF($I25&gt;=6,AY25,AU25)&lt;=0),"",IF(SUMPRODUCT(MAX(($C$5:$C$215=$C25)*($I$5:$I$215&gt;=1)*($I$5:$I$215&lt;$I25)*IF($I25&gt;=6,$AY$5:$AY$215,$AU$5:$AU$215)))&lt;=0,"",SUMPRODUCT(MAX(($C$5:$C$215=$C25)*($I$5:$I$215=$I25)*IF($I25&gt;=6,$AY$5:$AY$215,$AU$5:$AU$215)))/SUMPRODUCT(MAX(($C$5:$C$215=$C25)*($I$5:$I$215&gt;=1)*($I$5:$I$215&lt;$I25)*IF($I25&gt;=6,$AY$5:$AY$215,$AU$5:$AU$215)))-1))</f>
        <v/>
      </c>
      <c r="BD25" s="52">
        <f>IF(OR($I25&lt;1,IF($I25&gt;=6,AZ25,AV25)&lt;=0),"",IF(SUMPRODUCT(MAX(($C$5:$C$215=$C25)*($I$5:$I$215&gt;=1)*($I$5:$I$215&lt;$I25)*IF($I25&gt;=6,$AZ$5:$AZ$215,$AV$5:$AV$215)))&lt;=0,"",SUMPRODUCT(MAX(($C$5:$C$215=$C25)*($I$5:$I$215=$I25)*IF($I25&gt;=6,$AZ$5:$AZ$215,$AV$5:$AV$215)))/SUMPRODUCT(MAX(($C$5:$C$215=$C25)*($I$5:$I$215&gt;=1)*($I$5:$I$215&lt;$I25)*IF($I25&gt;=6,$AZ$5:$AZ$215,$AV$5:$AV$215)))-1))</f>
        <v/>
      </c>
      <c r="BE25" s="52">
        <f>IF(OR($I25&lt;1,IF($I25&gt;=6,BA25,AW25)&lt;=0),"",IF(SUMPRODUCT(MAX(($C$5:$C$215=$C25)*($I$5:$I$215&gt;=1)*($I$5:$I$215&lt;$I25)*IF($I25&gt;=6,$BA$5:$BA$215,$AW$5:$AW$215)))&lt;=0,"",SUMPRODUCT(MAX(($C$5:$C$215=$C25)*($I$5:$I$215=$I25)*IF($I25&gt;=6,$BA$5:$BA$215,$AW$5:$AW$215)))/SUMPRODUCT(MAX(($C$5:$C$215=$C25)*($I$5:$I$215&gt;=1)*($I$5:$I$215&lt;$I25)*IF($I25&gt;=6,$BA$5:$BA$215,$AW$5:$AW$215)))-1))</f>
        <v/>
      </c>
      <c r="BF25" s="19">
        <f>IF(AND(BB25="",BC25="",BD25="",BE25=""),"",IF(IF(AND(ISNUMBER(BB25),BB25&lt;'Item Budget'!$R$11),"W ","")&amp;IF(AND(ISNUMBER(BC25),BC25&lt;'Item Budget'!$R$11),"R ","")&amp;IF(AND(ISNUMBER(BD25),BD25&lt;'Item Budget'!$R$11),"M ","")&amp;IF(AND(ISNUMBER(BE25),BE25&lt;'Item Budget'!$R$11),"P ","")="","OK","Not above lower step: "&amp;IF(AND(ISNUMBER(BB25),BB25&lt;'Item Budget'!$R$11),"W ","")&amp;IF(AND(ISNUMBER(BC25),BC25&lt;'Item Budget'!$R$11),"R ","")&amp;IF(AND(ISNUMBER(BD25),BD25&lt;'Item Budget'!$R$11),"M ","")&amp;IF(AND(ISNUMBER(BE25),BE25&lt;'Item Budget'!$R$11),"P ","")))</f>
        <v/>
      </c>
    </row>
    <row r="26">
      <c r="A26" s="21" t="n">
        <v>167</v>
      </c>
      <c r="B26" s="21" t="inlineStr">
        <is>
          <t>Devastators Chestplate</t>
        </is>
      </c>
      <c r="C26" s="21" t="inlineStr">
        <is>
          <t>Chest</t>
        </is>
      </c>
      <c r="D26" s="21" t="inlineStr">
        <is>
          <t>Rogue/Warrior</t>
        </is>
      </c>
      <c r="E26" s="21" t="inlineStr">
        <is>
          <t>Rogue/Warrior</t>
        </is>
      </c>
      <c r="F26" s="21" t="inlineStr">
        <is>
          <t>Warrior plate</t>
        </is>
      </c>
      <c r="G26" s="21" t="inlineStr">
        <is>
          <t>drop: Insanity 10%</t>
        </is>
      </c>
      <c r="H26" s="37" t="n">
        <v>0</v>
      </c>
      <c r="I26" s="21" t="n">
        <v>4</v>
      </c>
      <c r="J26" s="19" t="inlineStr">
        <is>
          <t>Pass 2</t>
        </is>
      </c>
      <c r="K26" s="21" t="inlineStr">
        <is>
          <t>Rare boss drop</t>
        </is>
      </c>
      <c r="L26" s="31">
        <f>INDEX('Item Budget'!$F$5:$F$13,MATCH(K26,'Item Budget'!$E$5:$E$13,0))+IF(E26="All",0,'Item Budget'!$F$15)+LOOKUP(H26,'Item Budget'!$E$19:$E$23,'Item Budget'!$F$19:$F$23)</f>
        <v/>
      </c>
      <c r="M26" s="21" t="n">
        <v>50</v>
      </c>
      <c r="N26" s="21" t="n">
        <v>200</v>
      </c>
      <c r="O26" s="21" t="n">
        <v>0</v>
      </c>
      <c r="P26" s="21" t="n">
        <v>190</v>
      </c>
      <c r="Q26" s="21" t="n">
        <v>22</v>
      </c>
      <c r="R26" s="21" t="n">
        <v>12</v>
      </c>
      <c r="S26" s="21" t="n">
        <v>30</v>
      </c>
      <c r="T26" s="21" t="n">
        <v>0</v>
      </c>
      <c r="U26" s="21" t="n">
        <v>0</v>
      </c>
      <c r="V26" s="21" t="inlineStr">
        <is>
          <t>(none)</t>
        </is>
      </c>
      <c r="W26" s="61">
        <f>N26*'Item Budget'!$B$5+R26*'Item Budget'!$B$7+P26*'Item Budget'!$B$11+S26*'Item Budget'!$B$10+Q26*'Item Budget'!$B$9+IFERROR(INDEX('Item Budget'!$M$25:$M$95,MATCH(V26,'Item Budget'!$B$25:$B$95,0)),0)+IF($C26="Weapon",U26*'Item Budget'!$B$9,0)</f>
        <v/>
      </c>
      <c r="X26" s="61">
        <f>N26*'Item Budget'!$B$5+R26*'Item Budget'!$B$7+P26*'Item Budget'!$B$11+S26*'Item Budget'!$B$10+O26*'Item Budget'!$B$6+T26*'Item Budget'!$B$8+IFERROR(INDEX('Item Budget'!$N$25:$N$95,MATCH(V26,'Item Budget'!$B$25:$B$95,0)),0)</f>
        <v/>
      </c>
      <c r="Y26" s="61">
        <f>MAX('Item Budget'!$F$16,INDEX('Gear Budget'!$C$8:$C$14,MATCH($C26,'Gear Budget'!$A$8:$A$14,0))*MIN(M26,50))*$L26</f>
        <v/>
      </c>
      <c r="Z26" s="41">
        <f>IF($C26="Caster weapon",X26,MAX(W26,X26))/Y26</f>
        <v/>
      </c>
      <c r="AA26" s="61">
        <f>IF(OR($C26="Weapon",$C26="Caster weapon"),"",'Gear Budget'!$B$5*MAX(1,MIN(M26,50))*INDEX('Gear Budget'!$B$8:$B$14,MATCH($C26,'Gear Budget'!$A$8:$A$14,0))*IF($C26="Shield",IF(D26="Warrior",1,IF(OR(D26="Rogue",D26="All"),0.38/0.6,0.25/0.6)),IFERROR(INDEX('Gear Budget'!$B$18:$B$21,MATCH($F26,'Gear Budget'!$A$18:$A$21,0)),1)))</f>
        <v/>
      </c>
      <c r="AB26" s="41">
        <f>IF(AA26="","",P26/AA26)</f>
        <v/>
      </c>
      <c r="AC26" s="21" t="n">
        <v>50</v>
      </c>
      <c r="AD26" s="20" t="n">
        <v>275</v>
      </c>
      <c r="AE26" s="21" t="n">
        <v>0</v>
      </c>
      <c r="AF26" s="21" t="n">
        <v>190</v>
      </c>
      <c r="AG26" s="21" t="n">
        <v>22</v>
      </c>
      <c r="AH26" s="20" t="n">
        <v>17</v>
      </c>
      <c r="AI26" s="20" t="n">
        <v>41</v>
      </c>
      <c r="AJ26" s="21" t="n">
        <v>0</v>
      </c>
      <c r="AK26" s="21" t="n">
        <v>0</v>
      </c>
      <c r="AL26" s="21" t="inlineStr">
        <is>
          <t>(none)</t>
        </is>
      </c>
      <c r="AM26" s="61">
        <f>AD26*'Item Budget'!$B$5+AH26*'Item Budget'!$B$7+AF26*'Item Budget'!$B$11+AI26*'Item Budget'!$B$10+AG26*'Item Budget'!$B$9+IFERROR(INDEX('Item Budget'!$M$25:$M$95,MATCH(AL26,'Item Budget'!$B$25:$B$95,0)),0)+IF($C26="Weapon",AK26*'Item Budget'!$B$9,0)</f>
        <v/>
      </c>
      <c r="AN26" s="61">
        <f>AD26*'Item Budget'!$B$5+AH26*'Item Budget'!$B$7+AF26*'Item Budget'!$B$11+AI26*'Item Budget'!$B$10+AE26*'Item Budget'!$B$6+AJ26*'Item Budget'!$B$8+IFERROR(INDEX('Item Budget'!$N$25:$N$95,MATCH(AL26,'Item Budget'!$B$25:$B$95,0)),0)</f>
        <v/>
      </c>
      <c r="AO26" s="61">
        <f>MAX('Item Budget'!$F$16,INDEX('Gear Budget'!$C$8:$C$14,MATCH($C26,'Gear Budget'!$A$8:$A$14,0))*MIN(AC26,50))*$L26</f>
        <v/>
      </c>
      <c r="AP26" s="41">
        <f>IF($C26="Caster weapon",AN26,MAX(AM26,AN26))/AO26</f>
        <v/>
      </c>
      <c r="AQ26" s="61">
        <f>IF(OR($C26="Weapon",$C26="Caster weapon"),"",'Gear Budget'!$B$5*MAX(1,MIN(AC26,50))*INDEX('Gear Budget'!$B$8:$B$14,MATCH($C26,'Gear Budget'!$A$8:$A$14,0))*IF($C26="Shield",IF(E26="Warrior",1,IF(OR(E26="Rogue",E26="All"),0.38/0.6,0.25/0.6)),IFERROR(INDEX('Gear Budget'!$B$18:$B$21,MATCH($F26,'Gear Budget'!$A$18:$A$21,0)),1)))</f>
        <v/>
      </c>
      <c r="AR26" s="41">
        <f>IF(AQ26="","",AF26/AQ26)</f>
        <v/>
      </c>
      <c r="AS26" s="64" t="inlineStr">
        <is>
          <t>Raised so it is 10% over Nagan Armor for Rogue (pass 2 class weights)</t>
        </is>
      </c>
      <c r="AT26" s="44">
        <f>IF(OR($E26="All",ISNUMBER(SEARCH("Warrior",$E26))),IF($C26="Caster weapon",(AN26+AF26*('Item Budget'!$AB$14-'Item Budget'!$B$11)),(AM26+AF26*('Item Budget'!$AB$14-'Item Budget'!$B$11))),0)</f>
        <v/>
      </c>
      <c r="AU26" s="44">
        <f>IF(OR($E26="All",ISNUMBER(SEARCH("Rogue",$E26))),IF($C26="Caster weapon",(AN26+AF26*('Item Budget'!$AB$15-'Item Budget'!$B$11)),(AM26+AF26*('Item Budget'!$AB$15-'Item Budget'!$B$11))),0)</f>
        <v/>
      </c>
      <c r="AV26" s="44">
        <f>IF(OR($E26="All",ISNUMBER(SEARCH("Magus",$E26))),(AN26+AF26*('Item Budget'!$AB$16-'Item Budget'!$B$11)),0)</f>
        <v/>
      </c>
      <c r="AW26" s="44">
        <f>IF(OR($E26="All",ISNUMBER(SEARCH("Priest",$E26))),(AN26+AF26*('Item Budget'!$AB$17-'Item Budget'!$B$11)),0)</f>
        <v/>
      </c>
      <c r="AX26" s="44">
        <f>IF(AND(OR($E26="All",ISNUMBER(SEARCH("Warrior",$E26))),AC26&gt;='Item Budget'!$R$10),'Item Budget'!$R$7*100*('Item Budget'!$R$14*(AD26+25*AH26)+'Item Budget'!$S$14*(AE26+25*AJ26))/'Item Budget'!$Z$14+'Item Budget'!$R$9*AF26+IFERROR(INDEX('Item Budget'!$O$25:$O$95,MATCH(AL26,'Item Budget'!$B$25:$B$95,0)),0),0)</f>
        <v/>
      </c>
      <c r="AY26" s="44">
        <f>IF(AND(OR($E26="All",ISNUMBER(SEARCH("Rogue",$E26))),AC26&gt;='Item Budget'!$R$10),'Item Budget'!$R$7*100*('Item Budget'!$R$15*(AD26+25*AH26)+'Item Budget'!$S$15*(AE26+25*AJ26))/'Item Budget'!$Z$15+'Item Budget'!$R$9*AF26+IFERROR(INDEX('Item Budget'!$O$25:$O$95,MATCH(AL26,'Item Budget'!$B$25:$B$95,0)),0),0)</f>
        <v/>
      </c>
      <c r="AZ26" s="44">
        <f>IF(AND(OR($E26="All",ISNUMBER(SEARCH("Magus",$E26))),AC26&gt;='Item Budget'!$R$10),'Item Budget'!$R$7*100*('Item Budget'!$R$16*(AD26+25*AH26)+'Item Budget'!$S$16*(AE26+25*AJ26))/'Item Budget'!$Z$16+'Item Budget'!$R$9*AF26+IFERROR(INDEX('Item Budget'!$O$25:$O$95,MATCH(AL26,'Item Budget'!$B$25:$B$95,0)),0),0)</f>
        <v/>
      </c>
      <c r="BA26" s="44">
        <f>IF(AND(OR($E26="All",ISNUMBER(SEARCH("Priest",$E26))),AC26&gt;='Item Budget'!$R$10),'Item Budget'!$R$7*100*('Item Budget'!$R$17*(AD26+25*AH26)+'Item Budget'!$S$17*(AE26+25*AJ26))/'Item Budget'!$Z$17+'Item Budget'!$R$9*AF26+IFERROR(INDEX('Item Budget'!$O$25:$O$95,MATCH(AL26,'Item Budget'!$B$25:$B$95,0)),0),0)</f>
        <v/>
      </c>
      <c r="BB26" s="52">
        <f>IF(OR($I26&lt;1,IF($I26&gt;=6,AX26,AT26)&lt;=0),"",IF(SUMPRODUCT(MAX(($C$5:$C$215=$C26)*($I$5:$I$215&gt;=1)*($I$5:$I$215&lt;$I26)*IF($I26&gt;=6,$AX$5:$AX$215,$AT$5:$AT$215)))&lt;=0,"",SUMPRODUCT(MAX(($C$5:$C$215=$C26)*($I$5:$I$215=$I26)*IF($I26&gt;=6,$AX$5:$AX$215,$AT$5:$AT$215)))/SUMPRODUCT(MAX(($C$5:$C$215=$C26)*($I$5:$I$215&gt;=1)*($I$5:$I$215&lt;$I26)*IF($I26&gt;=6,$AX$5:$AX$215,$AT$5:$AT$215)))-1))</f>
        <v/>
      </c>
      <c r="BC26" s="52">
        <f>IF(OR($I26&lt;1,IF($I26&gt;=6,AY26,AU26)&lt;=0),"",IF(SUMPRODUCT(MAX(($C$5:$C$215=$C26)*($I$5:$I$215&gt;=1)*($I$5:$I$215&lt;$I26)*IF($I26&gt;=6,$AY$5:$AY$215,$AU$5:$AU$215)))&lt;=0,"",SUMPRODUCT(MAX(($C$5:$C$215=$C26)*($I$5:$I$215=$I26)*IF($I26&gt;=6,$AY$5:$AY$215,$AU$5:$AU$215)))/SUMPRODUCT(MAX(($C$5:$C$215=$C26)*($I$5:$I$215&gt;=1)*($I$5:$I$215&lt;$I26)*IF($I26&gt;=6,$AY$5:$AY$215,$AU$5:$AU$215)))-1))</f>
        <v/>
      </c>
      <c r="BD26" s="52">
        <f>IF(OR($I26&lt;1,IF($I26&gt;=6,AZ26,AV26)&lt;=0),"",IF(SUMPRODUCT(MAX(($C$5:$C$215=$C26)*($I$5:$I$215&gt;=1)*($I$5:$I$215&lt;$I26)*IF($I26&gt;=6,$AZ$5:$AZ$215,$AV$5:$AV$215)))&lt;=0,"",SUMPRODUCT(MAX(($C$5:$C$215=$C26)*($I$5:$I$215=$I26)*IF($I26&gt;=6,$AZ$5:$AZ$215,$AV$5:$AV$215)))/SUMPRODUCT(MAX(($C$5:$C$215=$C26)*($I$5:$I$215&gt;=1)*($I$5:$I$215&lt;$I26)*IF($I26&gt;=6,$AZ$5:$AZ$215,$AV$5:$AV$215)))-1))</f>
        <v/>
      </c>
      <c r="BE26" s="52">
        <f>IF(OR($I26&lt;1,IF($I26&gt;=6,BA26,AW26)&lt;=0),"",IF(SUMPRODUCT(MAX(($C$5:$C$215=$C26)*($I$5:$I$215&gt;=1)*($I$5:$I$215&lt;$I26)*IF($I26&gt;=6,$BA$5:$BA$215,$AW$5:$AW$215)))&lt;=0,"",SUMPRODUCT(MAX(($C$5:$C$215=$C26)*($I$5:$I$215=$I26)*IF($I26&gt;=6,$BA$5:$BA$215,$AW$5:$AW$215)))/SUMPRODUCT(MAX(($C$5:$C$215=$C26)*($I$5:$I$215&gt;=1)*($I$5:$I$215&lt;$I26)*IF($I26&gt;=6,$BA$5:$BA$215,$AW$5:$AW$215)))-1))</f>
        <v/>
      </c>
      <c r="BF26" s="19">
        <f>IF(AND(BB26="",BC26="",BD26="",BE26=""),"",IF(IF(AND(ISNUMBER(BB26),BB26&lt;'Item Budget'!$R$11),"W ","")&amp;IF(AND(ISNUMBER(BC26),BC26&lt;'Item Budget'!$R$11),"R ","")&amp;IF(AND(ISNUMBER(BD26),BD26&lt;'Item Budget'!$R$11),"M ","")&amp;IF(AND(ISNUMBER(BE26),BE26&lt;'Item Budget'!$R$11),"P ","")="","OK","Not above lower step: "&amp;IF(AND(ISNUMBER(BB26),BB26&lt;'Item Budget'!$R$11),"W ","")&amp;IF(AND(ISNUMBER(BC26),BC26&lt;'Item Budget'!$R$11),"R ","")&amp;IF(AND(ISNUMBER(BD26),BD26&lt;'Item Budget'!$R$11),"M ","")&amp;IF(AND(ISNUMBER(BE26),BE26&lt;'Item Budget'!$R$11),"P ","")))</f>
        <v/>
      </c>
    </row>
    <row r="27">
      <c r="A27" s="21" t="n">
        <v>149</v>
      </c>
      <c r="B27" s="21" t="inlineStr">
        <is>
          <t>Champions Chestplate</t>
        </is>
      </c>
      <c r="C27" s="21" t="inlineStr">
        <is>
          <t>Chest</t>
        </is>
      </c>
      <c r="D27" s="21" t="inlineStr">
        <is>
          <t>Warrior</t>
        </is>
      </c>
      <c r="E27" s="21" t="inlineStr">
        <is>
          <t>Warrior</t>
        </is>
      </c>
      <c r="F27" s="21" t="inlineStr">
        <is>
          <t>Warrior plate</t>
        </is>
      </c>
      <c r="G27" s="21" t="inlineStr">
        <is>
          <t>drop: Punchy 7%</t>
        </is>
      </c>
      <c r="H27" s="37" t="n">
        <v>0</v>
      </c>
      <c r="I27" s="21" t="n">
        <v>1</v>
      </c>
      <c r="J27" s="3" t="inlineStr">
        <is>
          <t>Pass 2</t>
        </is>
      </c>
      <c r="K27" s="21" t="inlineStr">
        <is>
          <t>Rare boss drop</t>
        </is>
      </c>
      <c r="L27" s="31">
        <f>INDEX('Item Budget'!$F$5:$F$13,MATCH(K27,'Item Budget'!$E$5:$E$13,0))+IF(E27="All",0,'Item Budget'!$F$15)+LOOKUP(H27,'Item Budget'!$E$19:$E$23,'Item Budget'!$F$19:$F$23)</f>
        <v/>
      </c>
      <c r="M27" s="21" t="n">
        <v>50</v>
      </c>
      <c r="N27" s="21" t="n">
        <v>200</v>
      </c>
      <c r="O27" s="21" t="n">
        <v>0</v>
      </c>
      <c r="P27" s="21" t="n">
        <v>120</v>
      </c>
      <c r="Q27" s="21" t="n">
        <v>12</v>
      </c>
      <c r="R27" s="21" t="n">
        <v>14</v>
      </c>
      <c r="S27" s="21" t="n">
        <v>4</v>
      </c>
      <c r="T27" s="21" t="n">
        <v>0</v>
      </c>
      <c r="U27" s="21" t="n">
        <v>0</v>
      </c>
      <c r="V27" s="21" t="inlineStr">
        <is>
          <t>(none)</t>
        </is>
      </c>
      <c r="W27" s="61">
        <f>N27*'Item Budget'!$B$5+R27*'Item Budget'!$B$7+P27*'Item Budget'!$B$11+S27*'Item Budget'!$B$10+Q27*'Item Budget'!$B$9+IFERROR(INDEX('Item Budget'!$M$25:$M$95,MATCH(V27,'Item Budget'!$B$25:$B$95,0)),0)+IF($C27="Weapon",U27*'Item Budget'!$B$9,0)</f>
        <v/>
      </c>
      <c r="X27" s="61">
        <f>N27*'Item Budget'!$B$5+R27*'Item Budget'!$B$7+P27*'Item Budget'!$B$11+S27*'Item Budget'!$B$10+O27*'Item Budget'!$B$6+T27*'Item Budget'!$B$8+IFERROR(INDEX('Item Budget'!$N$25:$N$95,MATCH(V27,'Item Budget'!$B$25:$B$95,0)),0)</f>
        <v/>
      </c>
      <c r="Y27" s="61">
        <f>MAX('Item Budget'!$F$16,INDEX('Gear Budget'!$C$8:$C$14,MATCH($C27,'Gear Budget'!$A$8:$A$14,0))*MIN(M27,50))*$L27</f>
        <v/>
      </c>
      <c r="Z27" s="41">
        <f>IF($C27="Caster weapon",X27,MAX(W27,X27))/Y27</f>
        <v/>
      </c>
      <c r="AA27" s="61">
        <f>IF(OR($C27="Weapon",$C27="Caster weapon"),"",'Gear Budget'!$B$5*MAX(1,MIN(M27,50))*INDEX('Gear Budget'!$B$8:$B$14,MATCH($C27,'Gear Budget'!$A$8:$A$14,0))*IF($C27="Shield",IF(D27="Warrior",1,IF(OR(D27="Rogue",D27="All"),0.38/0.6,0.25/0.6)),IFERROR(INDEX('Gear Budget'!$B$18:$B$21,MATCH($F27,'Gear Budget'!$A$18:$A$21,0)),1)))</f>
        <v/>
      </c>
      <c r="AB27" s="41">
        <f>IF(AA27="","",P27/AA27)</f>
        <v/>
      </c>
      <c r="AC27" s="21" t="n">
        <v>50</v>
      </c>
      <c r="AD27" s="20" t="n">
        <v>225</v>
      </c>
      <c r="AE27" s="21" t="n">
        <v>0</v>
      </c>
      <c r="AF27" s="20" t="n">
        <v>130</v>
      </c>
      <c r="AG27" s="20" t="n">
        <v>13</v>
      </c>
      <c r="AH27" s="20" t="n">
        <v>15</v>
      </c>
      <c r="AI27" s="21" t="n">
        <v>4</v>
      </c>
      <c r="AJ27" s="21" t="n">
        <v>0</v>
      </c>
      <c r="AK27" s="21" t="n">
        <v>0</v>
      </c>
      <c r="AL27" s="21" t="inlineStr">
        <is>
          <t>(none)</t>
        </is>
      </c>
      <c r="AM27" s="61">
        <f>AD27*'Item Budget'!$B$5+AH27*'Item Budget'!$B$7+AF27*'Item Budget'!$B$11+AI27*'Item Budget'!$B$10+AG27*'Item Budget'!$B$9+IFERROR(INDEX('Item Budget'!$M$25:$M$95,MATCH(AL27,'Item Budget'!$B$25:$B$95,0)),0)+IF($C27="Weapon",AK27*'Item Budget'!$B$9,0)</f>
        <v/>
      </c>
      <c r="AN27" s="61">
        <f>AD27*'Item Budget'!$B$5+AH27*'Item Budget'!$B$7+AF27*'Item Budget'!$B$11+AI27*'Item Budget'!$B$10+AE27*'Item Budget'!$B$6+AJ27*'Item Budget'!$B$8+IFERROR(INDEX('Item Budget'!$N$25:$N$95,MATCH(AL27,'Item Budget'!$B$25:$B$95,0)),0)</f>
        <v/>
      </c>
      <c r="AO27" s="61">
        <f>MAX('Item Budget'!$F$16,INDEX('Gear Budget'!$C$8:$C$14,MATCH($C27,'Gear Budget'!$A$8:$A$14,0))*MIN(AC27,50))*$L27</f>
        <v/>
      </c>
      <c r="AP27" s="41">
        <f>IF($C27="Caster weapon",AN27,MAX(AM27,AN27))/AO27</f>
        <v/>
      </c>
      <c r="AQ27" s="61">
        <f>IF(OR($C27="Weapon",$C27="Caster weapon"),"",'Gear Budget'!$B$5*MAX(1,MIN(AC27,50))*INDEX('Gear Budget'!$B$8:$B$14,MATCH($C27,'Gear Budget'!$A$8:$A$14,0))*IF($C27="Shield",IF(E27="Warrior",1,IF(OR(E27="Rogue",E27="All"),0.38/0.6,0.25/0.6)),IFERROR(INDEX('Gear Budget'!$B$18:$B$21,MATCH($F27,'Gear Budget'!$A$18:$A$21,0)),1)))</f>
        <v/>
      </c>
      <c r="AR27" s="41">
        <f>IF(AQ27="","",AF27/AQ27)</f>
        <v/>
      </c>
      <c r="AS27" s="64" t="inlineStr">
        <is>
          <t>Punchy set: raised to +25% over the L40 boss set</t>
        </is>
      </c>
      <c r="AT27" s="44">
        <f>IF(OR($E27="All",ISNUMBER(SEARCH("Warrior",$E27))),IF($C27="Caster weapon",(AN27+AF27*('Item Budget'!$AB$14-'Item Budget'!$B$11)),(AM27+AF27*('Item Budget'!$AB$14-'Item Budget'!$B$11))),0)</f>
        <v/>
      </c>
      <c r="AU27" s="44">
        <f>IF(OR($E27="All",ISNUMBER(SEARCH("Rogue",$E27))),IF($C27="Caster weapon",(AN27+AF27*('Item Budget'!$AB$15-'Item Budget'!$B$11)),(AM27+AF27*('Item Budget'!$AB$15-'Item Budget'!$B$11))),0)</f>
        <v/>
      </c>
      <c r="AV27" s="44">
        <f>IF(OR($E27="All",ISNUMBER(SEARCH("Magus",$E27))),(AN27+AF27*('Item Budget'!$AB$16-'Item Budget'!$B$11)),0)</f>
        <v/>
      </c>
      <c r="AW27" s="44">
        <f>IF(OR($E27="All",ISNUMBER(SEARCH("Priest",$E27))),(AN27+AF27*('Item Budget'!$AB$17-'Item Budget'!$B$11)),0)</f>
        <v/>
      </c>
      <c r="AX27" s="44">
        <f>IF(AND(OR($E27="All",ISNUMBER(SEARCH("Warrior",$E27))),AC27&gt;='Item Budget'!$R$10),'Item Budget'!$R$7*100*('Item Budget'!$R$14*(AD27+25*AH27)+'Item Budget'!$S$14*(AE27+25*AJ27))/'Item Budget'!$Z$14+'Item Budget'!$R$9*AF27+IFERROR(INDEX('Item Budget'!$O$25:$O$95,MATCH(AL27,'Item Budget'!$B$25:$B$95,0)),0),0)</f>
        <v/>
      </c>
      <c r="AY27" s="44">
        <f>IF(AND(OR($E27="All",ISNUMBER(SEARCH("Rogue",$E27))),AC27&gt;='Item Budget'!$R$10),'Item Budget'!$R$7*100*('Item Budget'!$R$15*(AD27+25*AH27)+'Item Budget'!$S$15*(AE27+25*AJ27))/'Item Budget'!$Z$15+'Item Budget'!$R$9*AF27+IFERROR(INDEX('Item Budget'!$O$25:$O$95,MATCH(AL27,'Item Budget'!$B$25:$B$95,0)),0),0)</f>
        <v/>
      </c>
      <c r="AZ27" s="44">
        <f>IF(AND(OR($E27="All",ISNUMBER(SEARCH("Magus",$E27))),AC27&gt;='Item Budget'!$R$10),'Item Budget'!$R$7*100*('Item Budget'!$R$16*(AD27+25*AH27)+'Item Budget'!$S$16*(AE27+25*AJ27))/'Item Budget'!$Z$16+'Item Budget'!$R$9*AF27+IFERROR(INDEX('Item Budget'!$O$25:$O$95,MATCH(AL27,'Item Budget'!$B$25:$B$95,0)),0),0)</f>
        <v/>
      </c>
      <c r="BA27" s="44">
        <f>IF(AND(OR($E27="All",ISNUMBER(SEARCH("Priest",$E27))),AC27&gt;='Item Budget'!$R$10),'Item Budget'!$R$7*100*('Item Budget'!$R$17*(AD27+25*AH27)+'Item Budget'!$S$17*(AE27+25*AJ27))/'Item Budget'!$Z$17+'Item Budget'!$R$9*AF27+IFERROR(INDEX('Item Budget'!$O$25:$O$95,MATCH(AL27,'Item Budget'!$B$25:$B$95,0)),0),0)</f>
        <v/>
      </c>
      <c r="BB27" s="52">
        <f>IF(OR($I27&lt;1,IF($I27&gt;=6,AX27,AT27)&lt;=0),"",IF(SUMPRODUCT(MAX(($C$5:$C$215=$C27)*($I$5:$I$215&gt;=1)*($I$5:$I$215&lt;$I27)*IF($I27&gt;=6,$AX$5:$AX$215,$AT$5:$AT$215)))&lt;=0,"",SUMPRODUCT(MAX(($C$5:$C$215=$C27)*($I$5:$I$215=$I27)*IF($I27&gt;=6,$AX$5:$AX$215,$AT$5:$AT$215)))/SUMPRODUCT(MAX(($C$5:$C$215=$C27)*($I$5:$I$215&gt;=1)*($I$5:$I$215&lt;$I27)*IF($I27&gt;=6,$AX$5:$AX$215,$AT$5:$AT$215)))-1))</f>
        <v/>
      </c>
      <c r="BC27" s="52">
        <f>IF(OR($I27&lt;1,IF($I27&gt;=6,AY27,AU27)&lt;=0),"",IF(SUMPRODUCT(MAX(($C$5:$C$215=$C27)*($I$5:$I$215&gt;=1)*($I$5:$I$215&lt;$I27)*IF($I27&gt;=6,$AY$5:$AY$215,$AU$5:$AU$215)))&lt;=0,"",SUMPRODUCT(MAX(($C$5:$C$215=$C27)*($I$5:$I$215=$I27)*IF($I27&gt;=6,$AY$5:$AY$215,$AU$5:$AU$215)))/SUMPRODUCT(MAX(($C$5:$C$215=$C27)*($I$5:$I$215&gt;=1)*($I$5:$I$215&lt;$I27)*IF($I27&gt;=6,$AY$5:$AY$215,$AU$5:$AU$215)))-1))</f>
        <v/>
      </c>
      <c r="BD27" s="52">
        <f>IF(OR($I27&lt;1,IF($I27&gt;=6,AZ27,AV27)&lt;=0),"",IF(SUMPRODUCT(MAX(($C$5:$C$215=$C27)*($I$5:$I$215&gt;=1)*($I$5:$I$215&lt;$I27)*IF($I27&gt;=6,$AZ$5:$AZ$215,$AV$5:$AV$215)))&lt;=0,"",SUMPRODUCT(MAX(($C$5:$C$215=$C27)*($I$5:$I$215=$I27)*IF($I27&gt;=6,$AZ$5:$AZ$215,$AV$5:$AV$215)))/SUMPRODUCT(MAX(($C$5:$C$215=$C27)*($I$5:$I$215&gt;=1)*($I$5:$I$215&lt;$I27)*IF($I27&gt;=6,$AZ$5:$AZ$215,$AV$5:$AV$215)))-1))</f>
        <v/>
      </c>
      <c r="BE27" s="52">
        <f>IF(OR($I27&lt;1,IF($I27&gt;=6,BA27,AW27)&lt;=0),"",IF(SUMPRODUCT(MAX(($C$5:$C$215=$C27)*($I$5:$I$215&gt;=1)*($I$5:$I$215&lt;$I27)*IF($I27&gt;=6,$BA$5:$BA$215,$AW$5:$AW$215)))&lt;=0,"",SUMPRODUCT(MAX(($C$5:$C$215=$C27)*($I$5:$I$215=$I27)*IF($I27&gt;=6,$BA$5:$BA$215,$AW$5:$AW$215)))/SUMPRODUCT(MAX(($C$5:$C$215=$C27)*($I$5:$I$215&gt;=1)*($I$5:$I$215&lt;$I27)*IF($I27&gt;=6,$BA$5:$BA$215,$AW$5:$AW$215)))-1))</f>
        <v/>
      </c>
      <c r="BF27" s="19">
        <f>IF(AND(BB27="",BC27="",BD27="",BE27=""),"",IF(IF(AND(ISNUMBER(BB27),BB27&lt;'Item Budget'!$R$11),"W ","")&amp;IF(AND(ISNUMBER(BC27),BC27&lt;'Item Budget'!$R$11),"R ","")&amp;IF(AND(ISNUMBER(BD27),BD27&lt;'Item Budget'!$R$11),"M ","")&amp;IF(AND(ISNUMBER(BE27),BE27&lt;'Item Budget'!$R$11),"P ","")="","OK","Not above lower step: "&amp;IF(AND(ISNUMBER(BB27),BB27&lt;'Item Budget'!$R$11),"W ","")&amp;IF(AND(ISNUMBER(BC27),BC27&lt;'Item Budget'!$R$11),"R ","")&amp;IF(AND(ISNUMBER(BD27),BD27&lt;'Item Budget'!$R$11),"M ","")&amp;IF(AND(ISNUMBER(BE27),BE27&lt;'Item Budget'!$R$11),"P ","")))</f>
        <v/>
      </c>
    </row>
    <row r="28">
      <c r="A28" s="21" t="n">
        <v>168</v>
      </c>
      <c r="B28" s="21" t="inlineStr">
        <is>
          <t>Deceivers Chestplate</t>
        </is>
      </c>
      <c r="C28" s="21" t="inlineStr">
        <is>
          <t>Chest</t>
        </is>
      </c>
      <c r="D28" s="21" t="inlineStr">
        <is>
          <t>Rogue</t>
        </is>
      </c>
      <c r="E28" s="21" t="inlineStr">
        <is>
          <t>Rogue</t>
        </is>
      </c>
      <c r="F28" s="21" t="inlineStr">
        <is>
          <t>Rogue</t>
        </is>
      </c>
      <c r="G28" s="21" t="inlineStr">
        <is>
          <t>drop: Punchy 7%</t>
        </is>
      </c>
      <c r="H28" s="37" t="n">
        <v>0</v>
      </c>
      <c r="I28" s="21" t="n">
        <v>1</v>
      </c>
      <c r="J28" s="3" t="inlineStr">
        <is>
          <t>Pass 2</t>
        </is>
      </c>
      <c r="K28" s="21" t="inlineStr">
        <is>
          <t>Rare boss drop</t>
        </is>
      </c>
      <c r="L28" s="31">
        <f>INDEX('Item Budget'!$F$5:$F$13,MATCH(K28,'Item Budget'!$E$5:$E$13,0))+IF(E28="All",0,'Item Budget'!$F$15)+LOOKUP(H28,'Item Budget'!$E$19:$E$23,'Item Budget'!$F$19:$F$23)</f>
        <v/>
      </c>
      <c r="M28" s="21" t="n">
        <v>50</v>
      </c>
      <c r="N28" s="21" t="n">
        <v>200</v>
      </c>
      <c r="O28" s="21" t="n">
        <v>100</v>
      </c>
      <c r="P28" s="21" t="n">
        <v>95</v>
      </c>
      <c r="Q28" s="21" t="n">
        <v>12</v>
      </c>
      <c r="R28" s="21" t="n">
        <v>14</v>
      </c>
      <c r="S28" s="21" t="n">
        <v>20</v>
      </c>
      <c r="T28" s="21" t="n">
        <v>0</v>
      </c>
      <c r="U28" s="21" t="n">
        <v>0</v>
      </c>
      <c r="V28" s="21" t="inlineStr">
        <is>
          <t>(none)</t>
        </is>
      </c>
      <c r="W28" s="61">
        <f>N28*'Item Budget'!$B$5+R28*'Item Budget'!$B$7+P28*'Item Budget'!$B$11+S28*'Item Budget'!$B$10+Q28*'Item Budget'!$B$9+IFERROR(INDEX('Item Budget'!$M$25:$M$95,MATCH(V28,'Item Budget'!$B$25:$B$95,0)),0)+IF($C28="Weapon",U28*'Item Budget'!$B$9,0)</f>
        <v/>
      </c>
      <c r="X28" s="61">
        <f>N28*'Item Budget'!$B$5+R28*'Item Budget'!$B$7+P28*'Item Budget'!$B$11+S28*'Item Budget'!$B$10+O28*'Item Budget'!$B$6+T28*'Item Budget'!$B$8+IFERROR(INDEX('Item Budget'!$N$25:$N$95,MATCH(V28,'Item Budget'!$B$25:$B$95,0)),0)</f>
        <v/>
      </c>
      <c r="Y28" s="61">
        <f>MAX('Item Budget'!$F$16,INDEX('Gear Budget'!$C$8:$C$14,MATCH($C28,'Gear Budget'!$A$8:$A$14,0))*MIN(M28,50))*$L28</f>
        <v/>
      </c>
      <c r="Z28" s="41">
        <f>IF($C28="Caster weapon",X28,MAX(W28,X28))/Y28</f>
        <v/>
      </c>
      <c r="AA28" s="61">
        <f>IF(OR($C28="Weapon",$C28="Caster weapon"),"",'Gear Budget'!$B$5*MAX(1,MIN(M28,50))*INDEX('Gear Budget'!$B$8:$B$14,MATCH($C28,'Gear Budget'!$A$8:$A$14,0))*IF($C28="Shield",IF(D28="Warrior",1,IF(OR(D28="Rogue",D28="All"),0.38/0.6,0.25/0.6)),IFERROR(INDEX('Gear Budget'!$B$18:$B$21,MATCH($F28,'Gear Budget'!$A$18:$A$21,0)),1)))</f>
        <v/>
      </c>
      <c r="AB28" s="41">
        <f>IF(AA28="","",P28/AA28)</f>
        <v/>
      </c>
      <c r="AC28" s="21" t="n">
        <v>50</v>
      </c>
      <c r="AD28" s="20" t="n">
        <v>225</v>
      </c>
      <c r="AE28" s="20" t="n">
        <v>110</v>
      </c>
      <c r="AF28" s="20" t="n">
        <v>103</v>
      </c>
      <c r="AG28" s="20" t="n">
        <v>13</v>
      </c>
      <c r="AH28" s="20" t="n">
        <v>15</v>
      </c>
      <c r="AI28" s="20" t="n">
        <v>22</v>
      </c>
      <c r="AJ28" s="21" t="n">
        <v>0</v>
      </c>
      <c r="AK28" s="21" t="n">
        <v>0</v>
      </c>
      <c r="AL28" s="21" t="inlineStr">
        <is>
          <t>(none)</t>
        </is>
      </c>
      <c r="AM28" s="61">
        <f>AD28*'Item Budget'!$B$5+AH28*'Item Budget'!$B$7+AF28*'Item Budget'!$B$11+AI28*'Item Budget'!$B$10+AG28*'Item Budget'!$B$9+IFERROR(INDEX('Item Budget'!$M$25:$M$95,MATCH(AL28,'Item Budget'!$B$25:$B$95,0)),0)+IF($C28="Weapon",AK28*'Item Budget'!$B$9,0)</f>
        <v/>
      </c>
      <c r="AN28" s="61">
        <f>AD28*'Item Budget'!$B$5+AH28*'Item Budget'!$B$7+AF28*'Item Budget'!$B$11+AI28*'Item Budget'!$B$10+AE28*'Item Budget'!$B$6+AJ28*'Item Budget'!$B$8+IFERROR(INDEX('Item Budget'!$N$25:$N$95,MATCH(AL28,'Item Budget'!$B$25:$B$95,0)),0)</f>
        <v/>
      </c>
      <c r="AO28" s="61">
        <f>MAX('Item Budget'!$F$16,INDEX('Gear Budget'!$C$8:$C$14,MATCH($C28,'Gear Budget'!$A$8:$A$14,0))*MIN(AC28,50))*$L28</f>
        <v/>
      </c>
      <c r="AP28" s="41">
        <f>IF($C28="Caster weapon",AN28,MAX(AM28,AN28))/AO28</f>
        <v/>
      </c>
      <c r="AQ28" s="61">
        <f>IF(OR($C28="Weapon",$C28="Caster weapon"),"",'Gear Budget'!$B$5*MAX(1,MIN(AC28,50))*INDEX('Gear Budget'!$B$8:$B$14,MATCH($C28,'Gear Budget'!$A$8:$A$14,0))*IF($C28="Shield",IF(E28="Warrior",1,IF(OR(E28="Rogue",E28="All"),0.38/0.6,0.25/0.6)),IFERROR(INDEX('Gear Budget'!$B$18:$B$21,MATCH($F28,'Gear Budget'!$A$18:$A$21,0)),1)))</f>
        <v/>
      </c>
      <c r="AR28" s="41">
        <f>IF(AQ28="","",AF28/AQ28)</f>
        <v/>
      </c>
      <c r="AS28" s="64" t="inlineStr">
        <is>
          <t>Punchy set: raised to +25% over the L40 boss set</t>
        </is>
      </c>
      <c r="AT28" s="44">
        <f>IF(OR($E28="All",ISNUMBER(SEARCH("Warrior",$E28))),IF($C28="Caster weapon",(AN28+AF28*('Item Budget'!$AB$14-'Item Budget'!$B$11)),(AM28+AF28*('Item Budget'!$AB$14-'Item Budget'!$B$11))),0)</f>
        <v/>
      </c>
      <c r="AU28" s="44">
        <f>IF(OR($E28="All",ISNUMBER(SEARCH("Rogue",$E28))),IF($C28="Caster weapon",(AN28+AF28*('Item Budget'!$AB$15-'Item Budget'!$B$11)),(AM28+AF28*('Item Budget'!$AB$15-'Item Budget'!$B$11))),0)</f>
        <v/>
      </c>
      <c r="AV28" s="44">
        <f>IF(OR($E28="All",ISNUMBER(SEARCH("Magus",$E28))),(AN28+AF28*('Item Budget'!$AB$16-'Item Budget'!$B$11)),0)</f>
        <v/>
      </c>
      <c r="AW28" s="44">
        <f>IF(OR($E28="All",ISNUMBER(SEARCH("Priest",$E28))),(AN28+AF28*('Item Budget'!$AB$17-'Item Budget'!$B$11)),0)</f>
        <v/>
      </c>
      <c r="AX28" s="44">
        <f>IF(AND(OR($E28="All",ISNUMBER(SEARCH("Warrior",$E28))),AC28&gt;='Item Budget'!$R$10),'Item Budget'!$R$7*100*('Item Budget'!$R$14*(AD28+25*AH28)+'Item Budget'!$S$14*(AE28+25*AJ28))/'Item Budget'!$Z$14+'Item Budget'!$R$9*AF28+IFERROR(INDEX('Item Budget'!$O$25:$O$95,MATCH(AL28,'Item Budget'!$B$25:$B$95,0)),0),0)</f>
        <v/>
      </c>
      <c r="AY28" s="44">
        <f>IF(AND(OR($E28="All",ISNUMBER(SEARCH("Rogue",$E28))),AC28&gt;='Item Budget'!$R$10),'Item Budget'!$R$7*100*('Item Budget'!$R$15*(AD28+25*AH28)+'Item Budget'!$S$15*(AE28+25*AJ28))/'Item Budget'!$Z$15+'Item Budget'!$R$9*AF28+IFERROR(INDEX('Item Budget'!$O$25:$O$95,MATCH(AL28,'Item Budget'!$B$25:$B$95,0)),0),0)</f>
        <v/>
      </c>
      <c r="AZ28" s="44">
        <f>IF(AND(OR($E28="All",ISNUMBER(SEARCH("Magus",$E28))),AC28&gt;='Item Budget'!$R$10),'Item Budget'!$R$7*100*('Item Budget'!$R$16*(AD28+25*AH28)+'Item Budget'!$S$16*(AE28+25*AJ28))/'Item Budget'!$Z$16+'Item Budget'!$R$9*AF28+IFERROR(INDEX('Item Budget'!$O$25:$O$95,MATCH(AL28,'Item Budget'!$B$25:$B$95,0)),0),0)</f>
        <v/>
      </c>
      <c r="BA28" s="44">
        <f>IF(AND(OR($E28="All",ISNUMBER(SEARCH("Priest",$E28))),AC28&gt;='Item Budget'!$R$10),'Item Budget'!$R$7*100*('Item Budget'!$R$17*(AD28+25*AH28)+'Item Budget'!$S$17*(AE28+25*AJ28))/'Item Budget'!$Z$17+'Item Budget'!$R$9*AF28+IFERROR(INDEX('Item Budget'!$O$25:$O$95,MATCH(AL28,'Item Budget'!$B$25:$B$95,0)),0),0)</f>
        <v/>
      </c>
      <c r="BB28" s="52">
        <f>IF(OR($I28&lt;1,IF($I28&gt;=6,AX28,AT28)&lt;=0),"",IF(SUMPRODUCT(MAX(($C$5:$C$215=$C28)*($I$5:$I$215&gt;=1)*($I$5:$I$215&lt;$I28)*IF($I28&gt;=6,$AX$5:$AX$215,$AT$5:$AT$215)))&lt;=0,"",SUMPRODUCT(MAX(($C$5:$C$215=$C28)*($I$5:$I$215=$I28)*IF($I28&gt;=6,$AX$5:$AX$215,$AT$5:$AT$215)))/SUMPRODUCT(MAX(($C$5:$C$215=$C28)*($I$5:$I$215&gt;=1)*($I$5:$I$215&lt;$I28)*IF($I28&gt;=6,$AX$5:$AX$215,$AT$5:$AT$215)))-1))</f>
        <v/>
      </c>
      <c r="BC28" s="52">
        <f>IF(OR($I28&lt;1,IF($I28&gt;=6,AY28,AU28)&lt;=0),"",IF(SUMPRODUCT(MAX(($C$5:$C$215=$C28)*($I$5:$I$215&gt;=1)*($I$5:$I$215&lt;$I28)*IF($I28&gt;=6,$AY$5:$AY$215,$AU$5:$AU$215)))&lt;=0,"",SUMPRODUCT(MAX(($C$5:$C$215=$C28)*($I$5:$I$215=$I28)*IF($I28&gt;=6,$AY$5:$AY$215,$AU$5:$AU$215)))/SUMPRODUCT(MAX(($C$5:$C$215=$C28)*($I$5:$I$215&gt;=1)*($I$5:$I$215&lt;$I28)*IF($I28&gt;=6,$AY$5:$AY$215,$AU$5:$AU$215)))-1))</f>
        <v/>
      </c>
      <c r="BD28" s="52">
        <f>IF(OR($I28&lt;1,IF($I28&gt;=6,AZ28,AV28)&lt;=0),"",IF(SUMPRODUCT(MAX(($C$5:$C$215=$C28)*($I$5:$I$215&gt;=1)*($I$5:$I$215&lt;$I28)*IF($I28&gt;=6,$AZ$5:$AZ$215,$AV$5:$AV$215)))&lt;=0,"",SUMPRODUCT(MAX(($C$5:$C$215=$C28)*($I$5:$I$215=$I28)*IF($I28&gt;=6,$AZ$5:$AZ$215,$AV$5:$AV$215)))/SUMPRODUCT(MAX(($C$5:$C$215=$C28)*($I$5:$I$215&gt;=1)*($I$5:$I$215&lt;$I28)*IF($I28&gt;=6,$AZ$5:$AZ$215,$AV$5:$AV$215)))-1))</f>
        <v/>
      </c>
      <c r="BE28" s="52">
        <f>IF(OR($I28&lt;1,IF($I28&gt;=6,BA28,AW28)&lt;=0),"",IF(SUMPRODUCT(MAX(($C$5:$C$215=$C28)*($I$5:$I$215&gt;=1)*($I$5:$I$215&lt;$I28)*IF($I28&gt;=6,$BA$5:$BA$215,$AW$5:$AW$215)))&lt;=0,"",SUMPRODUCT(MAX(($C$5:$C$215=$C28)*($I$5:$I$215=$I28)*IF($I28&gt;=6,$BA$5:$BA$215,$AW$5:$AW$215)))/SUMPRODUCT(MAX(($C$5:$C$215=$C28)*($I$5:$I$215&gt;=1)*($I$5:$I$215&lt;$I28)*IF($I28&gt;=6,$BA$5:$BA$215,$AW$5:$AW$215)))-1))</f>
        <v/>
      </c>
      <c r="BF28" s="19">
        <f>IF(AND(BB28="",BC28="",BD28="",BE28=""),"",IF(IF(AND(ISNUMBER(BB28),BB28&lt;'Item Budget'!$R$11),"W ","")&amp;IF(AND(ISNUMBER(BC28),BC28&lt;'Item Budget'!$R$11),"R ","")&amp;IF(AND(ISNUMBER(BD28),BD28&lt;'Item Budget'!$R$11),"M ","")&amp;IF(AND(ISNUMBER(BE28),BE28&lt;'Item Budget'!$R$11),"P ","")="","OK","Not above lower step: "&amp;IF(AND(ISNUMBER(BB28),BB28&lt;'Item Budget'!$R$11),"W ","")&amp;IF(AND(ISNUMBER(BC28),BC28&lt;'Item Budget'!$R$11),"R ","")&amp;IF(AND(ISNUMBER(BD28),BD28&lt;'Item Budget'!$R$11),"M ","")&amp;IF(AND(ISNUMBER(BE28),BE28&lt;'Item Budget'!$R$11),"P ","")))</f>
        <v/>
      </c>
    </row>
    <row r="29">
      <c r="A29" s="21" t="n">
        <v>242</v>
      </c>
      <c r="B29" s="21" t="inlineStr">
        <is>
          <t>High Priests Tunic</t>
        </is>
      </c>
      <c r="C29" s="21" t="inlineStr">
        <is>
          <t>Chest</t>
        </is>
      </c>
      <c r="D29" s="21" t="inlineStr">
        <is>
          <t>Priest</t>
        </is>
      </c>
      <c r="E29" s="21" t="inlineStr">
        <is>
          <t>Priest</t>
        </is>
      </c>
      <c r="F29" s="21" t="inlineStr">
        <is>
          <t>Caster cloth</t>
        </is>
      </c>
      <c r="G29" s="21" t="inlineStr">
        <is>
          <t>drop: Punchy 7%</t>
        </is>
      </c>
      <c r="H29" s="37" t="n">
        <v>0</v>
      </c>
      <c r="I29" s="21" t="n">
        <v>1</v>
      </c>
      <c r="J29" s="3" t="inlineStr">
        <is>
          <t>Pass 2</t>
        </is>
      </c>
      <c r="K29" s="21" t="inlineStr">
        <is>
          <t>Rare boss drop</t>
        </is>
      </c>
      <c r="L29" s="31">
        <f>INDEX('Item Budget'!$F$5:$F$13,MATCH(K29,'Item Budget'!$E$5:$E$13,0))+IF(E29="All",0,'Item Budget'!$F$15)+LOOKUP(H29,'Item Budget'!$E$19:$E$23,'Item Budget'!$F$19:$F$23)</f>
        <v/>
      </c>
      <c r="M29" s="21" t="n">
        <v>50</v>
      </c>
      <c r="N29" s="21" t="n">
        <v>250</v>
      </c>
      <c r="O29" s="21" t="n">
        <v>400</v>
      </c>
      <c r="P29" s="21" t="n">
        <v>60</v>
      </c>
      <c r="Q29" s="21" t="n">
        <v>0</v>
      </c>
      <c r="R29" s="21" t="n">
        <v>14</v>
      </c>
      <c r="S29" s="21" t="n">
        <v>0</v>
      </c>
      <c r="T29" s="21" t="n">
        <v>24</v>
      </c>
      <c r="U29" s="21" t="n">
        <v>0</v>
      </c>
      <c r="V29" s="21" t="inlineStr">
        <is>
          <t>(none)</t>
        </is>
      </c>
      <c r="W29" s="61">
        <f>N29*'Item Budget'!$B$5+R29*'Item Budget'!$B$7+P29*'Item Budget'!$B$11+S29*'Item Budget'!$B$10+Q29*'Item Budget'!$B$9+IFERROR(INDEX('Item Budget'!$M$25:$M$95,MATCH(V29,'Item Budget'!$B$25:$B$95,0)),0)+IF($C29="Weapon",U29*'Item Budget'!$B$9,0)</f>
        <v/>
      </c>
      <c r="X29" s="61">
        <f>N29*'Item Budget'!$B$5+R29*'Item Budget'!$B$7+P29*'Item Budget'!$B$11+S29*'Item Budget'!$B$10+O29*'Item Budget'!$B$6+T29*'Item Budget'!$B$8+IFERROR(INDEX('Item Budget'!$N$25:$N$95,MATCH(V29,'Item Budget'!$B$25:$B$95,0)),0)</f>
        <v/>
      </c>
      <c r="Y29" s="61">
        <f>MAX('Item Budget'!$F$16,INDEX('Gear Budget'!$C$8:$C$14,MATCH($C29,'Gear Budget'!$A$8:$A$14,0))*MIN(M29,50))*$L29</f>
        <v/>
      </c>
      <c r="Z29" s="41">
        <f>IF($C29="Caster weapon",X29,MAX(W29,X29))/Y29</f>
        <v/>
      </c>
      <c r="AA29" s="61">
        <f>IF(OR($C29="Weapon",$C29="Caster weapon"),"",'Gear Budget'!$B$5*MAX(1,MIN(M29,50))*INDEX('Gear Budget'!$B$8:$B$14,MATCH($C29,'Gear Budget'!$A$8:$A$14,0))*IF($C29="Shield",IF(D29="Warrior",1,IF(OR(D29="Rogue",D29="All"),0.38/0.6,0.25/0.6)),IFERROR(INDEX('Gear Budget'!$B$18:$B$21,MATCH($F29,'Gear Budget'!$A$18:$A$21,0)),1)))</f>
        <v/>
      </c>
      <c r="AB29" s="41">
        <f>IF(AA29="","",P29/AA29)</f>
        <v/>
      </c>
      <c r="AC29" s="21" t="n">
        <v>50</v>
      </c>
      <c r="AD29" s="20" t="n">
        <v>275</v>
      </c>
      <c r="AE29" s="20" t="n">
        <v>425</v>
      </c>
      <c r="AF29" s="20" t="n">
        <v>65</v>
      </c>
      <c r="AG29" s="21" t="n">
        <v>0</v>
      </c>
      <c r="AH29" s="20" t="n">
        <v>15</v>
      </c>
      <c r="AI29" s="21" t="n">
        <v>0</v>
      </c>
      <c r="AJ29" s="20" t="n">
        <v>26</v>
      </c>
      <c r="AK29" s="21" t="n">
        <v>0</v>
      </c>
      <c r="AL29" s="21" t="inlineStr">
        <is>
          <t>(none)</t>
        </is>
      </c>
      <c r="AM29" s="61">
        <f>AD29*'Item Budget'!$B$5+AH29*'Item Budget'!$B$7+AF29*'Item Budget'!$B$11+AI29*'Item Budget'!$B$10+AG29*'Item Budget'!$B$9+IFERROR(INDEX('Item Budget'!$M$25:$M$95,MATCH(AL29,'Item Budget'!$B$25:$B$95,0)),0)+IF($C29="Weapon",AK29*'Item Budget'!$B$9,0)</f>
        <v/>
      </c>
      <c r="AN29" s="61">
        <f>AD29*'Item Budget'!$B$5+AH29*'Item Budget'!$B$7+AF29*'Item Budget'!$B$11+AI29*'Item Budget'!$B$10+AE29*'Item Budget'!$B$6+AJ29*'Item Budget'!$B$8+IFERROR(INDEX('Item Budget'!$N$25:$N$95,MATCH(AL29,'Item Budget'!$B$25:$B$95,0)),0)</f>
        <v/>
      </c>
      <c r="AO29" s="61">
        <f>MAX('Item Budget'!$F$16,INDEX('Gear Budget'!$C$8:$C$14,MATCH($C29,'Gear Budget'!$A$8:$A$14,0))*MIN(AC29,50))*$L29</f>
        <v/>
      </c>
      <c r="AP29" s="41">
        <f>IF($C29="Caster weapon",AN29,MAX(AM29,AN29))/AO29</f>
        <v/>
      </c>
      <c r="AQ29" s="61">
        <f>IF(OR($C29="Weapon",$C29="Caster weapon"),"",'Gear Budget'!$B$5*MAX(1,MIN(AC29,50))*INDEX('Gear Budget'!$B$8:$B$14,MATCH($C29,'Gear Budget'!$A$8:$A$14,0))*IF($C29="Shield",IF(E29="Warrior",1,IF(OR(E29="Rogue",E29="All"),0.38/0.6,0.25/0.6)),IFERROR(INDEX('Gear Budget'!$B$18:$B$21,MATCH($F29,'Gear Budget'!$A$18:$A$21,0)),1)))</f>
        <v/>
      </c>
      <c r="AR29" s="41">
        <f>IF(AQ29="","",AF29/AQ29)</f>
        <v/>
      </c>
      <c r="AS29" s="64" t="inlineStr">
        <is>
          <t>Punchy set: raised to +25% over the L40 boss set</t>
        </is>
      </c>
      <c r="AT29" s="44">
        <f>IF(OR($E29="All",ISNUMBER(SEARCH("Warrior",$E29))),IF($C29="Caster weapon",(AN29+AF29*('Item Budget'!$AB$14-'Item Budget'!$B$11)),(AM29+AF29*('Item Budget'!$AB$14-'Item Budget'!$B$11))),0)</f>
        <v/>
      </c>
      <c r="AU29" s="44">
        <f>IF(OR($E29="All",ISNUMBER(SEARCH("Rogue",$E29))),IF($C29="Caster weapon",(AN29+AF29*('Item Budget'!$AB$15-'Item Budget'!$B$11)),(AM29+AF29*('Item Budget'!$AB$15-'Item Budget'!$B$11))),0)</f>
        <v/>
      </c>
      <c r="AV29" s="44">
        <f>IF(OR($E29="All",ISNUMBER(SEARCH("Magus",$E29))),(AN29+AF29*('Item Budget'!$AB$16-'Item Budget'!$B$11)),0)</f>
        <v/>
      </c>
      <c r="AW29" s="44">
        <f>IF(OR($E29="All",ISNUMBER(SEARCH("Priest",$E29))),(AN29+AF29*('Item Budget'!$AB$17-'Item Budget'!$B$11)),0)</f>
        <v/>
      </c>
      <c r="AX29" s="44">
        <f>IF(AND(OR($E29="All",ISNUMBER(SEARCH("Warrior",$E29))),AC29&gt;='Item Budget'!$R$10),'Item Budget'!$R$7*100*('Item Budget'!$R$14*(AD29+25*AH29)+'Item Budget'!$S$14*(AE29+25*AJ29))/'Item Budget'!$Z$14+'Item Budget'!$R$9*AF29+IFERROR(INDEX('Item Budget'!$O$25:$O$95,MATCH(AL29,'Item Budget'!$B$25:$B$95,0)),0),0)</f>
        <v/>
      </c>
      <c r="AY29" s="44">
        <f>IF(AND(OR($E29="All",ISNUMBER(SEARCH("Rogue",$E29))),AC29&gt;='Item Budget'!$R$10),'Item Budget'!$R$7*100*('Item Budget'!$R$15*(AD29+25*AH29)+'Item Budget'!$S$15*(AE29+25*AJ29))/'Item Budget'!$Z$15+'Item Budget'!$R$9*AF29+IFERROR(INDEX('Item Budget'!$O$25:$O$95,MATCH(AL29,'Item Budget'!$B$25:$B$95,0)),0),0)</f>
        <v/>
      </c>
      <c r="AZ29" s="44">
        <f>IF(AND(OR($E29="All",ISNUMBER(SEARCH("Magus",$E29))),AC29&gt;='Item Budget'!$R$10),'Item Budget'!$R$7*100*('Item Budget'!$R$16*(AD29+25*AH29)+'Item Budget'!$S$16*(AE29+25*AJ29))/'Item Budget'!$Z$16+'Item Budget'!$R$9*AF29+IFERROR(INDEX('Item Budget'!$O$25:$O$95,MATCH(AL29,'Item Budget'!$B$25:$B$95,0)),0),0)</f>
        <v/>
      </c>
      <c r="BA29" s="44">
        <f>IF(AND(OR($E29="All",ISNUMBER(SEARCH("Priest",$E29))),AC29&gt;='Item Budget'!$R$10),'Item Budget'!$R$7*100*('Item Budget'!$R$17*(AD29+25*AH29)+'Item Budget'!$S$17*(AE29+25*AJ29))/'Item Budget'!$Z$17+'Item Budget'!$R$9*AF29+IFERROR(INDEX('Item Budget'!$O$25:$O$95,MATCH(AL29,'Item Budget'!$B$25:$B$95,0)),0),0)</f>
        <v/>
      </c>
      <c r="BB29" s="52">
        <f>IF(OR($I29&lt;1,IF($I29&gt;=6,AX29,AT29)&lt;=0),"",IF(SUMPRODUCT(MAX(($C$5:$C$215=$C29)*($I$5:$I$215&gt;=1)*($I$5:$I$215&lt;$I29)*IF($I29&gt;=6,$AX$5:$AX$215,$AT$5:$AT$215)))&lt;=0,"",SUMPRODUCT(MAX(($C$5:$C$215=$C29)*($I$5:$I$215=$I29)*IF($I29&gt;=6,$AX$5:$AX$215,$AT$5:$AT$215)))/SUMPRODUCT(MAX(($C$5:$C$215=$C29)*($I$5:$I$215&gt;=1)*($I$5:$I$215&lt;$I29)*IF($I29&gt;=6,$AX$5:$AX$215,$AT$5:$AT$215)))-1))</f>
        <v/>
      </c>
      <c r="BC29" s="52">
        <f>IF(OR($I29&lt;1,IF($I29&gt;=6,AY29,AU29)&lt;=0),"",IF(SUMPRODUCT(MAX(($C$5:$C$215=$C29)*($I$5:$I$215&gt;=1)*($I$5:$I$215&lt;$I29)*IF($I29&gt;=6,$AY$5:$AY$215,$AU$5:$AU$215)))&lt;=0,"",SUMPRODUCT(MAX(($C$5:$C$215=$C29)*($I$5:$I$215=$I29)*IF($I29&gt;=6,$AY$5:$AY$215,$AU$5:$AU$215)))/SUMPRODUCT(MAX(($C$5:$C$215=$C29)*($I$5:$I$215&gt;=1)*($I$5:$I$215&lt;$I29)*IF($I29&gt;=6,$AY$5:$AY$215,$AU$5:$AU$215)))-1))</f>
        <v/>
      </c>
      <c r="BD29" s="52">
        <f>IF(OR($I29&lt;1,IF($I29&gt;=6,AZ29,AV29)&lt;=0),"",IF(SUMPRODUCT(MAX(($C$5:$C$215=$C29)*($I$5:$I$215&gt;=1)*($I$5:$I$215&lt;$I29)*IF($I29&gt;=6,$AZ$5:$AZ$215,$AV$5:$AV$215)))&lt;=0,"",SUMPRODUCT(MAX(($C$5:$C$215=$C29)*($I$5:$I$215=$I29)*IF($I29&gt;=6,$AZ$5:$AZ$215,$AV$5:$AV$215)))/SUMPRODUCT(MAX(($C$5:$C$215=$C29)*($I$5:$I$215&gt;=1)*($I$5:$I$215&lt;$I29)*IF($I29&gt;=6,$AZ$5:$AZ$215,$AV$5:$AV$215)))-1))</f>
        <v/>
      </c>
      <c r="BE29" s="52">
        <f>IF(OR($I29&lt;1,IF($I29&gt;=6,BA29,AW29)&lt;=0),"",IF(SUMPRODUCT(MAX(($C$5:$C$215=$C29)*($I$5:$I$215&gt;=1)*($I$5:$I$215&lt;$I29)*IF($I29&gt;=6,$BA$5:$BA$215,$AW$5:$AW$215)))&lt;=0,"",SUMPRODUCT(MAX(($C$5:$C$215=$C29)*($I$5:$I$215=$I29)*IF($I29&gt;=6,$BA$5:$BA$215,$AW$5:$AW$215)))/SUMPRODUCT(MAX(($C$5:$C$215=$C29)*($I$5:$I$215&gt;=1)*($I$5:$I$215&lt;$I29)*IF($I29&gt;=6,$BA$5:$BA$215,$AW$5:$AW$215)))-1))</f>
        <v/>
      </c>
      <c r="BF29" s="19">
        <f>IF(AND(BB29="",BC29="",BD29="",BE29=""),"",IF(IF(AND(ISNUMBER(BB29),BB29&lt;'Item Budget'!$R$11),"W ","")&amp;IF(AND(ISNUMBER(BC29),BC29&lt;'Item Budget'!$R$11),"R ","")&amp;IF(AND(ISNUMBER(BD29),BD29&lt;'Item Budget'!$R$11),"M ","")&amp;IF(AND(ISNUMBER(BE29),BE29&lt;'Item Budget'!$R$11),"P ","")="","OK","Not above lower step: "&amp;IF(AND(ISNUMBER(BB29),BB29&lt;'Item Budget'!$R$11),"W ","")&amp;IF(AND(ISNUMBER(BC29),BC29&lt;'Item Budget'!$R$11),"R ","")&amp;IF(AND(ISNUMBER(BD29),BD29&lt;'Item Budget'!$R$11),"M ","")&amp;IF(AND(ISNUMBER(BE29),BE29&lt;'Item Budget'!$R$11),"P ","")))</f>
        <v/>
      </c>
    </row>
    <row r="30">
      <c r="A30" s="21" t="n">
        <v>245</v>
      </c>
      <c r="B30" s="21" t="inlineStr">
        <is>
          <t>Elemental Tunic</t>
        </is>
      </c>
      <c r="C30" s="21" t="inlineStr">
        <is>
          <t>Chest</t>
        </is>
      </c>
      <c r="D30" s="21" t="inlineStr">
        <is>
          <t>Magus</t>
        </is>
      </c>
      <c r="E30" s="21" t="inlineStr">
        <is>
          <t>Magus</t>
        </is>
      </c>
      <c r="F30" s="21" t="inlineStr">
        <is>
          <t>Caster cloth</t>
        </is>
      </c>
      <c r="G30" s="21" t="inlineStr">
        <is>
          <t>drop: Punchy 7%</t>
        </is>
      </c>
      <c r="H30" s="37" t="n">
        <v>0</v>
      </c>
      <c r="I30" s="21" t="n">
        <v>1</v>
      </c>
      <c r="J30" s="3" t="inlineStr">
        <is>
          <t>Pass 2</t>
        </is>
      </c>
      <c r="K30" s="21" t="inlineStr">
        <is>
          <t>Rare boss drop</t>
        </is>
      </c>
      <c r="L30" s="31">
        <f>INDEX('Item Budget'!$F$5:$F$13,MATCH(K30,'Item Budget'!$E$5:$E$13,0))+IF(E30="All",0,'Item Budget'!$F$15)+LOOKUP(H30,'Item Budget'!$E$19:$E$23,'Item Budget'!$F$19:$F$23)</f>
        <v/>
      </c>
      <c r="M30" s="21" t="n">
        <v>50</v>
      </c>
      <c r="N30" s="21" t="n">
        <v>75</v>
      </c>
      <c r="O30" s="21" t="n">
        <v>550</v>
      </c>
      <c r="P30" s="21" t="n">
        <v>55</v>
      </c>
      <c r="Q30" s="21" t="n">
        <v>0</v>
      </c>
      <c r="R30" s="21" t="n">
        <v>8</v>
      </c>
      <c r="S30" s="21" t="n">
        <v>0</v>
      </c>
      <c r="T30" s="21" t="n">
        <v>30</v>
      </c>
      <c r="U30" s="21" t="n">
        <v>0</v>
      </c>
      <c r="V30" s="21" t="inlineStr">
        <is>
          <t>(none)</t>
        </is>
      </c>
      <c r="W30" s="61">
        <f>N30*'Item Budget'!$B$5+R30*'Item Budget'!$B$7+P30*'Item Budget'!$B$11+S30*'Item Budget'!$B$10+Q30*'Item Budget'!$B$9+IFERROR(INDEX('Item Budget'!$M$25:$M$95,MATCH(V30,'Item Budget'!$B$25:$B$95,0)),0)+IF($C30="Weapon",U30*'Item Budget'!$B$9,0)</f>
        <v/>
      </c>
      <c r="X30" s="61">
        <f>N30*'Item Budget'!$B$5+R30*'Item Budget'!$B$7+P30*'Item Budget'!$B$11+S30*'Item Budget'!$B$10+O30*'Item Budget'!$B$6+T30*'Item Budget'!$B$8+IFERROR(INDEX('Item Budget'!$N$25:$N$95,MATCH(V30,'Item Budget'!$B$25:$B$95,0)),0)</f>
        <v/>
      </c>
      <c r="Y30" s="61">
        <f>MAX('Item Budget'!$F$16,INDEX('Gear Budget'!$C$8:$C$14,MATCH($C30,'Gear Budget'!$A$8:$A$14,0))*MIN(M30,50))*$L30</f>
        <v/>
      </c>
      <c r="Z30" s="41">
        <f>IF($C30="Caster weapon",X30,MAX(W30,X30))/Y30</f>
        <v/>
      </c>
      <c r="AA30" s="61">
        <f>IF(OR($C30="Weapon",$C30="Caster weapon"),"",'Gear Budget'!$B$5*MAX(1,MIN(M30,50))*INDEX('Gear Budget'!$B$8:$B$14,MATCH($C30,'Gear Budget'!$A$8:$A$14,0))*IF($C30="Shield",IF(D30="Warrior",1,IF(OR(D30="Rogue",D30="All"),0.38/0.6,0.25/0.6)),IFERROR(INDEX('Gear Budget'!$B$18:$B$21,MATCH($F30,'Gear Budget'!$A$18:$A$21,0)),1)))</f>
        <v/>
      </c>
      <c r="AB30" s="41">
        <f>IF(AA30="","",P30/AA30)</f>
        <v/>
      </c>
      <c r="AC30" s="21" t="n">
        <v>50</v>
      </c>
      <c r="AD30" s="20" t="n">
        <v>80</v>
      </c>
      <c r="AE30" s="20" t="n">
        <v>600</v>
      </c>
      <c r="AF30" s="20" t="n">
        <v>59</v>
      </c>
      <c r="AG30" s="21" t="n">
        <v>0</v>
      </c>
      <c r="AH30" s="20" t="n">
        <v>9</v>
      </c>
      <c r="AI30" s="21" t="n">
        <v>0</v>
      </c>
      <c r="AJ30" s="20" t="n">
        <v>32</v>
      </c>
      <c r="AK30" s="21" t="n">
        <v>0</v>
      </c>
      <c r="AL30" s="21" t="inlineStr">
        <is>
          <t>(none)</t>
        </is>
      </c>
      <c r="AM30" s="61">
        <f>AD30*'Item Budget'!$B$5+AH30*'Item Budget'!$B$7+AF30*'Item Budget'!$B$11+AI30*'Item Budget'!$B$10+AG30*'Item Budget'!$B$9+IFERROR(INDEX('Item Budget'!$M$25:$M$95,MATCH(AL30,'Item Budget'!$B$25:$B$95,0)),0)+IF($C30="Weapon",AK30*'Item Budget'!$B$9,0)</f>
        <v/>
      </c>
      <c r="AN30" s="61">
        <f>AD30*'Item Budget'!$B$5+AH30*'Item Budget'!$B$7+AF30*'Item Budget'!$B$11+AI30*'Item Budget'!$B$10+AE30*'Item Budget'!$B$6+AJ30*'Item Budget'!$B$8+IFERROR(INDEX('Item Budget'!$N$25:$N$95,MATCH(AL30,'Item Budget'!$B$25:$B$95,0)),0)</f>
        <v/>
      </c>
      <c r="AO30" s="61">
        <f>MAX('Item Budget'!$F$16,INDEX('Gear Budget'!$C$8:$C$14,MATCH($C30,'Gear Budget'!$A$8:$A$14,0))*MIN(AC30,50))*$L30</f>
        <v/>
      </c>
      <c r="AP30" s="41">
        <f>IF($C30="Caster weapon",AN30,MAX(AM30,AN30))/AO30</f>
        <v/>
      </c>
      <c r="AQ30" s="61">
        <f>IF(OR($C30="Weapon",$C30="Caster weapon"),"",'Gear Budget'!$B$5*MAX(1,MIN(AC30,50))*INDEX('Gear Budget'!$B$8:$B$14,MATCH($C30,'Gear Budget'!$A$8:$A$14,0))*IF($C30="Shield",IF(E30="Warrior",1,IF(OR(E30="Rogue",E30="All"),0.38/0.6,0.25/0.6)),IFERROR(INDEX('Gear Budget'!$B$18:$B$21,MATCH($F30,'Gear Budget'!$A$18:$A$21,0)),1)))</f>
        <v/>
      </c>
      <c r="AR30" s="41">
        <f>IF(AQ30="","",AF30/AQ30)</f>
        <v/>
      </c>
      <c r="AS30" s="64" t="inlineStr">
        <is>
          <t>Punchy set: raised to +25% over the L40 boss set</t>
        </is>
      </c>
      <c r="AT30" s="44">
        <f>IF(OR($E30="All",ISNUMBER(SEARCH("Warrior",$E30))),IF($C30="Caster weapon",(AN30+AF30*('Item Budget'!$AB$14-'Item Budget'!$B$11)),(AM30+AF30*('Item Budget'!$AB$14-'Item Budget'!$B$11))),0)</f>
        <v/>
      </c>
      <c r="AU30" s="44">
        <f>IF(OR($E30="All",ISNUMBER(SEARCH("Rogue",$E30))),IF($C30="Caster weapon",(AN30+AF30*('Item Budget'!$AB$15-'Item Budget'!$B$11)),(AM30+AF30*('Item Budget'!$AB$15-'Item Budget'!$B$11))),0)</f>
        <v/>
      </c>
      <c r="AV30" s="44">
        <f>IF(OR($E30="All",ISNUMBER(SEARCH("Magus",$E30))),(AN30+AF30*('Item Budget'!$AB$16-'Item Budget'!$B$11)),0)</f>
        <v/>
      </c>
      <c r="AW30" s="44">
        <f>IF(OR($E30="All",ISNUMBER(SEARCH("Priest",$E30))),(AN30+AF30*('Item Budget'!$AB$17-'Item Budget'!$B$11)),0)</f>
        <v/>
      </c>
      <c r="AX30" s="44">
        <f>IF(AND(OR($E30="All",ISNUMBER(SEARCH("Warrior",$E30))),AC30&gt;='Item Budget'!$R$10),'Item Budget'!$R$7*100*('Item Budget'!$R$14*(AD30+25*AH30)+'Item Budget'!$S$14*(AE30+25*AJ30))/'Item Budget'!$Z$14+'Item Budget'!$R$9*AF30+IFERROR(INDEX('Item Budget'!$O$25:$O$95,MATCH(AL30,'Item Budget'!$B$25:$B$95,0)),0),0)</f>
        <v/>
      </c>
      <c r="AY30" s="44">
        <f>IF(AND(OR($E30="All",ISNUMBER(SEARCH("Rogue",$E30))),AC30&gt;='Item Budget'!$R$10),'Item Budget'!$R$7*100*('Item Budget'!$R$15*(AD30+25*AH30)+'Item Budget'!$S$15*(AE30+25*AJ30))/'Item Budget'!$Z$15+'Item Budget'!$R$9*AF30+IFERROR(INDEX('Item Budget'!$O$25:$O$95,MATCH(AL30,'Item Budget'!$B$25:$B$95,0)),0),0)</f>
        <v/>
      </c>
      <c r="AZ30" s="44">
        <f>IF(AND(OR($E30="All",ISNUMBER(SEARCH("Magus",$E30))),AC30&gt;='Item Budget'!$R$10),'Item Budget'!$R$7*100*('Item Budget'!$R$16*(AD30+25*AH30)+'Item Budget'!$S$16*(AE30+25*AJ30))/'Item Budget'!$Z$16+'Item Budget'!$R$9*AF30+IFERROR(INDEX('Item Budget'!$O$25:$O$95,MATCH(AL30,'Item Budget'!$B$25:$B$95,0)),0),0)</f>
        <v/>
      </c>
      <c r="BA30" s="44">
        <f>IF(AND(OR($E30="All",ISNUMBER(SEARCH("Priest",$E30))),AC30&gt;='Item Budget'!$R$10),'Item Budget'!$R$7*100*('Item Budget'!$R$17*(AD30+25*AH30)+'Item Budget'!$S$17*(AE30+25*AJ30))/'Item Budget'!$Z$17+'Item Budget'!$R$9*AF30+IFERROR(INDEX('Item Budget'!$O$25:$O$95,MATCH(AL30,'Item Budget'!$B$25:$B$95,0)),0),0)</f>
        <v/>
      </c>
      <c r="BB30" s="52">
        <f>IF(OR($I30&lt;1,IF($I30&gt;=6,AX30,AT30)&lt;=0),"",IF(SUMPRODUCT(MAX(($C$5:$C$215=$C30)*($I$5:$I$215&gt;=1)*($I$5:$I$215&lt;$I30)*IF($I30&gt;=6,$AX$5:$AX$215,$AT$5:$AT$215)))&lt;=0,"",SUMPRODUCT(MAX(($C$5:$C$215=$C30)*($I$5:$I$215=$I30)*IF($I30&gt;=6,$AX$5:$AX$215,$AT$5:$AT$215)))/SUMPRODUCT(MAX(($C$5:$C$215=$C30)*($I$5:$I$215&gt;=1)*($I$5:$I$215&lt;$I30)*IF($I30&gt;=6,$AX$5:$AX$215,$AT$5:$AT$215)))-1))</f>
        <v/>
      </c>
      <c r="BC30" s="52">
        <f>IF(OR($I30&lt;1,IF($I30&gt;=6,AY30,AU30)&lt;=0),"",IF(SUMPRODUCT(MAX(($C$5:$C$215=$C30)*($I$5:$I$215&gt;=1)*($I$5:$I$215&lt;$I30)*IF($I30&gt;=6,$AY$5:$AY$215,$AU$5:$AU$215)))&lt;=0,"",SUMPRODUCT(MAX(($C$5:$C$215=$C30)*($I$5:$I$215=$I30)*IF($I30&gt;=6,$AY$5:$AY$215,$AU$5:$AU$215)))/SUMPRODUCT(MAX(($C$5:$C$215=$C30)*($I$5:$I$215&gt;=1)*($I$5:$I$215&lt;$I30)*IF($I30&gt;=6,$AY$5:$AY$215,$AU$5:$AU$215)))-1))</f>
        <v/>
      </c>
      <c r="BD30" s="52">
        <f>IF(OR($I30&lt;1,IF($I30&gt;=6,AZ30,AV30)&lt;=0),"",IF(SUMPRODUCT(MAX(($C$5:$C$215=$C30)*($I$5:$I$215&gt;=1)*($I$5:$I$215&lt;$I30)*IF($I30&gt;=6,$AZ$5:$AZ$215,$AV$5:$AV$215)))&lt;=0,"",SUMPRODUCT(MAX(($C$5:$C$215=$C30)*($I$5:$I$215=$I30)*IF($I30&gt;=6,$AZ$5:$AZ$215,$AV$5:$AV$215)))/SUMPRODUCT(MAX(($C$5:$C$215=$C30)*($I$5:$I$215&gt;=1)*($I$5:$I$215&lt;$I30)*IF($I30&gt;=6,$AZ$5:$AZ$215,$AV$5:$AV$215)))-1))</f>
        <v/>
      </c>
      <c r="BE30" s="52">
        <f>IF(OR($I30&lt;1,IF($I30&gt;=6,BA30,AW30)&lt;=0),"",IF(SUMPRODUCT(MAX(($C$5:$C$215=$C30)*($I$5:$I$215&gt;=1)*($I$5:$I$215&lt;$I30)*IF($I30&gt;=6,$BA$5:$BA$215,$AW$5:$AW$215)))&lt;=0,"",SUMPRODUCT(MAX(($C$5:$C$215=$C30)*($I$5:$I$215=$I30)*IF($I30&gt;=6,$BA$5:$BA$215,$AW$5:$AW$215)))/SUMPRODUCT(MAX(($C$5:$C$215=$C30)*($I$5:$I$215&gt;=1)*($I$5:$I$215&lt;$I30)*IF($I30&gt;=6,$BA$5:$BA$215,$AW$5:$AW$215)))-1))</f>
        <v/>
      </c>
      <c r="BF30" s="19">
        <f>IF(AND(BB30="",BC30="",BD30="",BE30=""),"",IF(IF(AND(ISNUMBER(BB30),BB30&lt;'Item Budget'!$R$11),"W ","")&amp;IF(AND(ISNUMBER(BC30),BC30&lt;'Item Budget'!$R$11),"R ","")&amp;IF(AND(ISNUMBER(BD30),BD30&lt;'Item Budget'!$R$11),"M ","")&amp;IF(AND(ISNUMBER(BE30),BE30&lt;'Item Budget'!$R$11),"P ","")="","OK","Not above lower step: "&amp;IF(AND(ISNUMBER(BB30),BB30&lt;'Item Budget'!$R$11),"W ","")&amp;IF(AND(ISNUMBER(BC30),BC30&lt;'Item Budget'!$R$11),"R ","")&amp;IF(AND(ISNUMBER(BD30),BD30&lt;'Item Budget'!$R$11),"M ","")&amp;IF(AND(ISNUMBER(BE30),BE30&lt;'Item Budget'!$R$11),"P ","")))</f>
        <v/>
      </c>
    </row>
    <row r="31">
      <c r="A31" s="21" t="n">
        <v>250</v>
      </c>
      <c r="B31" s="21" t="inlineStr">
        <is>
          <t>Nagan Robes</t>
        </is>
      </c>
      <c r="C31" s="21" t="inlineStr">
        <is>
          <t>Chest</t>
        </is>
      </c>
      <c r="D31" s="21" t="inlineStr">
        <is>
          <t>Magus/Priest</t>
        </is>
      </c>
      <c r="E31" s="21" t="inlineStr">
        <is>
          <t>Magus/Priest</t>
        </is>
      </c>
      <c r="F31" s="21" t="inlineStr">
        <is>
          <t>Caster cloth</t>
        </is>
      </c>
      <c r="G31" s="21" t="inlineStr">
        <is>
          <t>drop: Udyana 7%</t>
        </is>
      </c>
      <c r="H31" s="37" t="n">
        <v>0</v>
      </c>
      <c r="I31" s="21" t="n">
        <v>3</v>
      </c>
      <c r="J31" s="3" t="inlineStr">
        <is>
          <t>Pass 2</t>
        </is>
      </c>
      <c r="K31" s="21" t="inlineStr">
        <is>
          <t>Rare boss drop</t>
        </is>
      </c>
      <c r="L31" s="31">
        <f>INDEX('Item Budget'!$F$5:$F$13,MATCH(K31,'Item Budget'!$E$5:$E$13,0))+IF(E31="All",0,'Item Budget'!$F$15)+LOOKUP(H31,'Item Budget'!$E$19:$E$23,'Item Budget'!$F$19:$F$23)</f>
        <v/>
      </c>
      <c r="M31" s="21" t="n">
        <v>50</v>
      </c>
      <c r="N31" s="21" t="n">
        <v>150</v>
      </c>
      <c r="O31" s="21" t="n">
        <v>500</v>
      </c>
      <c r="P31" s="21" t="n">
        <v>85</v>
      </c>
      <c r="Q31" s="21" t="n">
        <v>0</v>
      </c>
      <c r="R31" s="21" t="n">
        <v>8</v>
      </c>
      <c r="S31" s="21" t="n">
        <v>0</v>
      </c>
      <c r="T31" s="21" t="n">
        <v>32</v>
      </c>
      <c r="U31" s="21" t="n">
        <v>0</v>
      </c>
      <c r="V31" s="21" t="inlineStr">
        <is>
          <t>(none)</t>
        </is>
      </c>
      <c r="W31" s="61">
        <f>N31*'Item Budget'!$B$5+R31*'Item Budget'!$B$7+P31*'Item Budget'!$B$11+S31*'Item Budget'!$B$10+Q31*'Item Budget'!$B$9+IFERROR(INDEX('Item Budget'!$M$25:$M$95,MATCH(V31,'Item Budget'!$B$25:$B$95,0)),0)+IF($C31="Weapon",U31*'Item Budget'!$B$9,0)</f>
        <v/>
      </c>
      <c r="X31" s="61">
        <f>N31*'Item Budget'!$B$5+R31*'Item Budget'!$B$7+P31*'Item Budget'!$B$11+S31*'Item Budget'!$B$10+O31*'Item Budget'!$B$6+T31*'Item Budget'!$B$8+IFERROR(INDEX('Item Budget'!$N$25:$N$95,MATCH(V31,'Item Budget'!$B$25:$B$95,0)),0)</f>
        <v/>
      </c>
      <c r="Y31" s="61">
        <f>MAX('Item Budget'!$F$16,INDEX('Gear Budget'!$C$8:$C$14,MATCH($C31,'Gear Budget'!$A$8:$A$14,0))*MIN(M31,50))*$L31</f>
        <v/>
      </c>
      <c r="Z31" s="41">
        <f>IF($C31="Caster weapon",X31,MAX(W31,X31))/Y31</f>
        <v/>
      </c>
      <c r="AA31" s="61">
        <f>IF(OR($C31="Weapon",$C31="Caster weapon"),"",'Gear Budget'!$B$5*MAX(1,MIN(M31,50))*INDEX('Gear Budget'!$B$8:$B$14,MATCH($C31,'Gear Budget'!$A$8:$A$14,0))*IF($C31="Shield",IF(D31="Warrior",1,IF(OR(D31="Rogue",D31="All"),0.38/0.6,0.25/0.6)),IFERROR(INDEX('Gear Budget'!$B$18:$B$21,MATCH($F31,'Gear Budget'!$A$18:$A$21,0)),1)))</f>
        <v/>
      </c>
      <c r="AB31" s="41">
        <f>IF(AA31="","",P31/AA31)</f>
        <v/>
      </c>
      <c r="AC31" s="21" t="n">
        <v>50</v>
      </c>
      <c r="AD31" s="20" t="n">
        <v>175</v>
      </c>
      <c r="AE31" s="20" t="n">
        <v>600</v>
      </c>
      <c r="AF31" s="21" t="n">
        <v>85</v>
      </c>
      <c r="AG31" s="21" t="n">
        <v>0</v>
      </c>
      <c r="AH31" s="20" t="n">
        <v>10</v>
      </c>
      <c r="AI31" s="21" t="n">
        <v>0</v>
      </c>
      <c r="AJ31" s="20" t="n">
        <v>37</v>
      </c>
      <c r="AK31" s="21" t="n">
        <v>0</v>
      </c>
      <c r="AL31" s="21" t="inlineStr">
        <is>
          <t>(none)</t>
        </is>
      </c>
      <c r="AM31" s="61">
        <f>AD31*'Item Budget'!$B$5+AH31*'Item Budget'!$B$7+AF31*'Item Budget'!$B$11+AI31*'Item Budget'!$B$10+AG31*'Item Budget'!$B$9+IFERROR(INDEX('Item Budget'!$M$25:$M$95,MATCH(AL31,'Item Budget'!$B$25:$B$95,0)),0)+IF($C31="Weapon",AK31*'Item Budget'!$B$9,0)</f>
        <v/>
      </c>
      <c r="AN31" s="61">
        <f>AD31*'Item Budget'!$B$5+AH31*'Item Budget'!$B$7+AF31*'Item Budget'!$B$11+AI31*'Item Budget'!$B$10+AE31*'Item Budget'!$B$6+AJ31*'Item Budget'!$B$8+IFERROR(INDEX('Item Budget'!$N$25:$N$95,MATCH(AL31,'Item Budget'!$B$25:$B$95,0)),0)</f>
        <v/>
      </c>
      <c r="AO31" s="61">
        <f>MAX('Item Budget'!$F$16,INDEX('Gear Budget'!$C$8:$C$14,MATCH($C31,'Gear Budget'!$A$8:$A$14,0))*MIN(AC31,50))*$L31</f>
        <v/>
      </c>
      <c r="AP31" s="41">
        <f>IF($C31="Caster weapon",AN31,MAX(AM31,AN31))/AO31</f>
        <v/>
      </c>
      <c r="AQ31" s="61">
        <f>IF(OR($C31="Weapon",$C31="Caster weapon"),"",'Gear Budget'!$B$5*MAX(1,MIN(AC31,50))*INDEX('Gear Budget'!$B$8:$B$14,MATCH($C31,'Gear Budget'!$A$8:$A$14,0))*IF($C31="Shield",IF(E31="Warrior",1,IF(OR(E31="Rogue",E31="All"),0.38/0.6,0.25/0.6)),IFERROR(INDEX('Gear Budget'!$B$18:$B$21,MATCH($F31,'Gear Budget'!$A$18:$A$21,0)),1)))</f>
        <v/>
      </c>
      <c r="AR31" s="41">
        <f>IF(AQ31="","",AF31/AQ31)</f>
        <v/>
      </c>
      <c r="AS31" s="64" t="inlineStr">
        <is>
          <t>Raised so it is 10% over Elemental Tunic for Magus (pass 2 class weights)</t>
        </is>
      </c>
      <c r="AT31" s="44">
        <f>IF(OR($E31="All",ISNUMBER(SEARCH("Warrior",$E31))),IF($C31="Caster weapon",(AN31+AF31*('Item Budget'!$AB$14-'Item Budget'!$B$11)),(AM31+AF31*('Item Budget'!$AB$14-'Item Budget'!$B$11))),0)</f>
        <v/>
      </c>
      <c r="AU31" s="44">
        <f>IF(OR($E31="All",ISNUMBER(SEARCH("Rogue",$E31))),IF($C31="Caster weapon",(AN31+AF31*('Item Budget'!$AB$15-'Item Budget'!$B$11)),(AM31+AF31*('Item Budget'!$AB$15-'Item Budget'!$B$11))),0)</f>
        <v/>
      </c>
      <c r="AV31" s="44">
        <f>IF(OR($E31="All",ISNUMBER(SEARCH("Magus",$E31))),(AN31+AF31*('Item Budget'!$AB$16-'Item Budget'!$B$11)),0)</f>
        <v/>
      </c>
      <c r="AW31" s="44">
        <f>IF(OR($E31="All",ISNUMBER(SEARCH("Priest",$E31))),(AN31+AF31*('Item Budget'!$AB$17-'Item Budget'!$B$11)),0)</f>
        <v/>
      </c>
      <c r="AX31" s="44">
        <f>IF(AND(OR($E31="All",ISNUMBER(SEARCH("Warrior",$E31))),AC31&gt;='Item Budget'!$R$10),'Item Budget'!$R$7*100*('Item Budget'!$R$14*(AD31+25*AH31)+'Item Budget'!$S$14*(AE31+25*AJ31))/'Item Budget'!$Z$14+'Item Budget'!$R$9*AF31+IFERROR(INDEX('Item Budget'!$O$25:$O$95,MATCH(AL31,'Item Budget'!$B$25:$B$95,0)),0),0)</f>
        <v/>
      </c>
      <c r="AY31" s="44">
        <f>IF(AND(OR($E31="All",ISNUMBER(SEARCH("Rogue",$E31))),AC31&gt;='Item Budget'!$R$10),'Item Budget'!$R$7*100*('Item Budget'!$R$15*(AD31+25*AH31)+'Item Budget'!$S$15*(AE31+25*AJ31))/'Item Budget'!$Z$15+'Item Budget'!$R$9*AF31+IFERROR(INDEX('Item Budget'!$O$25:$O$95,MATCH(AL31,'Item Budget'!$B$25:$B$95,0)),0),0)</f>
        <v/>
      </c>
      <c r="AZ31" s="44">
        <f>IF(AND(OR($E31="All",ISNUMBER(SEARCH("Magus",$E31))),AC31&gt;='Item Budget'!$R$10),'Item Budget'!$R$7*100*('Item Budget'!$R$16*(AD31+25*AH31)+'Item Budget'!$S$16*(AE31+25*AJ31))/'Item Budget'!$Z$16+'Item Budget'!$R$9*AF31+IFERROR(INDEX('Item Budget'!$O$25:$O$95,MATCH(AL31,'Item Budget'!$B$25:$B$95,0)),0),0)</f>
        <v/>
      </c>
      <c r="BA31" s="44">
        <f>IF(AND(OR($E31="All",ISNUMBER(SEARCH("Priest",$E31))),AC31&gt;='Item Budget'!$R$10),'Item Budget'!$R$7*100*('Item Budget'!$R$17*(AD31+25*AH31)+'Item Budget'!$S$17*(AE31+25*AJ31))/'Item Budget'!$Z$17+'Item Budget'!$R$9*AF31+IFERROR(INDEX('Item Budget'!$O$25:$O$95,MATCH(AL31,'Item Budget'!$B$25:$B$95,0)),0),0)</f>
        <v/>
      </c>
      <c r="BB31" s="52">
        <f>IF(OR($I31&lt;1,IF($I31&gt;=6,AX31,AT31)&lt;=0),"",IF(SUMPRODUCT(MAX(($C$5:$C$215=$C31)*($I$5:$I$215&gt;=1)*($I$5:$I$215&lt;$I31)*IF($I31&gt;=6,$AX$5:$AX$215,$AT$5:$AT$215)))&lt;=0,"",SUMPRODUCT(MAX(($C$5:$C$215=$C31)*($I$5:$I$215=$I31)*IF($I31&gt;=6,$AX$5:$AX$215,$AT$5:$AT$215)))/SUMPRODUCT(MAX(($C$5:$C$215=$C31)*($I$5:$I$215&gt;=1)*($I$5:$I$215&lt;$I31)*IF($I31&gt;=6,$AX$5:$AX$215,$AT$5:$AT$215)))-1))</f>
        <v/>
      </c>
      <c r="BC31" s="52">
        <f>IF(OR($I31&lt;1,IF($I31&gt;=6,AY31,AU31)&lt;=0),"",IF(SUMPRODUCT(MAX(($C$5:$C$215=$C31)*($I$5:$I$215&gt;=1)*($I$5:$I$215&lt;$I31)*IF($I31&gt;=6,$AY$5:$AY$215,$AU$5:$AU$215)))&lt;=0,"",SUMPRODUCT(MAX(($C$5:$C$215=$C31)*($I$5:$I$215=$I31)*IF($I31&gt;=6,$AY$5:$AY$215,$AU$5:$AU$215)))/SUMPRODUCT(MAX(($C$5:$C$215=$C31)*($I$5:$I$215&gt;=1)*($I$5:$I$215&lt;$I31)*IF($I31&gt;=6,$AY$5:$AY$215,$AU$5:$AU$215)))-1))</f>
        <v/>
      </c>
      <c r="BD31" s="52">
        <f>IF(OR($I31&lt;1,IF($I31&gt;=6,AZ31,AV31)&lt;=0),"",IF(SUMPRODUCT(MAX(($C$5:$C$215=$C31)*($I$5:$I$215&gt;=1)*($I$5:$I$215&lt;$I31)*IF($I31&gt;=6,$AZ$5:$AZ$215,$AV$5:$AV$215)))&lt;=0,"",SUMPRODUCT(MAX(($C$5:$C$215=$C31)*($I$5:$I$215=$I31)*IF($I31&gt;=6,$AZ$5:$AZ$215,$AV$5:$AV$215)))/SUMPRODUCT(MAX(($C$5:$C$215=$C31)*($I$5:$I$215&gt;=1)*($I$5:$I$215&lt;$I31)*IF($I31&gt;=6,$AZ$5:$AZ$215,$AV$5:$AV$215)))-1))</f>
        <v/>
      </c>
      <c r="BE31" s="52">
        <f>IF(OR($I31&lt;1,IF($I31&gt;=6,BA31,AW31)&lt;=0),"",IF(SUMPRODUCT(MAX(($C$5:$C$215=$C31)*($I$5:$I$215&gt;=1)*($I$5:$I$215&lt;$I31)*IF($I31&gt;=6,$BA$5:$BA$215,$AW$5:$AW$215)))&lt;=0,"",SUMPRODUCT(MAX(($C$5:$C$215=$C31)*($I$5:$I$215=$I31)*IF($I31&gt;=6,$BA$5:$BA$215,$AW$5:$AW$215)))/SUMPRODUCT(MAX(($C$5:$C$215=$C31)*($I$5:$I$215&gt;=1)*($I$5:$I$215&lt;$I31)*IF($I31&gt;=6,$BA$5:$BA$215,$AW$5:$AW$215)))-1))</f>
        <v/>
      </c>
      <c r="BF31" s="19">
        <f>IF(AND(BB31="",BC31="",BD31="",BE31=""),"",IF(IF(AND(ISNUMBER(BB31),BB31&lt;'Item Budget'!$R$11),"W ","")&amp;IF(AND(ISNUMBER(BC31),BC31&lt;'Item Budget'!$R$11),"R ","")&amp;IF(AND(ISNUMBER(BD31),BD31&lt;'Item Budget'!$R$11),"M ","")&amp;IF(AND(ISNUMBER(BE31),BE31&lt;'Item Budget'!$R$11),"P ","")="","OK","Not above lower step: "&amp;IF(AND(ISNUMBER(BB31),BB31&lt;'Item Budget'!$R$11),"W ","")&amp;IF(AND(ISNUMBER(BC31),BC31&lt;'Item Budget'!$R$11),"R ","")&amp;IF(AND(ISNUMBER(BD31),BD31&lt;'Item Budget'!$R$11),"M ","")&amp;IF(AND(ISNUMBER(BE31),BE31&lt;'Item Budget'!$R$11),"P ","")))</f>
        <v/>
      </c>
    </row>
    <row r="32">
      <c r="A32" s="21" t="n">
        <v>312</v>
      </c>
      <c r="B32" s="21" t="inlineStr">
        <is>
          <t>Nagan Armor</t>
        </is>
      </c>
      <c r="C32" s="21" t="inlineStr">
        <is>
          <t>Chest</t>
        </is>
      </c>
      <c r="D32" s="21" t="inlineStr">
        <is>
          <t>Rogue/Warrior</t>
        </is>
      </c>
      <c r="E32" s="21" t="inlineStr">
        <is>
          <t>Rogue/Warrior</t>
        </is>
      </c>
      <c r="F32" s="21" t="inlineStr">
        <is>
          <t>Warrior plate</t>
        </is>
      </c>
      <c r="G32" s="21" t="inlineStr">
        <is>
          <t>drop: Udyana 7%</t>
        </is>
      </c>
      <c r="H32" s="37" t="n">
        <v>0</v>
      </c>
      <c r="I32" s="21" t="n">
        <v>3</v>
      </c>
      <c r="J32" s="3" t="inlineStr">
        <is>
          <t>Pass 2</t>
        </is>
      </c>
      <c r="K32" s="21" t="inlineStr">
        <is>
          <t>Rare boss drop</t>
        </is>
      </c>
      <c r="L32" s="31">
        <f>INDEX('Item Budget'!$F$5:$F$13,MATCH(K32,'Item Budget'!$E$5:$E$13,0))+IF(E32="All",0,'Item Budget'!$F$15)+LOOKUP(H32,'Item Budget'!$E$19:$E$23,'Item Budget'!$F$19:$F$23)</f>
        <v/>
      </c>
      <c r="M32" s="21" t="n">
        <v>50</v>
      </c>
      <c r="N32" s="21" t="n">
        <v>300</v>
      </c>
      <c r="O32" s="21" t="n">
        <v>50</v>
      </c>
      <c r="P32" s="21" t="n">
        <v>160</v>
      </c>
      <c r="Q32" s="21" t="n">
        <v>5</v>
      </c>
      <c r="R32" s="21" t="n">
        <v>25</v>
      </c>
      <c r="S32" s="21" t="n">
        <v>0</v>
      </c>
      <c r="T32" s="21" t="n">
        <v>3</v>
      </c>
      <c r="U32" s="21" t="n">
        <v>0</v>
      </c>
      <c r="V32" s="21" t="inlineStr">
        <is>
          <t>(none)</t>
        </is>
      </c>
      <c r="W32" s="61">
        <f>N32*'Item Budget'!$B$5+R32*'Item Budget'!$B$7+P32*'Item Budget'!$B$11+S32*'Item Budget'!$B$10+Q32*'Item Budget'!$B$9+IFERROR(INDEX('Item Budget'!$M$25:$M$95,MATCH(V32,'Item Budget'!$B$25:$B$95,0)),0)+IF($C32="Weapon",U32*'Item Budget'!$B$9,0)</f>
        <v/>
      </c>
      <c r="X32" s="61">
        <f>N32*'Item Budget'!$B$5+R32*'Item Budget'!$B$7+P32*'Item Budget'!$B$11+S32*'Item Budget'!$B$10+O32*'Item Budget'!$B$6+T32*'Item Budget'!$B$8+IFERROR(INDEX('Item Budget'!$N$25:$N$95,MATCH(V32,'Item Budget'!$B$25:$B$95,0)),0)</f>
        <v/>
      </c>
      <c r="Y32" s="61">
        <f>MAX('Item Budget'!$F$16,INDEX('Gear Budget'!$C$8:$C$14,MATCH($C32,'Gear Budget'!$A$8:$A$14,0))*MIN(M32,50))*$L32</f>
        <v/>
      </c>
      <c r="Z32" s="41">
        <f>IF($C32="Caster weapon",X32,MAX(W32,X32))/Y32</f>
        <v/>
      </c>
      <c r="AA32" s="61">
        <f>IF(OR($C32="Weapon",$C32="Caster weapon"),"",'Gear Budget'!$B$5*MAX(1,MIN(M32,50))*INDEX('Gear Budget'!$B$8:$B$14,MATCH($C32,'Gear Budget'!$A$8:$A$14,0))*IF($C32="Shield",IF(D32="Warrior",1,IF(OR(D32="Rogue",D32="All"),0.38/0.6,0.25/0.6)),IFERROR(INDEX('Gear Budget'!$B$18:$B$21,MATCH($F32,'Gear Budget'!$A$18:$A$21,0)),1)))</f>
        <v/>
      </c>
      <c r="AB32" s="41">
        <f>IF(AA32="","",P32/AA32)</f>
        <v/>
      </c>
      <c r="AC32" s="21" t="n">
        <v>50</v>
      </c>
      <c r="AD32" s="21" t="n">
        <v>300</v>
      </c>
      <c r="AE32" s="21" t="n">
        <v>50</v>
      </c>
      <c r="AF32" s="21" t="n">
        <v>160</v>
      </c>
      <c r="AG32" s="21" t="n">
        <v>5</v>
      </c>
      <c r="AH32" s="21" t="n">
        <v>25</v>
      </c>
      <c r="AI32" s="21" t="n">
        <v>0</v>
      </c>
      <c r="AJ32" s="21" t="n">
        <v>3</v>
      </c>
      <c r="AK32" s="21" t="n">
        <v>0</v>
      </c>
      <c r="AL32" s="21" t="inlineStr">
        <is>
          <t>(none)</t>
        </is>
      </c>
      <c r="AM32" s="61">
        <f>AD32*'Item Budget'!$B$5+AH32*'Item Budget'!$B$7+AF32*'Item Budget'!$B$11+AI32*'Item Budget'!$B$10+AG32*'Item Budget'!$B$9+IFERROR(INDEX('Item Budget'!$M$25:$M$95,MATCH(AL32,'Item Budget'!$B$25:$B$95,0)),0)+IF($C32="Weapon",AK32*'Item Budget'!$B$9,0)</f>
        <v/>
      </c>
      <c r="AN32" s="61">
        <f>AD32*'Item Budget'!$B$5+AH32*'Item Budget'!$B$7+AF32*'Item Budget'!$B$11+AI32*'Item Budget'!$B$10+AE32*'Item Budget'!$B$6+AJ32*'Item Budget'!$B$8+IFERROR(INDEX('Item Budget'!$N$25:$N$95,MATCH(AL32,'Item Budget'!$B$25:$B$95,0)),0)</f>
        <v/>
      </c>
      <c r="AO32" s="61">
        <f>MAX('Item Budget'!$F$16,INDEX('Gear Budget'!$C$8:$C$14,MATCH($C32,'Gear Budget'!$A$8:$A$14,0))*MIN(AC32,50))*$L32</f>
        <v/>
      </c>
      <c r="AP32" s="41">
        <f>IF($C32="Caster weapon",AN32,MAX(AM32,AN32))/AO32</f>
        <v/>
      </c>
      <c r="AQ32" s="61">
        <f>IF(OR($C32="Weapon",$C32="Caster weapon"),"",'Gear Budget'!$B$5*MAX(1,MIN(AC32,50))*INDEX('Gear Budget'!$B$8:$B$14,MATCH($C32,'Gear Budget'!$A$8:$A$14,0))*IF($C32="Shield",IF(E32="Warrior",1,IF(OR(E32="Rogue",E32="All"),0.38/0.6,0.25/0.6)),IFERROR(INDEX('Gear Budget'!$B$18:$B$21,MATCH($F32,'Gear Budget'!$A$18:$A$21,0)),1)))</f>
        <v/>
      </c>
      <c r="AR32" s="41">
        <f>IF(AQ32="","",AF32/AQ32)</f>
        <v/>
      </c>
      <c r="AS32" s="64" t="inlineStr">
        <is>
          <t>Pass 1 (applied): Nagan Armor: stays 10% above the raised Punchy chests; Pass 3 (class AC weights): raised to stay 10% over Deceivers Chestplate for Rogue</t>
        </is>
      </c>
      <c r="AT32" s="44">
        <f>IF(OR($E32="All",ISNUMBER(SEARCH("Warrior",$E32))),IF($C32="Caster weapon",(AN32+AF32*('Item Budget'!$AB$14-'Item Budget'!$B$11)),(AM32+AF32*('Item Budget'!$AB$14-'Item Budget'!$B$11))),0)</f>
        <v/>
      </c>
      <c r="AU32" s="44">
        <f>IF(OR($E32="All",ISNUMBER(SEARCH("Rogue",$E32))),IF($C32="Caster weapon",(AN32+AF32*('Item Budget'!$AB$15-'Item Budget'!$B$11)),(AM32+AF32*('Item Budget'!$AB$15-'Item Budget'!$B$11))),0)</f>
        <v/>
      </c>
      <c r="AV32" s="44">
        <f>IF(OR($E32="All",ISNUMBER(SEARCH("Magus",$E32))),(AN32+AF32*('Item Budget'!$AB$16-'Item Budget'!$B$11)),0)</f>
        <v/>
      </c>
      <c r="AW32" s="44">
        <f>IF(OR($E32="All",ISNUMBER(SEARCH("Priest",$E32))),(AN32+AF32*('Item Budget'!$AB$17-'Item Budget'!$B$11)),0)</f>
        <v/>
      </c>
      <c r="AX32" s="44">
        <f>IF(AND(OR($E32="All",ISNUMBER(SEARCH("Warrior",$E32))),AC32&gt;='Item Budget'!$R$10),'Item Budget'!$R$7*100*('Item Budget'!$R$14*(AD32+25*AH32)+'Item Budget'!$S$14*(AE32+25*AJ32))/'Item Budget'!$Z$14+'Item Budget'!$R$9*AF32+IFERROR(INDEX('Item Budget'!$O$25:$O$95,MATCH(AL32,'Item Budget'!$B$25:$B$95,0)),0),0)</f>
        <v/>
      </c>
      <c r="AY32" s="44">
        <f>IF(AND(OR($E32="All",ISNUMBER(SEARCH("Rogue",$E32))),AC32&gt;='Item Budget'!$R$10),'Item Budget'!$R$7*100*('Item Budget'!$R$15*(AD32+25*AH32)+'Item Budget'!$S$15*(AE32+25*AJ32))/'Item Budget'!$Z$15+'Item Budget'!$R$9*AF32+IFERROR(INDEX('Item Budget'!$O$25:$O$95,MATCH(AL32,'Item Budget'!$B$25:$B$95,0)),0),0)</f>
        <v/>
      </c>
      <c r="AZ32" s="44">
        <f>IF(AND(OR($E32="All",ISNUMBER(SEARCH("Magus",$E32))),AC32&gt;='Item Budget'!$R$10),'Item Budget'!$R$7*100*('Item Budget'!$R$16*(AD32+25*AH32)+'Item Budget'!$S$16*(AE32+25*AJ32))/'Item Budget'!$Z$16+'Item Budget'!$R$9*AF32+IFERROR(INDEX('Item Budget'!$O$25:$O$95,MATCH(AL32,'Item Budget'!$B$25:$B$95,0)),0),0)</f>
        <v/>
      </c>
      <c r="BA32" s="44">
        <f>IF(AND(OR($E32="All",ISNUMBER(SEARCH("Priest",$E32))),AC32&gt;='Item Budget'!$R$10),'Item Budget'!$R$7*100*('Item Budget'!$R$17*(AD32+25*AH32)+'Item Budget'!$S$17*(AE32+25*AJ32))/'Item Budget'!$Z$17+'Item Budget'!$R$9*AF32+IFERROR(INDEX('Item Budget'!$O$25:$O$95,MATCH(AL32,'Item Budget'!$B$25:$B$95,0)),0),0)</f>
        <v/>
      </c>
      <c r="BB32" s="52">
        <f>IF(OR($I32&lt;1,IF($I32&gt;=6,AX32,AT32)&lt;=0),"",IF(SUMPRODUCT(MAX(($C$5:$C$215=$C32)*($I$5:$I$215&gt;=1)*($I$5:$I$215&lt;$I32)*IF($I32&gt;=6,$AX$5:$AX$215,$AT$5:$AT$215)))&lt;=0,"",SUMPRODUCT(MAX(($C$5:$C$215=$C32)*($I$5:$I$215=$I32)*IF($I32&gt;=6,$AX$5:$AX$215,$AT$5:$AT$215)))/SUMPRODUCT(MAX(($C$5:$C$215=$C32)*($I$5:$I$215&gt;=1)*($I$5:$I$215&lt;$I32)*IF($I32&gt;=6,$AX$5:$AX$215,$AT$5:$AT$215)))-1))</f>
        <v/>
      </c>
      <c r="BC32" s="52">
        <f>IF(OR($I32&lt;1,IF($I32&gt;=6,AY32,AU32)&lt;=0),"",IF(SUMPRODUCT(MAX(($C$5:$C$215=$C32)*($I$5:$I$215&gt;=1)*($I$5:$I$215&lt;$I32)*IF($I32&gt;=6,$AY$5:$AY$215,$AU$5:$AU$215)))&lt;=0,"",SUMPRODUCT(MAX(($C$5:$C$215=$C32)*($I$5:$I$215=$I32)*IF($I32&gt;=6,$AY$5:$AY$215,$AU$5:$AU$215)))/SUMPRODUCT(MAX(($C$5:$C$215=$C32)*($I$5:$I$215&gt;=1)*($I$5:$I$215&lt;$I32)*IF($I32&gt;=6,$AY$5:$AY$215,$AU$5:$AU$215)))-1))</f>
        <v/>
      </c>
      <c r="BD32" s="52">
        <f>IF(OR($I32&lt;1,IF($I32&gt;=6,AZ32,AV32)&lt;=0),"",IF(SUMPRODUCT(MAX(($C$5:$C$215=$C32)*($I$5:$I$215&gt;=1)*($I$5:$I$215&lt;$I32)*IF($I32&gt;=6,$AZ$5:$AZ$215,$AV$5:$AV$215)))&lt;=0,"",SUMPRODUCT(MAX(($C$5:$C$215=$C32)*($I$5:$I$215=$I32)*IF($I32&gt;=6,$AZ$5:$AZ$215,$AV$5:$AV$215)))/SUMPRODUCT(MAX(($C$5:$C$215=$C32)*($I$5:$I$215&gt;=1)*($I$5:$I$215&lt;$I32)*IF($I32&gt;=6,$AZ$5:$AZ$215,$AV$5:$AV$215)))-1))</f>
        <v/>
      </c>
      <c r="BE32" s="52">
        <f>IF(OR($I32&lt;1,IF($I32&gt;=6,BA32,AW32)&lt;=0),"",IF(SUMPRODUCT(MAX(($C$5:$C$215=$C32)*($I$5:$I$215&gt;=1)*($I$5:$I$215&lt;$I32)*IF($I32&gt;=6,$BA$5:$BA$215,$AW$5:$AW$215)))&lt;=0,"",SUMPRODUCT(MAX(($C$5:$C$215=$C32)*($I$5:$I$215=$I32)*IF($I32&gt;=6,$BA$5:$BA$215,$AW$5:$AW$215)))/SUMPRODUCT(MAX(($C$5:$C$215=$C32)*($I$5:$I$215&gt;=1)*($I$5:$I$215&lt;$I32)*IF($I32&gt;=6,$BA$5:$BA$215,$AW$5:$AW$215)))-1))</f>
        <v/>
      </c>
      <c r="BF32" s="19">
        <f>IF(AND(BB32="",BC32="",BD32="",BE32=""),"",IF(IF(AND(ISNUMBER(BB32),BB32&lt;'Item Budget'!$R$11),"W ","")&amp;IF(AND(ISNUMBER(BC32),BC32&lt;'Item Budget'!$R$11),"R ","")&amp;IF(AND(ISNUMBER(BD32),BD32&lt;'Item Budget'!$R$11),"M ","")&amp;IF(AND(ISNUMBER(BE32),BE32&lt;'Item Budget'!$R$11),"P ","")="","OK","Not above lower step: "&amp;IF(AND(ISNUMBER(BB32),BB32&lt;'Item Budget'!$R$11),"W ","")&amp;IF(AND(ISNUMBER(BC32),BC32&lt;'Item Budget'!$R$11),"R ","")&amp;IF(AND(ISNUMBER(BD32),BD32&lt;'Item Budget'!$R$11),"M ","")&amp;IF(AND(ISNUMBER(BE32),BE32&lt;'Item Budget'!$R$11),"P ","")))</f>
        <v/>
      </c>
    </row>
    <row r="33">
      <c r="A33" s="21" t="n">
        <v>152</v>
      </c>
      <c r="B33" s="21" t="inlineStr">
        <is>
          <t>Gold Chestplate</t>
        </is>
      </c>
      <c r="C33" s="21" t="inlineStr">
        <is>
          <t>Chest</t>
        </is>
      </c>
      <c r="D33" s="21" t="inlineStr">
        <is>
          <t>Rogue/Warrior</t>
        </is>
      </c>
      <c r="E33" s="21" t="inlineStr">
        <is>
          <t>Rogue/Warrior</t>
        </is>
      </c>
      <c r="F33" s="21" t="inlineStr">
        <is>
          <t>Warrior plate</t>
        </is>
      </c>
      <c r="G33" s="21" t="inlineStr">
        <is>
          <t>drop: Insanity 10%</t>
        </is>
      </c>
      <c r="H33" s="37" t="n">
        <v>0</v>
      </c>
      <c r="I33" s="21" t="n">
        <v>4</v>
      </c>
      <c r="J33" s="19" t="inlineStr">
        <is>
          <t>Pass 2</t>
        </is>
      </c>
      <c r="K33" s="21" t="inlineStr">
        <is>
          <t>Rare boss drop</t>
        </is>
      </c>
      <c r="L33" s="31">
        <f>INDEX('Item Budget'!$F$5:$F$13,MATCH(K33,'Item Budget'!$E$5:$E$13,0))+IF(E33="All",0,'Item Budget'!$F$15)+LOOKUP(H33,'Item Budget'!$E$19:$E$23,'Item Budget'!$F$19:$F$23)</f>
        <v/>
      </c>
      <c r="M33" s="21" t="n">
        <v>50</v>
      </c>
      <c r="N33" s="21" t="n">
        <v>250</v>
      </c>
      <c r="O33" s="21" t="n">
        <v>0</v>
      </c>
      <c r="P33" s="21" t="n">
        <v>250</v>
      </c>
      <c r="Q33" s="21" t="n">
        <v>13</v>
      </c>
      <c r="R33" s="21" t="n">
        <v>20</v>
      </c>
      <c r="S33" s="21" t="n">
        <v>0</v>
      </c>
      <c r="T33" s="21" t="n">
        <v>0</v>
      </c>
      <c r="U33" s="21" t="n">
        <v>0</v>
      </c>
      <c r="V33" s="21" t="inlineStr">
        <is>
          <t>(none)</t>
        </is>
      </c>
      <c r="W33" s="61">
        <f>N33*'Item Budget'!$B$5+R33*'Item Budget'!$B$7+P33*'Item Budget'!$B$11+S33*'Item Budget'!$B$10+Q33*'Item Budget'!$B$9+IFERROR(INDEX('Item Budget'!$M$25:$M$95,MATCH(V33,'Item Budget'!$B$25:$B$95,0)),0)+IF($C33="Weapon",U33*'Item Budget'!$B$9,0)</f>
        <v/>
      </c>
      <c r="X33" s="61">
        <f>N33*'Item Budget'!$B$5+R33*'Item Budget'!$B$7+P33*'Item Budget'!$B$11+S33*'Item Budget'!$B$10+O33*'Item Budget'!$B$6+T33*'Item Budget'!$B$8+IFERROR(INDEX('Item Budget'!$N$25:$N$95,MATCH(V33,'Item Budget'!$B$25:$B$95,0)),0)</f>
        <v/>
      </c>
      <c r="Y33" s="61">
        <f>MAX('Item Budget'!$F$16,INDEX('Gear Budget'!$C$8:$C$14,MATCH($C33,'Gear Budget'!$A$8:$A$14,0))*MIN(M33,50))*$L33</f>
        <v/>
      </c>
      <c r="Z33" s="41">
        <f>IF($C33="Caster weapon",X33,MAX(W33,X33))/Y33</f>
        <v/>
      </c>
      <c r="AA33" s="61">
        <f>IF(OR($C33="Weapon",$C33="Caster weapon"),"",'Gear Budget'!$B$5*MAX(1,MIN(M33,50))*INDEX('Gear Budget'!$B$8:$B$14,MATCH($C33,'Gear Budget'!$A$8:$A$14,0))*IF($C33="Shield",IF(D33="Warrior",1,IF(OR(D33="Rogue",D33="All"),0.38/0.6,0.25/0.6)),IFERROR(INDEX('Gear Budget'!$B$18:$B$21,MATCH($F33,'Gear Budget'!$A$18:$A$21,0)),1)))</f>
        <v/>
      </c>
      <c r="AB33" s="41">
        <f>IF(AA33="","",P33/AA33)</f>
        <v/>
      </c>
      <c r="AC33" s="21" t="n">
        <v>50</v>
      </c>
      <c r="AD33" s="20" t="n">
        <v>325</v>
      </c>
      <c r="AE33" s="21" t="n">
        <v>0</v>
      </c>
      <c r="AF33" s="21" t="n">
        <v>250</v>
      </c>
      <c r="AG33" s="21" t="n">
        <v>13</v>
      </c>
      <c r="AH33" s="20" t="n">
        <v>26</v>
      </c>
      <c r="AI33" s="21" t="n">
        <v>0</v>
      </c>
      <c r="AJ33" s="21" t="n">
        <v>0</v>
      </c>
      <c r="AK33" s="21" t="n">
        <v>0</v>
      </c>
      <c r="AL33" s="21" t="inlineStr">
        <is>
          <t>(none)</t>
        </is>
      </c>
      <c r="AM33" s="61">
        <f>AD33*'Item Budget'!$B$5+AH33*'Item Budget'!$B$7+AF33*'Item Budget'!$B$11+AI33*'Item Budget'!$B$10+AG33*'Item Budget'!$B$9+IFERROR(INDEX('Item Budget'!$M$25:$M$95,MATCH(AL33,'Item Budget'!$B$25:$B$95,0)),0)+IF($C33="Weapon",AK33*'Item Budget'!$B$9,0)</f>
        <v/>
      </c>
      <c r="AN33" s="61">
        <f>AD33*'Item Budget'!$B$5+AH33*'Item Budget'!$B$7+AF33*'Item Budget'!$B$11+AI33*'Item Budget'!$B$10+AE33*'Item Budget'!$B$6+AJ33*'Item Budget'!$B$8+IFERROR(INDEX('Item Budget'!$N$25:$N$95,MATCH(AL33,'Item Budget'!$B$25:$B$95,0)),0)</f>
        <v/>
      </c>
      <c r="AO33" s="61">
        <f>MAX('Item Budget'!$F$16,INDEX('Gear Budget'!$C$8:$C$14,MATCH($C33,'Gear Budget'!$A$8:$A$14,0))*MIN(AC33,50))*$L33</f>
        <v/>
      </c>
      <c r="AP33" s="41">
        <f>IF($C33="Caster weapon",AN33,MAX(AM33,AN33))/AO33</f>
        <v/>
      </c>
      <c r="AQ33" s="61">
        <f>IF(OR($C33="Weapon",$C33="Caster weapon"),"",'Gear Budget'!$B$5*MAX(1,MIN(AC33,50))*INDEX('Gear Budget'!$B$8:$B$14,MATCH($C33,'Gear Budget'!$A$8:$A$14,0))*IF($C33="Shield",IF(E33="Warrior",1,IF(OR(E33="Rogue",E33="All"),0.38/0.6,0.25/0.6)),IFERROR(INDEX('Gear Budget'!$B$18:$B$21,MATCH($F33,'Gear Budget'!$A$18:$A$21,0)),1)))</f>
        <v/>
      </c>
      <c r="AR33" s="41">
        <f>IF(AQ33="","",AF33/AQ33)</f>
        <v/>
      </c>
      <c r="AS33" s="64" t="inlineStr">
        <is>
          <t>Raised so it is 10% over Nagan Armor for Rogue (pass 2 class weights)</t>
        </is>
      </c>
      <c r="AT33" s="44">
        <f>IF(OR($E33="All",ISNUMBER(SEARCH("Warrior",$E33))),IF($C33="Caster weapon",(AN33+AF33*('Item Budget'!$AB$14-'Item Budget'!$B$11)),(AM33+AF33*('Item Budget'!$AB$14-'Item Budget'!$B$11))),0)</f>
        <v/>
      </c>
      <c r="AU33" s="44">
        <f>IF(OR($E33="All",ISNUMBER(SEARCH("Rogue",$E33))),IF($C33="Caster weapon",(AN33+AF33*('Item Budget'!$AB$15-'Item Budget'!$B$11)),(AM33+AF33*('Item Budget'!$AB$15-'Item Budget'!$B$11))),0)</f>
        <v/>
      </c>
      <c r="AV33" s="44">
        <f>IF(OR($E33="All",ISNUMBER(SEARCH("Magus",$E33))),(AN33+AF33*('Item Budget'!$AB$16-'Item Budget'!$B$11)),0)</f>
        <v/>
      </c>
      <c r="AW33" s="44">
        <f>IF(OR($E33="All",ISNUMBER(SEARCH("Priest",$E33))),(AN33+AF33*('Item Budget'!$AB$17-'Item Budget'!$B$11)),0)</f>
        <v/>
      </c>
      <c r="AX33" s="44">
        <f>IF(AND(OR($E33="All",ISNUMBER(SEARCH("Warrior",$E33))),AC33&gt;='Item Budget'!$R$10),'Item Budget'!$R$7*100*('Item Budget'!$R$14*(AD33+25*AH33)+'Item Budget'!$S$14*(AE33+25*AJ33))/'Item Budget'!$Z$14+'Item Budget'!$R$9*AF33+IFERROR(INDEX('Item Budget'!$O$25:$O$95,MATCH(AL33,'Item Budget'!$B$25:$B$95,0)),0),0)</f>
        <v/>
      </c>
      <c r="AY33" s="44">
        <f>IF(AND(OR($E33="All",ISNUMBER(SEARCH("Rogue",$E33))),AC33&gt;='Item Budget'!$R$10),'Item Budget'!$R$7*100*('Item Budget'!$R$15*(AD33+25*AH33)+'Item Budget'!$S$15*(AE33+25*AJ33))/'Item Budget'!$Z$15+'Item Budget'!$R$9*AF33+IFERROR(INDEX('Item Budget'!$O$25:$O$95,MATCH(AL33,'Item Budget'!$B$25:$B$95,0)),0),0)</f>
        <v/>
      </c>
      <c r="AZ33" s="44">
        <f>IF(AND(OR($E33="All",ISNUMBER(SEARCH("Magus",$E33))),AC33&gt;='Item Budget'!$R$10),'Item Budget'!$R$7*100*('Item Budget'!$R$16*(AD33+25*AH33)+'Item Budget'!$S$16*(AE33+25*AJ33))/'Item Budget'!$Z$16+'Item Budget'!$R$9*AF33+IFERROR(INDEX('Item Budget'!$O$25:$O$95,MATCH(AL33,'Item Budget'!$B$25:$B$95,0)),0),0)</f>
        <v/>
      </c>
      <c r="BA33" s="44">
        <f>IF(AND(OR($E33="All",ISNUMBER(SEARCH("Priest",$E33))),AC33&gt;='Item Budget'!$R$10),'Item Budget'!$R$7*100*('Item Budget'!$R$17*(AD33+25*AH33)+'Item Budget'!$S$17*(AE33+25*AJ33))/'Item Budget'!$Z$17+'Item Budget'!$R$9*AF33+IFERROR(INDEX('Item Budget'!$O$25:$O$95,MATCH(AL33,'Item Budget'!$B$25:$B$95,0)),0),0)</f>
        <v/>
      </c>
      <c r="BB33" s="52">
        <f>IF(OR($I33&lt;1,IF($I33&gt;=6,AX33,AT33)&lt;=0),"",IF(SUMPRODUCT(MAX(($C$5:$C$215=$C33)*($I$5:$I$215&gt;=1)*($I$5:$I$215&lt;$I33)*IF($I33&gt;=6,$AX$5:$AX$215,$AT$5:$AT$215)))&lt;=0,"",SUMPRODUCT(MAX(($C$5:$C$215=$C33)*($I$5:$I$215=$I33)*IF($I33&gt;=6,$AX$5:$AX$215,$AT$5:$AT$215)))/SUMPRODUCT(MAX(($C$5:$C$215=$C33)*($I$5:$I$215&gt;=1)*($I$5:$I$215&lt;$I33)*IF($I33&gt;=6,$AX$5:$AX$215,$AT$5:$AT$215)))-1))</f>
        <v/>
      </c>
      <c r="BC33" s="52">
        <f>IF(OR($I33&lt;1,IF($I33&gt;=6,AY33,AU33)&lt;=0),"",IF(SUMPRODUCT(MAX(($C$5:$C$215=$C33)*($I$5:$I$215&gt;=1)*($I$5:$I$215&lt;$I33)*IF($I33&gt;=6,$AY$5:$AY$215,$AU$5:$AU$215)))&lt;=0,"",SUMPRODUCT(MAX(($C$5:$C$215=$C33)*($I$5:$I$215=$I33)*IF($I33&gt;=6,$AY$5:$AY$215,$AU$5:$AU$215)))/SUMPRODUCT(MAX(($C$5:$C$215=$C33)*($I$5:$I$215&gt;=1)*($I$5:$I$215&lt;$I33)*IF($I33&gt;=6,$AY$5:$AY$215,$AU$5:$AU$215)))-1))</f>
        <v/>
      </c>
      <c r="BD33" s="52">
        <f>IF(OR($I33&lt;1,IF($I33&gt;=6,AZ33,AV33)&lt;=0),"",IF(SUMPRODUCT(MAX(($C$5:$C$215=$C33)*($I$5:$I$215&gt;=1)*($I$5:$I$215&lt;$I33)*IF($I33&gt;=6,$AZ$5:$AZ$215,$AV$5:$AV$215)))&lt;=0,"",SUMPRODUCT(MAX(($C$5:$C$215=$C33)*($I$5:$I$215=$I33)*IF($I33&gt;=6,$AZ$5:$AZ$215,$AV$5:$AV$215)))/SUMPRODUCT(MAX(($C$5:$C$215=$C33)*($I$5:$I$215&gt;=1)*($I$5:$I$215&lt;$I33)*IF($I33&gt;=6,$AZ$5:$AZ$215,$AV$5:$AV$215)))-1))</f>
        <v/>
      </c>
      <c r="BE33" s="52">
        <f>IF(OR($I33&lt;1,IF($I33&gt;=6,BA33,AW33)&lt;=0),"",IF(SUMPRODUCT(MAX(($C$5:$C$215=$C33)*($I$5:$I$215&gt;=1)*($I$5:$I$215&lt;$I33)*IF($I33&gt;=6,$BA$5:$BA$215,$AW$5:$AW$215)))&lt;=0,"",SUMPRODUCT(MAX(($C$5:$C$215=$C33)*($I$5:$I$215=$I33)*IF($I33&gt;=6,$BA$5:$BA$215,$AW$5:$AW$215)))/SUMPRODUCT(MAX(($C$5:$C$215=$C33)*($I$5:$I$215&gt;=1)*($I$5:$I$215&lt;$I33)*IF($I33&gt;=6,$BA$5:$BA$215,$AW$5:$AW$215)))-1))</f>
        <v/>
      </c>
      <c r="BF33" s="19">
        <f>IF(AND(BB33="",BC33="",BD33="",BE33=""),"",IF(IF(AND(ISNUMBER(BB33),BB33&lt;'Item Budget'!$R$11),"W ","")&amp;IF(AND(ISNUMBER(BC33),BC33&lt;'Item Budget'!$R$11),"R ","")&amp;IF(AND(ISNUMBER(BD33),BD33&lt;'Item Budget'!$R$11),"M ","")&amp;IF(AND(ISNUMBER(BE33),BE33&lt;'Item Budget'!$R$11),"P ","")="","OK","Not above lower step: "&amp;IF(AND(ISNUMBER(BB33),BB33&lt;'Item Budget'!$R$11),"W ","")&amp;IF(AND(ISNUMBER(BC33),BC33&lt;'Item Budget'!$R$11),"R ","")&amp;IF(AND(ISNUMBER(BD33),BD33&lt;'Item Budget'!$R$11),"M ","")&amp;IF(AND(ISNUMBER(BE33),BE33&lt;'Item Budget'!$R$11),"P ","")))</f>
        <v/>
      </c>
    </row>
    <row r="34">
      <c r="A34" s="21" t="n">
        <v>162</v>
      </c>
      <c r="B34" s="21" t="inlineStr">
        <is>
          <t>Whirling Robes</t>
        </is>
      </c>
      <c r="C34" s="21" t="inlineStr">
        <is>
          <t>Chest</t>
        </is>
      </c>
      <c r="D34" s="21" t="inlineStr">
        <is>
          <t>Magus/Priest</t>
        </is>
      </c>
      <c r="E34" s="21" t="inlineStr">
        <is>
          <t>Magus/Priest</t>
        </is>
      </c>
      <c r="F34" s="21" t="inlineStr">
        <is>
          <t>Caster cloth</t>
        </is>
      </c>
      <c r="G34" s="21" t="inlineStr">
        <is>
          <t>drop: Copycat 10%</t>
        </is>
      </c>
      <c r="H34" s="37" t="n">
        <v>0</v>
      </c>
      <c r="I34" s="21" t="n">
        <v>4</v>
      </c>
      <c r="J34" s="19" t="inlineStr">
        <is>
          <t>Pass 2</t>
        </is>
      </c>
      <c r="K34" s="21" t="inlineStr">
        <is>
          <t>Rare boss drop</t>
        </is>
      </c>
      <c r="L34" s="31">
        <f>INDEX('Item Budget'!$F$5:$F$13,MATCH(K34,'Item Budget'!$E$5:$E$13,0))+IF(E34="All",0,'Item Budget'!$F$15)+LOOKUP(H34,'Item Budget'!$E$19:$E$23,'Item Budget'!$F$19:$F$23)</f>
        <v/>
      </c>
      <c r="M34" s="21" t="n">
        <v>50</v>
      </c>
      <c r="N34" s="21" t="n">
        <v>80</v>
      </c>
      <c r="O34" s="21" t="n">
        <v>300</v>
      </c>
      <c r="P34" s="21" t="n">
        <v>190</v>
      </c>
      <c r="Q34" s="21" t="n">
        <v>0</v>
      </c>
      <c r="R34" s="21" t="n">
        <v>5</v>
      </c>
      <c r="S34" s="21" t="n">
        <v>5</v>
      </c>
      <c r="T34" s="21" t="n">
        <v>30</v>
      </c>
      <c r="U34" s="21" t="n">
        <v>0</v>
      </c>
      <c r="V34" s="21" t="inlineStr">
        <is>
          <t>(none)</t>
        </is>
      </c>
      <c r="W34" s="61">
        <f>N34*'Item Budget'!$B$5+R34*'Item Budget'!$B$7+P34*'Item Budget'!$B$11+S34*'Item Budget'!$B$10+Q34*'Item Budget'!$B$9+IFERROR(INDEX('Item Budget'!$M$25:$M$95,MATCH(V34,'Item Budget'!$B$25:$B$95,0)),0)+IF($C34="Weapon",U34*'Item Budget'!$B$9,0)</f>
        <v/>
      </c>
      <c r="X34" s="61">
        <f>N34*'Item Budget'!$B$5+R34*'Item Budget'!$B$7+P34*'Item Budget'!$B$11+S34*'Item Budget'!$B$10+O34*'Item Budget'!$B$6+T34*'Item Budget'!$B$8+IFERROR(INDEX('Item Budget'!$N$25:$N$95,MATCH(V34,'Item Budget'!$B$25:$B$95,0)),0)</f>
        <v/>
      </c>
      <c r="Y34" s="61">
        <f>MAX('Item Budget'!$F$16,INDEX('Gear Budget'!$C$8:$C$14,MATCH($C34,'Gear Budget'!$A$8:$A$14,0))*MIN(M34,50))*$L34</f>
        <v/>
      </c>
      <c r="Z34" s="41">
        <f>IF($C34="Caster weapon",X34,MAX(W34,X34))/Y34</f>
        <v/>
      </c>
      <c r="AA34" s="61">
        <f>IF(OR($C34="Weapon",$C34="Caster weapon"),"",'Gear Budget'!$B$5*MAX(1,MIN(M34,50))*INDEX('Gear Budget'!$B$8:$B$14,MATCH($C34,'Gear Budget'!$A$8:$A$14,0))*IF($C34="Shield",IF(D34="Warrior",1,IF(OR(D34="Rogue",D34="All"),0.38/0.6,0.25/0.6)),IFERROR(INDEX('Gear Budget'!$B$18:$B$21,MATCH($F34,'Gear Budget'!$A$18:$A$21,0)),1)))</f>
        <v/>
      </c>
      <c r="AB34" s="41">
        <f>IF(AA34="","",P34/AA34)</f>
        <v/>
      </c>
      <c r="AC34" s="21" t="n">
        <v>50</v>
      </c>
      <c r="AD34" s="20" t="n">
        <v>130</v>
      </c>
      <c r="AE34" s="20" t="n">
        <v>500</v>
      </c>
      <c r="AF34" s="21" t="n">
        <v>190</v>
      </c>
      <c r="AG34" s="21" t="n">
        <v>0</v>
      </c>
      <c r="AH34" s="20" t="n">
        <v>9</v>
      </c>
      <c r="AI34" s="21" t="n">
        <v>5</v>
      </c>
      <c r="AJ34" s="20" t="n">
        <v>49</v>
      </c>
      <c r="AK34" s="21" t="n">
        <v>0</v>
      </c>
      <c r="AL34" s="21" t="inlineStr">
        <is>
          <t>(none)</t>
        </is>
      </c>
      <c r="AM34" s="61">
        <f>AD34*'Item Budget'!$B$5+AH34*'Item Budget'!$B$7+AF34*'Item Budget'!$B$11+AI34*'Item Budget'!$B$10+AG34*'Item Budget'!$B$9+IFERROR(INDEX('Item Budget'!$M$25:$M$95,MATCH(AL34,'Item Budget'!$B$25:$B$95,0)),0)+IF($C34="Weapon",AK34*'Item Budget'!$B$9,0)</f>
        <v/>
      </c>
      <c r="AN34" s="61">
        <f>AD34*'Item Budget'!$B$5+AH34*'Item Budget'!$B$7+AF34*'Item Budget'!$B$11+AI34*'Item Budget'!$B$10+AE34*'Item Budget'!$B$6+AJ34*'Item Budget'!$B$8+IFERROR(INDEX('Item Budget'!$N$25:$N$95,MATCH(AL34,'Item Budget'!$B$25:$B$95,0)),0)</f>
        <v/>
      </c>
      <c r="AO34" s="61">
        <f>MAX('Item Budget'!$F$16,INDEX('Gear Budget'!$C$8:$C$14,MATCH($C34,'Gear Budget'!$A$8:$A$14,0))*MIN(AC34,50))*$L34</f>
        <v/>
      </c>
      <c r="AP34" s="41">
        <f>IF($C34="Caster weapon",AN34,MAX(AM34,AN34))/AO34</f>
        <v/>
      </c>
      <c r="AQ34" s="61">
        <f>IF(OR($C34="Weapon",$C34="Caster weapon"),"",'Gear Budget'!$B$5*MAX(1,MIN(AC34,50))*INDEX('Gear Budget'!$B$8:$B$14,MATCH($C34,'Gear Budget'!$A$8:$A$14,0))*IF($C34="Shield",IF(E34="Warrior",1,IF(OR(E34="Rogue",E34="All"),0.38/0.6,0.25/0.6)),IFERROR(INDEX('Gear Budget'!$B$18:$B$21,MATCH($F34,'Gear Budget'!$A$18:$A$21,0)),1)))</f>
        <v/>
      </c>
      <c r="AR34" s="41">
        <f>IF(AQ34="","",AF34/AQ34)</f>
        <v/>
      </c>
      <c r="AS34" s="64" t="inlineStr">
        <is>
          <t>Raised so it is 10% over Nagan Robes for Priest (pass 2 class weights)</t>
        </is>
      </c>
      <c r="AT34" s="44">
        <f>IF(OR($E34="All",ISNUMBER(SEARCH("Warrior",$E34))),IF($C34="Caster weapon",(AN34+AF34*('Item Budget'!$AB$14-'Item Budget'!$B$11)),(AM34+AF34*('Item Budget'!$AB$14-'Item Budget'!$B$11))),0)</f>
        <v/>
      </c>
      <c r="AU34" s="44">
        <f>IF(OR($E34="All",ISNUMBER(SEARCH("Rogue",$E34))),IF($C34="Caster weapon",(AN34+AF34*('Item Budget'!$AB$15-'Item Budget'!$B$11)),(AM34+AF34*('Item Budget'!$AB$15-'Item Budget'!$B$11))),0)</f>
        <v/>
      </c>
      <c r="AV34" s="44">
        <f>IF(OR($E34="All",ISNUMBER(SEARCH("Magus",$E34))),(AN34+AF34*('Item Budget'!$AB$16-'Item Budget'!$B$11)),0)</f>
        <v/>
      </c>
      <c r="AW34" s="44">
        <f>IF(OR($E34="All",ISNUMBER(SEARCH("Priest",$E34))),(AN34+AF34*('Item Budget'!$AB$17-'Item Budget'!$B$11)),0)</f>
        <v/>
      </c>
      <c r="AX34" s="44">
        <f>IF(AND(OR($E34="All",ISNUMBER(SEARCH("Warrior",$E34))),AC34&gt;='Item Budget'!$R$10),'Item Budget'!$R$7*100*('Item Budget'!$R$14*(AD34+25*AH34)+'Item Budget'!$S$14*(AE34+25*AJ34))/'Item Budget'!$Z$14+'Item Budget'!$R$9*AF34+IFERROR(INDEX('Item Budget'!$O$25:$O$95,MATCH(AL34,'Item Budget'!$B$25:$B$95,0)),0),0)</f>
        <v/>
      </c>
      <c r="AY34" s="44">
        <f>IF(AND(OR($E34="All",ISNUMBER(SEARCH("Rogue",$E34))),AC34&gt;='Item Budget'!$R$10),'Item Budget'!$R$7*100*('Item Budget'!$R$15*(AD34+25*AH34)+'Item Budget'!$S$15*(AE34+25*AJ34))/'Item Budget'!$Z$15+'Item Budget'!$R$9*AF34+IFERROR(INDEX('Item Budget'!$O$25:$O$95,MATCH(AL34,'Item Budget'!$B$25:$B$95,0)),0),0)</f>
        <v/>
      </c>
      <c r="AZ34" s="44">
        <f>IF(AND(OR($E34="All",ISNUMBER(SEARCH("Magus",$E34))),AC34&gt;='Item Budget'!$R$10),'Item Budget'!$R$7*100*('Item Budget'!$R$16*(AD34+25*AH34)+'Item Budget'!$S$16*(AE34+25*AJ34))/'Item Budget'!$Z$16+'Item Budget'!$R$9*AF34+IFERROR(INDEX('Item Budget'!$O$25:$O$95,MATCH(AL34,'Item Budget'!$B$25:$B$95,0)),0),0)</f>
        <v/>
      </c>
      <c r="BA34" s="44">
        <f>IF(AND(OR($E34="All",ISNUMBER(SEARCH("Priest",$E34))),AC34&gt;='Item Budget'!$R$10),'Item Budget'!$R$7*100*('Item Budget'!$R$17*(AD34+25*AH34)+'Item Budget'!$S$17*(AE34+25*AJ34))/'Item Budget'!$Z$17+'Item Budget'!$R$9*AF34+IFERROR(INDEX('Item Budget'!$O$25:$O$95,MATCH(AL34,'Item Budget'!$B$25:$B$95,0)),0),0)</f>
        <v/>
      </c>
      <c r="BB34" s="52">
        <f>IF(OR($I34&lt;1,IF($I34&gt;=6,AX34,AT34)&lt;=0),"",IF(SUMPRODUCT(MAX(($C$5:$C$215=$C34)*($I$5:$I$215&gt;=1)*($I$5:$I$215&lt;$I34)*IF($I34&gt;=6,$AX$5:$AX$215,$AT$5:$AT$215)))&lt;=0,"",SUMPRODUCT(MAX(($C$5:$C$215=$C34)*($I$5:$I$215=$I34)*IF($I34&gt;=6,$AX$5:$AX$215,$AT$5:$AT$215)))/SUMPRODUCT(MAX(($C$5:$C$215=$C34)*($I$5:$I$215&gt;=1)*($I$5:$I$215&lt;$I34)*IF($I34&gt;=6,$AX$5:$AX$215,$AT$5:$AT$215)))-1))</f>
        <v/>
      </c>
      <c r="BC34" s="52">
        <f>IF(OR($I34&lt;1,IF($I34&gt;=6,AY34,AU34)&lt;=0),"",IF(SUMPRODUCT(MAX(($C$5:$C$215=$C34)*($I$5:$I$215&gt;=1)*($I$5:$I$215&lt;$I34)*IF($I34&gt;=6,$AY$5:$AY$215,$AU$5:$AU$215)))&lt;=0,"",SUMPRODUCT(MAX(($C$5:$C$215=$C34)*($I$5:$I$215=$I34)*IF($I34&gt;=6,$AY$5:$AY$215,$AU$5:$AU$215)))/SUMPRODUCT(MAX(($C$5:$C$215=$C34)*($I$5:$I$215&gt;=1)*($I$5:$I$215&lt;$I34)*IF($I34&gt;=6,$AY$5:$AY$215,$AU$5:$AU$215)))-1))</f>
        <v/>
      </c>
      <c r="BD34" s="52">
        <f>IF(OR($I34&lt;1,IF($I34&gt;=6,AZ34,AV34)&lt;=0),"",IF(SUMPRODUCT(MAX(($C$5:$C$215=$C34)*($I$5:$I$215&gt;=1)*($I$5:$I$215&lt;$I34)*IF($I34&gt;=6,$AZ$5:$AZ$215,$AV$5:$AV$215)))&lt;=0,"",SUMPRODUCT(MAX(($C$5:$C$215=$C34)*($I$5:$I$215=$I34)*IF($I34&gt;=6,$AZ$5:$AZ$215,$AV$5:$AV$215)))/SUMPRODUCT(MAX(($C$5:$C$215=$C34)*($I$5:$I$215&gt;=1)*($I$5:$I$215&lt;$I34)*IF($I34&gt;=6,$AZ$5:$AZ$215,$AV$5:$AV$215)))-1))</f>
        <v/>
      </c>
      <c r="BE34" s="52">
        <f>IF(OR($I34&lt;1,IF($I34&gt;=6,BA34,AW34)&lt;=0),"",IF(SUMPRODUCT(MAX(($C$5:$C$215=$C34)*($I$5:$I$215&gt;=1)*($I$5:$I$215&lt;$I34)*IF($I34&gt;=6,$BA$5:$BA$215,$AW$5:$AW$215)))&lt;=0,"",SUMPRODUCT(MAX(($C$5:$C$215=$C34)*($I$5:$I$215=$I34)*IF($I34&gt;=6,$BA$5:$BA$215,$AW$5:$AW$215)))/SUMPRODUCT(MAX(($C$5:$C$215=$C34)*($I$5:$I$215&gt;=1)*($I$5:$I$215&lt;$I34)*IF($I34&gt;=6,$BA$5:$BA$215,$AW$5:$AW$215)))-1))</f>
        <v/>
      </c>
      <c r="BF34" s="19">
        <f>IF(AND(BB34="",BC34="",BD34="",BE34=""),"",IF(IF(AND(ISNUMBER(BB34),BB34&lt;'Item Budget'!$R$11),"W ","")&amp;IF(AND(ISNUMBER(BC34),BC34&lt;'Item Budget'!$R$11),"R ","")&amp;IF(AND(ISNUMBER(BD34),BD34&lt;'Item Budget'!$R$11),"M ","")&amp;IF(AND(ISNUMBER(BE34),BE34&lt;'Item Budget'!$R$11),"P ","")="","OK","Not above lower step: "&amp;IF(AND(ISNUMBER(BB34),BB34&lt;'Item Budget'!$R$11),"W ","")&amp;IF(AND(ISNUMBER(BC34),BC34&lt;'Item Budget'!$R$11),"R ","")&amp;IF(AND(ISNUMBER(BD34),BD34&lt;'Item Budget'!$R$11),"M ","")&amp;IF(AND(ISNUMBER(BE34),BE34&lt;'Item Budget'!$R$11),"P ","")))</f>
        <v/>
      </c>
    </row>
    <row r="35">
      <c r="A35" s="21" t="n">
        <v>374</v>
      </c>
      <c r="B35" s="21" t="inlineStr">
        <is>
          <t>Valiant Chestplate</t>
        </is>
      </c>
      <c r="C35" s="21" t="inlineStr">
        <is>
          <t>Chest</t>
        </is>
      </c>
      <c r="D35" s="21" t="inlineStr">
        <is>
          <t>Rogue/Warrior</t>
        </is>
      </c>
      <c r="E35" s="21" t="inlineStr">
        <is>
          <t>Rogue/Warrior</t>
        </is>
      </c>
      <c r="F35" s="21" t="inlineStr">
        <is>
          <t>Warrior plate</t>
        </is>
      </c>
      <c r="G35" s="21" t="inlineStr">
        <is>
          <t>drop: Nibbles II 5%</t>
        </is>
      </c>
      <c r="H35" s="37" t="n">
        <v>0</v>
      </c>
      <c r="I35" s="21" t="n">
        <v>5</v>
      </c>
      <c r="J35" s="19" t="inlineStr">
        <is>
          <t>Pass 2</t>
        </is>
      </c>
      <c r="K35" s="21" t="inlineStr">
        <is>
          <t>Rare boss drop</t>
        </is>
      </c>
      <c r="L35" s="31">
        <f>INDEX('Item Budget'!$F$5:$F$13,MATCH(K35,'Item Budget'!$E$5:$E$13,0))+IF(E35="All",0,'Item Budget'!$F$15)+LOOKUP(H35,'Item Budget'!$E$19:$E$23,'Item Budget'!$F$19:$F$23)</f>
        <v/>
      </c>
      <c r="M35" s="21" t="n">
        <v>50</v>
      </c>
      <c r="N35" s="21" t="n">
        <v>300</v>
      </c>
      <c r="O35" s="21" t="n">
        <v>0</v>
      </c>
      <c r="P35" s="21" t="n">
        <v>275</v>
      </c>
      <c r="Q35" s="21" t="n">
        <v>20</v>
      </c>
      <c r="R35" s="21" t="n">
        <v>20</v>
      </c>
      <c r="S35" s="21" t="n">
        <v>20</v>
      </c>
      <c r="T35" s="21" t="n">
        <v>0</v>
      </c>
      <c r="U35" s="21" t="n">
        <v>0</v>
      </c>
      <c r="V35" s="21" t="inlineStr">
        <is>
          <t>(none)</t>
        </is>
      </c>
      <c r="W35" s="61">
        <f>N35*'Item Budget'!$B$5+R35*'Item Budget'!$B$7+P35*'Item Budget'!$B$11+S35*'Item Budget'!$B$10+Q35*'Item Budget'!$B$9+IFERROR(INDEX('Item Budget'!$M$25:$M$95,MATCH(V35,'Item Budget'!$B$25:$B$95,0)),0)+IF($C35="Weapon",U35*'Item Budget'!$B$9,0)</f>
        <v/>
      </c>
      <c r="X35" s="61">
        <f>N35*'Item Budget'!$B$5+R35*'Item Budget'!$B$7+P35*'Item Budget'!$B$11+S35*'Item Budget'!$B$10+O35*'Item Budget'!$B$6+T35*'Item Budget'!$B$8+IFERROR(INDEX('Item Budget'!$N$25:$N$95,MATCH(V35,'Item Budget'!$B$25:$B$95,0)),0)</f>
        <v/>
      </c>
      <c r="Y35" s="61">
        <f>MAX('Item Budget'!$F$16,INDEX('Gear Budget'!$C$8:$C$14,MATCH($C35,'Gear Budget'!$A$8:$A$14,0))*MIN(M35,50))*$L35</f>
        <v/>
      </c>
      <c r="Z35" s="41">
        <f>IF($C35="Caster weapon",X35,MAX(W35,X35))/Y35</f>
        <v/>
      </c>
      <c r="AA35" s="61">
        <f>IF(OR($C35="Weapon",$C35="Caster weapon"),"",'Gear Budget'!$B$5*MAX(1,MIN(M35,50))*INDEX('Gear Budget'!$B$8:$B$14,MATCH($C35,'Gear Budget'!$A$8:$A$14,0))*IF($C35="Shield",IF(D35="Warrior",1,IF(OR(D35="Rogue",D35="All"),0.38/0.6,0.25/0.6)),IFERROR(INDEX('Gear Budget'!$B$18:$B$21,MATCH($F35,'Gear Budget'!$A$18:$A$21,0)),1)))</f>
        <v/>
      </c>
      <c r="AB35" s="41">
        <f>IF(AA35="","",P35/AA35)</f>
        <v/>
      </c>
      <c r="AC35" s="21" t="n">
        <v>50</v>
      </c>
      <c r="AD35" s="20" t="n">
        <v>375</v>
      </c>
      <c r="AE35" s="21" t="n">
        <v>0</v>
      </c>
      <c r="AF35" s="20" t="n">
        <v>280</v>
      </c>
      <c r="AG35" s="21" t="n">
        <v>20</v>
      </c>
      <c r="AH35" s="20" t="n">
        <v>24</v>
      </c>
      <c r="AI35" s="20" t="n">
        <v>23</v>
      </c>
      <c r="AJ35" s="21" t="n">
        <v>0</v>
      </c>
      <c r="AK35" s="21" t="n">
        <v>0</v>
      </c>
      <c r="AL35" s="21" t="inlineStr">
        <is>
          <t>(none)</t>
        </is>
      </c>
      <c r="AM35" s="61">
        <f>AD35*'Item Budget'!$B$5+AH35*'Item Budget'!$B$7+AF35*'Item Budget'!$B$11+AI35*'Item Budget'!$B$10+AG35*'Item Budget'!$B$9+IFERROR(INDEX('Item Budget'!$M$25:$M$95,MATCH(AL35,'Item Budget'!$B$25:$B$95,0)),0)+IF($C35="Weapon",AK35*'Item Budget'!$B$9,0)</f>
        <v/>
      </c>
      <c r="AN35" s="61">
        <f>AD35*'Item Budget'!$B$5+AH35*'Item Budget'!$B$7+AF35*'Item Budget'!$B$11+AI35*'Item Budget'!$B$10+AE35*'Item Budget'!$B$6+AJ35*'Item Budget'!$B$8+IFERROR(INDEX('Item Budget'!$N$25:$N$95,MATCH(AL35,'Item Budget'!$B$25:$B$95,0)),0)</f>
        <v/>
      </c>
      <c r="AO35" s="61">
        <f>MAX('Item Budget'!$F$16,INDEX('Gear Budget'!$C$8:$C$14,MATCH($C35,'Gear Budget'!$A$8:$A$14,0))*MIN(AC35,50))*$L35</f>
        <v/>
      </c>
      <c r="AP35" s="41">
        <f>IF($C35="Caster weapon",AN35,MAX(AM35,AN35))/AO35</f>
        <v/>
      </c>
      <c r="AQ35" s="61">
        <f>IF(OR($C35="Weapon",$C35="Caster weapon"),"",'Gear Budget'!$B$5*MAX(1,MIN(AC35,50))*INDEX('Gear Budget'!$B$8:$B$14,MATCH($C35,'Gear Budget'!$A$8:$A$14,0))*IF($C35="Shield",IF(E35="Warrior",1,IF(OR(E35="Rogue",E35="All"),0.38/0.6,0.25/0.6)),IFERROR(INDEX('Gear Budget'!$B$18:$B$21,MATCH($F35,'Gear Budget'!$A$18:$A$21,0)),1)))</f>
        <v/>
      </c>
      <c r="AR35" s="41">
        <f>IF(AQ35="","",AF35/AQ35)</f>
        <v/>
      </c>
      <c r="AS35" s="64" t="inlineStr">
        <is>
          <t>Raised so it is 10% over Gold Chestplate for Warrior (pass 2 class weights)</t>
        </is>
      </c>
      <c r="AT35" s="44">
        <f>IF(OR($E35="All",ISNUMBER(SEARCH("Warrior",$E35))),IF($C35="Caster weapon",(AN35+AF35*('Item Budget'!$AB$14-'Item Budget'!$B$11)),(AM35+AF35*('Item Budget'!$AB$14-'Item Budget'!$B$11))),0)</f>
        <v/>
      </c>
      <c r="AU35" s="44">
        <f>IF(OR($E35="All",ISNUMBER(SEARCH("Rogue",$E35))),IF($C35="Caster weapon",(AN35+AF35*('Item Budget'!$AB$15-'Item Budget'!$B$11)),(AM35+AF35*('Item Budget'!$AB$15-'Item Budget'!$B$11))),0)</f>
        <v/>
      </c>
      <c r="AV35" s="44">
        <f>IF(OR($E35="All",ISNUMBER(SEARCH("Magus",$E35))),(AN35+AF35*('Item Budget'!$AB$16-'Item Budget'!$B$11)),0)</f>
        <v/>
      </c>
      <c r="AW35" s="44">
        <f>IF(OR($E35="All",ISNUMBER(SEARCH("Priest",$E35))),(AN35+AF35*('Item Budget'!$AB$17-'Item Budget'!$B$11)),0)</f>
        <v/>
      </c>
      <c r="AX35" s="44">
        <f>IF(AND(OR($E35="All",ISNUMBER(SEARCH("Warrior",$E35))),AC35&gt;='Item Budget'!$R$10),'Item Budget'!$R$7*100*('Item Budget'!$R$14*(AD35+25*AH35)+'Item Budget'!$S$14*(AE35+25*AJ35))/'Item Budget'!$Z$14+'Item Budget'!$R$9*AF35+IFERROR(INDEX('Item Budget'!$O$25:$O$95,MATCH(AL35,'Item Budget'!$B$25:$B$95,0)),0),0)</f>
        <v/>
      </c>
      <c r="AY35" s="44">
        <f>IF(AND(OR($E35="All",ISNUMBER(SEARCH("Rogue",$E35))),AC35&gt;='Item Budget'!$R$10),'Item Budget'!$R$7*100*('Item Budget'!$R$15*(AD35+25*AH35)+'Item Budget'!$S$15*(AE35+25*AJ35))/'Item Budget'!$Z$15+'Item Budget'!$R$9*AF35+IFERROR(INDEX('Item Budget'!$O$25:$O$95,MATCH(AL35,'Item Budget'!$B$25:$B$95,0)),0),0)</f>
        <v/>
      </c>
      <c r="AZ35" s="44">
        <f>IF(AND(OR($E35="All",ISNUMBER(SEARCH("Magus",$E35))),AC35&gt;='Item Budget'!$R$10),'Item Budget'!$R$7*100*('Item Budget'!$R$16*(AD35+25*AH35)+'Item Budget'!$S$16*(AE35+25*AJ35))/'Item Budget'!$Z$16+'Item Budget'!$R$9*AF35+IFERROR(INDEX('Item Budget'!$O$25:$O$95,MATCH(AL35,'Item Budget'!$B$25:$B$95,0)),0),0)</f>
        <v/>
      </c>
      <c r="BA35" s="44">
        <f>IF(AND(OR($E35="All",ISNUMBER(SEARCH("Priest",$E35))),AC35&gt;='Item Budget'!$R$10),'Item Budget'!$R$7*100*('Item Budget'!$R$17*(AD35+25*AH35)+'Item Budget'!$S$17*(AE35+25*AJ35))/'Item Budget'!$Z$17+'Item Budget'!$R$9*AF35+IFERROR(INDEX('Item Budget'!$O$25:$O$95,MATCH(AL35,'Item Budget'!$B$25:$B$95,0)),0),0)</f>
        <v/>
      </c>
      <c r="BB35" s="52">
        <f>IF(OR($I35&lt;1,IF($I35&gt;=6,AX35,AT35)&lt;=0),"",IF(SUMPRODUCT(MAX(($C$5:$C$215=$C35)*($I$5:$I$215&gt;=1)*($I$5:$I$215&lt;$I35)*IF($I35&gt;=6,$AX$5:$AX$215,$AT$5:$AT$215)))&lt;=0,"",SUMPRODUCT(MAX(($C$5:$C$215=$C35)*($I$5:$I$215=$I35)*IF($I35&gt;=6,$AX$5:$AX$215,$AT$5:$AT$215)))/SUMPRODUCT(MAX(($C$5:$C$215=$C35)*($I$5:$I$215&gt;=1)*($I$5:$I$215&lt;$I35)*IF($I35&gt;=6,$AX$5:$AX$215,$AT$5:$AT$215)))-1))</f>
        <v/>
      </c>
      <c r="BC35" s="52">
        <f>IF(OR($I35&lt;1,IF($I35&gt;=6,AY35,AU35)&lt;=0),"",IF(SUMPRODUCT(MAX(($C$5:$C$215=$C35)*($I$5:$I$215&gt;=1)*($I$5:$I$215&lt;$I35)*IF($I35&gt;=6,$AY$5:$AY$215,$AU$5:$AU$215)))&lt;=0,"",SUMPRODUCT(MAX(($C$5:$C$215=$C35)*($I$5:$I$215=$I35)*IF($I35&gt;=6,$AY$5:$AY$215,$AU$5:$AU$215)))/SUMPRODUCT(MAX(($C$5:$C$215=$C35)*($I$5:$I$215&gt;=1)*($I$5:$I$215&lt;$I35)*IF($I35&gt;=6,$AY$5:$AY$215,$AU$5:$AU$215)))-1))</f>
        <v/>
      </c>
      <c r="BD35" s="52">
        <f>IF(OR($I35&lt;1,IF($I35&gt;=6,AZ35,AV35)&lt;=0),"",IF(SUMPRODUCT(MAX(($C$5:$C$215=$C35)*($I$5:$I$215&gt;=1)*($I$5:$I$215&lt;$I35)*IF($I35&gt;=6,$AZ$5:$AZ$215,$AV$5:$AV$215)))&lt;=0,"",SUMPRODUCT(MAX(($C$5:$C$215=$C35)*($I$5:$I$215=$I35)*IF($I35&gt;=6,$AZ$5:$AZ$215,$AV$5:$AV$215)))/SUMPRODUCT(MAX(($C$5:$C$215=$C35)*($I$5:$I$215&gt;=1)*($I$5:$I$215&lt;$I35)*IF($I35&gt;=6,$AZ$5:$AZ$215,$AV$5:$AV$215)))-1))</f>
        <v/>
      </c>
      <c r="BE35" s="52">
        <f>IF(OR($I35&lt;1,IF($I35&gt;=6,BA35,AW35)&lt;=0),"",IF(SUMPRODUCT(MAX(($C$5:$C$215=$C35)*($I$5:$I$215&gt;=1)*($I$5:$I$215&lt;$I35)*IF($I35&gt;=6,$BA$5:$BA$215,$AW$5:$AW$215)))&lt;=0,"",SUMPRODUCT(MAX(($C$5:$C$215=$C35)*($I$5:$I$215=$I35)*IF($I35&gt;=6,$BA$5:$BA$215,$AW$5:$AW$215)))/SUMPRODUCT(MAX(($C$5:$C$215=$C35)*($I$5:$I$215&gt;=1)*($I$5:$I$215&lt;$I35)*IF($I35&gt;=6,$BA$5:$BA$215,$AW$5:$AW$215)))-1))</f>
        <v/>
      </c>
      <c r="BF35" s="19">
        <f>IF(AND(BB35="",BC35="",BD35="",BE35=""),"",IF(IF(AND(ISNUMBER(BB35),BB35&lt;'Item Budget'!$R$11),"W ","")&amp;IF(AND(ISNUMBER(BC35),BC35&lt;'Item Budget'!$R$11),"R ","")&amp;IF(AND(ISNUMBER(BD35),BD35&lt;'Item Budget'!$R$11),"M ","")&amp;IF(AND(ISNUMBER(BE35),BE35&lt;'Item Budget'!$R$11),"P ","")="","OK","Not above lower step: "&amp;IF(AND(ISNUMBER(BB35),BB35&lt;'Item Budget'!$R$11),"W ","")&amp;IF(AND(ISNUMBER(BC35),BC35&lt;'Item Budget'!$R$11),"R ","")&amp;IF(AND(ISNUMBER(BD35),BD35&lt;'Item Budget'!$R$11),"M ","")&amp;IF(AND(ISNUMBER(BE35),BE35&lt;'Item Budget'!$R$11),"P ","")))</f>
        <v/>
      </c>
    </row>
    <row r="36">
      <c r="A36" s="21" t="n">
        <v>378</v>
      </c>
      <c r="B36" s="21" t="inlineStr">
        <is>
          <t>Valiant Robes</t>
        </is>
      </c>
      <c r="C36" s="21" t="inlineStr">
        <is>
          <t>Chest</t>
        </is>
      </c>
      <c r="D36" s="21" t="inlineStr">
        <is>
          <t>Magus/Priest</t>
        </is>
      </c>
      <c r="E36" s="21" t="inlineStr">
        <is>
          <t>Magus/Priest</t>
        </is>
      </c>
      <c r="F36" s="21" t="inlineStr">
        <is>
          <t>Caster cloth</t>
        </is>
      </c>
      <c r="G36" s="21" t="inlineStr">
        <is>
          <t>drop: Nibbles II 5%</t>
        </is>
      </c>
      <c r="H36" s="37" t="n">
        <v>0</v>
      </c>
      <c r="I36" s="21" t="n">
        <v>5</v>
      </c>
      <c r="J36" s="3" t="inlineStr">
        <is>
          <t>Pass 2</t>
        </is>
      </c>
      <c r="K36" s="21" t="inlineStr">
        <is>
          <t>Rare boss drop</t>
        </is>
      </c>
      <c r="L36" s="31">
        <f>INDEX('Item Budget'!$F$5:$F$13,MATCH(K36,'Item Budget'!$E$5:$E$13,0))+IF(E36="All",0,'Item Budget'!$F$15)+LOOKUP(H36,'Item Budget'!$E$19:$E$23,'Item Budget'!$F$19:$F$23)</f>
        <v/>
      </c>
      <c r="M36" s="21" t="n">
        <v>50</v>
      </c>
      <c r="N36" s="21" t="n">
        <v>125</v>
      </c>
      <c r="O36" s="21" t="n">
        <v>600</v>
      </c>
      <c r="P36" s="21" t="n">
        <v>200</v>
      </c>
      <c r="Q36" s="21" t="n">
        <v>0</v>
      </c>
      <c r="R36" s="21" t="n">
        <v>0</v>
      </c>
      <c r="S36" s="21" t="n">
        <v>5</v>
      </c>
      <c r="T36" s="21" t="n">
        <v>35</v>
      </c>
      <c r="U36" s="21" t="n">
        <v>0</v>
      </c>
      <c r="V36" s="21" t="inlineStr">
        <is>
          <t>(none)</t>
        </is>
      </c>
      <c r="W36" s="61">
        <f>N36*'Item Budget'!$B$5+R36*'Item Budget'!$B$7+P36*'Item Budget'!$B$11+S36*'Item Budget'!$B$10+Q36*'Item Budget'!$B$9+IFERROR(INDEX('Item Budget'!$M$25:$M$95,MATCH(V36,'Item Budget'!$B$25:$B$95,0)),0)+IF($C36="Weapon",U36*'Item Budget'!$B$9,0)</f>
        <v/>
      </c>
      <c r="X36" s="61">
        <f>N36*'Item Budget'!$B$5+R36*'Item Budget'!$B$7+P36*'Item Budget'!$B$11+S36*'Item Budget'!$B$10+O36*'Item Budget'!$B$6+T36*'Item Budget'!$B$8+IFERROR(INDEX('Item Budget'!$N$25:$N$95,MATCH(V36,'Item Budget'!$B$25:$B$95,0)),0)</f>
        <v/>
      </c>
      <c r="Y36" s="61">
        <f>MAX('Item Budget'!$F$16,INDEX('Gear Budget'!$C$8:$C$14,MATCH($C36,'Gear Budget'!$A$8:$A$14,0))*MIN(M36,50))*$L36</f>
        <v/>
      </c>
      <c r="Z36" s="41">
        <f>IF($C36="Caster weapon",X36,MAX(W36,X36))/Y36</f>
        <v/>
      </c>
      <c r="AA36" s="61">
        <f>IF(OR($C36="Weapon",$C36="Caster weapon"),"",'Gear Budget'!$B$5*MAX(1,MIN(M36,50))*INDEX('Gear Budget'!$B$8:$B$14,MATCH($C36,'Gear Budget'!$A$8:$A$14,0))*IF($C36="Shield",IF(D36="Warrior",1,IF(OR(D36="Rogue",D36="All"),0.38/0.6,0.25/0.6)),IFERROR(INDEX('Gear Budget'!$B$18:$B$21,MATCH($F36,'Gear Budget'!$A$18:$A$21,0)),1)))</f>
        <v/>
      </c>
      <c r="AB36" s="41">
        <f>IF(AA36="","",P36/AA36)</f>
        <v/>
      </c>
      <c r="AC36" s="21" t="n">
        <v>50</v>
      </c>
      <c r="AD36" s="20" t="n">
        <v>175</v>
      </c>
      <c r="AE36" s="20" t="n">
        <v>825</v>
      </c>
      <c r="AF36" s="21" t="n">
        <v>200</v>
      </c>
      <c r="AG36" s="21" t="n">
        <v>0</v>
      </c>
      <c r="AH36" s="21" t="n">
        <v>0</v>
      </c>
      <c r="AI36" s="21" t="n">
        <v>5</v>
      </c>
      <c r="AJ36" s="20" t="n">
        <v>49</v>
      </c>
      <c r="AK36" s="21" t="n">
        <v>0</v>
      </c>
      <c r="AL36" s="21" t="inlineStr">
        <is>
          <t>(none)</t>
        </is>
      </c>
      <c r="AM36" s="61">
        <f>AD36*'Item Budget'!$B$5+AH36*'Item Budget'!$B$7+AF36*'Item Budget'!$B$11+AI36*'Item Budget'!$B$10+AG36*'Item Budget'!$B$9+IFERROR(INDEX('Item Budget'!$M$25:$M$95,MATCH(AL36,'Item Budget'!$B$25:$B$95,0)),0)+IF($C36="Weapon",AK36*'Item Budget'!$B$9,0)</f>
        <v/>
      </c>
      <c r="AN36" s="61">
        <f>AD36*'Item Budget'!$B$5+AH36*'Item Budget'!$B$7+AF36*'Item Budget'!$B$11+AI36*'Item Budget'!$B$10+AE36*'Item Budget'!$B$6+AJ36*'Item Budget'!$B$8+IFERROR(INDEX('Item Budget'!$N$25:$N$95,MATCH(AL36,'Item Budget'!$B$25:$B$95,0)),0)</f>
        <v/>
      </c>
      <c r="AO36" s="61">
        <f>MAX('Item Budget'!$F$16,INDEX('Gear Budget'!$C$8:$C$14,MATCH($C36,'Gear Budget'!$A$8:$A$14,0))*MIN(AC36,50))*$L36</f>
        <v/>
      </c>
      <c r="AP36" s="41">
        <f>IF($C36="Caster weapon",AN36,MAX(AM36,AN36))/AO36</f>
        <v/>
      </c>
      <c r="AQ36" s="61">
        <f>IF(OR($C36="Weapon",$C36="Caster weapon"),"",'Gear Budget'!$B$5*MAX(1,MIN(AC36,50))*INDEX('Gear Budget'!$B$8:$B$14,MATCH($C36,'Gear Budget'!$A$8:$A$14,0))*IF($C36="Shield",IF(E36="Warrior",1,IF(OR(E36="Rogue",E36="All"),0.38/0.6,0.25/0.6)),IFERROR(INDEX('Gear Budget'!$B$18:$B$21,MATCH($F36,'Gear Budget'!$A$18:$A$21,0)),1)))</f>
        <v/>
      </c>
      <c r="AR36" s="41">
        <f>IF(AQ36="","",AF36/AQ36)</f>
        <v/>
      </c>
      <c r="AS36" s="64" t="inlineStr">
        <is>
          <t>Raised so it is 10% over Whirling Robes for Priest (pass 2 class weights)</t>
        </is>
      </c>
      <c r="AT36" s="44">
        <f>IF(OR($E36="All",ISNUMBER(SEARCH("Warrior",$E36))),IF($C36="Caster weapon",(AN36+AF36*('Item Budget'!$AB$14-'Item Budget'!$B$11)),(AM36+AF36*('Item Budget'!$AB$14-'Item Budget'!$B$11))),0)</f>
        <v/>
      </c>
      <c r="AU36" s="44">
        <f>IF(OR($E36="All",ISNUMBER(SEARCH("Rogue",$E36))),IF($C36="Caster weapon",(AN36+AF36*('Item Budget'!$AB$15-'Item Budget'!$B$11)),(AM36+AF36*('Item Budget'!$AB$15-'Item Budget'!$B$11))),0)</f>
        <v/>
      </c>
      <c r="AV36" s="44">
        <f>IF(OR($E36="All",ISNUMBER(SEARCH("Magus",$E36))),(AN36+AF36*('Item Budget'!$AB$16-'Item Budget'!$B$11)),0)</f>
        <v/>
      </c>
      <c r="AW36" s="44">
        <f>IF(OR($E36="All",ISNUMBER(SEARCH("Priest",$E36))),(AN36+AF36*('Item Budget'!$AB$17-'Item Budget'!$B$11)),0)</f>
        <v/>
      </c>
      <c r="AX36" s="44">
        <f>IF(AND(OR($E36="All",ISNUMBER(SEARCH("Warrior",$E36))),AC36&gt;='Item Budget'!$R$10),'Item Budget'!$R$7*100*('Item Budget'!$R$14*(AD36+25*AH36)+'Item Budget'!$S$14*(AE36+25*AJ36))/'Item Budget'!$Z$14+'Item Budget'!$R$9*AF36+IFERROR(INDEX('Item Budget'!$O$25:$O$95,MATCH(AL36,'Item Budget'!$B$25:$B$95,0)),0),0)</f>
        <v/>
      </c>
      <c r="AY36" s="44">
        <f>IF(AND(OR($E36="All",ISNUMBER(SEARCH("Rogue",$E36))),AC36&gt;='Item Budget'!$R$10),'Item Budget'!$R$7*100*('Item Budget'!$R$15*(AD36+25*AH36)+'Item Budget'!$S$15*(AE36+25*AJ36))/'Item Budget'!$Z$15+'Item Budget'!$R$9*AF36+IFERROR(INDEX('Item Budget'!$O$25:$O$95,MATCH(AL36,'Item Budget'!$B$25:$B$95,0)),0),0)</f>
        <v/>
      </c>
      <c r="AZ36" s="44">
        <f>IF(AND(OR($E36="All",ISNUMBER(SEARCH("Magus",$E36))),AC36&gt;='Item Budget'!$R$10),'Item Budget'!$R$7*100*('Item Budget'!$R$16*(AD36+25*AH36)+'Item Budget'!$S$16*(AE36+25*AJ36))/'Item Budget'!$Z$16+'Item Budget'!$R$9*AF36+IFERROR(INDEX('Item Budget'!$O$25:$O$95,MATCH(AL36,'Item Budget'!$B$25:$B$95,0)),0),0)</f>
        <v/>
      </c>
      <c r="BA36" s="44">
        <f>IF(AND(OR($E36="All",ISNUMBER(SEARCH("Priest",$E36))),AC36&gt;='Item Budget'!$R$10),'Item Budget'!$R$7*100*('Item Budget'!$R$17*(AD36+25*AH36)+'Item Budget'!$S$17*(AE36+25*AJ36))/'Item Budget'!$Z$17+'Item Budget'!$R$9*AF36+IFERROR(INDEX('Item Budget'!$O$25:$O$95,MATCH(AL36,'Item Budget'!$B$25:$B$95,0)),0),0)</f>
        <v/>
      </c>
      <c r="BB36" s="52">
        <f>IF(OR($I36&lt;1,IF($I36&gt;=6,AX36,AT36)&lt;=0),"",IF(SUMPRODUCT(MAX(($C$5:$C$215=$C36)*($I$5:$I$215&gt;=1)*($I$5:$I$215&lt;$I36)*IF($I36&gt;=6,$AX$5:$AX$215,$AT$5:$AT$215)))&lt;=0,"",SUMPRODUCT(MAX(($C$5:$C$215=$C36)*($I$5:$I$215=$I36)*IF($I36&gt;=6,$AX$5:$AX$215,$AT$5:$AT$215)))/SUMPRODUCT(MAX(($C$5:$C$215=$C36)*($I$5:$I$215&gt;=1)*($I$5:$I$215&lt;$I36)*IF($I36&gt;=6,$AX$5:$AX$215,$AT$5:$AT$215)))-1))</f>
        <v/>
      </c>
      <c r="BC36" s="52">
        <f>IF(OR($I36&lt;1,IF($I36&gt;=6,AY36,AU36)&lt;=0),"",IF(SUMPRODUCT(MAX(($C$5:$C$215=$C36)*($I$5:$I$215&gt;=1)*($I$5:$I$215&lt;$I36)*IF($I36&gt;=6,$AY$5:$AY$215,$AU$5:$AU$215)))&lt;=0,"",SUMPRODUCT(MAX(($C$5:$C$215=$C36)*($I$5:$I$215=$I36)*IF($I36&gt;=6,$AY$5:$AY$215,$AU$5:$AU$215)))/SUMPRODUCT(MAX(($C$5:$C$215=$C36)*($I$5:$I$215&gt;=1)*($I$5:$I$215&lt;$I36)*IF($I36&gt;=6,$AY$5:$AY$215,$AU$5:$AU$215)))-1))</f>
        <v/>
      </c>
      <c r="BD36" s="52">
        <f>IF(OR($I36&lt;1,IF($I36&gt;=6,AZ36,AV36)&lt;=0),"",IF(SUMPRODUCT(MAX(($C$5:$C$215=$C36)*($I$5:$I$215&gt;=1)*($I$5:$I$215&lt;$I36)*IF($I36&gt;=6,$AZ$5:$AZ$215,$AV$5:$AV$215)))&lt;=0,"",SUMPRODUCT(MAX(($C$5:$C$215=$C36)*($I$5:$I$215=$I36)*IF($I36&gt;=6,$AZ$5:$AZ$215,$AV$5:$AV$215)))/SUMPRODUCT(MAX(($C$5:$C$215=$C36)*($I$5:$I$215&gt;=1)*($I$5:$I$215&lt;$I36)*IF($I36&gt;=6,$AZ$5:$AZ$215,$AV$5:$AV$215)))-1))</f>
        <v/>
      </c>
      <c r="BE36" s="52">
        <f>IF(OR($I36&lt;1,IF($I36&gt;=6,BA36,AW36)&lt;=0),"",IF(SUMPRODUCT(MAX(($C$5:$C$215=$C36)*($I$5:$I$215&gt;=1)*($I$5:$I$215&lt;$I36)*IF($I36&gt;=6,$BA$5:$BA$215,$AW$5:$AW$215)))&lt;=0,"",SUMPRODUCT(MAX(($C$5:$C$215=$C36)*($I$5:$I$215=$I36)*IF($I36&gt;=6,$BA$5:$BA$215,$AW$5:$AW$215)))/SUMPRODUCT(MAX(($C$5:$C$215=$C36)*($I$5:$I$215&gt;=1)*($I$5:$I$215&lt;$I36)*IF($I36&gt;=6,$BA$5:$BA$215,$AW$5:$AW$215)))-1))</f>
        <v/>
      </c>
      <c r="BF36" s="19">
        <f>IF(AND(BB36="",BC36="",BD36="",BE36=""),"",IF(IF(AND(ISNUMBER(BB36),BB36&lt;'Item Budget'!$R$11),"W ","")&amp;IF(AND(ISNUMBER(BC36),BC36&lt;'Item Budget'!$R$11),"R ","")&amp;IF(AND(ISNUMBER(BD36),BD36&lt;'Item Budget'!$R$11),"M ","")&amp;IF(AND(ISNUMBER(BE36),BE36&lt;'Item Budget'!$R$11),"P ","")="","OK","Not above lower step: "&amp;IF(AND(ISNUMBER(BB36),BB36&lt;'Item Budget'!$R$11),"W ","")&amp;IF(AND(ISNUMBER(BC36),BC36&lt;'Item Budget'!$R$11),"R ","")&amp;IF(AND(ISNUMBER(BD36),BD36&lt;'Item Budget'!$R$11),"M ","")&amp;IF(AND(ISNUMBER(BE36),BE36&lt;'Item Budget'!$R$11),"P ","")))</f>
        <v/>
      </c>
    </row>
    <row r="37">
      <c r="A37" s="21" t="n">
        <v>379</v>
      </c>
      <c r="B37" s="21" t="inlineStr">
        <is>
          <t>Valiant Mesh</t>
        </is>
      </c>
      <c r="C37" s="21" t="inlineStr">
        <is>
          <t>Chest</t>
        </is>
      </c>
      <c r="D37" s="21" t="inlineStr">
        <is>
          <t>Rogue</t>
        </is>
      </c>
      <c r="E37" s="21" t="inlineStr">
        <is>
          <t>Rogue</t>
        </is>
      </c>
      <c r="F37" s="21" t="inlineStr">
        <is>
          <t>Rogue</t>
        </is>
      </c>
      <c r="G37" s="21" t="inlineStr">
        <is>
          <t>drop: Nibbles II 5%</t>
        </is>
      </c>
      <c r="H37" s="37" t="n">
        <v>0</v>
      </c>
      <c r="I37" s="21" t="n">
        <v>5</v>
      </c>
      <c r="J37" s="19" t="inlineStr">
        <is>
          <t>Pass 2</t>
        </is>
      </c>
      <c r="K37" s="21" t="inlineStr">
        <is>
          <t>Rare boss drop</t>
        </is>
      </c>
      <c r="L37" s="31">
        <f>INDEX('Item Budget'!$F$5:$F$13,MATCH(K37,'Item Budget'!$E$5:$E$13,0))+IF(E37="All",0,'Item Budget'!$F$15)+LOOKUP(H37,'Item Budget'!$E$19:$E$23,'Item Budget'!$F$19:$F$23)</f>
        <v/>
      </c>
      <c r="M37" s="21" t="n">
        <v>50</v>
      </c>
      <c r="N37" s="21" t="n">
        <v>250</v>
      </c>
      <c r="O37" s="21" t="n">
        <v>150</v>
      </c>
      <c r="P37" s="21" t="n">
        <v>235</v>
      </c>
      <c r="Q37" s="21" t="n">
        <v>20</v>
      </c>
      <c r="R37" s="21" t="n">
        <v>20</v>
      </c>
      <c r="S37" s="21" t="n">
        <v>20</v>
      </c>
      <c r="T37" s="21" t="n">
        <v>0</v>
      </c>
      <c r="U37" s="21" t="n">
        <v>0</v>
      </c>
      <c r="V37" s="21" t="inlineStr">
        <is>
          <t>(none)</t>
        </is>
      </c>
      <c r="W37" s="61">
        <f>N37*'Item Budget'!$B$5+R37*'Item Budget'!$B$7+P37*'Item Budget'!$B$11+S37*'Item Budget'!$B$10+Q37*'Item Budget'!$B$9+IFERROR(INDEX('Item Budget'!$M$25:$M$95,MATCH(V37,'Item Budget'!$B$25:$B$95,0)),0)+IF($C37="Weapon",U37*'Item Budget'!$B$9,0)</f>
        <v/>
      </c>
      <c r="X37" s="61">
        <f>N37*'Item Budget'!$B$5+R37*'Item Budget'!$B$7+P37*'Item Budget'!$B$11+S37*'Item Budget'!$B$10+O37*'Item Budget'!$B$6+T37*'Item Budget'!$B$8+IFERROR(INDEX('Item Budget'!$N$25:$N$95,MATCH(V37,'Item Budget'!$B$25:$B$95,0)),0)</f>
        <v/>
      </c>
      <c r="Y37" s="61">
        <f>MAX('Item Budget'!$F$16,INDEX('Gear Budget'!$C$8:$C$14,MATCH($C37,'Gear Budget'!$A$8:$A$14,0))*MIN(M37,50))*$L37</f>
        <v/>
      </c>
      <c r="Z37" s="41">
        <f>IF($C37="Caster weapon",X37,MAX(W37,X37))/Y37</f>
        <v/>
      </c>
      <c r="AA37" s="61">
        <f>IF(OR($C37="Weapon",$C37="Caster weapon"),"",'Gear Budget'!$B$5*MAX(1,MIN(M37,50))*INDEX('Gear Budget'!$B$8:$B$14,MATCH($C37,'Gear Budget'!$A$8:$A$14,0))*IF($C37="Shield",IF(D37="Warrior",1,IF(OR(D37="Rogue",D37="All"),0.38/0.6,0.25/0.6)),IFERROR(INDEX('Gear Budget'!$B$18:$B$21,MATCH($F37,'Gear Budget'!$A$18:$A$21,0)),1)))</f>
        <v/>
      </c>
      <c r="AB37" s="41">
        <f>IF(AA37="","",P37/AA37)</f>
        <v/>
      </c>
      <c r="AC37" s="21" t="n">
        <v>50</v>
      </c>
      <c r="AD37" s="20" t="n">
        <v>275</v>
      </c>
      <c r="AE37" s="20" t="n">
        <v>160</v>
      </c>
      <c r="AF37" s="21" t="n">
        <v>235</v>
      </c>
      <c r="AG37" s="21" t="n">
        <v>20</v>
      </c>
      <c r="AH37" s="20" t="n">
        <v>22</v>
      </c>
      <c r="AI37" s="20" t="n">
        <v>22</v>
      </c>
      <c r="AJ37" s="21" t="n">
        <v>0</v>
      </c>
      <c r="AK37" s="21" t="n">
        <v>0</v>
      </c>
      <c r="AL37" s="21" t="inlineStr">
        <is>
          <t>(none)</t>
        </is>
      </c>
      <c r="AM37" s="61">
        <f>AD37*'Item Budget'!$B$5+AH37*'Item Budget'!$B$7+AF37*'Item Budget'!$B$11+AI37*'Item Budget'!$B$10+AG37*'Item Budget'!$B$9+IFERROR(INDEX('Item Budget'!$M$25:$M$95,MATCH(AL37,'Item Budget'!$B$25:$B$95,0)),0)+IF($C37="Weapon",AK37*'Item Budget'!$B$9,0)</f>
        <v/>
      </c>
      <c r="AN37" s="61">
        <f>AD37*'Item Budget'!$B$5+AH37*'Item Budget'!$B$7+AF37*'Item Budget'!$B$11+AI37*'Item Budget'!$B$10+AE37*'Item Budget'!$B$6+AJ37*'Item Budget'!$B$8+IFERROR(INDEX('Item Budget'!$N$25:$N$95,MATCH(AL37,'Item Budget'!$B$25:$B$95,0)),0)</f>
        <v/>
      </c>
      <c r="AO37" s="61">
        <f>MAX('Item Budget'!$F$16,INDEX('Gear Budget'!$C$8:$C$14,MATCH($C37,'Gear Budget'!$A$8:$A$14,0))*MIN(AC37,50))*$L37</f>
        <v/>
      </c>
      <c r="AP37" s="41">
        <f>IF($C37="Caster weapon",AN37,MAX(AM37,AN37))/AO37</f>
        <v/>
      </c>
      <c r="AQ37" s="61">
        <f>IF(OR($C37="Weapon",$C37="Caster weapon"),"",'Gear Budget'!$B$5*MAX(1,MIN(AC37,50))*INDEX('Gear Budget'!$B$8:$B$14,MATCH($C37,'Gear Budget'!$A$8:$A$14,0))*IF($C37="Shield",IF(E37="Warrior",1,IF(OR(E37="Rogue",E37="All"),0.38/0.6,0.25/0.6)),IFERROR(INDEX('Gear Budget'!$B$18:$B$21,MATCH($F37,'Gear Budget'!$A$18:$A$21,0)),1)))</f>
        <v/>
      </c>
      <c r="AR37" s="41">
        <f>IF(AQ37="","",AF37/AQ37)</f>
        <v/>
      </c>
      <c r="AS37" s="64" t="inlineStr">
        <is>
          <t>Raised so it is 10% over Devastators Chestplate for Rogue (pass 2 class weights)</t>
        </is>
      </c>
      <c r="AT37" s="44">
        <f>IF(OR($E37="All",ISNUMBER(SEARCH("Warrior",$E37))),IF($C37="Caster weapon",(AN37+AF37*('Item Budget'!$AB$14-'Item Budget'!$B$11)),(AM37+AF37*('Item Budget'!$AB$14-'Item Budget'!$B$11))),0)</f>
        <v/>
      </c>
      <c r="AU37" s="44">
        <f>IF(OR($E37="All",ISNUMBER(SEARCH("Rogue",$E37))),IF($C37="Caster weapon",(AN37+AF37*('Item Budget'!$AB$15-'Item Budget'!$B$11)),(AM37+AF37*('Item Budget'!$AB$15-'Item Budget'!$B$11))),0)</f>
        <v/>
      </c>
      <c r="AV37" s="44">
        <f>IF(OR($E37="All",ISNUMBER(SEARCH("Magus",$E37))),(AN37+AF37*('Item Budget'!$AB$16-'Item Budget'!$B$11)),0)</f>
        <v/>
      </c>
      <c r="AW37" s="44">
        <f>IF(OR($E37="All",ISNUMBER(SEARCH("Priest",$E37))),(AN37+AF37*('Item Budget'!$AB$17-'Item Budget'!$B$11)),0)</f>
        <v/>
      </c>
      <c r="AX37" s="44">
        <f>IF(AND(OR($E37="All",ISNUMBER(SEARCH("Warrior",$E37))),AC37&gt;='Item Budget'!$R$10),'Item Budget'!$R$7*100*('Item Budget'!$R$14*(AD37+25*AH37)+'Item Budget'!$S$14*(AE37+25*AJ37))/'Item Budget'!$Z$14+'Item Budget'!$R$9*AF37+IFERROR(INDEX('Item Budget'!$O$25:$O$95,MATCH(AL37,'Item Budget'!$B$25:$B$95,0)),0),0)</f>
        <v/>
      </c>
      <c r="AY37" s="44">
        <f>IF(AND(OR($E37="All",ISNUMBER(SEARCH("Rogue",$E37))),AC37&gt;='Item Budget'!$R$10),'Item Budget'!$R$7*100*('Item Budget'!$R$15*(AD37+25*AH37)+'Item Budget'!$S$15*(AE37+25*AJ37))/'Item Budget'!$Z$15+'Item Budget'!$R$9*AF37+IFERROR(INDEX('Item Budget'!$O$25:$O$95,MATCH(AL37,'Item Budget'!$B$25:$B$95,0)),0),0)</f>
        <v/>
      </c>
      <c r="AZ37" s="44">
        <f>IF(AND(OR($E37="All",ISNUMBER(SEARCH("Magus",$E37))),AC37&gt;='Item Budget'!$R$10),'Item Budget'!$R$7*100*('Item Budget'!$R$16*(AD37+25*AH37)+'Item Budget'!$S$16*(AE37+25*AJ37))/'Item Budget'!$Z$16+'Item Budget'!$R$9*AF37+IFERROR(INDEX('Item Budget'!$O$25:$O$95,MATCH(AL37,'Item Budget'!$B$25:$B$95,0)),0),0)</f>
        <v/>
      </c>
      <c r="BA37" s="44">
        <f>IF(AND(OR($E37="All",ISNUMBER(SEARCH("Priest",$E37))),AC37&gt;='Item Budget'!$R$10),'Item Budget'!$R$7*100*('Item Budget'!$R$17*(AD37+25*AH37)+'Item Budget'!$S$17*(AE37+25*AJ37))/'Item Budget'!$Z$17+'Item Budget'!$R$9*AF37+IFERROR(INDEX('Item Budget'!$O$25:$O$95,MATCH(AL37,'Item Budget'!$B$25:$B$95,0)),0),0)</f>
        <v/>
      </c>
      <c r="BB37" s="52">
        <f>IF(OR($I37&lt;1,IF($I37&gt;=6,AX37,AT37)&lt;=0),"",IF(SUMPRODUCT(MAX(($C$5:$C$215=$C37)*($I$5:$I$215&gt;=1)*($I$5:$I$215&lt;$I37)*IF($I37&gt;=6,$AX$5:$AX$215,$AT$5:$AT$215)))&lt;=0,"",SUMPRODUCT(MAX(($C$5:$C$215=$C37)*($I$5:$I$215=$I37)*IF($I37&gt;=6,$AX$5:$AX$215,$AT$5:$AT$215)))/SUMPRODUCT(MAX(($C$5:$C$215=$C37)*($I$5:$I$215&gt;=1)*($I$5:$I$215&lt;$I37)*IF($I37&gt;=6,$AX$5:$AX$215,$AT$5:$AT$215)))-1))</f>
        <v/>
      </c>
      <c r="BC37" s="52">
        <f>IF(OR($I37&lt;1,IF($I37&gt;=6,AY37,AU37)&lt;=0),"",IF(SUMPRODUCT(MAX(($C$5:$C$215=$C37)*($I$5:$I$215&gt;=1)*($I$5:$I$215&lt;$I37)*IF($I37&gt;=6,$AY$5:$AY$215,$AU$5:$AU$215)))&lt;=0,"",SUMPRODUCT(MAX(($C$5:$C$215=$C37)*($I$5:$I$215=$I37)*IF($I37&gt;=6,$AY$5:$AY$215,$AU$5:$AU$215)))/SUMPRODUCT(MAX(($C$5:$C$215=$C37)*($I$5:$I$215&gt;=1)*($I$5:$I$215&lt;$I37)*IF($I37&gt;=6,$AY$5:$AY$215,$AU$5:$AU$215)))-1))</f>
        <v/>
      </c>
      <c r="BD37" s="52">
        <f>IF(OR($I37&lt;1,IF($I37&gt;=6,AZ37,AV37)&lt;=0),"",IF(SUMPRODUCT(MAX(($C$5:$C$215=$C37)*($I$5:$I$215&gt;=1)*($I$5:$I$215&lt;$I37)*IF($I37&gt;=6,$AZ$5:$AZ$215,$AV$5:$AV$215)))&lt;=0,"",SUMPRODUCT(MAX(($C$5:$C$215=$C37)*($I$5:$I$215=$I37)*IF($I37&gt;=6,$AZ$5:$AZ$215,$AV$5:$AV$215)))/SUMPRODUCT(MAX(($C$5:$C$215=$C37)*($I$5:$I$215&gt;=1)*($I$5:$I$215&lt;$I37)*IF($I37&gt;=6,$AZ$5:$AZ$215,$AV$5:$AV$215)))-1))</f>
        <v/>
      </c>
      <c r="BE37" s="52">
        <f>IF(OR($I37&lt;1,IF($I37&gt;=6,BA37,AW37)&lt;=0),"",IF(SUMPRODUCT(MAX(($C$5:$C$215=$C37)*($I$5:$I$215&gt;=1)*($I$5:$I$215&lt;$I37)*IF($I37&gt;=6,$BA$5:$BA$215,$AW$5:$AW$215)))&lt;=0,"",SUMPRODUCT(MAX(($C$5:$C$215=$C37)*($I$5:$I$215=$I37)*IF($I37&gt;=6,$BA$5:$BA$215,$AW$5:$AW$215)))/SUMPRODUCT(MAX(($C$5:$C$215=$C37)*($I$5:$I$215&gt;=1)*($I$5:$I$215&lt;$I37)*IF($I37&gt;=6,$BA$5:$BA$215,$AW$5:$AW$215)))-1))</f>
        <v/>
      </c>
      <c r="BF37" s="19">
        <f>IF(AND(BB37="",BC37="",BD37="",BE37=""),"",IF(IF(AND(ISNUMBER(BB37),BB37&lt;'Item Budget'!$R$11),"W ","")&amp;IF(AND(ISNUMBER(BC37),BC37&lt;'Item Budget'!$R$11),"R ","")&amp;IF(AND(ISNUMBER(BD37),BD37&lt;'Item Budget'!$R$11),"M ","")&amp;IF(AND(ISNUMBER(BE37),BE37&lt;'Item Budget'!$R$11),"P ","")="","OK","Not above lower step: "&amp;IF(AND(ISNUMBER(BB37),BB37&lt;'Item Budget'!$R$11),"W ","")&amp;IF(AND(ISNUMBER(BC37),BC37&lt;'Item Budget'!$R$11),"R ","")&amp;IF(AND(ISNUMBER(BD37),BD37&lt;'Item Budget'!$R$11),"M ","")&amp;IF(AND(ISNUMBER(BE37),BE37&lt;'Item Budget'!$R$11),"P ","")))</f>
        <v/>
      </c>
    </row>
    <row r="38">
      <c r="A38" s="21" t="n">
        <v>283</v>
      </c>
      <c r="B38" s="21" t="inlineStr">
        <is>
          <t>Ancient Garb</t>
        </is>
      </c>
      <c r="C38" s="21" t="inlineStr">
        <is>
          <t>Chest</t>
        </is>
      </c>
      <c r="D38" s="21" t="inlineStr">
        <is>
          <t>Magus/Priest</t>
        </is>
      </c>
      <c r="E38" s="21" t="inlineStr">
        <is>
          <t>Magus/Priest</t>
        </is>
      </c>
      <c r="F38" s="21" t="inlineStr">
        <is>
          <t>Caster cloth</t>
        </is>
      </c>
      <c r="G38" s="21" t="inlineStr">
        <is>
          <t>drop: Hairy Fairy Princess 20%</t>
        </is>
      </c>
      <c r="H38" s="37" t="n">
        <v>20000000</v>
      </c>
      <c r="I38" s="21" t="n">
        <v>6</v>
      </c>
      <c r="J38" s="19" t="inlineStr">
        <is>
          <t>Pass 2</t>
        </is>
      </c>
      <c r="K38" s="21" t="inlineStr">
        <is>
          <t>Rare boss drop</t>
        </is>
      </c>
      <c r="L38" s="31">
        <f>INDEX('Item Budget'!$F$5:$F$13,MATCH(K38,'Item Budget'!$E$5:$E$13,0))+IF(E38="All",0,'Item Budget'!$F$15)+LOOKUP(H38,'Item Budget'!$E$19:$E$23,'Item Budget'!$F$19:$F$23)</f>
        <v/>
      </c>
      <c r="M38" s="21" t="n">
        <v>50</v>
      </c>
      <c r="N38" s="21" t="n">
        <v>250</v>
      </c>
      <c r="O38" s="21" t="n">
        <v>1750</v>
      </c>
      <c r="P38" s="21" t="n">
        <v>200</v>
      </c>
      <c r="Q38" s="21" t="n">
        <v>0</v>
      </c>
      <c r="R38" s="21" t="n">
        <v>0</v>
      </c>
      <c r="S38" s="21" t="n">
        <v>0</v>
      </c>
      <c r="T38" s="21" t="n">
        <v>10</v>
      </c>
      <c r="U38" s="21" t="n">
        <v>0</v>
      </c>
      <c r="V38" s="21" t="inlineStr">
        <is>
          <t>(none)</t>
        </is>
      </c>
      <c r="W38" s="61">
        <f>N38*'Item Budget'!$B$5+R38*'Item Budget'!$B$7+P38*'Item Budget'!$B$11+S38*'Item Budget'!$B$10+Q38*'Item Budget'!$B$9+IFERROR(INDEX('Item Budget'!$M$25:$M$95,MATCH(V38,'Item Budget'!$B$25:$B$95,0)),0)+IF($C38="Weapon",U38*'Item Budget'!$B$9,0)</f>
        <v/>
      </c>
      <c r="X38" s="61">
        <f>N38*'Item Budget'!$B$5+R38*'Item Budget'!$B$7+P38*'Item Budget'!$B$11+S38*'Item Budget'!$B$10+O38*'Item Budget'!$B$6+T38*'Item Budget'!$B$8+IFERROR(INDEX('Item Budget'!$N$25:$N$95,MATCH(V38,'Item Budget'!$B$25:$B$95,0)),0)</f>
        <v/>
      </c>
      <c r="Y38" s="61">
        <f>MAX('Item Budget'!$F$16,INDEX('Gear Budget'!$C$8:$C$14,MATCH($C38,'Gear Budget'!$A$8:$A$14,0))*MIN(M38,50))*$L38</f>
        <v/>
      </c>
      <c r="Z38" s="41">
        <f>IF($C38="Caster weapon",X38,MAX(W38,X38))/Y38</f>
        <v/>
      </c>
      <c r="AA38" s="61">
        <f>IF(OR($C38="Weapon",$C38="Caster weapon"),"",'Gear Budget'!$B$5*MAX(1,MIN(M38,50))*INDEX('Gear Budget'!$B$8:$B$14,MATCH($C38,'Gear Budget'!$A$8:$A$14,0))*IF($C38="Shield",IF(D38="Warrior",1,IF(OR(D38="Rogue",D38="All"),0.38/0.6,0.25/0.6)),IFERROR(INDEX('Gear Budget'!$B$18:$B$21,MATCH($F38,'Gear Budget'!$A$18:$A$21,0)),1)))</f>
        <v/>
      </c>
      <c r="AB38" s="41">
        <f>IF(AA38="","",P38/AA38)</f>
        <v/>
      </c>
      <c r="AC38" s="21" t="n">
        <v>50</v>
      </c>
      <c r="AD38" s="20" t="n">
        <v>300</v>
      </c>
      <c r="AE38" s="20" t="n">
        <v>1975</v>
      </c>
      <c r="AF38" s="21" t="n">
        <v>200</v>
      </c>
      <c r="AG38" s="21" t="n">
        <v>0</v>
      </c>
      <c r="AH38" s="21" t="n">
        <v>0</v>
      </c>
      <c r="AI38" s="21" t="n">
        <v>0</v>
      </c>
      <c r="AJ38" s="20" t="n">
        <v>12</v>
      </c>
      <c r="AK38" s="21" t="n">
        <v>0</v>
      </c>
      <c r="AL38" s="21" t="inlineStr">
        <is>
          <t>(none)</t>
        </is>
      </c>
      <c r="AM38" s="61">
        <f>AD38*'Item Budget'!$B$5+AH38*'Item Budget'!$B$7+AF38*'Item Budget'!$B$11+AI38*'Item Budget'!$B$10+AG38*'Item Budget'!$B$9+IFERROR(INDEX('Item Budget'!$M$25:$M$95,MATCH(AL38,'Item Budget'!$B$25:$B$95,0)),0)+IF($C38="Weapon",AK38*'Item Budget'!$B$9,0)</f>
        <v/>
      </c>
      <c r="AN38" s="61">
        <f>AD38*'Item Budget'!$B$5+AH38*'Item Budget'!$B$7+AF38*'Item Budget'!$B$11+AI38*'Item Budget'!$B$10+AE38*'Item Budget'!$B$6+AJ38*'Item Budget'!$B$8+IFERROR(INDEX('Item Budget'!$N$25:$N$95,MATCH(AL38,'Item Budget'!$B$25:$B$95,0)),0)</f>
        <v/>
      </c>
      <c r="AO38" s="61">
        <f>MAX('Item Budget'!$F$16,INDEX('Gear Budget'!$C$8:$C$14,MATCH($C38,'Gear Budget'!$A$8:$A$14,0))*MIN(AC38,50))*$L38</f>
        <v/>
      </c>
      <c r="AP38" s="41">
        <f>IF($C38="Caster weapon",AN38,MAX(AM38,AN38))/AO38</f>
        <v/>
      </c>
      <c r="AQ38" s="61">
        <f>IF(OR($C38="Weapon",$C38="Caster weapon"),"",'Gear Budget'!$B$5*MAX(1,MIN(AC38,50))*INDEX('Gear Budget'!$B$8:$B$14,MATCH($C38,'Gear Budget'!$A$8:$A$14,0))*IF($C38="Shield",IF(E38="Warrior",1,IF(OR(E38="Rogue",E38="All"),0.38/0.6,0.25/0.6)),IFERROR(INDEX('Gear Budget'!$B$18:$B$21,MATCH($F38,'Gear Budget'!$A$18:$A$21,0)),1)))</f>
        <v/>
      </c>
      <c r="AR38" s="41">
        <f>IF(AQ38="","",AF38/AQ38)</f>
        <v/>
      </c>
      <c r="AS38" s="64" t="inlineStr">
        <is>
          <t>Raised so it is 10% over Valiant Robes for Magus (pass 2 class weights)</t>
        </is>
      </c>
      <c r="AT38" s="44">
        <f>IF(OR($E38="All",ISNUMBER(SEARCH("Warrior",$E38))),IF($C38="Caster weapon",(AN38+AF38*('Item Budget'!$AB$14-'Item Budget'!$B$11)),(AM38+AF38*('Item Budget'!$AB$14-'Item Budget'!$B$11))),0)</f>
        <v/>
      </c>
      <c r="AU38" s="44">
        <f>IF(OR($E38="All",ISNUMBER(SEARCH("Rogue",$E38))),IF($C38="Caster weapon",(AN38+AF38*('Item Budget'!$AB$15-'Item Budget'!$B$11)),(AM38+AF38*('Item Budget'!$AB$15-'Item Budget'!$B$11))),0)</f>
        <v/>
      </c>
      <c r="AV38" s="44">
        <f>IF(OR($E38="All",ISNUMBER(SEARCH("Magus",$E38))),(AN38+AF38*('Item Budget'!$AB$16-'Item Budget'!$B$11)),0)</f>
        <v/>
      </c>
      <c r="AW38" s="44">
        <f>IF(OR($E38="All",ISNUMBER(SEARCH("Priest",$E38))),(AN38+AF38*('Item Budget'!$AB$17-'Item Budget'!$B$11)),0)</f>
        <v/>
      </c>
      <c r="AX38" s="44">
        <f>IF(AND(OR($E38="All",ISNUMBER(SEARCH("Warrior",$E38))),AC38&gt;='Item Budget'!$R$10),'Item Budget'!$R$7*100*('Item Budget'!$R$14*(AD38+25*AH38)+'Item Budget'!$S$14*(AE38+25*AJ38))/'Item Budget'!$Z$14+'Item Budget'!$R$9*AF38+IFERROR(INDEX('Item Budget'!$O$25:$O$95,MATCH(AL38,'Item Budget'!$B$25:$B$95,0)),0),0)</f>
        <v/>
      </c>
      <c r="AY38" s="44">
        <f>IF(AND(OR($E38="All",ISNUMBER(SEARCH("Rogue",$E38))),AC38&gt;='Item Budget'!$R$10),'Item Budget'!$R$7*100*('Item Budget'!$R$15*(AD38+25*AH38)+'Item Budget'!$S$15*(AE38+25*AJ38))/'Item Budget'!$Z$15+'Item Budget'!$R$9*AF38+IFERROR(INDEX('Item Budget'!$O$25:$O$95,MATCH(AL38,'Item Budget'!$B$25:$B$95,0)),0),0)</f>
        <v/>
      </c>
      <c r="AZ38" s="44">
        <f>IF(AND(OR($E38="All",ISNUMBER(SEARCH("Magus",$E38))),AC38&gt;='Item Budget'!$R$10),'Item Budget'!$R$7*100*('Item Budget'!$R$16*(AD38+25*AH38)+'Item Budget'!$S$16*(AE38+25*AJ38))/'Item Budget'!$Z$16+'Item Budget'!$R$9*AF38+IFERROR(INDEX('Item Budget'!$O$25:$O$95,MATCH(AL38,'Item Budget'!$B$25:$B$95,0)),0),0)</f>
        <v/>
      </c>
      <c r="BA38" s="44">
        <f>IF(AND(OR($E38="All",ISNUMBER(SEARCH("Priest",$E38))),AC38&gt;='Item Budget'!$R$10),'Item Budget'!$R$7*100*('Item Budget'!$R$17*(AD38+25*AH38)+'Item Budget'!$S$17*(AE38+25*AJ38))/'Item Budget'!$Z$17+'Item Budget'!$R$9*AF38+IFERROR(INDEX('Item Budget'!$O$25:$O$95,MATCH(AL38,'Item Budget'!$B$25:$B$95,0)),0),0)</f>
        <v/>
      </c>
      <c r="BB38" s="52">
        <f>IF(OR($I38&lt;1,IF($I38&gt;=6,AX38,AT38)&lt;=0),"",IF(SUMPRODUCT(MAX(($C$5:$C$215=$C38)*($I$5:$I$215&gt;=1)*($I$5:$I$215&lt;$I38)*IF($I38&gt;=6,$AX$5:$AX$215,$AT$5:$AT$215)))&lt;=0,"",SUMPRODUCT(MAX(($C$5:$C$215=$C38)*($I$5:$I$215=$I38)*IF($I38&gt;=6,$AX$5:$AX$215,$AT$5:$AT$215)))/SUMPRODUCT(MAX(($C$5:$C$215=$C38)*($I$5:$I$215&gt;=1)*($I$5:$I$215&lt;$I38)*IF($I38&gt;=6,$AX$5:$AX$215,$AT$5:$AT$215)))-1))</f>
        <v/>
      </c>
      <c r="BC38" s="52">
        <f>IF(OR($I38&lt;1,IF($I38&gt;=6,AY38,AU38)&lt;=0),"",IF(SUMPRODUCT(MAX(($C$5:$C$215=$C38)*($I$5:$I$215&gt;=1)*($I$5:$I$215&lt;$I38)*IF($I38&gt;=6,$AY$5:$AY$215,$AU$5:$AU$215)))&lt;=0,"",SUMPRODUCT(MAX(($C$5:$C$215=$C38)*($I$5:$I$215=$I38)*IF($I38&gt;=6,$AY$5:$AY$215,$AU$5:$AU$215)))/SUMPRODUCT(MAX(($C$5:$C$215=$C38)*($I$5:$I$215&gt;=1)*($I$5:$I$215&lt;$I38)*IF($I38&gt;=6,$AY$5:$AY$215,$AU$5:$AU$215)))-1))</f>
        <v/>
      </c>
      <c r="BD38" s="52">
        <f>IF(OR($I38&lt;1,IF($I38&gt;=6,AZ38,AV38)&lt;=0),"",IF(SUMPRODUCT(MAX(($C$5:$C$215=$C38)*($I$5:$I$215&gt;=1)*($I$5:$I$215&lt;$I38)*IF($I38&gt;=6,$AZ$5:$AZ$215,$AV$5:$AV$215)))&lt;=0,"",SUMPRODUCT(MAX(($C$5:$C$215=$C38)*($I$5:$I$215=$I38)*IF($I38&gt;=6,$AZ$5:$AZ$215,$AV$5:$AV$215)))/SUMPRODUCT(MAX(($C$5:$C$215=$C38)*($I$5:$I$215&gt;=1)*($I$5:$I$215&lt;$I38)*IF($I38&gt;=6,$AZ$5:$AZ$215,$AV$5:$AV$215)))-1))</f>
        <v/>
      </c>
      <c r="BE38" s="52">
        <f>IF(OR($I38&lt;1,IF($I38&gt;=6,BA38,AW38)&lt;=0),"",IF(SUMPRODUCT(MAX(($C$5:$C$215=$C38)*($I$5:$I$215&gt;=1)*($I$5:$I$215&lt;$I38)*IF($I38&gt;=6,$BA$5:$BA$215,$AW$5:$AW$215)))&lt;=0,"",SUMPRODUCT(MAX(($C$5:$C$215=$C38)*($I$5:$I$215=$I38)*IF($I38&gt;=6,$BA$5:$BA$215,$AW$5:$AW$215)))/SUMPRODUCT(MAX(($C$5:$C$215=$C38)*($I$5:$I$215&gt;=1)*($I$5:$I$215&lt;$I38)*IF($I38&gt;=6,$BA$5:$BA$215,$AW$5:$AW$215)))-1))</f>
        <v/>
      </c>
      <c r="BF38" s="19">
        <f>IF(AND(BB38="",BC38="",BD38="",BE38=""),"",IF(IF(AND(ISNUMBER(BB38),BB38&lt;'Item Budget'!$R$11),"W ","")&amp;IF(AND(ISNUMBER(BC38),BC38&lt;'Item Budget'!$R$11),"R ","")&amp;IF(AND(ISNUMBER(BD38),BD38&lt;'Item Budget'!$R$11),"M ","")&amp;IF(AND(ISNUMBER(BE38),BE38&lt;'Item Budget'!$R$11),"P ","")="","OK","Not above lower step: "&amp;IF(AND(ISNUMBER(BB38),BB38&lt;'Item Budget'!$R$11),"W ","")&amp;IF(AND(ISNUMBER(BC38),BC38&lt;'Item Budget'!$R$11),"R ","")&amp;IF(AND(ISNUMBER(BD38),BD38&lt;'Item Budget'!$R$11),"M ","")&amp;IF(AND(ISNUMBER(BE38),BE38&lt;'Item Budget'!$R$11),"P ","")))</f>
        <v/>
      </c>
    </row>
    <row r="39">
      <c r="A39" s="21" t="n">
        <v>284</v>
      </c>
      <c r="B39" s="21" t="inlineStr">
        <is>
          <t>Ancient Robe</t>
        </is>
      </c>
      <c r="C39" s="21" t="inlineStr">
        <is>
          <t>Chest</t>
        </is>
      </c>
      <c r="D39" s="21" t="inlineStr">
        <is>
          <t>Magus/Priest</t>
        </is>
      </c>
      <c r="E39" s="21" t="inlineStr">
        <is>
          <t>Magus/Priest</t>
        </is>
      </c>
      <c r="F39" s="21" t="inlineStr">
        <is>
          <t>Caster cloth</t>
        </is>
      </c>
      <c r="G39" s="21" t="inlineStr">
        <is>
          <t>drop: Hairy Fairy Princess 20%</t>
        </is>
      </c>
      <c r="H39" s="37" t="n">
        <v>20000000</v>
      </c>
      <c r="I39" s="21" t="n">
        <v>6</v>
      </c>
      <c r="J39" s="19" t="inlineStr">
        <is>
          <t>Pass 2</t>
        </is>
      </c>
      <c r="K39" s="21" t="inlineStr">
        <is>
          <t>Rare boss drop</t>
        </is>
      </c>
      <c r="L39" s="31">
        <f>INDEX('Item Budget'!$F$5:$F$13,MATCH(K39,'Item Budget'!$E$5:$E$13,0))+IF(E39="All",0,'Item Budget'!$F$15)+LOOKUP(H39,'Item Budget'!$E$19:$E$23,'Item Budget'!$F$19:$F$23)</f>
        <v/>
      </c>
      <c r="M39" s="21" t="n">
        <v>50</v>
      </c>
      <c r="N39" s="21" t="n">
        <v>650</v>
      </c>
      <c r="O39" s="21" t="n">
        <v>1000</v>
      </c>
      <c r="P39" s="21" t="n">
        <v>200</v>
      </c>
      <c r="Q39" s="21" t="n">
        <v>0</v>
      </c>
      <c r="R39" s="21" t="n">
        <v>20</v>
      </c>
      <c r="S39" s="21" t="n">
        <v>0</v>
      </c>
      <c r="T39" s="21" t="n">
        <v>0</v>
      </c>
      <c r="U39" s="21" t="n">
        <v>0</v>
      </c>
      <c r="V39" s="21" t="inlineStr">
        <is>
          <t>(none)</t>
        </is>
      </c>
      <c r="W39" s="61">
        <f>N39*'Item Budget'!$B$5+R39*'Item Budget'!$B$7+P39*'Item Budget'!$B$11+S39*'Item Budget'!$B$10+Q39*'Item Budget'!$B$9+IFERROR(INDEX('Item Budget'!$M$25:$M$95,MATCH(V39,'Item Budget'!$B$25:$B$95,0)),0)+IF($C39="Weapon",U39*'Item Budget'!$B$9,0)</f>
        <v/>
      </c>
      <c r="X39" s="61">
        <f>N39*'Item Budget'!$B$5+R39*'Item Budget'!$B$7+P39*'Item Budget'!$B$11+S39*'Item Budget'!$B$10+O39*'Item Budget'!$B$6+T39*'Item Budget'!$B$8+IFERROR(INDEX('Item Budget'!$N$25:$N$95,MATCH(V39,'Item Budget'!$B$25:$B$95,0)),0)</f>
        <v/>
      </c>
      <c r="Y39" s="61">
        <f>MAX('Item Budget'!$F$16,INDEX('Gear Budget'!$C$8:$C$14,MATCH($C39,'Gear Budget'!$A$8:$A$14,0))*MIN(M39,50))*$L39</f>
        <v/>
      </c>
      <c r="Z39" s="41">
        <f>IF($C39="Caster weapon",X39,MAX(W39,X39))/Y39</f>
        <v/>
      </c>
      <c r="AA39" s="61">
        <f>IF(OR($C39="Weapon",$C39="Caster weapon"),"",'Gear Budget'!$B$5*MAX(1,MIN(M39,50))*INDEX('Gear Budget'!$B$8:$B$14,MATCH($C39,'Gear Budget'!$A$8:$A$14,0))*IF($C39="Shield",IF(D39="Warrior",1,IF(OR(D39="Rogue",D39="All"),0.38/0.6,0.25/0.6)),IFERROR(INDEX('Gear Budget'!$B$18:$B$21,MATCH($F39,'Gear Budget'!$A$18:$A$21,0)),1)))</f>
        <v/>
      </c>
      <c r="AB39" s="41">
        <f>IF(AA39="","",P39/AA39)</f>
        <v/>
      </c>
      <c r="AC39" s="21" t="n">
        <v>50</v>
      </c>
      <c r="AD39" s="20" t="n">
        <v>975</v>
      </c>
      <c r="AE39" s="20" t="n">
        <v>1475</v>
      </c>
      <c r="AF39" s="21" t="n">
        <v>200</v>
      </c>
      <c r="AG39" s="21" t="n">
        <v>0</v>
      </c>
      <c r="AH39" s="20" t="n">
        <v>30</v>
      </c>
      <c r="AI39" s="21" t="n">
        <v>0</v>
      </c>
      <c r="AJ39" s="21" t="n">
        <v>0</v>
      </c>
      <c r="AK39" s="21" t="n">
        <v>0</v>
      </c>
      <c r="AL39" s="21" t="inlineStr">
        <is>
          <t>(none)</t>
        </is>
      </c>
      <c r="AM39" s="61">
        <f>AD39*'Item Budget'!$B$5+AH39*'Item Budget'!$B$7+AF39*'Item Budget'!$B$11+AI39*'Item Budget'!$B$10+AG39*'Item Budget'!$B$9+IFERROR(INDEX('Item Budget'!$M$25:$M$95,MATCH(AL39,'Item Budget'!$B$25:$B$95,0)),0)+IF($C39="Weapon",AK39*'Item Budget'!$B$9,0)</f>
        <v/>
      </c>
      <c r="AN39" s="61">
        <f>AD39*'Item Budget'!$B$5+AH39*'Item Budget'!$B$7+AF39*'Item Budget'!$B$11+AI39*'Item Budget'!$B$10+AE39*'Item Budget'!$B$6+AJ39*'Item Budget'!$B$8+IFERROR(INDEX('Item Budget'!$N$25:$N$95,MATCH(AL39,'Item Budget'!$B$25:$B$95,0)),0)</f>
        <v/>
      </c>
      <c r="AO39" s="61">
        <f>MAX('Item Budget'!$F$16,INDEX('Gear Budget'!$C$8:$C$14,MATCH($C39,'Gear Budget'!$A$8:$A$14,0))*MIN(AC39,50))*$L39</f>
        <v/>
      </c>
      <c r="AP39" s="41">
        <f>IF($C39="Caster weapon",AN39,MAX(AM39,AN39))/AO39</f>
        <v/>
      </c>
      <c r="AQ39" s="61">
        <f>IF(OR($C39="Weapon",$C39="Caster weapon"),"",'Gear Budget'!$B$5*MAX(1,MIN(AC39,50))*INDEX('Gear Budget'!$B$8:$B$14,MATCH($C39,'Gear Budget'!$A$8:$A$14,0))*IF($C39="Shield",IF(E39="Warrior",1,IF(OR(E39="Rogue",E39="All"),0.38/0.6,0.25/0.6)),IFERROR(INDEX('Gear Budget'!$B$18:$B$21,MATCH($F39,'Gear Budget'!$A$18:$A$21,0)),1)))</f>
        <v/>
      </c>
      <c r="AR39" s="41">
        <f>IF(AQ39="","",AF39/AQ39)</f>
        <v/>
      </c>
      <c r="AS39" s="64" t="inlineStr">
        <is>
          <t>Raised so it is 10% over Valiant Robes for Priest (pass 2 class weights)</t>
        </is>
      </c>
      <c r="AT39" s="44">
        <f>IF(OR($E39="All",ISNUMBER(SEARCH("Warrior",$E39))),IF($C39="Caster weapon",(AN39+AF39*('Item Budget'!$AB$14-'Item Budget'!$B$11)),(AM39+AF39*('Item Budget'!$AB$14-'Item Budget'!$B$11))),0)</f>
        <v/>
      </c>
      <c r="AU39" s="44">
        <f>IF(OR($E39="All",ISNUMBER(SEARCH("Rogue",$E39))),IF($C39="Caster weapon",(AN39+AF39*('Item Budget'!$AB$15-'Item Budget'!$B$11)),(AM39+AF39*('Item Budget'!$AB$15-'Item Budget'!$B$11))),0)</f>
        <v/>
      </c>
      <c r="AV39" s="44">
        <f>IF(OR($E39="All",ISNUMBER(SEARCH("Magus",$E39))),(AN39+AF39*('Item Budget'!$AB$16-'Item Budget'!$B$11)),0)</f>
        <v/>
      </c>
      <c r="AW39" s="44">
        <f>IF(OR($E39="All",ISNUMBER(SEARCH("Priest",$E39))),(AN39+AF39*('Item Budget'!$AB$17-'Item Budget'!$B$11)),0)</f>
        <v/>
      </c>
      <c r="AX39" s="44">
        <f>IF(AND(OR($E39="All",ISNUMBER(SEARCH("Warrior",$E39))),AC39&gt;='Item Budget'!$R$10),'Item Budget'!$R$7*100*('Item Budget'!$R$14*(AD39+25*AH39)+'Item Budget'!$S$14*(AE39+25*AJ39))/'Item Budget'!$Z$14+'Item Budget'!$R$9*AF39+IFERROR(INDEX('Item Budget'!$O$25:$O$95,MATCH(AL39,'Item Budget'!$B$25:$B$95,0)),0),0)</f>
        <v/>
      </c>
      <c r="AY39" s="44">
        <f>IF(AND(OR($E39="All",ISNUMBER(SEARCH("Rogue",$E39))),AC39&gt;='Item Budget'!$R$10),'Item Budget'!$R$7*100*('Item Budget'!$R$15*(AD39+25*AH39)+'Item Budget'!$S$15*(AE39+25*AJ39))/'Item Budget'!$Z$15+'Item Budget'!$R$9*AF39+IFERROR(INDEX('Item Budget'!$O$25:$O$95,MATCH(AL39,'Item Budget'!$B$25:$B$95,0)),0),0)</f>
        <v/>
      </c>
      <c r="AZ39" s="44">
        <f>IF(AND(OR($E39="All",ISNUMBER(SEARCH("Magus",$E39))),AC39&gt;='Item Budget'!$R$10),'Item Budget'!$R$7*100*('Item Budget'!$R$16*(AD39+25*AH39)+'Item Budget'!$S$16*(AE39+25*AJ39))/'Item Budget'!$Z$16+'Item Budget'!$R$9*AF39+IFERROR(INDEX('Item Budget'!$O$25:$O$95,MATCH(AL39,'Item Budget'!$B$25:$B$95,0)),0),0)</f>
        <v/>
      </c>
      <c r="BA39" s="44">
        <f>IF(AND(OR($E39="All",ISNUMBER(SEARCH("Priest",$E39))),AC39&gt;='Item Budget'!$R$10),'Item Budget'!$R$7*100*('Item Budget'!$R$17*(AD39+25*AH39)+'Item Budget'!$S$17*(AE39+25*AJ39))/'Item Budget'!$Z$17+'Item Budget'!$R$9*AF39+IFERROR(INDEX('Item Budget'!$O$25:$O$95,MATCH(AL39,'Item Budget'!$B$25:$B$95,0)),0),0)</f>
        <v/>
      </c>
      <c r="BB39" s="52">
        <f>IF(OR($I39&lt;1,IF($I39&gt;=6,AX39,AT39)&lt;=0),"",IF(SUMPRODUCT(MAX(($C$5:$C$215=$C39)*($I$5:$I$215&gt;=1)*($I$5:$I$215&lt;$I39)*IF($I39&gt;=6,$AX$5:$AX$215,$AT$5:$AT$215)))&lt;=0,"",SUMPRODUCT(MAX(($C$5:$C$215=$C39)*($I$5:$I$215=$I39)*IF($I39&gt;=6,$AX$5:$AX$215,$AT$5:$AT$215)))/SUMPRODUCT(MAX(($C$5:$C$215=$C39)*($I$5:$I$215&gt;=1)*($I$5:$I$215&lt;$I39)*IF($I39&gt;=6,$AX$5:$AX$215,$AT$5:$AT$215)))-1))</f>
        <v/>
      </c>
      <c r="BC39" s="52">
        <f>IF(OR($I39&lt;1,IF($I39&gt;=6,AY39,AU39)&lt;=0),"",IF(SUMPRODUCT(MAX(($C$5:$C$215=$C39)*($I$5:$I$215&gt;=1)*($I$5:$I$215&lt;$I39)*IF($I39&gt;=6,$AY$5:$AY$215,$AU$5:$AU$215)))&lt;=0,"",SUMPRODUCT(MAX(($C$5:$C$215=$C39)*($I$5:$I$215=$I39)*IF($I39&gt;=6,$AY$5:$AY$215,$AU$5:$AU$215)))/SUMPRODUCT(MAX(($C$5:$C$215=$C39)*($I$5:$I$215&gt;=1)*($I$5:$I$215&lt;$I39)*IF($I39&gt;=6,$AY$5:$AY$215,$AU$5:$AU$215)))-1))</f>
        <v/>
      </c>
      <c r="BD39" s="52">
        <f>IF(OR($I39&lt;1,IF($I39&gt;=6,AZ39,AV39)&lt;=0),"",IF(SUMPRODUCT(MAX(($C$5:$C$215=$C39)*($I$5:$I$215&gt;=1)*($I$5:$I$215&lt;$I39)*IF($I39&gt;=6,$AZ$5:$AZ$215,$AV$5:$AV$215)))&lt;=0,"",SUMPRODUCT(MAX(($C$5:$C$215=$C39)*($I$5:$I$215=$I39)*IF($I39&gt;=6,$AZ$5:$AZ$215,$AV$5:$AV$215)))/SUMPRODUCT(MAX(($C$5:$C$215=$C39)*($I$5:$I$215&gt;=1)*($I$5:$I$215&lt;$I39)*IF($I39&gt;=6,$AZ$5:$AZ$215,$AV$5:$AV$215)))-1))</f>
        <v/>
      </c>
      <c r="BE39" s="52">
        <f>IF(OR($I39&lt;1,IF($I39&gt;=6,BA39,AW39)&lt;=0),"",IF(SUMPRODUCT(MAX(($C$5:$C$215=$C39)*($I$5:$I$215&gt;=1)*($I$5:$I$215&lt;$I39)*IF($I39&gt;=6,$BA$5:$BA$215,$AW$5:$AW$215)))&lt;=0,"",SUMPRODUCT(MAX(($C$5:$C$215=$C39)*($I$5:$I$215=$I39)*IF($I39&gt;=6,$BA$5:$BA$215,$AW$5:$AW$215)))/SUMPRODUCT(MAX(($C$5:$C$215=$C39)*($I$5:$I$215&gt;=1)*($I$5:$I$215&lt;$I39)*IF($I39&gt;=6,$BA$5:$BA$215,$AW$5:$AW$215)))-1))</f>
        <v/>
      </c>
      <c r="BF39" s="19">
        <f>IF(AND(BB39="",BC39="",BD39="",BE39=""),"",IF(IF(AND(ISNUMBER(BB39),BB39&lt;'Item Budget'!$R$11),"W ","")&amp;IF(AND(ISNUMBER(BC39),BC39&lt;'Item Budget'!$R$11),"R ","")&amp;IF(AND(ISNUMBER(BD39),BD39&lt;'Item Budget'!$R$11),"M ","")&amp;IF(AND(ISNUMBER(BE39),BE39&lt;'Item Budget'!$R$11),"P ","")="","OK","Not above lower step: "&amp;IF(AND(ISNUMBER(BB39),BB39&lt;'Item Budget'!$R$11),"W ","")&amp;IF(AND(ISNUMBER(BC39),BC39&lt;'Item Budget'!$R$11),"R ","")&amp;IF(AND(ISNUMBER(BD39),BD39&lt;'Item Budget'!$R$11),"M ","")&amp;IF(AND(ISNUMBER(BE39),BE39&lt;'Item Budget'!$R$11),"P ","")))</f>
        <v/>
      </c>
    </row>
    <row r="40">
      <c r="A40" s="21" t="n">
        <v>290</v>
      </c>
      <c r="B40" s="21" t="inlineStr">
        <is>
          <t>Ancient Armor</t>
        </is>
      </c>
      <c r="C40" s="21" t="inlineStr">
        <is>
          <t>Chest</t>
        </is>
      </c>
      <c r="D40" s="21" t="inlineStr">
        <is>
          <t>Rogue/Warrior</t>
        </is>
      </c>
      <c r="E40" s="21" t="inlineStr">
        <is>
          <t>Rogue/Warrior</t>
        </is>
      </c>
      <c r="F40" s="21" t="inlineStr">
        <is>
          <t>Warrior plate</t>
        </is>
      </c>
      <c r="G40" s="21" t="inlineStr">
        <is>
          <t>drop: Hairy Fairy Princess 20%</t>
        </is>
      </c>
      <c r="H40" s="37" t="n">
        <v>20000000</v>
      </c>
      <c r="I40" s="21" t="n">
        <v>6</v>
      </c>
      <c r="J40" s="19" t="inlineStr">
        <is>
          <t>Leave</t>
        </is>
      </c>
      <c r="K40" s="21" t="inlineStr">
        <is>
          <t>Rare boss drop</t>
        </is>
      </c>
      <c r="L40" s="31">
        <f>INDEX('Item Budget'!$F$5:$F$13,MATCH(K40,'Item Budget'!$E$5:$E$13,0))+IF(E40="All",0,'Item Budget'!$F$15)+LOOKUP(H40,'Item Budget'!$E$19:$E$23,'Item Budget'!$F$19:$F$23)</f>
        <v/>
      </c>
      <c r="M40" s="21" t="n">
        <v>50</v>
      </c>
      <c r="N40" s="21" t="n">
        <v>1750</v>
      </c>
      <c r="O40" s="21" t="n">
        <v>300</v>
      </c>
      <c r="P40" s="21" t="n">
        <v>375</v>
      </c>
      <c r="Q40" s="21" t="n">
        <v>0</v>
      </c>
      <c r="R40" s="21" t="n">
        <v>5</v>
      </c>
      <c r="S40" s="21" t="n">
        <v>0</v>
      </c>
      <c r="T40" s="21" t="n">
        <v>15</v>
      </c>
      <c r="U40" s="21" t="n">
        <v>0</v>
      </c>
      <c r="V40" s="21" t="inlineStr">
        <is>
          <t>(none)</t>
        </is>
      </c>
      <c r="W40" s="61">
        <f>N40*'Item Budget'!$B$5+R40*'Item Budget'!$B$7+P40*'Item Budget'!$B$11+S40*'Item Budget'!$B$10+Q40*'Item Budget'!$B$9+IFERROR(INDEX('Item Budget'!$M$25:$M$95,MATCH(V40,'Item Budget'!$B$25:$B$95,0)),0)+IF($C40="Weapon",U40*'Item Budget'!$B$9,0)</f>
        <v/>
      </c>
      <c r="X40" s="61">
        <f>N40*'Item Budget'!$B$5+R40*'Item Budget'!$B$7+P40*'Item Budget'!$B$11+S40*'Item Budget'!$B$10+O40*'Item Budget'!$B$6+T40*'Item Budget'!$B$8+IFERROR(INDEX('Item Budget'!$N$25:$N$95,MATCH(V40,'Item Budget'!$B$25:$B$95,0)),0)</f>
        <v/>
      </c>
      <c r="Y40" s="61">
        <f>MAX('Item Budget'!$F$16,INDEX('Gear Budget'!$C$8:$C$14,MATCH($C40,'Gear Budget'!$A$8:$A$14,0))*MIN(M40,50))*$L40</f>
        <v/>
      </c>
      <c r="Z40" s="41">
        <f>IF($C40="Caster weapon",X40,MAX(W40,X40))/Y40</f>
        <v/>
      </c>
      <c r="AA40" s="61">
        <f>IF(OR($C40="Weapon",$C40="Caster weapon"),"",'Gear Budget'!$B$5*MAX(1,MIN(M40,50))*INDEX('Gear Budget'!$B$8:$B$14,MATCH($C40,'Gear Budget'!$A$8:$A$14,0))*IF($C40="Shield",IF(D40="Warrior",1,IF(OR(D40="Rogue",D40="All"),0.38/0.6,0.25/0.6)),IFERROR(INDEX('Gear Budget'!$B$18:$B$21,MATCH($F40,'Gear Budget'!$A$18:$A$21,0)),1)))</f>
        <v/>
      </c>
      <c r="AB40" s="41">
        <f>IF(AA40="","",P40/AA40)</f>
        <v/>
      </c>
      <c r="AC40" s="21" t="n">
        <v>50</v>
      </c>
      <c r="AD40" s="21" t="n">
        <v>1750</v>
      </c>
      <c r="AE40" s="21" t="n">
        <v>300</v>
      </c>
      <c r="AF40" s="21" t="n">
        <v>375</v>
      </c>
      <c r="AG40" s="21" t="n">
        <v>0</v>
      </c>
      <c r="AH40" s="21" t="n">
        <v>5</v>
      </c>
      <c r="AI40" s="21" t="n">
        <v>0</v>
      </c>
      <c r="AJ40" s="21" t="n">
        <v>15</v>
      </c>
      <c r="AK40" s="21" t="n">
        <v>0</v>
      </c>
      <c r="AL40" s="21" t="inlineStr">
        <is>
          <t>(none)</t>
        </is>
      </c>
      <c r="AM40" s="61">
        <f>AD40*'Item Budget'!$B$5+AH40*'Item Budget'!$B$7+AF40*'Item Budget'!$B$11+AI40*'Item Budget'!$B$10+AG40*'Item Budget'!$B$9+IFERROR(INDEX('Item Budget'!$M$25:$M$95,MATCH(AL40,'Item Budget'!$B$25:$B$95,0)),0)+IF($C40="Weapon",AK40*'Item Budget'!$B$9,0)</f>
        <v/>
      </c>
      <c r="AN40" s="61">
        <f>AD40*'Item Budget'!$B$5+AH40*'Item Budget'!$B$7+AF40*'Item Budget'!$B$11+AI40*'Item Budget'!$B$10+AE40*'Item Budget'!$B$6+AJ40*'Item Budget'!$B$8+IFERROR(INDEX('Item Budget'!$N$25:$N$95,MATCH(AL40,'Item Budget'!$B$25:$B$95,0)),0)</f>
        <v/>
      </c>
      <c r="AO40" s="61">
        <f>MAX('Item Budget'!$F$16,INDEX('Gear Budget'!$C$8:$C$14,MATCH($C40,'Gear Budget'!$A$8:$A$14,0))*MIN(AC40,50))*$L40</f>
        <v/>
      </c>
      <c r="AP40" s="41">
        <f>IF($C40="Caster weapon",AN40,MAX(AM40,AN40))/AO40</f>
        <v/>
      </c>
      <c r="AQ40" s="61">
        <f>IF(OR($C40="Weapon",$C40="Caster weapon"),"",'Gear Budget'!$B$5*MAX(1,MIN(AC40,50))*INDEX('Gear Budget'!$B$8:$B$14,MATCH($C40,'Gear Budget'!$A$8:$A$14,0))*IF($C40="Shield",IF(E40="Warrior",1,IF(OR(E40="Rogue",E40="All"),0.38/0.6,0.25/0.6)),IFERROR(INDEX('Gear Budget'!$B$18:$B$21,MATCH($F40,'Gear Budget'!$A$18:$A$21,0)),1)))</f>
        <v/>
      </c>
      <c r="AR40" s="41">
        <f>IF(AQ40="","",AF40/AQ40)</f>
        <v/>
      </c>
      <c r="AS40" s="64" t="n"/>
      <c r="AT40" s="44">
        <f>IF(OR($E40="All",ISNUMBER(SEARCH("Warrior",$E40))),IF($C40="Caster weapon",(AN40+AF40*('Item Budget'!$AB$14-'Item Budget'!$B$11)),(AM40+AF40*('Item Budget'!$AB$14-'Item Budget'!$B$11))),0)</f>
        <v/>
      </c>
      <c r="AU40" s="44">
        <f>IF(OR($E40="All",ISNUMBER(SEARCH("Rogue",$E40))),IF($C40="Caster weapon",(AN40+AF40*('Item Budget'!$AB$15-'Item Budget'!$B$11)),(AM40+AF40*('Item Budget'!$AB$15-'Item Budget'!$B$11))),0)</f>
        <v/>
      </c>
      <c r="AV40" s="44">
        <f>IF(OR($E40="All",ISNUMBER(SEARCH("Magus",$E40))),(AN40+AF40*('Item Budget'!$AB$16-'Item Budget'!$B$11)),0)</f>
        <v/>
      </c>
      <c r="AW40" s="44">
        <f>IF(OR($E40="All",ISNUMBER(SEARCH("Priest",$E40))),(AN40+AF40*('Item Budget'!$AB$17-'Item Budget'!$B$11)),0)</f>
        <v/>
      </c>
      <c r="AX40" s="44">
        <f>IF(AND(OR($E40="All",ISNUMBER(SEARCH("Warrior",$E40))),AC40&gt;='Item Budget'!$R$10),'Item Budget'!$R$7*100*('Item Budget'!$R$14*(AD40+25*AH40)+'Item Budget'!$S$14*(AE40+25*AJ40))/'Item Budget'!$Z$14+'Item Budget'!$R$9*AF40+IFERROR(INDEX('Item Budget'!$O$25:$O$95,MATCH(AL40,'Item Budget'!$B$25:$B$95,0)),0),0)</f>
        <v/>
      </c>
      <c r="AY40" s="44">
        <f>IF(AND(OR($E40="All",ISNUMBER(SEARCH("Rogue",$E40))),AC40&gt;='Item Budget'!$R$10),'Item Budget'!$R$7*100*('Item Budget'!$R$15*(AD40+25*AH40)+'Item Budget'!$S$15*(AE40+25*AJ40))/'Item Budget'!$Z$15+'Item Budget'!$R$9*AF40+IFERROR(INDEX('Item Budget'!$O$25:$O$95,MATCH(AL40,'Item Budget'!$B$25:$B$95,0)),0),0)</f>
        <v/>
      </c>
      <c r="AZ40" s="44">
        <f>IF(AND(OR($E40="All",ISNUMBER(SEARCH("Magus",$E40))),AC40&gt;='Item Budget'!$R$10),'Item Budget'!$R$7*100*('Item Budget'!$R$16*(AD40+25*AH40)+'Item Budget'!$S$16*(AE40+25*AJ40))/'Item Budget'!$Z$16+'Item Budget'!$R$9*AF40+IFERROR(INDEX('Item Budget'!$O$25:$O$95,MATCH(AL40,'Item Budget'!$B$25:$B$95,0)),0),0)</f>
        <v/>
      </c>
      <c r="BA40" s="44">
        <f>IF(AND(OR($E40="All",ISNUMBER(SEARCH("Priest",$E40))),AC40&gt;='Item Budget'!$R$10),'Item Budget'!$R$7*100*('Item Budget'!$R$17*(AD40+25*AH40)+'Item Budget'!$S$17*(AE40+25*AJ40))/'Item Budget'!$Z$17+'Item Budget'!$R$9*AF40+IFERROR(INDEX('Item Budget'!$O$25:$O$95,MATCH(AL40,'Item Budget'!$B$25:$B$95,0)),0),0)</f>
        <v/>
      </c>
      <c r="BB40" s="52">
        <f>IF(OR($I40&lt;1,IF($I40&gt;=6,AX40,AT40)&lt;=0),"",IF(SUMPRODUCT(MAX(($C$5:$C$215=$C40)*($I$5:$I$215&gt;=1)*($I$5:$I$215&lt;$I40)*IF($I40&gt;=6,$AX$5:$AX$215,$AT$5:$AT$215)))&lt;=0,"",SUMPRODUCT(MAX(($C$5:$C$215=$C40)*($I$5:$I$215=$I40)*IF($I40&gt;=6,$AX$5:$AX$215,$AT$5:$AT$215)))/SUMPRODUCT(MAX(($C$5:$C$215=$C40)*($I$5:$I$215&gt;=1)*($I$5:$I$215&lt;$I40)*IF($I40&gt;=6,$AX$5:$AX$215,$AT$5:$AT$215)))-1))</f>
        <v/>
      </c>
      <c r="BC40" s="52">
        <f>IF(OR($I40&lt;1,IF($I40&gt;=6,AY40,AU40)&lt;=0),"",IF(SUMPRODUCT(MAX(($C$5:$C$215=$C40)*($I$5:$I$215&gt;=1)*($I$5:$I$215&lt;$I40)*IF($I40&gt;=6,$AY$5:$AY$215,$AU$5:$AU$215)))&lt;=0,"",SUMPRODUCT(MAX(($C$5:$C$215=$C40)*($I$5:$I$215=$I40)*IF($I40&gt;=6,$AY$5:$AY$215,$AU$5:$AU$215)))/SUMPRODUCT(MAX(($C$5:$C$215=$C40)*($I$5:$I$215&gt;=1)*($I$5:$I$215&lt;$I40)*IF($I40&gt;=6,$AY$5:$AY$215,$AU$5:$AU$215)))-1))</f>
        <v/>
      </c>
      <c r="BD40" s="52">
        <f>IF(OR($I40&lt;1,IF($I40&gt;=6,AZ40,AV40)&lt;=0),"",IF(SUMPRODUCT(MAX(($C$5:$C$215=$C40)*($I$5:$I$215&gt;=1)*($I$5:$I$215&lt;$I40)*IF($I40&gt;=6,$AZ$5:$AZ$215,$AV$5:$AV$215)))&lt;=0,"",SUMPRODUCT(MAX(($C$5:$C$215=$C40)*($I$5:$I$215=$I40)*IF($I40&gt;=6,$AZ$5:$AZ$215,$AV$5:$AV$215)))/SUMPRODUCT(MAX(($C$5:$C$215=$C40)*($I$5:$I$215&gt;=1)*($I$5:$I$215&lt;$I40)*IF($I40&gt;=6,$AZ$5:$AZ$215,$AV$5:$AV$215)))-1))</f>
        <v/>
      </c>
      <c r="BE40" s="52">
        <f>IF(OR($I40&lt;1,IF($I40&gt;=6,BA40,AW40)&lt;=0),"",IF(SUMPRODUCT(MAX(($C$5:$C$215=$C40)*($I$5:$I$215&gt;=1)*($I$5:$I$215&lt;$I40)*IF($I40&gt;=6,$BA$5:$BA$215,$AW$5:$AW$215)))&lt;=0,"",SUMPRODUCT(MAX(($C$5:$C$215=$C40)*($I$5:$I$215=$I40)*IF($I40&gt;=6,$BA$5:$BA$215,$AW$5:$AW$215)))/SUMPRODUCT(MAX(($C$5:$C$215=$C40)*($I$5:$I$215&gt;=1)*($I$5:$I$215&lt;$I40)*IF($I40&gt;=6,$BA$5:$BA$215,$AW$5:$AW$215)))-1))</f>
        <v/>
      </c>
      <c r="BF40" s="19">
        <f>IF(AND(BB40="",BC40="",BD40="",BE40=""),"",IF(IF(AND(ISNUMBER(BB40),BB40&lt;'Item Budget'!$R$11),"W ","")&amp;IF(AND(ISNUMBER(BC40),BC40&lt;'Item Budget'!$R$11),"R ","")&amp;IF(AND(ISNUMBER(BD40),BD40&lt;'Item Budget'!$R$11),"M ","")&amp;IF(AND(ISNUMBER(BE40),BE40&lt;'Item Budget'!$R$11),"P ","")="","OK","Not above lower step: "&amp;IF(AND(ISNUMBER(BB40),BB40&lt;'Item Budget'!$R$11),"W ","")&amp;IF(AND(ISNUMBER(BC40),BC40&lt;'Item Budget'!$R$11),"R ","")&amp;IF(AND(ISNUMBER(BD40),BD40&lt;'Item Budget'!$R$11),"M ","")&amp;IF(AND(ISNUMBER(BE40),BE40&lt;'Item Budget'!$R$11),"P ","")))</f>
        <v/>
      </c>
    </row>
    <row r="41">
      <c r="A41" s="21" t="n">
        <v>394</v>
      </c>
      <c r="B41" s="21" t="inlineStr">
        <is>
          <t>Doom Robe</t>
        </is>
      </c>
      <c r="C41" s="21" t="inlineStr">
        <is>
          <t>Chest</t>
        </is>
      </c>
      <c r="D41" s="21" t="inlineStr">
        <is>
          <t>All</t>
        </is>
      </c>
      <c r="E41" s="21" t="inlineStr">
        <is>
          <t>All</t>
        </is>
      </c>
      <c r="F41" s="21" t="inlineStr">
        <is>
          <t>All classes</t>
        </is>
      </c>
      <c r="G41" s="21" t="inlineStr">
        <is>
          <t>drop: Doom 8%</t>
        </is>
      </c>
      <c r="H41" s="37" t="n">
        <v>100000000</v>
      </c>
      <c r="I41" s="21" t="n">
        <v>7</v>
      </c>
      <c r="J41" s="3" t="inlineStr">
        <is>
          <t>Applied</t>
        </is>
      </c>
      <c r="K41" s="21" t="inlineStr">
        <is>
          <t>Rare boss drop</t>
        </is>
      </c>
      <c r="L41" s="31">
        <f>INDEX('Item Budget'!$F$5:$F$13,MATCH(K41,'Item Budget'!$E$5:$E$13,0))+IF(E41="All",0,'Item Budget'!$F$15)+LOOKUP(H41,'Item Budget'!$E$19:$E$23,'Item Budget'!$F$19:$F$23)</f>
        <v/>
      </c>
      <c r="M41" s="21" t="n">
        <v>50</v>
      </c>
      <c r="N41" s="21" t="n">
        <v>4000</v>
      </c>
      <c r="O41" s="21" t="n">
        <v>3000</v>
      </c>
      <c r="P41" s="21" t="n">
        <v>200</v>
      </c>
      <c r="Q41" s="21" t="n">
        <v>20</v>
      </c>
      <c r="R41" s="21" t="n">
        <v>20</v>
      </c>
      <c r="S41" s="21" t="n">
        <v>20</v>
      </c>
      <c r="T41" s="21" t="n">
        <v>20</v>
      </c>
      <c r="U41" s="21" t="n">
        <v>0</v>
      </c>
      <c r="V41" s="21" t="inlineStr">
        <is>
          <t>Mana Point Regeneration M</t>
        </is>
      </c>
      <c r="W41" s="61">
        <f>N41*'Item Budget'!$B$5+R41*'Item Budget'!$B$7+P41*'Item Budget'!$B$11+S41*'Item Budget'!$B$10+Q41*'Item Budget'!$B$9+IFERROR(INDEX('Item Budget'!$M$25:$M$95,MATCH(V41,'Item Budget'!$B$25:$B$95,0)),0)+IF($C41="Weapon",U41*'Item Budget'!$B$9,0)</f>
        <v/>
      </c>
      <c r="X41" s="61">
        <f>N41*'Item Budget'!$B$5+R41*'Item Budget'!$B$7+P41*'Item Budget'!$B$11+S41*'Item Budget'!$B$10+O41*'Item Budget'!$B$6+T41*'Item Budget'!$B$8+IFERROR(INDEX('Item Budget'!$N$25:$N$95,MATCH(V41,'Item Budget'!$B$25:$B$95,0)),0)</f>
        <v/>
      </c>
      <c r="Y41" s="61">
        <f>MAX('Item Budget'!$F$16,INDEX('Gear Budget'!$C$8:$C$14,MATCH($C41,'Gear Budget'!$A$8:$A$14,0))*MIN(M41,50))*$L41</f>
        <v/>
      </c>
      <c r="Z41" s="41">
        <f>IF($C41="Caster weapon",X41,MAX(W41,X41))/Y41</f>
        <v/>
      </c>
      <c r="AA41" s="61">
        <f>IF(OR($C41="Weapon",$C41="Caster weapon"),"",'Gear Budget'!$B$5*MAX(1,MIN(M41,50))*INDEX('Gear Budget'!$B$8:$B$14,MATCH($C41,'Gear Budget'!$A$8:$A$14,0))*IF($C41="Shield",IF(D41="Warrior",1,IF(OR(D41="Rogue",D41="All"),0.38/0.6,0.25/0.6)),IFERROR(INDEX('Gear Budget'!$B$18:$B$21,MATCH($F41,'Gear Budget'!$A$18:$A$21,0)),1)))</f>
        <v/>
      </c>
      <c r="AB41" s="41">
        <f>IF(AA41="","",P41/AA41)</f>
        <v/>
      </c>
      <c r="AC41" s="21" t="n">
        <v>50</v>
      </c>
      <c r="AD41" s="21" t="n">
        <v>4000</v>
      </c>
      <c r="AE41" s="21" t="n">
        <v>3000</v>
      </c>
      <c r="AF41" s="21" t="n">
        <v>200</v>
      </c>
      <c r="AG41" s="21" t="n">
        <v>20</v>
      </c>
      <c r="AH41" s="21" t="n">
        <v>20</v>
      </c>
      <c r="AI41" s="21" t="n">
        <v>20</v>
      </c>
      <c r="AJ41" s="21" t="n">
        <v>20</v>
      </c>
      <c r="AK41" s="21" t="n">
        <v>0</v>
      </c>
      <c r="AL41" s="21" t="inlineStr">
        <is>
          <t>Mana Point Regeneration M</t>
        </is>
      </c>
      <c r="AM41" s="61">
        <f>AD41*'Item Budget'!$B$5+AH41*'Item Budget'!$B$7+AF41*'Item Budget'!$B$11+AI41*'Item Budget'!$B$10+AG41*'Item Budget'!$B$9+IFERROR(INDEX('Item Budget'!$M$25:$M$95,MATCH(AL41,'Item Budget'!$B$25:$B$95,0)),0)+IF($C41="Weapon",AK41*'Item Budget'!$B$9,0)</f>
        <v/>
      </c>
      <c r="AN41" s="61">
        <f>AD41*'Item Budget'!$B$5+AH41*'Item Budget'!$B$7+AF41*'Item Budget'!$B$11+AI41*'Item Budget'!$B$10+AE41*'Item Budget'!$B$6+AJ41*'Item Budget'!$B$8+IFERROR(INDEX('Item Budget'!$N$25:$N$95,MATCH(AL41,'Item Budget'!$B$25:$B$95,0)),0)</f>
        <v/>
      </c>
      <c r="AO41" s="61">
        <f>MAX('Item Budget'!$F$16,INDEX('Gear Budget'!$C$8:$C$14,MATCH($C41,'Gear Budget'!$A$8:$A$14,0))*MIN(AC41,50))*$L41</f>
        <v/>
      </c>
      <c r="AP41" s="41">
        <f>IF($C41="Caster weapon",AN41,MAX(AM41,AN41))/AO41</f>
        <v/>
      </c>
      <c r="AQ41" s="61">
        <f>IF(OR($C41="Weapon",$C41="Caster weapon"),"",'Gear Budget'!$B$5*MAX(1,MIN(AC41,50))*INDEX('Gear Budget'!$B$8:$B$14,MATCH($C41,'Gear Budget'!$A$8:$A$14,0))*IF($C41="Shield",IF(E41="Warrior",1,IF(OR(E41="Rogue",E41="All"),0.38/0.6,0.25/0.6)),IFERROR(INDEX('Gear Budget'!$B$18:$B$21,MATCH($F41,'Gear Budget'!$A$18:$A$21,0)),1)))</f>
        <v/>
      </c>
      <c r="AR41" s="41">
        <f>IF(AQ41="","",AF41/AQ41)</f>
        <v/>
      </c>
      <c r="AS41" s="64" t="inlineStr">
        <is>
          <t>Pass 1 (applied): 100M: HP 3000 -&gt; 4000 so Warriors get more than from Ancient Armor (20M).</t>
        </is>
      </c>
      <c r="AT41" s="44">
        <f>IF(OR($E41="All",ISNUMBER(SEARCH("Warrior",$E41))),IF($C41="Caster weapon",(AN41+AF41*('Item Budget'!$AB$14-'Item Budget'!$B$11)),(AM41+AF41*('Item Budget'!$AB$14-'Item Budget'!$B$11))),0)</f>
        <v/>
      </c>
      <c r="AU41" s="44">
        <f>IF(OR($E41="All",ISNUMBER(SEARCH("Rogue",$E41))),IF($C41="Caster weapon",(AN41+AF41*('Item Budget'!$AB$15-'Item Budget'!$B$11)),(AM41+AF41*('Item Budget'!$AB$15-'Item Budget'!$B$11))),0)</f>
        <v/>
      </c>
      <c r="AV41" s="44">
        <f>IF(OR($E41="All",ISNUMBER(SEARCH("Magus",$E41))),(AN41+AF41*('Item Budget'!$AB$16-'Item Budget'!$B$11)),0)</f>
        <v/>
      </c>
      <c r="AW41" s="44">
        <f>IF(OR($E41="All",ISNUMBER(SEARCH("Priest",$E41))),(AN41+AF41*('Item Budget'!$AB$17-'Item Budget'!$B$11)),0)</f>
        <v/>
      </c>
      <c r="AX41" s="44">
        <f>IF(AND(OR($E41="All",ISNUMBER(SEARCH("Warrior",$E41))),AC41&gt;='Item Budget'!$R$10),'Item Budget'!$R$7*100*('Item Budget'!$R$14*(AD41+25*AH41)+'Item Budget'!$S$14*(AE41+25*AJ41))/'Item Budget'!$Z$14+'Item Budget'!$R$9*AF41+IFERROR(INDEX('Item Budget'!$O$25:$O$95,MATCH(AL41,'Item Budget'!$B$25:$B$95,0)),0),0)</f>
        <v/>
      </c>
      <c r="AY41" s="44">
        <f>IF(AND(OR($E41="All",ISNUMBER(SEARCH("Rogue",$E41))),AC41&gt;='Item Budget'!$R$10),'Item Budget'!$R$7*100*('Item Budget'!$R$15*(AD41+25*AH41)+'Item Budget'!$S$15*(AE41+25*AJ41))/'Item Budget'!$Z$15+'Item Budget'!$R$9*AF41+IFERROR(INDEX('Item Budget'!$O$25:$O$95,MATCH(AL41,'Item Budget'!$B$25:$B$95,0)),0),0)</f>
        <v/>
      </c>
      <c r="AZ41" s="44">
        <f>IF(AND(OR($E41="All",ISNUMBER(SEARCH("Magus",$E41))),AC41&gt;='Item Budget'!$R$10),'Item Budget'!$R$7*100*('Item Budget'!$R$16*(AD41+25*AH41)+'Item Budget'!$S$16*(AE41+25*AJ41))/'Item Budget'!$Z$16+'Item Budget'!$R$9*AF41+IFERROR(INDEX('Item Budget'!$O$25:$O$95,MATCH(AL41,'Item Budget'!$B$25:$B$95,0)),0),0)</f>
        <v/>
      </c>
      <c r="BA41" s="44">
        <f>IF(AND(OR($E41="All",ISNUMBER(SEARCH("Priest",$E41))),AC41&gt;='Item Budget'!$R$10),'Item Budget'!$R$7*100*('Item Budget'!$R$17*(AD41+25*AH41)+'Item Budget'!$S$17*(AE41+25*AJ41))/'Item Budget'!$Z$17+'Item Budget'!$R$9*AF41+IFERROR(INDEX('Item Budget'!$O$25:$O$95,MATCH(AL41,'Item Budget'!$B$25:$B$95,0)),0),0)</f>
        <v/>
      </c>
      <c r="BB41" s="52">
        <f>IF(OR($I41&lt;1,IF($I41&gt;=6,AX41,AT41)&lt;=0),"",IF(SUMPRODUCT(MAX(($C$5:$C$215=$C41)*($I$5:$I$215&gt;=1)*($I$5:$I$215&lt;$I41)*IF($I41&gt;=6,$AX$5:$AX$215,$AT$5:$AT$215)))&lt;=0,"",SUMPRODUCT(MAX(($C$5:$C$215=$C41)*($I$5:$I$215=$I41)*IF($I41&gt;=6,$AX$5:$AX$215,$AT$5:$AT$215)))/SUMPRODUCT(MAX(($C$5:$C$215=$C41)*($I$5:$I$215&gt;=1)*($I$5:$I$215&lt;$I41)*IF($I41&gt;=6,$AX$5:$AX$215,$AT$5:$AT$215)))-1))</f>
        <v/>
      </c>
      <c r="BC41" s="52">
        <f>IF(OR($I41&lt;1,IF($I41&gt;=6,AY41,AU41)&lt;=0),"",IF(SUMPRODUCT(MAX(($C$5:$C$215=$C41)*($I$5:$I$215&gt;=1)*($I$5:$I$215&lt;$I41)*IF($I41&gt;=6,$AY$5:$AY$215,$AU$5:$AU$215)))&lt;=0,"",SUMPRODUCT(MAX(($C$5:$C$215=$C41)*($I$5:$I$215=$I41)*IF($I41&gt;=6,$AY$5:$AY$215,$AU$5:$AU$215)))/SUMPRODUCT(MAX(($C$5:$C$215=$C41)*($I$5:$I$215&gt;=1)*($I$5:$I$215&lt;$I41)*IF($I41&gt;=6,$AY$5:$AY$215,$AU$5:$AU$215)))-1))</f>
        <v/>
      </c>
      <c r="BD41" s="52">
        <f>IF(OR($I41&lt;1,IF($I41&gt;=6,AZ41,AV41)&lt;=0),"",IF(SUMPRODUCT(MAX(($C$5:$C$215=$C41)*($I$5:$I$215&gt;=1)*($I$5:$I$215&lt;$I41)*IF($I41&gt;=6,$AZ$5:$AZ$215,$AV$5:$AV$215)))&lt;=0,"",SUMPRODUCT(MAX(($C$5:$C$215=$C41)*($I$5:$I$215=$I41)*IF($I41&gt;=6,$AZ$5:$AZ$215,$AV$5:$AV$215)))/SUMPRODUCT(MAX(($C$5:$C$215=$C41)*($I$5:$I$215&gt;=1)*($I$5:$I$215&lt;$I41)*IF($I41&gt;=6,$AZ$5:$AZ$215,$AV$5:$AV$215)))-1))</f>
        <v/>
      </c>
      <c r="BE41" s="52">
        <f>IF(OR($I41&lt;1,IF($I41&gt;=6,BA41,AW41)&lt;=0),"",IF(SUMPRODUCT(MAX(($C$5:$C$215=$C41)*($I$5:$I$215&gt;=1)*($I$5:$I$215&lt;$I41)*IF($I41&gt;=6,$BA$5:$BA$215,$AW$5:$AW$215)))&lt;=0,"",SUMPRODUCT(MAX(($C$5:$C$215=$C41)*($I$5:$I$215=$I41)*IF($I41&gt;=6,$BA$5:$BA$215,$AW$5:$AW$215)))/SUMPRODUCT(MAX(($C$5:$C$215=$C41)*($I$5:$I$215&gt;=1)*($I$5:$I$215&lt;$I41)*IF($I41&gt;=6,$BA$5:$BA$215,$AW$5:$AW$215)))-1))</f>
        <v/>
      </c>
      <c r="BF41" s="19">
        <f>IF(AND(BB41="",BC41="",BD41="",BE41=""),"",IF(IF(AND(ISNUMBER(BB41),BB41&lt;'Item Budget'!$R$11),"W ","")&amp;IF(AND(ISNUMBER(BC41),BC41&lt;'Item Budget'!$R$11),"R ","")&amp;IF(AND(ISNUMBER(BD41),BD41&lt;'Item Budget'!$R$11),"M ","")&amp;IF(AND(ISNUMBER(BE41),BE41&lt;'Item Budget'!$R$11),"P ","")="","OK","Not above lower step: "&amp;IF(AND(ISNUMBER(BB41),BB41&lt;'Item Budget'!$R$11),"W ","")&amp;IF(AND(ISNUMBER(BC41),BC41&lt;'Item Budget'!$R$11),"R ","")&amp;IF(AND(ISNUMBER(BD41),BD41&lt;'Item Budget'!$R$11),"M ","")&amp;IF(AND(ISNUMBER(BE41),BE41&lt;'Item Budget'!$R$11),"P ","")))</f>
        <v/>
      </c>
    </row>
    <row r="42">
      <c r="A42" s="21" t="n">
        <v>426</v>
      </c>
      <c r="B42" s="21" t="inlineStr">
        <is>
          <t>Gero Robes</t>
        </is>
      </c>
      <c r="C42" s="21" t="inlineStr">
        <is>
          <t>Chest</t>
        </is>
      </c>
      <c r="D42" s="21" t="inlineStr">
        <is>
          <t>Magus/Priest</t>
        </is>
      </c>
      <c r="E42" s="21" t="inlineStr">
        <is>
          <t>Magus/Priest</t>
        </is>
      </c>
      <c r="F42" s="21" t="inlineStr">
        <is>
          <t>Caster cloth</t>
        </is>
      </c>
      <c r="G42" s="21" t="inlineStr">
        <is>
          <t>drop: The Patriarch 12%</t>
        </is>
      </c>
      <c r="H42" s="37" t="n">
        <v>200000000</v>
      </c>
      <c r="I42" s="21" t="n">
        <v>8</v>
      </c>
      <c r="J42" s="19" t="inlineStr">
        <is>
          <t>Pass 2</t>
        </is>
      </c>
      <c r="K42" s="21" t="inlineStr">
        <is>
          <t>Rare boss drop</t>
        </is>
      </c>
      <c r="L42" s="31">
        <f>INDEX('Item Budget'!$F$5:$F$13,MATCH(K42,'Item Budget'!$E$5:$E$13,0))+IF(E42="All",0,'Item Budget'!$F$15)+LOOKUP(H42,'Item Budget'!$E$19:$E$23,'Item Budget'!$F$19:$F$23)</f>
        <v/>
      </c>
      <c r="M42" s="21" t="n">
        <v>50</v>
      </c>
      <c r="N42" s="21" t="n">
        <v>1000</v>
      </c>
      <c r="O42" s="21" t="n">
        <v>3000</v>
      </c>
      <c r="P42" s="21" t="n">
        <v>50</v>
      </c>
      <c r="Q42" s="21" t="n">
        <v>0</v>
      </c>
      <c r="R42" s="21" t="n">
        <v>0</v>
      </c>
      <c r="S42" s="21" t="n">
        <v>0</v>
      </c>
      <c r="T42" s="21" t="n">
        <v>0</v>
      </c>
      <c r="U42" s="21" t="n">
        <v>0</v>
      </c>
      <c r="V42" s="21" t="inlineStr">
        <is>
          <t>Increased Spell Damage X</t>
        </is>
      </c>
      <c r="W42" s="61">
        <f>N42*'Item Budget'!$B$5+R42*'Item Budget'!$B$7+P42*'Item Budget'!$B$11+S42*'Item Budget'!$B$10+Q42*'Item Budget'!$B$9+IFERROR(INDEX('Item Budget'!$M$25:$M$95,MATCH(V42,'Item Budget'!$B$25:$B$95,0)),0)+IF($C42="Weapon",U42*'Item Budget'!$B$9,0)</f>
        <v/>
      </c>
      <c r="X42" s="61">
        <f>N42*'Item Budget'!$B$5+R42*'Item Budget'!$B$7+P42*'Item Budget'!$B$11+S42*'Item Budget'!$B$10+O42*'Item Budget'!$B$6+T42*'Item Budget'!$B$8+IFERROR(INDEX('Item Budget'!$N$25:$N$95,MATCH(V42,'Item Budget'!$B$25:$B$95,0)),0)</f>
        <v/>
      </c>
      <c r="Y42" s="61">
        <f>MAX('Item Budget'!$F$16,INDEX('Gear Budget'!$C$8:$C$14,MATCH($C42,'Gear Budget'!$A$8:$A$14,0))*MIN(M42,50))*$L42</f>
        <v/>
      </c>
      <c r="Z42" s="41">
        <f>IF($C42="Caster weapon",X42,MAX(W42,X42))/Y42</f>
        <v/>
      </c>
      <c r="AA42" s="61">
        <f>IF(OR($C42="Weapon",$C42="Caster weapon"),"",'Gear Budget'!$B$5*MAX(1,MIN(M42,50))*INDEX('Gear Budget'!$B$8:$B$14,MATCH($C42,'Gear Budget'!$A$8:$A$14,0))*IF($C42="Shield",IF(D42="Warrior",1,IF(OR(D42="Rogue",D42="All"),0.38/0.6,0.25/0.6)),IFERROR(INDEX('Gear Budget'!$B$18:$B$21,MATCH($F42,'Gear Budget'!$A$18:$A$21,0)),1)))</f>
        <v/>
      </c>
      <c r="AB42" s="41">
        <f>IF(AA42="","",P42/AA42)</f>
        <v/>
      </c>
      <c r="AC42" s="21" t="n">
        <v>50</v>
      </c>
      <c r="AD42" s="20" t="n">
        <v>2175</v>
      </c>
      <c r="AE42" s="20" t="n">
        <v>6500</v>
      </c>
      <c r="AF42" s="21" t="n">
        <v>50</v>
      </c>
      <c r="AG42" s="21" t="n">
        <v>0</v>
      </c>
      <c r="AH42" s="21" t="n">
        <v>0</v>
      </c>
      <c r="AI42" s="21" t="n">
        <v>0</v>
      </c>
      <c r="AJ42" s="21" t="n">
        <v>0</v>
      </c>
      <c r="AK42" s="21" t="n">
        <v>0</v>
      </c>
      <c r="AL42" s="21" t="inlineStr">
        <is>
          <t>Increased Spell Damage X</t>
        </is>
      </c>
      <c r="AM42" s="61">
        <f>AD42*'Item Budget'!$B$5+AH42*'Item Budget'!$B$7+AF42*'Item Budget'!$B$11+AI42*'Item Budget'!$B$10+AG42*'Item Budget'!$B$9+IFERROR(INDEX('Item Budget'!$M$25:$M$95,MATCH(AL42,'Item Budget'!$B$25:$B$95,0)),0)+IF($C42="Weapon",AK42*'Item Budget'!$B$9,0)</f>
        <v/>
      </c>
      <c r="AN42" s="61">
        <f>AD42*'Item Budget'!$B$5+AH42*'Item Budget'!$B$7+AF42*'Item Budget'!$B$11+AI42*'Item Budget'!$B$10+AE42*'Item Budget'!$B$6+AJ42*'Item Budget'!$B$8+IFERROR(INDEX('Item Budget'!$N$25:$N$95,MATCH(AL42,'Item Budget'!$B$25:$B$95,0)),0)</f>
        <v/>
      </c>
      <c r="AO42" s="61">
        <f>MAX('Item Budget'!$F$16,INDEX('Gear Budget'!$C$8:$C$14,MATCH($C42,'Gear Budget'!$A$8:$A$14,0))*MIN(AC42,50))*$L42</f>
        <v/>
      </c>
      <c r="AP42" s="41">
        <f>IF($C42="Caster weapon",AN42,MAX(AM42,AN42))/AO42</f>
        <v/>
      </c>
      <c r="AQ42" s="61">
        <f>IF(OR($C42="Weapon",$C42="Caster weapon"),"",'Gear Budget'!$B$5*MAX(1,MIN(AC42,50))*INDEX('Gear Budget'!$B$8:$B$14,MATCH($C42,'Gear Budget'!$A$8:$A$14,0))*IF($C42="Shield",IF(E42="Warrior",1,IF(OR(E42="Rogue",E42="All"),0.38/0.6,0.25/0.6)),IFERROR(INDEX('Gear Budget'!$B$18:$B$21,MATCH($F42,'Gear Budget'!$A$18:$A$21,0)),1)))</f>
        <v/>
      </c>
      <c r="AR42" s="41">
        <f>IF(AQ42="","",AF42/AQ42)</f>
        <v/>
      </c>
      <c r="AS42" s="64" t="inlineStr">
        <is>
          <t>Raised so it is 10% over Doom Robe for Magus (pass 2 class weights)</t>
        </is>
      </c>
      <c r="AT42" s="44">
        <f>IF(OR($E42="All",ISNUMBER(SEARCH("Warrior",$E42))),IF($C42="Caster weapon",(AN42+AF42*('Item Budget'!$AB$14-'Item Budget'!$B$11)),(AM42+AF42*('Item Budget'!$AB$14-'Item Budget'!$B$11))),0)</f>
        <v/>
      </c>
      <c r="AU42" s="44">
        <f>IF(OR($E42="All",ISNUMBER(SEARCH("Rogue",$E42))),IF($C42="Caster weapon",(AN42+AF42*('Item Budget'!$AB$15-'Item Budget'!$B$11)),(AM42+AF42*('Item Budget'!$AB$15-'Item Budget'!$B$11))),0)</f>
        <v/>
      </c>
      <c r="AV42" s="44">
        <f>IF(OR($E42="All",ISNUMBER(SEARCH("Magus",$E42))),(AN42+AF42*('Item Budget'!$AB$16-'Item Budget'!$B$11)),0)</f>
        <v/>
      </c>
      <c r="AW42" s="44">
        <f>IF(OR($E42="All",ISNUMBER(SEARCH("Priest",$E42))),(AN42+AF42*('Item Budget'!$AB$17-'Item Budget'!$B$11)),0)</f>
        <v/>
      </c>
      <c r="AX42" s="44">
        <f>IF(AND(OR($E42="All",ISNUMBER(SEARCH("Warrior",$E42))),AC42&gt;='Item Budget'!$R$10),'Item Budget'!$R$7*100*('Item Budget'!$R$14*(AD42+25*AH42)+'Item Budget'!$S$14*(AE42+25*AJ42))/'Item Budget'!$Z$14+'Item Budget'!$R$9*AF42+IFERROR(INDEX('Item Budget'!$O$25:$O$95,MATCH(AL42,'Item Budget'!$B$25:$B$95,0)),0),0)</f>
        <v/>
      </c>
      <c r="AY42" s="44">
        <f>IF(AND(OR($E42="All",ISNUMBER(SEARCH("Rogue",$E42))),AC42&gt;='Item Budget'!$R$10),'Item Budget'!$R$7*100*('Item Budget'!$R$15*(AD42+25*AH42)+'Item Budget'!$S$15*(AE42+25*AJ42))/'Item Budget'!$Z$15+'Item Budget'!$R$9*AF42+IFERROR(INDEX('Item Budget'!$O$25:$O$95,MATCH(AL42,'Item Budget'!$B$25:$B$95,0)),0),0)</f>
        <v/>
      </c>
      <c r="AZ42" s="44">
        <f>IF(AND(OR($E42="All",ISNUMBER(SEARCH("Magus",$E42))),AC42&gt;='Item Budget'!$R$10),'Item Budget'!$R$7*100*('Item Budget'!$R$16*(AD42+25*AH42)+'Item Budget'!$S$16*(AE42+25*AJ42))/'Item Budget'!$Z$16+'Item Budget'!$R$9*AF42+IFERROR(INDEX('Item Budget'!$O$25:$O$95,MATCH(AL42,'Item Budget'!$B$25:$B$95,0)),0),0)</f>
        <v/>
      </c>
      <c r="BA42" s="44">
        <f>IF(AND(OR($E42="All",ISNUMBER(SEARCH("Priest",$E42))),AC42&gt;='Item Budget'!$R$10),'Item Budget'!$R$7*100*('Item Budget'!$R$17*(AD42+25*AH42)+'Item Budget'!$S$17*(AE42+25*AJ42))/'Item Budget'!$Z$17+'Item Budget'!$R$9*AF42+IFERROR(INDEX('Item Budget'!$O$25:$O$95,MATCH(AL42,'Item Budget'!$B$25:$B$95,0)),0),0)</f>
        <v/>
      </c>
      <c r="BB42" s="52">
        <f>IF(OR($I42&lt;1,IF($I42&gt;=6,AX42,AT42)&lt;=0),"",IF(SUMPRODUCT(MAX(($C$5:$C$215=$C42)*($I$5:$I$215&gt;=1)*($I$5:$I$215&lt;$I42)*IF($I42&gt;=6,$AX$5:$AX$215,$AT$5:$AT$215)))&lt;=0,"",SUMPRODUCT(MAX(($C$5:$C$215=$C42)*($I$5:$I$215=$I42)*IF($I42&gt;=6,$AX$5:$AX$215,$AT$5:$AT$215)))/SUMPRODUCT(MAX(($C$5:$C$215=$C42)*($I$5:$I$215&gt;=1)*($I$5:$I$215&lt;$I42)*IF($I42&gt;=6,$AX$5:$AX$215,$AT$5:$AT$215)))-1))</f>
        <v/>
      </c>
      <c r="BC42" s="52">
        <f>IF(OR($I42&lt;1,IF($I42&gt;=6,AY42,AU42)&lt;=0),"",IF(SUMPRODUCT(MAX(($C$5:$C$215=$C42)*($I$5:$I$215&gt;=1)*($I$5:$I$215&lt;$I42)*IF($I42&gt;=6,$AY$5:$AY$215,$AU$5:$AU$215)))&lt;=0,"",SUMPRODUCT(MAX(($C$5:$C$215=$C42)*($I$5:$I$215=$I42)*IF($I42&gt;=6,$AY$5:$AY$215,$AU$5:$AU$215)))/SUMPRODUCT(MAX(($C$5:$C$215=$C42)*($I$5:$I$215&gt;=1)*($I$5:$I$215&lt;$I42)*IF($I42&gt;=6,$AY$5:$AY$215,$AU$5:$AU$215)))-1))</f>
        <v/>
      </c>
      <c r="BD42" s="52">
        <f>IF(OR($I42&lt;1,IF($I42&gt;=6,AZ42,AV42)&lt;=0),"",IF(SUMPRODUCT(MAX(($C$5:$C$215=$C42)*($I$5:$I$215&gt;=1)*($I$5:$I$215&lt;$I42)*IF($I42&gt;=6,$AZ$5:$AZ$215,$AV$5:$AV$215)))&lt;=0,"",SUMPRODUCT(MAX(($C$5:$C$215=$C42)*($I$5:$I$215=$I42)*IF($I42&gt;=6,$AZ$5:$AZ$215,$AV$5:$AV$215)))/SUMPRODUCT(MAX(($C$5:$C$215=$C42)*($I$5:$I$215&gt;=1)*($I$5:$I$215&lt;$I42)*IF($I42&gt;=6,$AZ$5:$AZ$215,$AV$5:$AV$215)))-1))</f>
        <v/>
      </c>
      <c r="BE42" s="52">
        <f>IF(OR($I42&lt;1,IF($I42&gt;=6,BA42,AW42)&lt;=0),"",IF(SUMPRODUCT(MAX(($C$5:$C$215=$C42)*($I$5:$I$215&gt;=1)*($I$5:$I$215&lt;$I42)*IF($I42&gt;=6,$BA$5:$BA$215,$AW$5:$AW$215)))&lt;=0,"",SUMPRODUCT(MAX(($C$5:$C$215=$C42)*($I$5:$I$215=$I42)*IF($I42&gt;=6,$BA$5:$BA$215,$AW$5:$AW$215)))/SUMPRODUCT(MAX(($C$5:$C$215=$C42)*($I$5:$I$215&gt;=1)*($I$5:$I$215&lt;$I42)*IF($I42&gt;=6,$BA$5:$BA$215,$AW$5:$AW$215)))-1))</f>
        <v/>
      </c>
      <c r="BF42" s="19">
        <f>IF(AND(BB42="",BC42="",BD42="",BE42=""),"",IF(IF(AND(ISNUMBER(BB42),BB42&lt;'Item Budget'!$R$11),"W ","")&amp;IF(AND(ISNUMBER(BC42),BC42&lt;'Item Budget'!$R$11),"R ","")&amp;IF(AND(ISNUMBER(BD42),BD42&lt;'Item Budget'!$R$11),"M ","")&amp;IF(AND(ISNUMBER(BE42),BE42&lt;'Item Budget'!$R$11),"P ","")="","OK","Not above lower step: "&amp;IF(AND(ISNUMBER(BB42),BB42&lt;'Item Budget'!$R$11),"W ","")&amp;IF(AND(ISNUMBER(BC42),BC42&lt;'Item Budget'!$R$11),"R ","")&amp;IF(AND(ISNUMBER(BD42),BD42&lt;'Item Budget'!$R$11),"M ","")&amp;IF(AND(ISNUMBER(BE42),BE42&lt;'Item Budget'!$R$11),"P ","")))</f>
        <v/>
      </c>
    </row>
    <row r="43">
      <c r="A43" s="21" t="n">
        <v>427</v>
      </c>
      <c r="B43" s="21" t="inlineStr">
        <is>
          <t>Mama Chestplate</t>
        </is>
      </c>
      <c r="C43" s="21" t="inlineStr">
        <is>
          <t>Chest</t>
        </is>
      </c>
      <c r="D43" s="21" t="inlineStr">
        <is>
          <t>Rogue/Warrior</t>
        </is>
      </c>
      <c r="E43" s="21" t="inlineStr">
        <is>
          <t>Rogue/Warrior</t>
        </is>
      </c>
      <c r="F43" s="21" t="inlineStr">
        <is>
          <t>Warrior plate</t>
        </is>
      </c>
      <c r="G43" s="21" t="inlineStr">
        <is>
          <t>drop: Mama Bear 12%</t>
        </is>
      </c>
      <c r="H43" s="37" t="n">
        <v>200000000</v>
      </c>
      <c r="I43" s="21" t="n">
        <v>8</v>
      </c>
      <c r="J43" s="19" t="inlineStr">
        <is>
          <t>Leave</t>
        </is>
      </c>
      <c r="K43" s="21" t="inlineStr">
        <is>
          <t>Rare boss drop</t>
        </is>
      </c>
      <c r="L43" s="31">
        <f>INDEX('Item Budget'!$F$5:$F$13,MATCH(K43,'Item Budget'!$E$5:$E$13,0))+IF(E43="All",0,'Item Budget'!$F$15)+LOOKUP(H43,'Item Budget'!$E$19:$E$23,'Item Budget'!$F$19:$F$23)</f>
        <v/>
      </c>
      <c r="M43" s="21" t="n">
        <v>50</v>
      </c>
      <c r="N43" s="21" t="n">
        <v>2000</v>
      </c>
      <c r="O43" s="21" t="n">
        <v>1000</v>
      </c>
      <c r="P43" s="21" t="n">
        <v>400</v>
      </c>
      <c r="Q43" s="21" t="n">
        <v>0</v>
      </c>
      <c r="R43" s="21" t="n">
        <v>0</v>
      </c>
      <c r="S43" s="21" t="n">
        <v>0</v>
      </c>
      <c r="T43" s="21" t="n">
        <v>0</v>
      </c>
      <c r="U43" s="21" t="n">
        <v>0</v>
      </c>
      <c r="V43" s="21" t="inlineStr">
        <is>
          <t>Damage Reduction X</t>
        </is>
      </c>
      <c r="W43" s="61">
        <f>N43*'Item Budget'!$B$5+R43*'Item Budget'!$B$7+P43*'Item Budget'!$B$11+S43*'Item Budget'!$B$10+Q43*'Item Budget'!$B$9+IFERROR(INDEX('Item Budget'!$M$25:$M$95,MATCH(V43,'Item Budget'!$B$25:$B$95,0)),0)+IF($C43="Weapon",U43*'Item Budget'!$B$9,0)</f>
        <v/>
      </c>
      <c r="X43" s="61">
        <f>N43*'Item Budget'!$B$5+R43*'Item Budget'!$B$7+P43*'Item Budget'!$B$11+S43*'Item Budget'!$B$10+O43*'Item Budget'!$B$6+T43*'Item Budget'!$B$8+IFERROR(INDEX('Item Budget'!$N$25:$N$95,MATCH(V43,'Item Budget'!$B$25:$B$95,0)),0)</f>
        <v/>
      </c>
      <c r="Y43" s="61">
        <f>MAX('Item Budget'!$F$16,INDEX('Gear Budget'!$C$8:$C$14,MATCH($C43,'Gear Budget'!$A$8:$A$14,0))*MIN(M43,50))*$L43</f>
        <v/>
      </c>
      <c r="Z43" s="41">
        <f>IF($C43="Caster weapon",X43,MAX(W43,X43))/Y43</f>
        <v/>
      </c>
      <c r="AA43" s="61">
        <f>IF(OR($C43="Weapon",$C43="Caster weapon"),"",'Gear Budget'!$B$5*MAX(1,MIN(M43,50))*INDEX('Gear Budget'!$B$8:$B$14,MATCH($C43,'Gear Budget'!$A$8:$A$14,0))*IF($C43="Shield",IF(D43="Warrior",1,IF(OR(D43="Rogue",D43="All"),0.38/0.6,0.25/0.6)),IFERROR(INDEX('Gear Budget'!$B$18:$B$21,MATCH($F43,'Gear Budget'!$A$18:$A$21,0)),1)))</f>
        <v/>
      </c>
      <c r="AB43" s="41">
        <f>IF(AA43="","",P43/AA43)</f>
        <v/>
      </c>
      <c r="AC43" s="21" t="n">
        <v>50</v>
      </c>
      <c r="AD43" s="21" t="n">
        <v>2000</v>
      </c>
      <c r="AE43" s="21" t="n">
        <v>1000</v>
      </c>
      <c r="AF43" s="21" t="n">
        <v>400</v>
      </c>
      <c r="AG43" s="21" t="n">
        <v>0</v>
      </c>
      <c r="AH43" s="21" t="n">
        <v>0</v>
      </c>
      <c r="AI43" s="21" t="n">
        <v>0</v>
      </c>
      <c r="AJ43" s="21" t="n">
        <v>0</v>
      </c>
      <c r="AK43" s="21" t="n">
        <v>0</v>
      </c>
      <c r="AL43" s="21" t="inlineStr">
        <is>
          <t>Damage Reduction X</t>
        </is>
      </c>
      <c r="AM43" s="61">
        <f>AD43*'Item Budget'!$B$5+AH43*'Item Budget'!$B$7+AF43*'Item Budget'!$B$11+AI43*'Item Budget'!$B$10+AG43*'Item Budget'!$B$9+IFERROR(INDEX('Item Budget'!$M$25:$M$95,MATCH(AL43,'Item Budget'!$B$25:$B$95,0)),0)+IF($C43="Weapon",AK43*'Item Budget'!$B$9,0)</f>
        <v/>
      </c>
      <c r="AN43" s="61">
        <f>AD43*'Item Budget'!$B$5+AH43*'Item Budget'!$B$7+AF43*'Item Budget'!$B$11+AI43*'Item Budget'!$B$10+AE43*'Item Budget'!$B$6+AJ43*'Item Budget'!$B$8+IFERROR(INDEX('Item Budget'!$N$25:$N$95,MATCH(AL43,'Item Budget'!$B$25:$B$95,0)),0)</f>
        <v/>
      </c>
      <c r="AO43" s="61">
        <f>MAX('Item Budget'!$F$16,INDEX('Gear Budget'!$C$8:$C$14,MATCH($C43,'Gear Budget'!$A$8:$A$14,0))*MIN(AC43,50))*$L43</f>
        <v/>
      </c>
      <c r="AP43" s="41">
        <f>IF($C43="Caster weapon",AN43,MAX(AM43,AN43))/AO43</f>
        <v/>
      </c>
      <c r="AQ43" s="61">
        <f>IF(OR($C43="Weapon",$C43="Caster weapon"),"",'Gear Budget'!$B$5*MAX(1,MIN(AC43,50))*INDEX('Gear Budget'!$B$8:$B$14,MATCH($C43,'Gear Budget'!$A$8:$A$14,0))*IF($C43="Shield",IF(E43="Warrior",1,IF(OR(E43="Rogue",E43="All"),0.38/0.6,0.25/0.6)),IFERROR(INDEX('Gear Budget'!$B$18:$B$21,MATCH($F43,'Gear Budget'!$A$18:$A$21,0)),1)))</f>
        <v/>
      </c>
      <c r="AR43" s="41">
        <f>IF(AQ43="","",AF43/AQ43)</f>
        <v/>
      </c>
      <c r="AS43" s="64" t="n"/>
      <c r="AT43" s="44">
        <f>IF(OR($E43="All",ISNUMBER(SEARCH("Warrior",$E43))),IF($C43="Caster weapon",(AN43+AF43*('Item Budget'!$AB$14-'Item Budget'!$B$11)),(AM43+AF43*('Item Budget'!$AB$14-'Item Budget'!$B$11))),0)</f>
        <v/>
      </c>
      <c r="AU43" s="44">
        <f>IF(OR($E43="All",ISNUMBER(SEARCH("Rogue",$E43))),IF($C43="Caster weapon",(AN43+AF43*('Item Budget'!$AB$15-'Item Budget'!$B$11)),(AM43+AF43*('Item Budget'!$AB$15-'Item Budget'!$B$11))),0)</f>
        <v/>
      </c>
      <c r="AV43" s="44">
        <f>IF(OR($E43="All",ISNUMBER(SEARCH("Magus",$E43))),(AN43+AF43*('Item Budget'!$AB$16-'Item Budget'!$B$11)),0)</f>
        <v/>
      </c>
      <c r="AW43" s="44">
        <f>IF(OR($E43="All",ISNUMBER(SEARCH("Priest",$E43))),(AN43+AF43*('Item Budget'!$AB$17-'Item Budget'!$B$11)),0)</f>
        <v/>
      </c>
      <c r="AX43" s="44">
        <f>IF(AND(OR($E43="All",ISNUMBER(SEARCH("Warrior",$E43))),AC43&gt;='Item Budget'!$R$10),'Item Budget'!$R$7*100*('Item Budget'!$R$14*(AD43+25*AH43)+'Item Budget'!$S$14*(AE43+25*AJ43))/'Item Budget'!$Z$14+'Item Budget'!$R$9*AF43+IFERROR(INDEX('Item Budget'!$O$25:$O$95,MATCH(AL43,'Item Budget'!$B$25:$B$95,0)),0),0)</f>
        <v/>
      </c>
      <c r="AY43" s="44">
        <f>IF(AND(OR($E43="All",ISNUMBER(SEARCH("Rogue",$E43))),AC43&gt;='Item Budget'!$R$10),'Item Budget'!$R$7*100*('Item Budget'!$R$15*(AD43+25*AH43)+'Item Budget'!$S$15*(AE43+25*AJ43))/'Item Budget'!$Z$15+'Item Budget'!$R$9*AF43+IFERROR(INDEX('Item Budget'!$O$25:$O$95,MATCH(AL43,'Item Budget'!$B$25:$B$95,0)),0),0)</f>
        <v/>
      </c>
      <c r="AZ43" s="44">
        <f>IF(AND(OR($E43="All",ISNUMBER(SEARCH("Magus",$E43))),AC43&gt;='Item Budget'!$R$10),'Item Budget'!$R$7*100*('Item Budget'!$R$16*(AD43+25*AH43)+'Item Budget'!$S$16*(AE43+25*AJ43))/'Item Budget'!$Z$16+'Item Budget'!$R$9*AF43+IFERROR(INDEX('Item Budget'!$O$25:$O$95,MATCH(AL43,'Item Budget'!$B$25:$B$95,0)),0),0)</f>
        <v/>
      </c>
      <c r="BA43" s="44">
        <f>IF(AND(OR($E43="All",ISNUMBER(SEARCH("Priest",$E43))),AC43&gt;='Item Budget'!$R$10),'Item Budget'!$R$7*100*('Item Budget'!$R$17*(AD43+25*AH43)+'Item Budget'!$S$17*(AE43+25*AJ43))/'Item Budget'!$Z$17+'Item Budget'!$R$9*AF43+IFERROR(INDEX('Item Budget'!$O$25:$O$95,MATCH(AL43,'Item Budget'!$B$25:$B$95,0)),0),0)</f>
        <v/>
      </c>
      <c r="BB43" s="52">
        <f>IF(OR($I43&lt;1,IF($I43&gt;=6,AX43,AT43)&lt;=0),"",IF(SUMPRODUCT(MAX(($C$5:$C$215=$C43)*($I$5:$I$215&gt;=1)*($I$5:$I$215&lt;$I43)*IF($I43&gt;=6,$AX$5:$AX$215,$AT$5:$AT$215)))&lt;=0,"",SUMPRODUCT(MAX(($C$5:$C$215=$C43)*($I$5:$I$215=$I43)*IF($I43&gt;=6,$AX$5:$AX$215,$AT$5:$AT$215)))/SUMPRODUCT(MAX(($C$5:$C$215=$C43)*($I$5:$I$215&gt;=1)*($I$5:$I$215&lt;$I43)*IF($I43&gt;=6,$AX$5:$AX$215,$AT$5:$AT$215)))-1))</f>
        <v/>
      </c>
      <c r="BC43" s="52">
        <f>IF(OR($I43&lt;1,IF($I43&gt;=6,AY43,AU43)&lt;=0),"",IF(SUMPRODUCT(MAX(($C$5:$C$215=$C43)*($I$5:$I$215&gt;=1)*($I$5:$I$215&lt;$I43)*IF($I43&gt;=6,$AY$5:$AY$215,$AU$5:$AU$215)))&lt;=0,"",SUMPRODUCT(MAX(($C$5:$C$215=$C43)*($I$5:$I$215=$I43)*IF($I43&gt;=6,$AY$5:$AY$215,$AU$5:$AU$215)))/SUMPRODUCT(MAX(($C$5:$C$215=$C43)*($I$5:$I$215&gt;=1)*($I$5:$I$215&lt;$I43)*IF($I43&gt;=6,$AY$5:$AY$215,$AU$5:$AU$215)))-1))</f>
        <v/>
      </c>
      <c r="BD43" s="52">
        <f>IF(OR($I43&lt;1,IF($I43&gt;=6,AZ43,AV43)&lt;=0),"",IF(SUMPRODUCT(MAX(($C$5:$C$215=$C43)*($I$5:$I$215&gt;=1)*($I$5:$I$215&lt;$I43)*IF($I43&gt;=6,$AZ$5:$AZ$215,$AV$5:$AV$215)))&lt;=0,"",SUMPRODUCT(MAX(($C$5:$C$215=$C43)*($I$5:$I$215=$I43)*IF($I43&gt;=6,$AZ$5:$AZ$215,$AV$5:$AV$215)))/SUMPRODUCT(MAX(($C$5:$C$215=$C43)*($I$5:$I$215&gt;=1)*($I$5:$I$215&lt;$I43)*IF($I43&gt;=6,$AZ$5:$AZ$215,$AV$5:$AV$215)))-1))</f>
        <v/>
      </c>
      <c r="BE43" s="52">
        <f>IF(OR($I43&lt;1,IF($I43&gt;=6,BA43,AW43)&lt;=0),"",IF(SUMPRODUCT(MAX(($C$5:$C$215=$C43)*($I$5:$I$215&gt;=1)*($I$5:$I$215&lt;$I43)*IF($I43&gt;=6,$BA$5:$BA$215,$AW$5:$AW$215)))&lt;=0,"",SUMPRODUCT(MAX(($C$5:$C$215=$C43)*($I$5:$I$215=$I43)*IF($I43&gt;=6,$BA$5:$BA$215,$AW$5:$AW$215)))/SUMPRODUCT(MAX(($C$5:$C$215=$C43)*($I$5:$I$215&gt;=1)*($I$5:$I$215&lt;$I43)*IF($I43&gt;=6,$BA$5:$BA$215,$AW$5:$AW$215)))-1))</f>
        <v/>
      </c>
      <c r="BF43" s="19">
        <f>IF(AND(BB43="",BC43="",BD43="",BE43=""),"",IF(IF(AND(ISNUMBER(BB43),BB43&lt;'Item Budget'!$R$11),"W ","")&amp;IF(AND(ISNUMBER(BC43),BC43&lt;'Item Budget'!$R$11),"R ","")&amp;IF(AND(ISNUMBER(BD43),BD43&lt;'Item Budget'!$R$11),"M ","")&amp;IF(AND(ISNUMBER(BE43),BE43&lt;'Item Budget'!$R$11),"P ","")="","OK","Not above lower step: "&amp;IF(AND(ISNUMBER(BB43),BB43&lt;'Item Budget'!$R$11),"W ","")&amp;IF(AND(ISNUMBER(BC43),BC43&lt;'Item Budget'!$R$11),"R ","")&amp;IF(AND(ISNUMBER(BD43),BD43&lt;'Item Budget'!$R$11),"M ","")&amp;IF(AND(ISNUMBER(BE43),BE43&lt;'Item Budget'!$R$11),"P ","")))</f>
        <v/>
      </c>
    </row>
    <row r="44">
      <c r="A44" s="21" t="n">
        <v>498</v>
      </c>
      <c r="B44" s="21" t="inlineStr">
        <is>
          <t>Royal Chestplate</t>
        </is>
      </c>
      <c r="C44" s="21" t="inlineStr">
        <is>
          <t>Chest</t>
        </is>
      </c>
      <c r="D44" s="21" t="inlineStr">
        <is>
          <t>Rogue</t>
        </is>
      </c>
      <c r="E44" s="21" t="inlineStr">
        <is>
          <t>Rogue</t>
        </is>
      </c>
      <c r="F44" s="21" t="inlineStr">
        <is>
          <t>Rogue</t>
        </is>
      </c>
      <c r="G44" s="21" t="inlineStr">
        <is>
          <t>craft</t>
        </is>
      </c>
      <c r="H44" s="37" t="n">
        <v>200000000</v>
      </c>
      <c r="I44" s="21" t="n">
        <v>8</v>
      </c>
      <c r="J44" s="19" t="inlineStr">
        <is>
          <t>Leave</t>
        </is>
      </c>
      <c r="K44" s="21" t="inlineStr">
        <is>
          <t>Crafted</t>
        </is>
      </c>
      <c r="L44" s="31">
        <f>INDEX('Item Budget'!$F$5:$F$13,MATCH(K44,'Item Budget'!$E$5:$E$13,0))+IF(E44="All",0,'Item Budget'!$F$15)+LOOKUP(H44,'Item Budget'!$E$19:$E$23,'Item Budget'!$F$19:$F$23)</f>
        <v/>
      </c>
      <c r="M44" s="21" t="n">
        <v>50</v>
      </c>
      <c r="N44" s="21" t="n">
        <v>2500</v>
      </c>
      <c r="O44" s="21" t="n">
        <v>2500</v>
      </c>
      <c r="P44" s="21" t="n">
        <v>450</v>
      </c>
      <c r="Q44" s="21" t="n">
        <v>0</v>
      </c>
      <c r="R44" s="21" t="n">
        <v>0</v>
      </c>
      <c r="S44" s="21" t="n">
        <v>0</v>
      </c>
      <c r="T44" s="21" t="n">
        <v>0</v>
      </c>
      <c r="U44" s="21" t="n">
        <v>0</v>
      </c>
      <c r="V44" s="21" t="inlineStr">
        <is>
          <t>Royal Mischief Blessing</t>
        </is>
      </c>
      <c r="W44" s="61">
        <f>N44*'Item Budget'!$B$5+R44*'Item Budget'!$B$7+P44*'Item Budget'!$B$11+S44*'Item Budget'!$B$10+Q44*'Item Budget'!$B$9+IFERROR(INDEX('Item Budget'!$M$25:$M$95,MATCH(V44,'Item Budget'!$B$25:$B$95,0)),0)+IF($C44="Weapon",U44*'Item Budget'!$B$9,0)</f>
        <v/>
      </c>
      <c r="X44" s="61">
        <f>N44*'Item Budget'!$B$5+R44*'Item Budget'!$B$7+P44*'Item Budget'!$B$11+S44*'Item Budget'!$B$10+O44*'Item Budget'!$B$6+T44*'Item Budget'!$B$8+IFERROR(INDEX('Item Budget'!$N$25:$N$95,MATCH(V44,'Item Budget'!$B$25:$B$95,0)),0)</f>
        <v/>
      </c>
      <c r="Y44" s="61">
        <f>MAX('Item Budget'!$F$16,INDEX('Gear Budget'!$C$8:$C$14,MATCH($C44,'Gear Budget'!$A$8:$A$14,0))*MIN(M44,50))*$L44</f>
        <v/>
      </c>
      <c r="Z44" s="41">
        <f>IF($C44="Caster weapon",X44,MAX(W44,X44))/Y44</f>
        <v/>
      </c>
      <c r="AA44" s="61">
        <f>IF(OR($C44="Weapon",$C44="Caster weapon"),"",'Gear Budget'!$B$5*MAX(1,MIN(M44,50))*INDEX('Gear Budget'!$B$8:$B$14,MATCH($C44,'Gear Budget'!$A$8:$A$14,0))*IF($C44="Shield",IF(D44="Warrior",1,IF(OR(D44="Rogue",D44="All"),0.38/0.6,0.25/0.6)),IFERROR(INDEX('Gear Budget'!$B$18:$B$21,MATCH($F44,'Gear Budget'!$A$18:$A$21,0)),1)))</f>
        <v/>
      </c>
      <c r="AB44" s="41">
        <f>IF(AA44="","",P44/AA44)</f>
        <v/>
      </c>
      <c r="AC44" s="21" t="n">
        <v>50</v>
      </c>
      <c r="AD44" s="21" t="n">
        <v>2500</v>
      </c>
      <c r="AE44" s="21" t="n">
        <v>2500</v>
      </c>
      <c r="AF44" s="21" t="n">
        <v>450</v>
      </c>
      <c r="AG44" s="21" t="n">
        <v>0</v>
      </c>
      <c r="AH44" s="21" t="n">
        <v>0</v>
      </c>
      <c r="AI44" s="21" t="n">
        <v>0</v>
      </c>
      <c r="AJ44" s="21" t="n">
        <v>0</v>
      </c>
      <c r="AK44" s="21" t="n">
        <v>0</v>
      </c>
      <c r="AL44" s="21" t="inlineStr">
        <is>
          <t>Royal Mischief Blessing</t>
        </is>
      </c>
      <c r="AM44" s="61">
        <f>AD44*'Item Budget'!$B$5+AH44*'Item Budget'!$B$7+AF44*'Item Budget'!$B$11+AI44*'Item Budget'!$B$10+AG44*'Item Budget'!$B$9+IFERROR(INDEX('Item Budget'!$M$25:$M$95,MATCH(AL44,'Item Budget'!$B$25:$B$95,0)),0)+IF($C44="Weapon",AK44*'Item Budget'!$B$9,0)</f>
        <v/>
      </c>
      <c r="AN44" s="61">
        <f>AD44*'Item Budget'!$B$5+AH44*'Item Budget'!$B$7+AF44*'Item Budget'!$B$11+AI44*'Item Budget'!$B$10+AE44*'Item Budget'!$B$6+AJ44*'Item Budget'!$B$8+IFERROR(INDEX('Item Budget'!$N$25:$N$95,MATCH(AL44,'Item Budget'!$B$25:$B$95,0)),0)</f>
        <v/>
      </c>
      <c r="AO44" s="61">
        <f>MAX('Item Budget'!$F$16,INDEX('Gear Budget'!$C$8:$C$14,MATCH($C44,'Gear Budget'!$A$8:$A$14,0))*MIN(AC44,50))*$L44</f>
        <v/>
      </c>
      <c r="AP44" s="41">
        <f>IF($C44="Caster weapon",AN44,MAX(AM44,AN44))/AO44</f>
        <v/>
      </c>
      <c r="AQ44" s="61">
        <f>IF(OR($C44="Weapon",$C44="Caster weapon"),"",'Gear Budget'!$B$5*MAX(1,MIN(AC44,50))*INDEX('Gear Budget'!$B$8:$B$14,MATCH($C44,'Gear Budget'!$A$8:$A$14,0))*IF($C44="Shield",IF(E44="Warrior",1,IF(OR(E44="Rogue",E44="All"),0.38/0.6,0.25/0.6)),IFERROR(INDEX('Gear Budget'!$B$18:$B$21,MATCH($F44,'Gear Budget'!$A$18:$A$21,0)),1)))</f>
        <v/>
      </c>
      <c r="AR44" s="41">
        <f>IF(AQ44="","",AF44/AQ44)</f>
        <v/>
      </c>
      <c r="AS44" s="64" t="n"/>
      <c r="AT44" s="44">
        <f>IF(OR($E44="All",ISNUMBER(SEARCH("Warrior",$E44))),IF($C44="Caster weapon",(AN44+AF44*('Item Budget'!$AB$14-'Item Budget'!$B$11)),(AM44+AF44*('Item Budget'!$AB$14-'Item Budget'!$B$11))),0)</f>
        <v/>
      </c>
      <c r="AU44" s="44">
        <f>IF(OR($E44="All",ISNUMBER(SEARCH("Rogue",$E44))),IF($C44="Caster weapon",(AN44+AF44*('Item Budget'!$AB$15-'Item Budget'!$B$11)),(AM44+AF44*('Item Budget'!$AB$15-'Item Budget'!$B$11))),0)</f>
        <v/>
      </c>
      <c r="AV44" s="44">
        <f>IF(OR($E44="All",ISNUMBER(SEARCH("Magus",$E44))),(AN44+AF44*('Item Budget'!$AB$16-'Item Budget'!$B$11)),0)</f>
        <v/>
      </c>
      <c r="AW44" s="44">
        <f>IF(OR($E44="All",ISNUMBER(SEARCH("Priest",$E44))),(AN44+AF44*('Item Budget'!$AB$17-'Item Budget'!$B$11)),0)</f>
        <v/>
      </c>
      <c r="AX44" s="44">
        <f>IF(AND(OR($E44="All",ISNUMBER(SEARCH("Warrior",$E44))),AC44&gt;='Item Budget'!$R$10),'Item Budget'!$R$7*100*('Item Budget'!$R$14*(AD44+25*AH44)+'Item Budget'!$S$14*(AE44+25*AJ44))/'Item Budget'!$Z$14+'Item Budget'!$R$9*AF44+IFERROR(INDEX('Item Budget'!$O$25:$O$95,MATCH(AL44,'Item Budget'!$B$25:$B$95,0)),0),0)</f>
        <v/>
      </c>
      <c r="AY44" s="44">
        <f>IF(AND(OR($E44="All",ISNUMBER(SEARCH("Rogue",$E44))),AC44&gt;='Item Budget'!$R$10),'Item Budget'!$R$7*100*('Item Budget'!$R$15*(AD44+25*AH44)+'Item Budget'!$S$15*(AE44+25*AJ44))/'Item Budget'!$Z$15+'Item Budget'!$R$9*AF44+IFERROR(INDEX('Item Budget'!$O$25:$O$95,MATCH(AL44,'Item Budget'!$B$25:$B$95,0)),0),0)</f>
        <v/>
      </c>
      <c r="AZ44" s="44">
        <f>IF(AND(OR($E44="All",ISNUMBER(SEARCH("Magus",$E44))),AC44&gt;='Item Budget'!$R$10),'Item Budget'!$R$7*100*('Item Budget'!$R$16*(AD44+25*AH44)+'Item Budget'!$S$16*(AE44+25*AJ44))/'Item Budget'!$Z$16+'Item Budget'!$R$9*AF44+IFERROR(INDEX('Item Budget'!$O$25:$O$95,MATCH(AL44,'Item Budget'!$B$25:$B$95,0)),0),0)</f>
        <v/>
      </c>
      <c r="BA44" s="44">
        <f>IF(AND(OR($E44="All",ISNUMBER(SEARCH("Priest",$E44))),AC44&gt;='Item Budget'!$R$10),'Item Budget'!$R$7*100*('Item Budget'!$R$17*(AD44+25*AH44)+'Item Budget'!$S$17*(AE44+25*AJ44))/'Item Budget'!$Z$17+'Item Budget'!$R$9*AF44+IFERROR(INDEX('Item Budget'!$O$25:$O$95,MATCH(AL44,'Item Budget'!$B$25:$B$95,0)),0),0)</f>
        <v/>
      </c>
      <c r="BB44" s="52">
        <f>IF(OR($I44&lt;1,IF($I44&gt;=6,AX44,AT44)&lt;=0),"",IF(SUMPRODUCT(MAX(($C$5:$C$215=$C44)*($I$5:$I$215&gt;=1)*($I$5:$I$215&lt;$I44)*IF($I44&gt;=6,$AX$5:$AX$215,$AT$5:$AT$215)))&lt;=0,"",SUMPRODUCT(MAX(($C$5:$C$215=$C44)*($I$5:$I$215=$I44)*IF($I44&gt;=6,$AX$5:$AX$215,$AT$5:$AT$215)))/SUMPRODUCT(MAX(($C$5:$C$215=$C44)*($I$5:$I$215&gt;=1)*($I$5:$I$215&lt;$I44)*IF($I44&gt;=6,$AX$5:$AX$215,$AT$5:$AT$215)))-1))</f>
        <v/>
      </c>
      <c r="BC44" s="52">
        <f>IF(OR($I44&lt;1,IF($I44&gt;=6,AY44,AU44)&lt;=0),"",IF(SUMPRODUCT(MAX(($C$5:$C$215=$C44)*($I$5:$I$215&gt;=1)*($I$5:$I$215&lt;$I44)*IF($I44&gt;=6,$AY$5:$AY$215,$AU$5:$AU$215)))&lt;=0,"",SUMPRODUCT(MAX(($C$5:$C$215=$C44)*($I$5:$I$215=$I44)*IF($I44&gt;=6,$AY$5:$AY$215,$AU$5:$AU$215)))/SUMPRODUCT(MAX(($C$5:$C$215=$C44)*($I$5:$I$215&gt;=1)*($I$5:$I$215&lt;$I44)*IF($I44&gt;=6,$AY$5:$AY$215,$AU$5:$AU$215)))-1))</f>
        <v/>
      </c>
      <c r="BD44" s="52">
        <f>IF(OR($I44&lt;1,IF($I44&gt;=6,AZ44,AV44)&lt;=0),"",IF(SUMPRODUCT(MAX(($C$5:$C$215=$C44)*($I$5:$I$215&gt;=1)*($I$5:$I$215&lt;$I44)*IF($I44&gt;=6,$AZ$5:$AZ$215,$AV$5:$AV$215)))&lt;=0,"",SUMPRODUCT(MAX(($C$5:$C$215=$C44)*($I$5:$I$215=$I44)*IF($I44&gt;=6,$AZ$5:$AZ$215,$AV$5:$AV$215)))/SUMPRODUCT(MAX(($C$5:$C$215=$C44)*($I$5:$I$215&gt;=1)*($I$5:$I$215&lt;$I44)*IF($I44&gt;=6,$AZ$5:$AZ$215,$AV$5:$AV$215)))-1))</f>
        <v/>
      </c>
      <c r="BE44" s="52">
        <f>IF(OR($I44&lt;1,IF($I44&gt;=6,BA44,AW44)&lt;=0),"",IF(SUMPRODUCT(MAX(($C$5:$C$215=$C44)*($I$5:$I$215&gt;=1)*($I$5:$I$215&lt;$I44)*IF($I44&gt;=6,$BA$5:$BA$215,$AW$5:$AW$215)))&lt;=0,"",SUMPRODUCT(MAX(($C$5:$C$215=$C44)*($I$5:$I$215=$I44)*IF($I44&gt;=6,$BA$5:$BA$215,$AW$5:$AW$215)))/SUMPRODUCT(MAX(($C$5:$C$215=$C44)*($I$5:$I$215&gt;=1)*($I$5:$I$215&lt;$I44)*IF($I44&gt;=6,$BA$5:$BA$215,$AW$5:$AW$215)))-1))</f>
        <v/>
      </c>
      <c r="BF44" s="19">
        <f>IF(AND(BB44="",BC44="",BD44="",BE44=""),"",IF(IF(AND(ISNUMBER(BB44),BB44&lt;'Item Budget'!$R$11),"W ","")&amp;IF(AND(ISNUMBER(BC44),BC44&lt;'Item Budget'!$R$11),"R ","")&amp;IF(AND(ISNUMBER(BD44),BD44&lt;'Item Budget'!$R$11),"M ","")&amp;IF(AND(ISNUMBER(BE44),BE44&lt;'Item Budget'!$R$11),"P ","")="","OK","Not above lower step: "&amp;IF(AND(ISNUMBER(BB44),BB44&lt;'Item Budget'!$R$11),"W ","")&amp;IF(AND(ISNUMBER(BC44),BC44&lt;'Item Budget'!$R$11),"R ","")&amp;IF(AND(ISNUMBER(BD44),BD44&lt;'Item Budget'!$R$11),"M ","")&amp;IF(AND(ISNUMBER(BE44),BE44&lt;'Item Budget'!$R$11),"P ","")))</f>
        <v/>
      </c>
    </row>
    <row r="45">
      <c r="A45" s="21" t="n">
        <v>499</v>
      </c>
      <c r="B45" s="21" t="inlineStr">
        <is>
          <t>Royal Chestplate</t>
        </is>
      </c>
      <c r="C45" s="21" t="inlineStr">
        <is>
          <t>Chest</t>
        </is>
      </c>
      <c r="D45" s="21" t="inlineStr">
        <is>
          <t>Warrior</t>
        </is>
      </c>
      <c r="E45" s="21" t="inlineStr">
        <is>
          <t>Warrior</t>
        </is>
      </c>
      <c r="F45" s="21" t="inlineStr">
        <is>
          <t>Warrior plate</t>
        </is>
      </c>
      <c r="G45" s="21" t="inlineStr">
        <is>
          <t>craft</t>
        </is>
      </c>
      <c r="H45" s="37" t="n">
        <v>200000000</v>
      </c>
      <c r="I45" s="21" t="n">
        <v>8</v>
      </c>
      <c r="J45" s="19" t="inlineStr">
        <is>
          <t>Leave</t>
        </is>
      </c>
      <c r="K45" s="21" t="inlineStr">
        <is>
          <t>Crafted</t>
        </is>
      </c>
      <c r="L45" s="31">
        <f>INDEX('Item Budget'!$F$5:$F$13,MATCH(K45,'Item Budget'!$E$5:$E$13,0))+IF(E45="All",0,'Item Budget'!$F$15)+LOOKUP(H45,'Item Budget'!$E$19:$E$23,'Item Budget'!$F$19:$F$23)</f>
        <v/>
      </c>
      <c r="M45" s="21" t="n">
        <v>50</v>
      </c>
      <c r="N45" s="21" t="n">
        <v>5000</v>
      </c>
      <c r="O45" s="21" t="n">
        <v>0</v>
      </c>
      <c r="P45" s="21" t="n">
        <v>450</v>
      </c>
      <c r="Q45" s="21" t="n">
        <v>0</v>
      </c>
      <c r="R45" s="21" t="n">
        <v>0</v>
      </c>
      <c r="S45" s="21" t="n">
        <v>0</v>
      </c>
      <c r="T45" s="21" t="n">
        <v>0</v>
      </c>
      <c r="U45" s="21" t="n">
        <v>0</v>
      </c>
      <c r="V45" s="21" t="inlineStr">
        <is>
          <t>Royal Knight Blessing</t>
        </is>
      </c>
      <c r="W45" s="61">
        <f>N45*'Item Budget'!$B$5+R45*'Item Budget'!$B$7+P45*'Item Budget'!$B$11+S45*'Item Budget'!$B$10+Q45*'Item Budget'!$B$9+IFERROR(INDEX('Item Budget'!$M$25:$M$95,MATCH(V45,'Item Budget'!$B$25:$B$95,0)),0)+IF($C45="Weapon",U45*'Item Budget'!$B$9,0)</f>
        <v/>
      </c>
      <c r="X45" s="61">
        <f>N45*'Item Budget'!$B$5+R45*'Item Budget'!$B$7+P45*'Item Budget'!$B$11+S45*'Item Budget'!$B$10+O45*'Item Budget'!$B$6+T45*'Item Budget'!$B$8+IFERROR(INDEX('Item Budget'!$N$25:$N$95,MATCH(V45,'Item Budget'!$B$25:$B$95,0)),0)</f>
        <v/>
      </c>
      <c r="Y45" s="61">
        <f>MAX('Item Budget'!$F$16,INDEX('Gear Budget'!$C$8:$C$14,MATCH($C45,'Gear Budget'!$A$8:$A$14,0))*MIN(M45,50))*$L45</f>
        <v/>
      </c>
      <c r="Z45" s="41">
        <f>IF($C45="Caster weapon",X45,MAX(W45,X45))/Y45</f>
        <v/>
      </c>
      <c r="AA45" s="61">
        <f>IF(OR($C45="Weapon",$C45="Caster weapon"),"",'Gear Budget'!$B$5*MAX(1,MIN(M45,50))*INDEX('Gear Budget'!$B$8:$B$14,MATCH($C45,'Gear Budget'!$A$8:$A$14,0))*IF($C45="Shield",IF(D45="Warrior",1,IF(OR(D45="Rogue",D45="All"),0.38/0.6,0.25/0.6)),IFERROR(INDEX('Gear Budget'!$B$18:$B$21,MATCH($F45,'Gear Budget'!$A$18:$A$21,0)),1)))</f>
        <v/>
      </c>
      <c r="AB45" s="41">
        <f>IF(AA45="","",P45/AA45)</f>
        <v/>
      </c>
      <c r="AC45" s="21" t="n">
        <v>50</v>
      </c>
      <c r="AD45" s="21" t="n">
        <v>5000</v>
      </c>
      <c r="AE45" s="21" t="n">
        <v>0</v>
      </c>
      <c r="AF45" s="21" t="n">
        <v>450</v>
      </c>
      <c r="AG45" s="21" t="n">
        <v>0</v>
      </c>
      <c r="AH45" s="21" t="n">
        <v>0</v>
      </c>
      <c r="AI45" s="21" t="n">
        <v>0</v>
      </c>
      <c r="AJ45" s="21" t="n">
        <v>0</v>
      </c>
      <c r="AK45" s="21" t="n">
        <v>0</v>
      </c>
      <c r="AL45" s="21" t="inlineStr">
        <is>
          <t>Royal Knight Blessing</t>
        </is>
      </c>
      <c r="AM45" s="61">
        <f>AD45*'Item Budget'!$B$5+AH45*'Item Budget'!$B$7+AF45*'Item Budget'!$B$11+AI45*'Item Budget'!$B$10+AG45*'Item Budget'!$B$9+IFERROR(INDEX('Item Budget'!$M$25:$M$95,MATCH(AL45,'Item Budget'!$B$25:$B$95,0)),0)+IF($C45="Weapon",AK45*'Item Budget'!$B$9,0)</f>
        <v/>
      </c>
      <c r="AN45" s="61">
        <f>AD45*'Item Budget'!$B$5+AH45*'Item Budget'!$B$7+AF45*'Item Budget'!$B$11+AI45*'Item Budget'!$B$10+AE45*'Item Budget'!$B$6+AJ45*'Item Budget'!$B$8+IFERROR(INDEX('Item Budget'!$N$25:$N$95,MATCH(AL45,'Item Budget'!$B$25:$B$95,0)),0)</f>
        <v/>
      </c>
      <c r="AO45" s="61">
        <f>MAX('Item Budget'!$F$16,INDEX('Gear Budget'!$C$8:$C$14,MATCH($C45,'Gear Budget'!$A$8:$A$14,0))*MIN(AC45,50))*$L45</f>
        <v/>
      </c>
      <c r="AP45" s="41">
        <f>IF($C45="Caster weapon",AN45,MAX(AM45,AN45))/AO45</f>
        <v/>
      </c>
      <c r="AQ45" s="61">
        <f>IF(OR($C45="Weapon",$C45="Caster weapon"),"",'Gear Budget'!$B$5*MAX(1,MIN(AC45,50))*INDEX('Gear Budget'!$B$8:$B$14,MATCH($C45,'Gear Budget'!$A$8:$A$14,0))*IF($C45="Shield",IF(E45="Warrior",1,IF(OR(E45="Rogue",E45="All"),0.38/0.6,0.25/0.6)),IFERROR(INDEX('Gear Budget'!$B$18:$B$21,MATCH($F45,'Gear Budget'!$A$18:$A$21,0)),1)))</f>
        <v/>
      </c>
      <c r="AR45" s="41">
        <f>IF(AQ45="","",AF45/AQ45)</f>
        <v/>
      </c>
      <c r="AS45" s="64" t="n"/>
      <c r="AT45" s="44">
        <f>IF(OR($E45="All",ISNUMBER(SEARCH("Warrior",$E45))),IF($C45="Caster weapon",(AN45+AF45*('Item Budget'!$AB$14-'Item Budget'!$B$11)),(AM45+AF45*('Item Budget'!$AB$14-'Item Budget'!$B$11))),0)</f>
        <v/>
      </c>
      <c r="AU45" s="44">
        <f>IF(OR($E45="All",ISNUMBER(SEARCH("Rogue",$E45))),IF($C45="Caster weapon",(AN45+AF45*('Item Budget'!$AB$15-'Item Budget'!$B$11)),(AM45+AF45*('Item Budget'!$AB$15-'Item Budget'!$B$11))),0)</f>
        <v/>
      </c>
      <c r="AV45" s="44">
        <f>IF(OR($E45="All",ISNUMBER(SEARCH("Magus",$E45))),(AN45+AF45*('Item Budget'!$AB$16-'Item Budget'!$B$11)),0)</f>
        <v/>
      </c>
      <c r="AW45" s="44">
        <f>IF(OR($E45="All",ISNUMBER(SEARCH("Priest",$E45))),(AN45+AF45*('Item Budget'!$AB$17-'Item Budget'!$B$11)),0)</f>
        <v/>
      </c>
      <c r="AX45" s="44">
        <f>IF(AND(OR($E45="All",ISNUMBER(SEARCH("Warrior",$E45))),AC45&gt;='Item Budget'!$R$10),'Item Budget'!$R$7*100*('Item Budget'!$R$14*(AD45+25*AH45)+'Item Budget'!$S$14*(AE45+25*AJ45))/'Item Budget'!$Z$14+'Item Budget'!$R$9*AF45+IFERROR(INDEX('Item Budget'!$O$25:$O$95,MATCH(AL45,'Item Budget'!$B$25:$B$95,0)),0),0)</f>
        <v/>
      </c>
      <c r="AY45" s="44">
        <f>IF(AND(OR($E45="All",ISNUMBER(SEARCH("Rogue",$E45))),AC45&gt;='Item Budget'!$R$10),'Item Budget'!$R$7*100*('Item Budget'!$R$15*(AD45+25*AH45)+'Item Budget'!$S$15*(AE45+25*AJ45))/'Item Budget'!$Z$15+'Item Budget'!$R$9*AF45+IFERROR(INDEX('Item Budget'!$O$25:$O$95,MATCH(AL45,'Item Budget'!$B$25:$B$95,0)),0),0)</f>
        <v/>
      </c>
      <c r="AZ45" s="44">
        <f>IF(AND(OR($E45="All",ISNUMBER(SEARCH("Magus",$E45))),AC45&gt;='Item Budget'!$R$10),'Item Budget'!$R$7*100*('Item Budget'!$R$16*(AD45+25*AH45)+'Item Budget'!$S$16*(AE45+25*AJ45))/'Item Budget'!$Z$16+'Item Budget'!$R$9*AF45+IFERROR(INDEX('Item Budget'!$O$25:$O$95,MATCH(AL45,'Item Budget'!$B$25:$B$95,0)),0),0)</f>
        <v/>
      </c>
      <c r="BA45" s="44">
        <f>IF(AND(OR($E45="All",ISNUMBER(SEARCH("Priest",$E45))),AC45&gt;='Item Budget'!$R$10),'Item Budget'!$R$7*100*('Item Budget'!$R$17*(AD45+25*AH45)+'Item Budget'!$S$17*(AE45+25*AJ45))/'Item Budget'!$Z$17+'Item Budget'!$R$9*AF45+IFERROR(INDEX('Item Budget'!$O$25:$O$95,MATCH(AL45,'Item Budget'!$B$25:$B$95,0)),0),0)</f>
        <v/>
      </c>
      <c r="BB45" s="52">
        <f>IF(OR($I45&lt;1,IF($I45&gt;=6,AX45,AT45)&lt;=0),"",IF(SUMPRODUCT(MAX(($C$5:$C$215=$C45)*($I$5:$I$215&gt;=1)*($I$5:$I$215&lt;$I45)*IF($I45&gt;=6,$AX$5:$AX$215,$AT$5:$AT$215)))&lt;=0,"",SUMPRODUCT(MAX(($C$5:$C$215=$C45)*($I$5:$I$215=$I45)*IF($I45&gt;=6,$AX$5:$AX$215,$AT$5:$AT$215)))/SUMPRODUCT(MAX(($C$5:$C$215=$C45)*($I$5:$I$215&gt;=1)*($I$5:$I$215&lt;$I45)*IF($I45&gt;=6,$AX$5:$AX$215,$AT$5:$AT$215)))-1))</f>
        <v/>
      </c>
      <c r="BC45" s="52">
        <f>IF(OR($I45&lt;1,IF($I45&gt;=6,AY45,AU45)&lt;=0),"",IF(SUMPRODUCT(MAX(($C$5:$C$215=$C45)*($I$5:$I$215&gt;=1)*($I$5:$I$215&lt;$I45)*IF($I45&gt;=6,$AY$5:$AY$215,$AU$5:$AU$215)))&lt;=0,"",SUMPRODUCT(MAX(($C$5:$C$215=$C45)*($I$5:$I$215=$I45)*IF($I45&gt;=6,$AY$5:$AY$215,$AU$5:$AU$215)))/SUMPRODUCT(MAX(($C$5:$C$215=$C45)*($I$5:$I$215&gt;=1)*($I$5:$I$215&lt;$I45)*IF($I45&gt;=6,$AY$5:$AY$215,$AU$5:$AU$215)))-1))</f>
        <v/>
      </c>
      <c r="BD45" s="52">
        <f>IF(OR($I45&lt;1,IF($I45&gt;=6,AZ45,AV45)&lt;=0),"",IF(SUMPRODUCT(MAX(($C$5:$C$215=$C45)*($I$5:$I$215&gt;=1)*($I$5:$I$215&lt;$I45)*IF($I45&gt;=6,$AZ$5:$AZ$215,$AV$5:$AV$215)))&lt;=0,"",SUMPRODUCT(MAX(($C$5:$C$215=$C45)*($I$5:$I$215=$I45)*IF($I45&gt;=6,$AZ$5:$AZ$215,$AV$5:$AV$215)))/SUMPRODUCT(MAX(($C$5:$C$215=$C45)*($I$5:$I$215&gt;=1)*($I$5:$I$215&lt;$I45)*IF($I45&gt;=6,$AZ$5:$AZ$215,$AV$5:$AV$215)))-1))</f>
        <v/>
      </c>
      <c r="BE45" s="52">
        <f>IF(OR($I45&lt;1,IF($I45&gt;=6,BA45,AW45)&lt;=0),"",IF(SUMPRODUCT(MAX(($C$5:$C$215=$C45)*($I$5:$I$215&gt;=1)*($I$5:$I$215&lt;$I45)*IF($I45&gt;=6,$BA$5:$BA$215,$AW$5:$AW$215)))&lt;=0,"",SUMPRODUCT(MAX(($C$5:$C$215=$C45)*($I$5:$I$215=$I45)*IF($I45&gt;=6,$BA$5:$BA$215,$AW$5:$AW$215)))/SUMPRODUCT(MAX(($C$5:$C$215=$C45)*($I$5:$I$215&gt;=1)*($I$5:$I$215&lt;$I45)*IF($I45&gt;=6,$BA$5:$BA$215,$AW$5:$AW$215)))-1))</f>
        <v/>
      </c>
      <c r="BF45" s="19">
        <f>IF(AND(BB45="",BC45="",BD45="",BE45=""),"",IF(IF(AND(ISNUMBER(BB45),BB45&lt;'Item Budget'!$R$11),"W ","")&amp;IF(AND(ISNUMBER(BC45),BC45&lt;'Item Budget'!$R$11),"R ","")&amp;IF(AND(ISNUMBER(BD45),BD45&lt;'Item Budget'!$R$11),"M ","")&amp;IF(AND(ISNUMBER(BE45),BE45&lt;'Item Budget'!$R$11),"P ","")="","OK","Not above lower step: "&amp;IF(AND(ISNUMBER(BB45),BB45&lt;'Item Budget'!$R$11),"W ","")&amp;IF(AND(ISNUMBER(BC45),BC45&lt;'Item Budget'!$R$11),"R ","")&amp;IF(AND(ISNUMBER(BD45),BD45&lt;'Item Budget'!$R$11),"M ","")&amp;IF(AND(ISNUMBER(BE45),BE45&lt;'Item Budget'!$R$11),"P ","")))</f>
        <v/>
      </c>
    </row>
    <row r="46">
      <c r="A46" s="21" t="n">
        <v>500</v>
      </c>
      <c r="B46" s="21" t="inlineStr">
        <is>
          <t>Royal Tunic</t>
        </is>
      </c>
      <c r="C46" s="21" t="inlineStr">
        <is>
          <t>Chest</t>
        </is>
      </c>
      <c r="D46" s="21" t="inlineStr">
        <is>
          <t>Priest</t>
        </is>
      </c>
      <c r="E46" s="21" t="inlineStr">
        <is>
          <t>Priest</t>
        </is>
      </c>
      <c r="F46" s="21" t="inlineStr">
        <is>
          <t>Caster cloth</t>
        </is>
      </c>
      <c r="G46" s="21" t="inlineStr">
        <is>
          <t>craft</t>
        </is>
      </c>
      <c r="H46" s="37" t="n">
        <v>200000000</v>
      </c>
      <c r="I46" s="21" t="n">
        <v>8</v>
      </c>
      <c r="J46" s="19" t="inlineStr">
        <is>
          <t>Leave</t>
        </is>
      </c>
      <c r="K46" s="21" t="inlineStr">
        <is>
          <t>Crafted</t>
        </is>
      </c>
      <c r="L46" s="31">
        <f>INDEX('Item Budget'!$F$5:$F$13,MATCH(K46,'Item Budget'!$E$5:$E$13,0))+IF(E46="All",0,'Item Budget'!$F$15)+LOOKUP(H46,'Item Budget'!$E$19:$E$23,'Item Budget'!$F$19:$F$23)</f>
        <v/>
      </c>
      <c r="M46" s="21" t="n">
        <v>50</v>
      </c>
      <c r="N46" s="21" t="n">
        <v>3000</v>
      </c>
      <c r="O46" s="21" t="n">
        <v>2000</v>
      </c>
      <c r="P46" s="21" t="n">
        <v>450</v>
      </c>
      <c r="Q46" s="21" t="n">
        <v>0</v>
      </c>
      <c r="R46" s="21" t="n">
        <v>0</v>
      </c>
      <c r="S46" s="21" t="n">
        <v>0</v>
      </c>
      <c r="T46" s="21" t="n">
        <v>0</v>
      </c>
      <c r="U46" s="21" t="n">
        <v>0</v>
      </c>
      <c r="V46" s="21" t="inlineStr">
        <is>
          <t>Increased Spell Damage XV</t>
        </is>
      </c>
      <c r="W46" s="61">
        <f>N46*'Item Budget'!$B$5+R46*'Item Budget'!$B$7+P46*'Item Budget'!$B$11+S46*'Item Budget'!$B$10+Q46*'Item Budget'!$B$9+IFERROR(INDEX('Item Budget'!$M$25:$M$95,MATCH(V46,'Item Budget'!$B$25:$B$95,0)),0)+IF($C46="Weapon",U46*'Item Budget'!$B$9,0)</f>
        <v/>
      </c>
      <c r="X46" s="61">
        <f>N46*'Item Budget'!$B$5+R46*'Item Budget'!$B$7+P46*'Item Budget'!$B$11+S46*'Item Budget'!$B$10+O46*'Item Budget'!$B$6+T46*'Item Budget'!$B$8+IFERROR(INDEX('Item Budget'!$N$25:$N$95,MATCH(V46,'Item Budget'!$B$25:$B$95,0)),0)</f>
        <v/>
      </c>
      <c r="Y46" s="61">
        <f>MAX('Item Budget'!$F$16,INDEX('Gear Budget'!$C$8:$C$14,MATCH($C46,'Gear Budget'!$A$8:$A$14,0))*MIN(M46,50))*$L46</f>
        <v/>
      </c>
      <c r="Z46" s="41">
        <f>IF($C46="Caster weapon",X46,MAX(W46,X46))/Y46</f>
        <v/>
      </c>
      <c r="AA46" s="61">
        <f>IF(OR($C46="Weapon",$C46="Caster weapon"),"",'Gear Budget'!$B$5*MAX(1,MIN(M46,50))*INDEX('Gear Budget'!$B$8:$B$14,MATCH($C46,'Gear Budget'!$A$8:$A$14,0))*IF($C46="Shield",IF(D46="Warrior",1,IF(OR(D46="Rogue",D46="All"),0.38/0.6,0.25/0.6)),IFERROR(INDEX('Gear Budget'!$B$18:$B$21,MATCH($F46,'Gear Budget'!$A$18:$A$21,0)),1)))</f>
        <v/>
      </c>
      <c r="AB46" s="41">
        <f>IF(AA46="","",P46/AA46)</f>
        <v/>
      </c>
      <c r="AC46" s="21" t="n">
        <v>50</v>
      </c>
      <c r="AD46" s="21" t="n">
        <v>3000</v>
      </c>
      <c r="AE46" s="21" t="n">
        <v>2000</v>
      </c>
      <c r="AF46" s="21" t="n">
        <v>450</v>
      </c>
      <c r="AG46" s="21" t="n">
        <v>0</v>
      </c>
      <c r="AH46" s="21" t="n">
        <v>0</v>
      </c>
      <c r="AI46" s="21" t="n">
        <v>0</v>
      </c>
      <c r="AJ46" s="21" t="n">
        <v>0</v>
      </c>
      <c r="AK46" s="21" t="n">
        <v>0</v>
      </c>
      <c r="AL46" s="21" t="inlineStr">
        <is>
          <t>Increased Spell Damage XV</t>
        </is>
      </c>
      <c r="AM46" s="61">
        <f>AD46*'Item Budget'!$B$5+AH46*'Item Budget'!$B$7+AF46*'Item Budget'!$B$11+AI46*'Item Budget'!$B$10+AG46*'Item Budget'!$B$9+IFERROR(INDEX('Item Budget'!$M$25:$M$95,MATCH(AL46,'Item Budget'!$B$25:$B$95,0)),0)+IF($C46="Weapon",AK46*'Item Budget'!$B$9,0)</f>
        <v/>
      </c>
      <c r="AN46" s="61">
        <f>AD46*'Item Budget'!$B$5+AH46*'Item Budget'!$B$7+AF46*'Item Budget'!$B$11+AI46*'Item Budget'!$B$10+AE46*'Item Budget'!$B$6+AJ46*'Item Budget'!$B$8+IFERROR(INDEX('Item Budget'!$N$25:$N$95,MATCH(AL46,'Item Budget'!$B$25:$B$95,0)),0)</f>
        <v/>
      </c>
      <c r="AO46" s="61">
        <f>MAX('Item Budget'!$F$16,INDEX('Gear Budget'!$C$8:$C$14,MATCH($C46,'Gear Budget'!$A$8:$A$14,0))*MIN(AC46,50))*$L46</f>
        <v/>
      </c>
      <c r="AP46" s="41">
        <f>IF($C46="Caster weapon",AN46,MAX(AM46,AN46))/AO46</f>
        <v/>
      </c>
      <c r="AQ46" s="61">
        <f>IF(OR($C46="Weapon",$C46="Caster weapon"),"",'Gear Budget'!$B$5*MAX(1,MIN(AC46,50))*INDEX('Gear Budget'!$B$8:$B$14,MATCH($C46,'Gear Budget'!$A$8:$A$14,0))*IF($C46="Shield",IF(E46="Warrior",1,IF(OR(E46="Rogue",E46="All"),0.38/0.6,0.25/0.6)),IFERROR(INDEX('Gear Budget'!$B$18:$B$21,MATCH($F46,'Gear Budget'!$A$18:$A$21,0)),1)))</f>
        <v/>
      </c>
      <c r="AR46" s="41">
        <f>IF(AQ46="","",AF46/AQ46)</f>
        <v/>
      </c>
      <c r="AS46" s="64" t="n"/>
      <c r="AT46" s="44">
        <f>IF(OR($E46="All",ISNUMBER(SEARCH("Warrior",$E46))),IF($C46="Caster weapon",(AN46+AF46*('Item Budget'!$AB$14-'Item Budget'!$B$11)),(AM46+AF46*('Item Budget'!$AB$14-'Item Budget'!$B$11))),0)</f>
        <v/>
      </c>
      <c r="AU46" s="44">
        <f>IF(OR($E46="All",ISNUMBER(SEARCH("Rogue",$E46))),IF($C46="Caster weapon",(AN46+AF46*('Item Budget'!$AB$15-'Item Budget'!$B$11)),(AM46+AF46*('Item Budget'!$AB$15-'Item Budget'!$B$11))),0)</f>
        <v/>
      </c>
      <c r="AV46" s="44">
        <f>IF(OR($E46="All",ISNUMBER(SEARCH("Magus",$E46))),(AN46+AF46*('Item Budget'!$AB$16-'Item Budget'!$B$11)),0)</f>
        <v/>
      </c>
      <c r="AW46" s="44">
        <f>IF(OR($E46="All",ISNUMBER(SEARCH("Priest",$E46))),(AN46+AF46*('Item Budget'!$AB$17-'Item Budget'!$B$11)),0)</f>
        <v/>
      </c>
      <c r="AX46" s="44">
        <f>IF(AND(OR($E46="All",ISNUMBER(SEARCH("Warrior",$E46))),AC46&gt;='Item Budget'!$R$10),'Item Budget'!$R$7*100*('Item Budget'!$R$14*(AD46+25*AH46)+'Item Budget'!$S$14*(AE46+25*AJ46))/'Item Budget'!$Z$14+'Item Budget'!$R$9*AF46+IFERROR(INDEX('Item Budget'!$O$25:$O$95,MATCH(AL46,'Item Budget'!$B$25:$B$95,0)),0),0)</f>
        <v/>
      </c>
      <c r="AY46" s="44">
        <f>IF(AND(OR($E46="All",ISNUMBER(SEARCH("Rogue",$E46))),AC46&gt;='Item Budget'!$R$10),'Item Budget'!$R$7*100*('Item Budget'!$R$15*(AD46+25*AH46)+'Item Budget'!$S$15*(AE46+25*AJ46))/'Item Budget'!$Z$15+'Item Budget'!$R$9*AF46+IFERROR(INDEX('Item Budget'!$O$25:$O$95,MATCH(AL46,'Item Budget'!$B$25:$B$95,0)),0),0)</f>
        <v/>
      </c>
      <c r="AZ46" s="44">
        <f>IF(AND(OR($E46="All",ISNUMBER(SEARCH("Magus",$E46))),AC46&gt;='Item Budget'!$R$10),'Item Budget'!$R$7*100*('Item Budget'!$R$16*(AD46+25*AH46)+'Item Budget'!$S$16*(AE46+25*AJ46))/'Item Budget'!$Z$16+'Item Budget'!$R$9*AF46+IFERROR(INDEX('Item Budget'!$O$25:$O$95,MATCH(AL46,'Item Budget'!$B$25:$B$95,0)),0),0)</f>
        <v/>
      </c>
      <c r="BA46" s="44">
        <f>IF(AND(OR($E46="All",ISNUMBER(SEARCH("Priest",$E46))),AC46&gt;='Item Budget'!$R$10),'Item Budget'!$R$7*100*('Item Budget'!$R$17*(AD46+25*AH46)+'Item Budget'!$S$17*(AE46+25*AJ46))/'Item Budget'!$Z$17+'Item Budget'!$R$9*AF46+IFERROR(INDEX('Item Budget'!$O$25:$O$95,MATCH(AL46,'Item Budget'!$B$25:$B$95,0)),0),0)</f>
        <v/>
      </c>
      <c r="BB46" s="52">
        <f>IF(OR($I46&lt;1,IF($I46&gt;=6,AX46,AT46)&lt;=0),"",IF(SUMPRODUCT(MAX(($C$5:$C$215=$C46)*($I$5:$I$215&gt;=1)*($I$5:$I$215&lt;$I46)*IF($I46&gt;=6,$AX$5:$AX$215,$AT$5:$AT$215)))&lt;=0,"",SUMPRODUCT(MAX(($C$5:$C$215=$C46)*($I$5:$I$215=$I46)*IF($I46&gt;=6,$AX$5:$AX$215,$AT$5:$AT$215)))/SUMPRODUCT(MAX(($C$5:$C$215=$C46)*($I$5:$I$215&gt;=1)*($I$5:$I$215&lt;$I46)*IF($I46&gt;=6,$AX$5:$AX$215,$AT$5:$AT$215)))-1))</f>
        <v/>
      </c>
      <c r="BC46" s="52">
        <f>IF(OR($I46&lt;1,IF($I46&gt;=6,AY46,AU46)&lt;=0),"",IF(SUMPRODUCT(MAX(($C$5:$C$215=$C46)*($I$5:$I$215&gt;=1)*($I$5:$I$215&lt;$I46)*IF($I46&gt;=6,$AY$5:$AY$215,$AU$5:$AU$215)))&lt;=0,"",SUMPRODUCT(MAX(($C$5:$C$215=$C46)*($I$5:$I$215=$I46)*IF($I46&gt;=6,$AY$5:$AY$215,$AU$5:$AU$215)))/SUMPRODUCT(MAX(($C$5:$C$215=$C46)*($I$5:$I$215&gt;=1)*($I$5:$I$215&lt;$I46)*IF($I46&gt;=6,$AY$5:$AY$215,$AU$5:$AU$215)))-1))</f>
        <v/>
      </c>
      <c r="BD46" s="52">
        <f>IF(OR($I46&lt;1,IF($I46&gt;=6,AZ46,AV46)&lt;=0),"",IF(SUMPRODUCT(MAX(($C$5:$C$215=$C46)*($I$5:$I$215&gt;=1)*($I$5:$I$215&lt;$I46)*IF($I46&gt;=6,$AZ$5:$AZ$215,$AV$5:$AV$215)))&lt;=0,"",SUMPRODUCT(MAX(($C$5:$C$215=$C46)*($I$5:$I$215=$I46)*IF($I46&gt;=6,$AZ$5:$AZ$215,$AV$5:$AV$215)))/SUMPRODUCT(MAX(($C$5:$C$215=$C46)*($I$5:$I$215&gt;=1)*($I$5:$I$215&lt;$I46)*IF($I46&gt;=6,$AZ$5:$AZ$215,$AV$5:$AV$215)))-1))</f>
        <v/>
      </c>
      <c r="BE46" s="52">
        <f>IF(OR($I46&lt;1,IF($I46&gt;=6,BA46,AW46)&lt;=0),"",IF(SUMPRODUCT(MAX(($C$5:$C$215=$C46)*($I$5:$I$215&gt;=1)*($I$5:$I$215&lt;$I46)*IF($I46&gt;=6,$BA$5:$BA$215,$AW$5:$AW$215)))&lt;=0,"",SUMPRODUCT(MAX(($C$5:$C$215=$C46)*($I$5:$I$215=$I46)*IF($I46&gt;=6,$BA$5:$BA$215,$AW$5:$AW$215)))/SUMPRODUCT(MAX(($C$5:$C$215=$C46)*($I$5:$I$215&gt;=1)*($I$5:$I$215&lt;$I46)*IF($I46&gt;=6,$BA$5:$BA$215,$AW$5:$AW$215)))-1))</f>
        <v/>
      </c>
      <c r="BF46" s="19">
        <f>IF(AND(BB46="",BC46="",BD46="",BE46=""),"",IF(IF(AND(ISNUMBER(BB46),BB46&lt;'Item Budget'!$R$11),"W ","")&amp;IF(AND(ISNUMBER(BC46),BC46&lt;'Item Budget'!$R$11),"R ","")&amp;IF(AND(ISNUMBER(BD46),BD46&lt;'Item Budget'!$R$11),"M ","")&amp;IF(AND(ISNUMBER(BE46),BE46&lt;'Item Budget'!$R$11),"P ","")="","OK","Not above lower step: "&amp;IF(AND(ISNUMBER(BB46),BB46&lt;'Item Budget'!$R$11),"W ","")&amp;IF(AND(ISNUMBER(BC46),BC46&lt;'Item Budget'!$R$11),"R ","")&amp;IF(AND(ISNUMBER(BD46),BD46&lt;'Item Budget'!$R$11),"M ","")&amp;IF(AND(ISNUMBER(BE46),BE46&lt;'Item Budget'!$R$11),"P ","")))</f>
        <v/>
      </c>
    </row>
    <row r="47">
      <c r="A47" s="21" t="n">
        <v>501</v>
      </c>
      <c r="B47" s="21" t="inlineStr">
        <is>
          <t>Royal Tunic</t>
        </is>
      </c>
      <c r="C47" s="21" t="inlineStr">
        <is>
          <t>Chest</t>
        </is>
      </c>
      <c r="D47" s="21" t="inlineStr">
        <is>
          <t>Magus</t>
        </is>
      </c>
      <c r="E47" s="21" t="inlineStr">
        <is>
          <t>Magus</t>
        </is>
      </c>
      <c r="F47" s="21" t="inlineStr">
        <is>
          <t>Caster cloth</t>
        </is>
      </c>
      <c r="G47" s="21" t="inlineStr">
        <is>
          <t>craft</t>
        </is>
      </c>
      <c r="H47" s="37" t="n">
        <v>200000000</v>
      </c>
      <c r="I47" s="21" t="n">
        <v>8</v>
      </c>
      <c r="J47" s="19" t="inlineStr">
        <is>
          <t>Leave</t>
        </is>
      </c>
      <c r="K47" s="21" t="inlineStr">
        <is>
          <t>Crafted</t>
        </is>
      </c>
      <c r="L47" s="31">
        <f>INDEX('Item Budget'!$F$5:$F$13,MATCH(K47,'Item Budget'!$E$5:$E$13,0))+IF(E47="All",0,'Item Budget'!$F$15)+LOOKUP(H47,'Item Budget'!$E$19:$E$23,'Item Budget'!$F$19:$F$23)</f>
        <v/>
      </c>
      <c r="M47" s="21" t="n">
        <v>50</v>
      </c>
      <c r="N47" s="21" t="n">
        <v>0</v>
      </c>
      <c r="O47" s="21" t="n">
        <v>5000</v>
      </c>
      <c r="P47" s="21" t="n">
        <v>450</v>
      </c>
      <c r="Q47" s="21" t="n">
        <v>0</v>
      </c>
      <c r="R47" s="21" t="n">
        <v>0</v>
      </c>
      <c r="S47" s="21" t="n">
        <v>0</v>
      </c>
      <c r="T47" s="21" t="n">
        <v>0</v>
      </c>
      <c r="U47" s="21" t="n">
        <v>0</v>
      </c>
      <c r="V47" s="21" t="inlineStr">
        <is>
          <t>Increased Spell Damage XV</t>
        </is>
      </c>
      <c r="W47" s="61">
        <f>N47*'Item Budget'!$B$5+R47*'Item Budget'!$B$7+P47*'Item Budget'!$B$11+S47*'Item Budget'!$B$10+Q47*'Item Budget'!$B$9+IFERROR(INDEX('Item Budget'!$M$25:$M$95,MATCH(V47,'Item Budget'!$B$25:$B$95,0)),0)+IF($C47="Weapon",U47*'Item Budget'!$B$9,0)</f>
        <v/>
      </c>
      <c r="X47" s="61">
        <f>N47*'Item Budget'!$B$5+R47*'Item Budget'!$B$7+P47*'Item Budget'!$B$11+S47*'Item Budget'!$B$10+O47*'Item Budget'!$B$6+T47*'Item Budget'!$B$8+IFERROR(INDEX('Item Budget'!$N$25:$N$95,MATCH(V47,'Item Budget'!$B$25:$B$95,0)),0)</f>
        <v/>
      </c>
      <c r="Y47" s="61">
        <f>MAX('Item Budget'!$F$16,INDEX('Gear Budget'!$C$8:$C$14,MATCH($C47,'Gear Budget'!$A$8:$A$14,0))*MIN(M47,50))*$L47</f>
        <v/>
      </c>
      <c r="Z47" s="41">
        <f>IF($C47="Caster weapon",X47,MAX(W47,X47))/Y47</f>
        <v/>
      </c>
      <c r="AA47" s="61">
        <f>IF(OR($C47="Weapon",$C47="Caster weapon"),"",'Gear Budget'!$B$5*MAX(1,MIN(M47,50))*INDEX('Gear Budget'!$B$8:$B$14,MATCH($C47,'Gear Budget'!$A$8:$A$14,0))*IF($C47="Shield",IF(D47="Warrior",1,IF(OR(D47="Rogue",D47="All"),0.38/0.6,0.25/0.6)),IFERROR(INDEX('Gear Budget'!$B$18:$B$21,MATCH($F47,'Gear Budget'!$A$18:$A$21,0)),1)))</f>
        <v/>
      </c>
      <c r="AB47" s="41">
        <f>IF(AA47="","",P47/AA47)</f>
        <v/>
      </c>
      <c r="AC47" s="21" t="n">
        <v>50</v>
      </c>
      <c r="AD47" s="21" t="n">
        <v>0</v>
      </c>
      <c r="AE47" s="21" t="n">
        <v>5000</v>
      </c>
      <c r="AF47" s="21" t="n">
        <v>450</v>
      </c>
      <c r="AG47" s="21" t="n">
        <v>0</v>
      </c>
      <c r="AH47" s="21" t="n">
        <v>0</v>
      </c>
      <c r="AI47" s="21" t="n">
        <v>0</v>
      </c>
      <c r="AJ47" s="21" t="n">
        <v>0</v>
      </c>
      <c r="AK47" s="21" t="n">
        <v>0</v>
      </c>
      <c r="AL47" s="21" t="inlineStr">
        <is>
          <t>Increased Spell Damage XV</t>
        </is>
      </c>
      <c r="AM47" s="61">
        <f>AD47*'Item Budget'!$B$5+AH47*'Item Budget'!$B$7+AF47*'Item Budget'!$B$11+AI47*'Item Budget'!$B$10+AG47*'Item Budget'!$B$9+IFERROR(INDEX('Item Budget'!$M$25:$M$95,MATCH(AL47,'Item Budget'!$B$25:$B$95,0)),0)+IF($C47="Weapon",AK47*'Item Budget'!$B$9,0)</f>
        <v/>
      </c>
      <c r="AN47" s="61">
        <f>AD47*'Item Budget'!$B$5+AH47*'Item Budget'!$B$7+AF47*'Item Budget'!$B$11+AI47*'Item Budget'!$B$10+AE47*'Item Budget'!$B$6+AJ47*'Item Budget'!$B$8+IFERROR(INDEX('Item Budget'!$N$25:$N$95,MATCH(AL47,'Item Budget'!$B$25:$B$95,0)),0)</f>
        <v/>
      </c>
      <c r="AO47" s="61">
        <f>MAX('Item Budget'!$F$16,INDEX('Gear Budget'!$C$8:$C$14,MATCH($C47,'Gear Budget'!$A$8:$A$14,0))*MIN(AC47,50))*$L47</f>
        <v/>
      </c>
      <c r="AP47" s="41">
        <f>IF($C47="Caster weapon",AN47,MAX(AM47,AN47))/AO47</f>
        <v/>
      </c>
      <c r="AQ47" s="61">
        <f>IF(OR($C47="Weapon",$C47="Caster weapon"),"",'Gear Budget'!$B$5*MAX(1,MIN(AC47,50))*INDEX('Gear Budget'!$B$8:$B$14,MATCH($C47,'Gear Budget'!$A$8:$A$14,0))*IF($C47="Shield",IF(E47="Warrior",1,IF(OR(E47="Rogue",E47="All"),0.38/0.6,0.25/0.6)),IFERROR(INDEX('Gear Budget'!$B$18:$B$21,MATCH($F47,'Gear Budget'!$A$18:$A$21,0)),1)))</f>
        <v/>
      </c>
      <c r="AR47" s="41">
        <f>IF(AQ47="","",AF47/AQ47)</f>
        <v/>
      </c>
      <c r="AS47" s="64" t="n"/>
      <c r="AT47" s="44">
        <f>IF(OR($E47="All",ISNUMBER(SEARCH("Warrior",$E47))),IF($C47="Caster weapon",(AN47+AF47*('Item Budget'!$AB$14-'Item Budget'!$B$11)),(AM47+AF47*('Item Budget'!$AB$14-'Item Budget'!$B$11))),0)</f>
        <v/>
      </c>
      <c r="AU47" s="44">
        <f>IF(OR($E47="All",ISNUMBER(SEARCH("Rogue",$E47))),IF($C47="Caster weapon",(AN47+AF47*('Item Budget'!$AB$15-'Item Budget'!$B$11)),(AM47+AF47*('Item Budget'!$AB$15-'Item Budget'!$B$11))),0)</f>
        <v/>
      </c>
      <c r="AV47" s="44">
        <f>IF(OR($E47="All",ISNUMBER(SEARCH("Magus",$E47))),(AN47+AF47*('Item Budget'!$AB$16-'Item Budget'!$B$11)),0)</f>
        <v/>
      </c>
      <c r="AW47" s="44">
        <f>IF(OR($E47="All",ISNUMBER(SEARCH("Priest",$E47))),(AN47+AF47*('Item Budget'!$AB$17-'Item Budget'!$B$11)),0)</f>
        <v/>
      </c>
      <c r="AX47" s="44">
        <f>IF(AND(OR($E47="All",ISNUMBER(SEARCH("Warrior",$E47))),AC47&gt;='Item Budget'!$R$10),'Item Budget'!$R$7*100*('Item Budget'!$R$14*(AD47+25*AH47)+'Item Budget'!$S$14*(AE47+25*AJ47))/'Item Budget'!$Z$14+'Item Budget'!$R$9*AF47+IFERROR(INDEX('Item Budget'!$O$25:$O$95,MATCH(AL47,'Item Budget'!$B$25:$B$95,0)),0),0)</f>
        <v/>
      </c>
      <c r="AY47" s="44">
        <f>IF(AND(OR($E47="All",ISNUMBER(SEARCH("Rogue",$E47))),AC47&gt;='Item Budget'!$R$10),'Item Budget'!$R$7*100*('Item Budget'!$R$15*(AD47+25*AH47)+'Item Budget'!$S$15*(AE47+25*AJ47))/'Item Budget'!$Z$15+'Item Budget'!$R$9*AF47+IFERROR(INDEX('Item Budget'!$O$25:$O$95,MATCH(AL47,'Item Budget'!$B$25:$B$95,0)),0),0)</f>
        <v/>
      </c>
      <c r="AZ47" s="44">
        <f>IF(AND(OR($E47="All",ISNUMBER(SEARCH("Magus",$E47))),AC47&gt;='Item Budget'!$R$10),'Item Budget'!$R$7*100*('Item Budget'!$R$16*(AD47+25*AH47)+'Item Budget'!$S$16*(AE47+25*AJ47))/'Item Budget'!$Z$16+'Item Budget'!$R$9*AF47+IFERROR(INDEX('Item Budget'!$O$25:$O$95,MATCH(AL47,'Item Budget'!$B$25:$B$95,0)),0),0)</f>
        <v/>
      </c>
      <c r="BA47" s="44">
        <f>IF(AND(OR($E47="All",ISNUMBER(SEARCH("Priest",$E47))),AC47&gt;='Item Budget'!$R$10),'Item Budget'!$R$7*100*('Item Budget'!$R$17*(AD47+25*AH47)+'Item Budget'!$S$17*(AE47+25*AJ47))/'Item Budget'!$Z$17+'Item Budget'!$R$9*AF47+IFERROR(INDEX('Item Budget'!$O$25:$O$95,MATCH(AL47,'Item Budget'!$B$25:$B$95,0)),0),0)</f>
        <v/>
      </c>
      <c r="BB47" s="52">
        <f>IF(OR($I47&lt;1,IF($I47&gt;=6,AX47,AT47)&lt;=0),"",IF(SUMPRODUCT(MAX(($C$5:$C$215=$C47)*($I$5:$I$215&gt;=1)*($I$5:$I$215&lt;$I47)*IF($I47&gt;=6,$AX$5:$AX$215,$AT$5:$AT$215)))&lt;=0,"",SUMPRODUCT(MAX(($C$5:$C$215=$C47)*($I$5:$I$215=$I47)*IF($I47&gt;=6,$AX$5:$AX$215,$AT$5:$AT$215)))/SUMPRODUCT(MAX(($C$5:$C$215=$C47)*($I$5:$I$215&gt;=1)*($I$5:$I$215&lt;$I47)*IF($I47&gt;=6,$AX$5:$AX$215,$AT$5:$AT$215)))-1))</f>
        <v/>
      </c>
      <c r="BC47" s="52">
        <f>IF(OR($I47&lt;1,IF($I47&gt;=6,AY47,AU47)&lt;=0),"",IF(SUMPRODUCT(MAX(($C$5:$C$215=$C47)*($I$5:$I$215&gt;=1)*($I$5:$I$215&lt;$I47)*IF($I47&gt;=6,$AY$5:$AY$215,$AU$5:$AU$215)))&lt;=0,"",SUMPRODUCT(MAX(($C$5:$C$215=$C47)*($I$5:$I$215=$I47)*IF($I47&gt;=6,$AY$5:$AY$215,$AU$5:$AU$215)))/SUMPRODUCT(MAX(($C$5:$C$215=$C47)*($I$5:$I$215&gt;=1)*($I$5:$I$215&lt;$I47)*IF($I47&gt;=6,$AY$5:$AY$215,$AU$5:$AU$215)))-1))</f>
        <v/>
      </c>
      <c r="BD47" s="52">
        <f>IF(OR($I47&lt;1,IF($I47&gt;=6,AZ47,AV47)&lt;=0),"",IF(SUMPRODUCT(MAX(($C$5:$C$215=$C47)*($I$5:$I$215&gt;=1)*($I$5:$I$215&lt;$I47)*IF($I47&gt;=6,$AZ$5:$AZ$215,$AV$5:$AV$215)))&lt;=0,"",SUMPRODUCT(MAX(($C$5:$C$215=$C47)*($I$5:$I$215=$I47)*IF($I47&gt;=6,$AZ$5:$AZ$215,$AV$5:$AV$215)))/SUMPRODUCT(MAX(($C$5:$C$215=$C47)*($I$5:$I$215&gt;=1)*($I$5:$I$215&lt;$I47)*IF($I47&gt;=6,$AZ$5:$AZ$215,$AV$5:$AV$215)))-1))</f>
        <v/>
      </c>
      <c r="BE47" s="52">
        <f>IF(OR($I47&lt;1,IF($I47&gt;=6,BA47,AW47)&lt;=0),"",IF(SUMPRODUCT(MAX(($C$5:$C$215=$C47)*($I$5:$I$215&gt;=1)*($I$5:$I$215&lt;$I47)*IF($I47&gt;=6,$BA$5:$BA$215,$AW$5:$AW$215)))&lt;=0,"",SUMPRODUCT(MAX(($C$5:$C$215=$C47)*($I$5:$I$215=$I47)*IF($I47&gt;=6,$BA$5:$BA$215,$AW$5:$AW$215)))/SUMPRODUCT(MAX(($C$5:$C$215=$C47)*($I$5:$I$215&gt;=1)*($I$5:$I$215&lt;$I47)*IF($I47&gt;=6,$BA$5:$BA$215,$AW$5:$AW$215)))-1))</f>
        <v/>
      </c>
      <c r="BF47" s="19">
        <f>IF(AND(BB47="",BC47="",BD47="",BE47=""),"",IF(IF(AND(ISNUMBER(BB47),BB47&lt;'Item Budget'!$R$11),"W ","")&amp;IF(AND(ISNUMBER(BC47),BC47&lt;'Item Budget'!$R$11),"R ","")&amp;IF(AND(ISNUMBER(BD47),BD47&lt;'Item Budget'!$R$11),"M ","")&amp;IF(AND(ISNUMBER(BE47),BE47&lt;'Item Budget'!$R$11),"P ","")="","OK","Not above lower step: "&amp;IF(AND(ISNUMBER(BB47),BB47&lt;'Item Budget'!$R$11),"W ","")&amp;IF(AND(ISNUMBER(BC47),BC47&lt;'Item Budget'!$R$11),"R ","")&amp;IF(AND(ISNUMBER(BD47),BD47&lt;'Item Budget'!$R$11),"M ","")&amp;IF(AND(ISNUMBER(BE47),BE47&lt;'Item Budget'!$R$11),"P ","")))</f>
        <v/>
      </c>
    </row>
    <row r="48">
      <c r="A48" s="21" t="n">
        <v>9</v>
      </c>
      <c r="B48" s="21" t="inlineStr">
        <is>
          <t>Bunny Ears</t>
        </is>
      </c>
      <c r="C48" s="21" t="inlineStr">
        <is>
          <t>Helmet</t>
        </is>
      </c>
      <c r="D48" s="21" t="inlineStr">
        <is>
          <t>All</t>
        </is>
      </c>
      <c r="E48" s="21" t="inlineStr">
        <is>
          <t>All</t>
        </is>
      </c>
      <c r="F48" s="21" t="inlineStr">
        <is>
          <t>All classes</t>
        </is>
      </c>
      <c r="G48" s="21" t="inlineStr">
        <is>
          <t>drop: Cottontail 2%</t>
        </is>
      </c>
      <c r="H48" s="37" t="n">
        <v>0</v>
      </c>
      <c r="I48" s="21" t="n">
        <v>0</v>
      </c>
      <c r="J48" s="19" t="inlineStr">
        <is>
          <t>Leave</t>
        </is>
      </c>
      <c r="K48" s="21" t="inlineStr">
        <is>
          <t>Rare drop</t>
        </is>
      </c>
      <c r="L48" s="31">
        <f>INDEX('Item Budget'!$F$5:$F$13,MATCH(K48,'Item Budget'!$E$5:$E$13,0))+IF(E48="All",0,'Item Budget'!$F$15)+LOOKUP(H48,'Item Budget'!$E$19:$E$23,'Item Budget'!$F$19:$F$23)</f>
        <v/>
      </c>
      <c r="M48" s="21" t="n">
        <v>0</v>
      </c>
      <c r="N48" s="21" t="n">
        <v>20</v>
      </c>
      <c r="O48" s="21" t="n">
        <v>20</v>
      </c>
      <c r="P48" s="21" t="n">
        <v>20</v>
      </c>
      <c r="Q48" s="21" t="n">
        <v>3</v>
      </c>
      <c r="R48" s="21" t="n">
        <v>0</v>
      </c>
      <c r="S48" s="21" t="n">
        <v>0</v>
      </c>
      <c r="T48" s="21" t="n">
        <v>0</v>
      </c>
      <c r="U48" s="21" t="n">
        <v>0</v>
      </c>
      <c r="V48" s="21" t="inlineStr">
        <is>
          <t>(none)</t>
        </is>
      </c>
      <c r="W48" s="61">
        <f>N48*'Item Budget'!$B$5+R48*'Item Budget'!$B$7+P48*'Item Budget'!$B$11+S48*'Item Budget'!$B$10+Q48*'Item Budget'!$B$9+IFERROR(INDEX('Item Budget'!$M$25:$M$95,MATCH(V48,'Item Budget'!$B$25:$B$95,0)),0)+IF($C48="Weapon",U48*'Item Budget'!$B$9,0)</f>
        <v/>
      </c>
      <c r="X48" s="61">
        <f>N48*'Item Budget'!$B$5+R48*'Item Budget'!$B$7+P48*'Item Budget'!$B$11+S48*'Item Budget'!$B$10+O48*'Item Budget'!$B$6+T48*'Item Budget'!$B$8+IFERROR(INDEX('Item Budget'!$N$25:$N$95,MATCH(V48,'Item Budget'!$B$25:$B$95,0)),0)</f>
        <v/>
      </c>
      <c r="Y48" s="61">
        <f>MAX('Item Budget'!$F$16,INDEX('Gear Budget'!$C$8:$C$14,MATCH($C48,'Gear Budget'!$A$8:$A$14,0))*MIN(M48,50))*$L48</f>
        <v/>
      </c>
      <c r="Z48" s="41">
        <f>IF($C48="Caster weapon",X48,MAX(W48,X48))/Y48</f>
        <v/>
      </c>
      <c r="AA48" s="61">
        <f>IF(OR($C48="Weapon",$C48="Caster weapon"),"",'Gear Budget'!$B$5*MAX(1,MIN(M48,50))*INDEX('Gear Budget'!$B$8:$B$14,MATCH($C48,'Gear Budget'!$A$8:$A$14,0))*IF($C48="Shield",IF(D48="Warrior",1,IF(OR(D48="Rogue",D48="All"),0.38/0.6,0.25/0.6)),IFERROR(INDEX('Gear Budget'!$B$18:$B$21,MATCH($F48,'Gear Budget'!$A$18:$A$21,0)),1)))</f>
        <v/>
      </c>
      <c r="AB48" s="41">
        <f>IF(AA48="","",P48/AA48)</f>
        <v/>
      </c>
      <c r="AC48" s="21" t="n">
        <v>0</v>
      </c>
      <c r="AD48" s="21" t="n">
        <v>20</v>
      </c>
      <c r="AE48" s="21" t="n">
        <v>20</v>
      </c>
      <c r="AF48" s="21" t="n">
        <v>20</v>
      </c>
      <c r="AG48" s="21" t="n">
        <v>3</v>
      </c>
      <c r="AH48" s="21" t="n">
        <v>0</v>
      </c>
      <c r="AI48" s="21" t="n">
        <v>0</v>
      </c>
      <c r="AJ48" s="21" t="n">
        <v>0</v>
      </c>
      <c r="AK48" s="21" t="n">
        <v>0</v>
      </c>
      <c r="AL48" s="21" t="inlineStr">
        <is>
          <t>(none)</t>
        </is>
      </c>
      <c r="AM48" s="61">
        <f>AD48*'Item Budget'!$B$5+AH48*'Item Budget'!$B$7+AF48*'Item Budget'!$B$11+AI48*'Item Budget'!$B$10+AG48*'Item Budget'!$B$9+IFERROR(INDEX('Item Budget'!$M$25:$M$95,MATCH(AL48,'Item Budget'!$B$25:$B$95,0)),0)+IF($C48="Weapon",AK48*'Item Budget'!$B$9,0)</f>
        <v/>
      </c>
      <c r="AN48" s="61">
        <f>AD48*'Item Budget'!$B$5+AH48*'Item Budget'!$B$7+AF48*'Item Budget'!$B$11+AI48*'Item Budget'!$B$10+AE48*'Item Budget'!$B$6+AJ48*'Item Budget'!$B$8+IFERROR(INDEX('Item Budget'!$N$25:$N$95,MATCH(AL48,'Item Budget'!$B$25:$B$95,0)),0)</f>
        <v/>
      </c>
      <c r="AO48" s="61">
        <f>MAX('Item Budget'!$F$16,INDEX('Gear Budget'!$C$8:$C$14,MATCH($C48,'Gear Budget'!$A$8:$A$14,0))*MIN(AC48,50))*$L48</f>
        <v/>
      </c>
      <c r="AP48" s="41">
        <f>IF($C48="Caster weapon",AN48,MAX(AM48,AN48))/AO48</f>
        <v/>
      </c>
      <c r="AQ48" s="61">
        <f>IF(OR($C48="Weapon",$C48="Caster weapon"),"",'Gear Budget'!$B$5*MAX(1,MIN(AC48,50))*INDEX('Gear Budget'!$B$8:$B$14,MATCH($C48,'Gear Budget'!$A$8:$A$14,0))*IF($C48="Shield",IF(E48="Warrior",1,IF(OR(E48="Rogue",E48="All"),0.38/0.6,0.25/0.6)),IFERROR(INDEX('Gear Budget'!$B$18:$B$21,MATCH($F48,'Gear Budget'!$A$18:$A$21,0)),1)))</f>
        <v/>
      </c>
      <c r="AR48" s="41">
        <f>IF(AQ48="","",AF48/AQ48)</f>
        <v/>
      </c>
      <c r="AS48" s="64" t="n"/>
      <c r="AT48" s="44">
        <f>IF(OR($E48="All",ISNUMBER(SEARCH("Warrior",$E48))),IF($C48="Caster weapon",(AN48+AF48*('Item Budget'!$AB$14-'Item Budget'!$B$11)),(AM48+AF48*('Item Budget'!$AB$14-'Item Budget'!$B$11))),0)</f>
        <v/>
      </c>
      <c r="AU48" s="44">
        <f>IF(OR($E48="All",ISNUMBER(SEARCH("Rogue",$E48))),IF($C48="Caster weapon",(AN48+AF48*('Item Budget'!$AB$15-'Item Budget'!$B$11)),(AM48+AF48*('Item Budget'!$AB$15-'Item Budget'!$B$11))),0)</f>
        <v/>
      </c>
      <c r="AV48" s="44">
        <f>IF(OR($E48="All",ISNUMBER(SEARCH("Magus",$E48))),(AN48+AF48*('Item Budget'!$AB$16-'Item Budget'!$B$11)),0)</f>
        <v/>
      </c>
      <c r="AW48" s="44">
        <f>IF(OR($E48="All",ISNUMBER(SEARCH("Priest",$E48))),(AN48+AF48*('Item Budget'!$AB$17-'Item Budget'!$B$11)),0)</f>
        <v/>
      </c>
      <c r="AX48" s="44">
        <f>IF(AND(OR($E48="All",ISNUMBER(SEARCH("Warrior",$E48))),AC48&gt;='Item Budget'!$R$10),'Item Budget'!$R$7*100*('Item Budget'!$R$14*(AD48+25*AH48)+'Item Budget'!$S$14*(AE48+25*AJ48))/'Item Budget'!$Z$14+'Item Budget'!$R$9*AF48+IFERROR(INDEX('Item Budget'!$O$25:$O$95,MATCH(AL48,'Item Budget'!$B$25:$B$95,0)),0),0)</f>
        <v/>
      </c>
      <c r="AY48" s="44">
        <f>IF(AND(OR($E48="All",ISNUMBER(SEARCH("Rogue",$E48))),AC48&gt;='Item Budget'!$R$10),'Item Budget'!$R$7*100*('Item Budget'!$R$15*(AD48+25*AH48)+'Item Budget'!$S$15*(AE48+25*AJ48))/'Item Budget'!$Z$15+'Item Budget'!$R$9*AF48+IFERROR(INDEX('Item Budget'!$O$25:$O$95,MATCH(AL48,'Item Budget'!$B$25:$B$95,0)),0),0)</f>
        <v/>
      </c>
      <c r="AZ48" s="44">
        <f>IF(AND(OR($E48="All",ISNUMBER(SEARCH("Magus",$E48))),AC48&gt;='Item Budget'!$R$10),'Item Budget'!$R$7*100*('Item Budget'!$R$16*(AD48+25*AH48)+'Item Budget'!$S$16*(AE48+25*AJ48))/'Item Budget'!$Z$16+'Item Budget'!$R$9*AF48+IFERROR(INDEX('Item Budget'!$O$25:$O$95,MATCH(AL48,'Item Budget'!$B$25:$B$95,0)),0),0)</f>
        <v/>
      </c>
      <c r="BA48" s="44">
        <f>IF(AND(OR($E48="All",ISNUMBER(SEARCH("Priest",$E48))),AC48&gt;='Item Budget'!$R$10),'Item Budget'!$R$7*100*('Item Budget'!$R$17*(AD48+25*AH48)+'Item Budget'!$S$17*(AE48+25*AJ48))/'Item Budget'!$Z$17+'Item Budget'!$R$9*AF48+IFERROR(INDEX('Item Budget'!$O$25:$O$95,MATCH(AL48,'Item Budget'!$B$25:$B$95,0)),0),0)</f>
        <v/>
      </c>
      <c r="BB48" s="52">
        <f>IF(OR($I48&lt;1,IF($I48&gt;=6,AX48,AT48)&lt;=0),"",IF(SUMPRODUCT(MAX(($C$5:$C$215=$C48)*($I$5:$I$215&gt;=1)*($I$5:$I$215&lt;$I48)*IF($I48&gt;=6,$AX$5:$AX$215,$AT$5:$AT$215)))&lt;=0,"",SUMPRODUCT(MAX(($C$5:$C$215=$C48)*($I$5:$I$215=$I48)*IF($I48&gt;=6,$AX$5:$AX$215,$AT$5:$AT$215)))/SUMPRODUCT(MAX(($C$5:$C$215=$C48)*($I$5:$I$215&gt;=1)*($I$5:$I$215&lt;$I48)*IF($I48&gt;=6,$AX$5:$AX$215,$AT$5:$AT$215)))-1))</f>
        <v/>
      </c>
      <c r="BC48" s="52">
        <f>IF(OR($I48&lt;1,IF($I48&gt;=6,AY48,AU48)&lt;=0),"",IF(SUMPRODUCT(MAX(($C$5:$C$215=$C48)*($I$5:$I$215&gt;=1)*($I$5:$I$215&lt;$I48)*IF($I48&gt;=6,$AY$5:$AY$215,$AU$5:$AU$215)))&lt;=0,"",SUMPRODUCT(MAX(($C$5:$C$215=$C48)*($I$5:$I$215=$I48)*IF($I48&gt;=6,$AY$5:$AY$215,$AU$5:$AU$215)))/SUMPRODUCT(MAX(($C$5:$C$215=$C48)*($I$5:$I$215&gt;=1)*($I$5:$I$215&lt;$I48)*IF($I48&gt;=6,$AY$5:$AY$215,$AU$5:$AU$215)))-1))</f>
        <v/>
      </c>
      <c r="BD48" s="52">
        <f>IF(OR($I48&lt;1,IF($I48&gt;=6,AZ48,AV48)&lt;=0),"",IF(SUMPRODUCT(MAX(($C$5:$C$215=$C48)*($I$5:$I$215&gt;=1)*($I$5:$I$215&lt;$I48)*IF($I48&gt;=6,$AZ$5:$AZ$215,$AV$5:$AV$215)))&lt;=0,"",SUMPRODUCT(MAX(($C$5:$C$215=$C48)*($I$5:$I$215=$I48)*IF($I48&gt;=6,$AZ$5:$AZ$215,$AV$5:$AV$215)))/SUMPRODUCT(MAX(($C$5:$C$215=$C48)*($I$5:$I$215&gt;=1)*($I$5:$I$215&lt;$I48)*IF($I48&gt;=6,$AZ$5:$AZ$215,$AV$5:$AV$215)))-1))</f>
        <v/>
      </c>
      <c r="BE48" s="52">
        <f>IF(OR($I48&lt;1,IF($I48&gt;=6,BA48,AW48)&lt;=0),"",IF(SUMPRODUCT(MAX(($C$5:$C$215=$C48)*($I$5:$I$215&gt;=1)*($I$5:$I$215&lt;$I48)*IF($I48&gt;=6,$BA$5:$BA$215,$AW$5:$AW$215)))&lt;=0,"",SUMPRODUCT(MAX(($C$5:$C$215=$C48)*($I$5:$I$215=$I48)*IF($I48&gt;=6,$BA$5:$BA$215,$AW$5:$AW$215)))/SUMPRODUCT(MAX(($C$5:$C$215=$C48)*($I$5:$I$215&gt;=1)*($I$5:$I$215&lt;$I48)*IF($I48&gt;=6,$BA$5:$BA$215,$AW$5:$AW$215)))-1))</f>
        <v/>
      </c>
      <c r="BF48" s="19">
        <f>IF(AND(BB48="",BC48="",BD48="",BE48=""),"",IF(IF(AND(ISNUMBER(BB48),BB48&lt;'Item Budget'!$R$11),"W ","")&amp;IF(AND(ISNUMBER(BC48),BC48&lt;'Item Budget'!$R$11),"R ","")&amp;IF(AND(ISNUMBER(BD48),BD48&lt;'Item Budget'!$R$11),"M ","")&amp;IF(AND(ISNUMBER(BE48),BE48&lt;'Item Budget'!$R$11),"P ","")="","OK","Not above lower step: "&amp;IF(AND(ISNUMBER(BB48),BB48&lt;'Item Budget'!$R$11),"W ","")&amp;IF(AND(ISNUMBER(BC48),BC48&lt;'Item Budget'!$R$11),"R ","")&amp;IF(AND(ISNUMBER(BD48),BD48&lt;'Item Budget'!$R$11),"M ","")&amp;IF(AND(ISNUMBER(BE48),BE48&lt;'Item Budget'!$R$11),"P ","")))</f>
        <v/>
      </c>
    </row>
    <row r="49">
      <c r="A49" s="21" t="n">
        <v>91</v>
      </c>
      <c r="B49" s="21" t="inlineStr">
        <is>
          <t>Cloth Cap</t>
        </is>
      </c>
      <c r="C49" s="21" t="inlineStr">
        <is>
          <t>Helmet</t>
        </is>
      </c>
      <c r="D49" s="21" t="inlineStr">
        <is>
          <t>All</t>
        </is>
      </c>
      <c r="E49" s="21" t="inlineStr">
        <is>
          <t>All</t>
        </is>
      </c>
      <c r="F49" s="21" t="inlineStr">
        <is>
          <t>All classes</t>
        </is>
      </c>
      <c r="G49" s="21" t="inlineStr">
        <is>
          <t>vendor: Cloth Armor Guy</t>
        </is>
      </c>
      <c r="H49" s="37" t="n">
        <v>0</v>
      </c>
      <c r="I49" s="21" t="n">
        <v>0</v>
      </c>
      <c r="J49" s="3" t="inlineStr">
        <is>
          <t>Applied</t>
        </is>
      </c>
      <c r="K49" s="21" t="inlineStr">
        <is>
          <t>Vendor</t>
        </is>
      </c>
      <c r="L49" s="31">
        <f>INDEX('Item Budget'!$F$5:$F$13,MATCH(K49,'Item Budget'!$E$5:$E$13,0))+IF(E49="All",0,'Item Budget'!$F$15)+LOOKUP(H49,'Item Budget'!$E$19:$E$23,'Item Budget'!$F$19:$F$23)</f>
        <v/>
      </c>
      <c r="M49" s="21" t="n">
        <v>1</v>
      </c>
      <c r="N49" s="21" t="n">
        <v>0</v>
      </c>
      <c r="O49" s="21" t="n">
        <v>0</v>
      </c>
      <c r="P49" s="21" t="n">
        <v>4</v>
      </c>
      <c r="Q49" s="21" t="n">
        <v>0</v>
      </c>
      <c r="R49" s="21" t="n">
        <v>1</v>
      </c>
      <c r="S49" s="21" t="n">
        <v>0</v>
      </c>
      <c r="T49" s="21" t="n">
        <v>0</v>
      </c>
      <c r="U49" s="21" t="n">
        <v>0</v>
      </c>
      <c r="V49" s="21" t="inlineStr">
        <is>
          <t>(none)</t>
        </is>
      </c>
      <c r="W49" s="61">
        <f>N49*'Item Budget'!$B$5+R49*'Item Budget'!$B$7+P49*'Item Budget'!$B$11+S49*'Item Budget'!$B$10+Q49*'Item Budget'!$B$9+IFERROR(INDEX('Item Budget'!$M$25:$M$95,MATCH(V49,'Item Budget'!$B$25:$B$95,0)),0)+IF($C49="Weapon",U49*'Item Budget'!$B$9,0)</f>
        <v/>
      </c>
      <c r="X49" s="61">
        <f>N49*'Item Budget'!$B$5+R49*'Item Budget'!$B$7+P49*'Item Budget'!$B$11+S49*'Item Budget'!$B$10+O49*'Item Budget'!$B$6+T49*'Item Budget'!$B$8+IFERROR(INDEX('Item Budget'!$N$25:$N$95,MATCH(V49,'Item Budget'!$B$25:$B$95,0)),0)</f>
        <v/>
      </c>
      <c r="Y49" s="61">
        <f>MAX('Item Budget'!$F$16,INDEX('Gear Budget'!$C$8:$C$14,MATCH($C49,'Gear Budget'!$A$8:$A$14,0))*MIN(M49,50))*$L49</f>
        <v/>
      </c>
      <c r="Z49" s="41">
        <f>IF($C49="Caster weapon",X49,MAX(W49,X49))/Y49</f>
        <v/>
      </c>
      <c r="AA49" s="61">
        <f>IF(OR($C49="Weapon",$C49="Caster weapon"),"",'Gear Budget'!$B$5*MAX(1,MIN(M49,50))*INDEX('Gear Budget'!$B$8:$B$14,MATCH($C49,'Gear Budget'!$A$8:$A$14,0))*IF($C49="Shield",IF(D49="Warrior",1,IF(OR(D49="Rogue",D49="All"),0.38/0.6,0.25/0.6)),IFERROR(INDEX('Gear Budget'!$B$18:$B$21,MATCH($F49,'Gear Budget'!$A$18:$A$21,0)),1)))</f>
        <v/>
      </c>
      <c r="AB49" s="41">
        <f>IF(AA49="","",P49/AA49)</f>
        <v/>
      </c>
      <c r="AC49" s="21" t="n">
        <v>1</v>
      </c>
      <c r="AD49" s="21" t="n">
        <v>0</v>
      </c>
      <c r="AE49" s="21" t="n">
        <v>0</v>
      </c>
      <c r="AF49" s="21" t="n">
        <v>4</v>
      </c>
      <c r="AG49" s="21" t="n">
        <v>0</v>
      </c>
      <c r="AH49" s="21" t="n">
        <v>1</v>
      </c>
      <c r="AI49" s="21" t="n">
        <v>0</v>
      </c>
      <c r="AJ49" s="21" t="n">
        <v>0</v>
      </c>
      <c r="AK49" s="21" t="n">
        <v>0</v>
      </c>
      <c r="AL49" s="21" t="inlineStr">
        <is>
          <t>(none)</t>
        </is>
      </c>
      <c r="AM49" s="61">
        <f>AD49*'Item Budget'!$B$5+AH49*'Item Budget'!$B$7+AF49*'Item Budget'!$B$11+AI49*'Item Budget'!$B$10+AG49*'Item Budget'!$B$9+IFERROR(INDEX('Item Budget'!$M$25:$M$95,MATCH(AL49,'Item Budget'!$B$25:$B$95,0)),0)+IF($C49="Weapon",AK49*'Item Budget'!$B$9,0)</f>
        <v/>
      </c>
      <c r="AN49" s="61">
        <f>AD49*'Item Budget'!$B$5+AH49*'Item Budget'!$B$7+AF49*'Item Budget'!$B$11+AI49*'Item Budget'!$B$10+AE49*'Item Budget'!$B$6+AJ49*'Item Budget'!$B$8+IFERROR(INDEX('Item Budget'!$N$25:$N$95,MATCH(AL49,'Item Budget'!$B$25:$B$95,0)),0)</f>
        <v/>
      </c>
      <c r="AO49" s="61">
        <f>MAX('Item Budget'!$F$16,INDEX('Gear Budget'!$C$8:$C$14,MATCH($C49,'Gear Budget'!$A$8:$A$14,0))*MIN(AC49,50))*$L49</f>
        <v/>
      </c>
      <c r="AP49" s="41">
        <f>IF($C49="Caster weapon",AN49,MAX(AM49,AN49))/AO49</f>
        <v/>
      </c>
      <c r="AQ49" s="61">
        <f>IF(OR($C49="Weapon",$C49="Caster weapon"),"",'Gear Budget'!$B$5*MAX(1,MIN(AC49,50))*INDEX('Gear Budget'!$B$8:$B$14,MATCH($C49,'Gear Budget'!$A$8:$A$14,0))*IF($C49="Shield",IF(E49="Warrior",1,IF(OR(E49="Rogue",E49="All"),0.38/0.6,0.25/0.6)),IFERROR(INDEX('Gear Budget'!$B$18:$B$21,MATCH($F49,'Gear Budget'!$A$18:$A$21,0)),1)))</f>
        <v/>
      </c>
      <c r="AR49" s="41">
        <f>IF(AQ49="","",AF49/AQ49)</f>
        <v/>
      </c>
      <c r="AS49" s="64" t="inlineStr">
        <is>
          <t>Pass 1 (applied): Token +1 STA.</t>
        </is>
      </c>
      <c r="AT49" s="44">
        <f>IF(OR($E49="All",ISNUMBER(SEARCH("Warrior",$E49))),IF($C49="Caster weapon",(AN49+AF49*('Item Budget'!$AB$14-'Item Budget'!$B$11)),(AM49+AF49*('Item Budget'!$AB$14-'Item Budget'!$B$11))),0)</f>
        <v/>
      </c>
      <c r="AU49" s="44">
        <f>IF(OR($E49="All",ISNUMBER(SEARCH("Rogue",$E49))),IF($C49="Caster weapon",(AN49+AF49*('Item Budget'!$AB$15-'Item Budget'!$B$11)),(AM49+AF49*('Item Budget'!$AB$15-'Item Budget'!$B$11))),0)</f>
        <v/>
      </c>
      <c r="AV49" s="44">
        <f>IF(OR($E49="All",ISNUMBER(SEARCH("Magus",$E49))),(AN49+AF49*('Item Budget'!$AB$16-'Item Budget'!$B$11)),0)</f>
        <v/>
      </c>
      <c r="AW49" s="44">
        <f>IF(OR($E49="All",ISNUMBER(SEARCH("Priest",$E49))),(AN49+AF49*('Item Budget'!$AB$17-'Item Budget'!$B$11)),0)</f>
        <v/>
      </c>
      <c r="AX49" s="44">
        <f>IF(AND(OR($E49="All",ISNUMBER(SEARCH("Warrior",$E49))),AC49&gt;='Item Budget'!$R$10),'Item Budget'!$R$7*100*('Item Budget'!$R$14*(AD49+25*AH49)+'Item Budget'!$S$14*(AE49+25*AJ49))/'Item Budget'!$Z$14+'Item Budget'!$R$9*AF49+IFERROR(INDEX('Item Budget'!$O$25:$O$95,MATCH(AL49,'Item Budget'!$B$25:$B$95,0)),0),0)</f>
        <v/>
      </c>
      <c r="AY49" s="44">
        <f>IF(AND(OR($E49="All",ISNUMBER(SEARCH("Rogue",$E49))),AC49&gt;='Item Budget'!$R$10),'Item Budget'!$R$7*100*('Item Budget'!$R$15*(AD49+25*AH49)+'Item Budget'!$S$15*(AE49+25*AJ49))/'Item Budget'!$Z$15+'Item Budget'!$R$9*AF49+IFERROR(INDEX('Item Budget'!$O$25:$O$95,MATCH(AL49,'Item Budget'!$B$25:$B$95,0)),0),0)</f>
        <v/>
      </c>
      <c r="AZ49" s="44">
        <f>IF(AND(OR($E49="All",ISNUMBER(SEARCH("Magus",$E49))),AC49&gt;='Item Budget'!$R$10),'Item Budget'!$R$7*100*('Item Budget'!$R$16*(AD49+25*AH49)+'Item Budget'!$S$16*(AE49+25*AJ49))/'Item Budget'!$Z$16+'Item Budget'!$R$9*AF49+IFERROR(INDEX('Item Budget'!$O$25:$O$95,MATCH(AL49,'Item Budget'!$B$25:$B$95,0)),0),0)</f>
        <v/>
      </c>
      <c r="BA49" s="44">
        <f>IF(AND(OR($E49="All",ISNUMBER(SEARCH("Priest",$E49))),AC49&gt;='Item Budget'!$R$10),'Item Budget'!$R$7*100*('Item Budget'!$R$17*(AD49+25*AH49)+'Item Budget'!$S$17*(AE49+25*AJ49))/'Item Budget'!$Z$17+'Item Budget'!$R$9*AF49+IFERROR(INDEX('Item Budget'!$O$25:$O$95,MATCH(AL49,'Item Budget'!$B$25:$B$95,0)),0),0)</f>
        <v/>
      </c>
      <c r="BB49" s="52">
        <f>IF(OR($I49&lt;1,IF($I49&gt;=6,AX49,AT49)&lt;=0),"",IF(SUMPRODUCT(MAX(($C$5:$C$215=$C49)*($I$5:$I$215&gt;=1)*($I$5:$I$215&lt;$I49)*IF($I49&gt;=6,$AX$5:$AX$215,$AT$5:$AT$215)))&lt;=0,"",SUMPRODUCT(MAX(($C$5:$C$215=$C49)*($I$5:$I$215=$I49)*IF($I49&gt;=6,$AX$5:$AX$215,$AT$5:$AT$215)))/SUMPRODUCT(MAX(($C$5:$C$215=$C49)*($I$5:$I$215&gt;=1)*($I$5:$I$215&lt;$I49)*IF($I49&gt;=6,$AX$5:$AX$215,$AT$5:$AT$215)))-1))</f>
        <v/>
      </c>
      <c r="BC49" s="52">
        <f>IF(OR($I49&lt;1,IF($I49&gt;=6,AY49,AU49)&lt;=0),"",IF(SUMPRODUCT(MAX(($C$5:$C$215=$C49)*($I$5:$I$215&gt;=1)*($I$5:$I$215&lt;$I49)*IF($I49&gt;=6,$AY$5:$AY$215,$AU$5:$AU$215)))&lt;=0,"",SUMPRODUCT(MAX(($C$5:$C$215=$C49)*($I$5:$I$215=$I49)*IF($I49&gt;=6,$AY$5:$AY$215,$AU$5:$AU$215)))/SUMPRODUCT(MAX(($C$5:$C$215=$C49)*($I$5:$I$215&gt;=1)*($I$5:$I$215&lt;$I49)*IF($I49&gt;=6,$AY$5:$AY$215,$AU$5:$AU$215)))-1))</f>
        <v/>
      </c>
      <c r="BD49" s="52">
        <f>IF(OR($I49&lt;1,IF($I49&gt;=6,AZ49,AV49)&lt;=0),"",IF(SUMPRODUCT(MAX(($C$5:$C$215=$C49)*($I$5:$I$215&gt;=1)*($I$5:$I$215&lt;$I49)*IF($I49&gt;=6,$AZ$5:$AZ$215,$AV$5:$AV$215)))&lt;=0,"",SUMPRODUCT(MAX(($C$5:$C$215=$C49)*($I$5:$I$215=$I49)*IF($I49&gt;=6,$AZ$5:$AZ$215,$AV$5:$AV$215)))/SUMPRODUCT(MAX(($C$5:$C$215=$C49)*($I$5:$I$215&gt;=1)*($I$5:$I$215&lt;$I49)*IF($I49&gt;=6,$AZ$5:$AZ$215,$AV$5:$AV$215)))-1))</f>
        <v/>
      </c>
      <c r="BE49" s="52">
        <f>IF(OR($I49&lt;1,IF($I49&gt;=6,BA49,AW49)&lt;=0),"",IF(SUMPRODUCT(MAX(($C$5:$C$215=$C49)*($I$5:$I$215&gt;=1)*($I$5:$I$215&lt;$I49)*IF($I49&gt;=6,$BA$5:$BA$215,$AW$5:$AW$215)))&lt;=0,"",SUMPRODUCT(MAX(($C$5:$C$215=$C49)*($I$5:$I$215=$I49)*IF($I49&gt;=6,$BA$5:$BA$215,$AW$5:$AW$215)))/SUMPRODUCT(MAX(($C$5:$C$215=$C49)*($I$5:$I$215&gt;=1)*($I$5:$I$215&lt;$I49)*IF($I49&gt;=6,$BA$5:$BA$215,$AW$5:$AW$215)))-1))</f>
        <v/>
      </c>
      <c r="BF49" s="19">
        <f>IF(AND(BB49="",BC49="",BD49="",BE49=""),"",IF(IF(AND(ISNUMBER(BB49),BB49&lt;'Item Budget'!$R$11),"W ","")&amp;IF(AND(ISNUMBER(BC49),BC49&lt;'Item Budget'!$R$11),"R ","")&amp;IF(AND(ISNUMBER(BD49),BD49&lt;'Item Budget'!$R$11),"M ","")&amp;IF(AND(ISNUMBER(BE49),BE49&lt;'Item Budget'!$R$11),"P ","")="","OK","Not above lower step: "&amp;IF(AND(ISNUMBER(BB49),BB49&lt;'Item Budget'!$R$11),"W ","")&amp;IF(AND(ISNUMBER(BC49),BC49&lt;'Item Budget'!$R$11),"R ","")&amp;IF(AND(ISNUMBER(BD49),BD49&lt;'Item Budget'!$R$11),"M ","")&amp;IF(AND(ISNUMBER(BE49),BE49&lt;'Item Budget'!$R$11),"P ","")))</f>
        <v/>
      </c>
    </row>
    <row r="50">
      <c r="A50" s="21" t="n">
        <v>96</v>
      </c>
      <c r="B50" s="21" t="inlineStr">
        <is>
          <t>Hays Tail</t>
        </is>
      </c>
      <c r="C50" s="21" t="inlineStr">
        <is>
          <t>Helmet</t>
        </is>
      </c>
      <c r="D50" s="21" t="inlineStr">
        <is>
          <t>All</t>
        </is>
      </c>
      <c r="E50" s="21" t="inlineStr">
        <is>
          <t>All</t>
        </is>
      </c>
      <c r="F50" s="21" t="inlineStr">
        <is>
          <t>All classes</t>
        </is>
      </c>
      <c r="G50" s="21" t="inlineStr">
        <is>
          <t>drop: Hay 5%</t>
        </is>
      </c>
      <c r="H50" s="37" t="n">
        <v>0</v>
      </c>
      <c r="I50" s="21" t="n">
        <v>0</v>
      </c>
      <c r="J50" s="19" t="inlineStr">
        <is>
          <t>Leave</t>
        </is>
      </c>
      <c r="K50" s="21" t="inlineStr">
        <is>
          <t>Rare boss drop</t>
        </is>
      </c>
      <c r="L50" s="31">
        <f>INDEX('Item Budget'!$F$5:$F$13,MATCH(K50,'Item Budget'!$E$5:$E$13,0))+IF(E50="All",0,'Item Budget'!$F$15)+LOOKUP(H50,'Item Budget'!$E$19:$E$23,'Item Budget'!$F$19:$F$23)</f>
        <v/>
      </c>
      <c r="M50" s="21" t="n">
        <v>1</v>
      </c>
      <c r="N50" s="21" t="n">
        <v>0</v>
      </c>
      <c r="O50" s="21" t="n">
        <v>50</v>
      </c>
      <c r="P50" s="21" t="n">
        <v>15</v>
      </c>
      <c r="Q50" s="21" t="n">
        <v>5</v>
      </c>
      <c r="R50" s="21" t="n">
        <v>5</v>
      </c>
      <c r="S50" s="21" t="n">
        <v>5</v>
      </c>
      <c r="T50" s="21" t="n">
        <v>5</v>
      </c>
      <c r="U50" s="21" t="n">
        <v>0</v>
      </c>
      <c r="V50" s="21" t="inlineStr">
        <is>
          <t>(none)</t>
        </is>
      </c>
      <c r="W50" s="61">
        <f>N50*'Item Budget'!$B$5+R50*'Item Budget'!$B$7+P50*'Item Budget'!$B$11+S50*'Item Budget'!$B$10+Q50*'Item Budget'!$B$9+IFERROR(INDEX('Item Budget'!$M$25:$M$95,MATCH(V50,'Item Budget'!$B$25:$B$95,0)),0)+IF($C50="Weapon",U50*'Item Budget'!$B$9,0)</f>
        <v/>
      </c>
      <c r="X50" s="61">
        <f>N50*'Item Budget'!$B$5+R50*'Item Budget'!$B$7+P50*'Item Budget'!$B$11+S50*'Item Budget'!$B$10+O50*'Item Budget'!$B$6+T50*'Item Budget'!$B$8+IFERROR(INDEX('Item Budget'!$N$25:$N$95,MATCH(V50,'Item Budget'!$B$25:$B$95,0)),0)</f>
        <v/>
      </c>
      <c r="Y50" s="61">
        <f>MAX('Item Budget'!$F$16,INDEX('Gear Budget'!$C$8:$C$14,MATCH($C50,'Gear Budget'!$A$8:$A$14,0))*MIN(M50,50))*$L50</f>
        <v/>
      </c>
      <c r="Z50" s="41">
        <f>IF($C50="Caster weapon",X50,MAX(W50,X50))/Y50</f>
        <v/>
      </c>
      <c r="AA50" s="61">
        <f>IF(OR($C50="Weapon",$C50="Caster weapon"),"",'Gear Budget'!$B$5*MAX(1,MIN(M50,50))*INDEX('Gear Budget'!$B$8:$B$14,MATCH($C50,'Gear Budget'!$A$8:$A$14,0))*IF($C50="Shield",IF(D50="Warrior",1,IF(OR(D50="Rogue",D50="All"),0.38/0.6,0.25/0.6)),IFERROR(INDEX('Gear Budget'!$B$18:$B$21,MATCH($F50,'Gear Budget'!$A$18:$A$21,0)),1)))</f>
        <v/>
      </c>
      <c r="AB50" s="41">
        <f>IF(AA50="","",P50/AA50)</f>
        <v/>
      </c>
      <c r="AC50" s="21" t="n">
        <v>1</v>
      </c>
      <c r="AD50" s="21" t="n">
        <v>0</v>
      </c>
      <c r="AE50" s="21" t="n">
        <v>50</v>
      </c>
      <c r="AF50" s="21" t="n">
        <v>15</v>
      </c>
      <c r="AG50" s="21" t="n">
        <v>5</v>
      </c>
      <c r="AH50" s="21" t="n">
        <v>5</v>
      </c>
      <c r="AI50" s="21" t="n">
        <v>5</v>
      </c>
      <c r="AJ50" s="21" t="n">
        <v>5</v>
      </c>
      <c r="AK50" s="21" t="n">
        <v>0</v>
      </c>
      <c r="AL50" s="21" t="inlineStr">
        <is>
          <t>(none)</t>
        </is>
      </c>
      <c r="AM50" s="61">
        <f>AD50*'Item Budget'!$B$5+AH50*'Item Budget'!$B$7+AF50*'Item Budget'!$B$11+AI50*'Item Budget'!$B$10+AG50*'Item Budget'!$B$9+IFERROR(INDEX('Item Budget'!$M$25:$M$95,MATCH(AL50,'Item Budget'!$B$25:$B$95,0)),0)+IF($C50="Weapon",AK50*'Item Budget'!$B$9,0)</f>
        <v/>
      </c>
      <c r="AN50" s="61">
        <f>AD50*'Item Budget'!$B$5+AH50*'Item Budget'!$B$7+AF50*'Item Budget'!$B$11+AI50*'Item Budget'!$B$10+AE50*'Item Budget'!$B$6+AJ50*'Item Budget'!$B$8+IFERROR(INDEX('Item Budget'!$N$25:$N$95,MATCH(AL50,'Item Budget'!$B$25:$B$95,0)),0)</f>
        <v/>
      </c>
      <c r="AO50" s="61">
        <f>MAX('Item Budget'!$F$16,INDEX('Gear Budget'!$C$8:$C$14,MATCH($C50,'Gear Budget'!$A$8:$A$14,0))*MIN(AC50,50))*$L50</f>
        <v/>
      </c>
      <c r="AP50" s="41">
        <f>IF($C50="Caster weapon",AN50,MAX(AM50,AN50))/AO50</f>
        <v/>
      </c>
      <c r="AQ50" s="61">
        <f>IF(OR($C50="Weapon",$C50="Caster weapon"),"",'Gear Budget'!$B$5*MAX(1,MIN(AC50,50))*INDEX('Gear Budget'!$B$8:$B$14,MATCH($C50,'Gear Budget'!$A$8:$A$14,0))*IF($C50="Shield",IF(E50="Warrior",1,IF(OR(E50="Rogue",E50="All"),0.38/0.6,0.25/0.6)),IFERROR(INDEX('Gear Budget'!$B$18:$B$21,MATCH($F50,'Gear Budget'!$A$18:$A$21,0)),1)))</f>
        <v/>
      </c>
      <c r="AR50" s="41">
        <f>IF(AQ50="","",AF50/AQ50)</f>
        <v/>
      </c>
      <c r="AS50" s="64" t="inlineStr">
        <is>
          <t>Pass 1 (applied): Gear for alts (L1 item from a L50 boss). Not rebalanced.</t>
        </is>
      </c>
      <c r="AT50" s="44">
        <f>IF(OR($E50="All",ISNUMBER(SEARCH("Warrior",$E50))),IF($C50="Caster weapon",(AN50+AF50*('Item Budget'!$AB$14-'Item Budget'!$B$11)),(AM50+AF50*('Item Budget'!$AB$14-'Item Budget'!$B$11))),0)</f>
        <v/>
      </c>
      <c r="AU50" s="44">
        <f>IF(OR($E50="All",ISNUMBER(SEARCH("Rogue",$E50))),IF($C50="Caster weapon",(AN50+AF50*('Item Budget'!$AB$15-'Item Budget'!$B$11)),(AM50+AF50*('Item Budget'!$AB$15-'Item Budget'!$B$11))),0)</f>
        <v/>
      </c>
      <c r="AV50" s="44">
        <f>IF(OR($E50="All",ISNUMBER(SEARCH("Magus",$E50))),(AN50+AF50*('Item Budget'!$AB$16-'Item Budget'!$B$11)),0)</f>
        <v/>
      </c>
      <c r="AW50" s="44">
        <f>IF(OR($E50="All",ISNUMBER(SEARCH("Priest",$E50))),(AN50+AF50*('Item Budget'!$AB$17-'Item Budget'!$B$11)),0)</f>
        <v/>
      </c>
      <c r="AX50" s="44">
        <f>IF(AND(OR($E50="All",ISNUMBER(SEARCH("Warrior",$E50))),AC50&gt;='Item Budget'!$R$10),'Item Budget'!$R$7*100*('Item Budget'!$R$14*(AD50+25*AH50)+'Item Budget'!$S$14*(AE50+25*AJ50))/'Item Budget'!$Z$14+'Item Budget'!$R$9*AF50+IFERROR(INDEX('Item Budget'!$O$25:$O$95,MATCH(AL50,'Item Budget'!$B$25:$B$95,0)),0),0)</f>
        <v/>
      </c>
      <c r="AY50" s="44">
        <f>IF(AND(OR($E50="All",ISNUMBER(SEARCH("Rogue",$E50))),AC50&gt;='Item Budget'!$R$10),'Item Budget'!$R$7*100*('Item Budget'!$R$15*(AD50+25*AH50)+'Item Budget'!$S$15*(AE50+25*AJ50))/'Item Budget'!$Z$15+'Item Budget'!$R$9*AF50+IFERROR(INDEX('Item Budget'!$O$25:$O$95,MATCH(AL50,'Item Budget'!$B$25:$B$95,0)),0),0)</f>
        <v/>
      </c>
      <c r="AZ50" s="44">
        <f>IF(AND(OR($E50="All",ISNUMBER(SEARCH("Magus",$E50))),AC50&gt;='Item Budget'!$R$10),'Item Budget'!$R$7*100*('Item Budget'!$R$16*(AD50+25*AH50)+'Item Budget'!$S$16*(AE50+25*AJ50))/'Item Budget'!$Z$16+'Item Budget'!$R$9*AF50+IFERROR(INDEX('Item Budget'!$O$25:$O$95,MATCH(AL50,'Item Budget'!$B$25:$B$95,0)),0),0)</f>
        <v/>
      </c>
      <c r="BA50" s="44">
        <f>IF(AND(OR($E50="All",ISNUMBER(SEARCH("Priest",$E50))),AC50&gt;='Item Budget'!$R$10),'Item Budget'!$R$7*100*('Item Budget'!$R$17*(AD50+25*AH50)+'Item Budget'!$S$17*(AE50+25*AJ50))/'Item Budget'!$Z$17+'Item Budget'!$R$9*AF50+IFERROR(INDEX('Item Budget'!$O$25:$O$95,MATCH(AL50,'Item Budget'!$B$25:$B$95,0)),0),0)</f>
        <v/>
      </c>
      <c r="BB50" s="52">
        <f>IF(OR($I50&lt;1,IF($I50&gt;=6,AX50,AT50)&lt;=0),"",IF(SUMPRODUCT(MAX(($C$5:$C$215=$C50)*($I$5:$I$215&gt;=1)*($I$5:$I$215&lt;$I50)*IF($I50&gt;=6,$AX$5:$AX$215,$AT$5:$AT$215)))&lt;=0,"",SUMPRODUCT(MAX(($C$5:$C$215=$C50)*($I$5:$I$215=$I50)*IF($I50&gt;=6,$AX$5:$AX$215,$AT$5:$AT$215)))/SUMPRODUCT(MAX(($C$5:$C$215=$C50)*($I$5:$I$215&gt;=1)*($I$5:$I$215&lt;$I50)*IF($I50&gt;=6,$AX$5:$AX$215,$AT$5:$AT$215)))-1))</f>
        <v/>
      </c>
      <c r="BC50" s="52">
        <f>IF(OR($I50&lt;1,IF($I50&gt;=6,AY50,AU50)&lt;=0),"",IF(SUMPRODUCT(MAX(($C$5:$C$215=$C50)*($I$5:$I$215&gt;=1)*($I$5:$I$215&lt;$I50)*IF($I50&gt;=6,$AY$5:$AY$215,$AU$5:$AU$215)))&lt;=0,"",SUMPRODUCT(MAX(($C$5:$C$215=$C50)*($I$5:$I$215=$I50)*IF($I50&gt;=6,$AY$5:$AY$215,$AU$5:$AU$215)))/SUMPRODUCT(MAX(($C$5:$C$215=$C50)*($I$5:$I$215&gt;=1)*($I$5:$I$215&lt;$I50)*IF($I50&gt;=6,$AY$5:$AY$215,$AU$5:$AU$215)))-1))</f>
        <v/>
      </c>
      <c r="BD50" s="52">
        <f>IF(OR($I50&lt;1,IF($I50&gt;=6,AZ50,AV50)&lt;=0),"",IF(SUMPRODUCT(MAX(($C$5:$C$215=$C50)*($I$5:$I$215&gt;=1)*($I$5:$I$215&lt;$I50)*IF($I50&gt;=6,$AZ$5:$AZ$215,$AV$5:$AV$215)))&lt;=0,"",SUMPRODUCT(MAX(($C$5:$C$215=$C50)*($I$5:$I$215=$I50)*IF($I50&gt;=6,$AZ$5:$AZ$215,$AV$5:$AV$215)))/SUMPRODUCT(MAX(($C$5:$C$215=$C50)*($I$5:$I$215&gt;=1)*($I$5:$I$215&lt;$I50)*IF($I50&gt;=6,$AZ$5:$AZ$215,$AV$5:$AV$215)))-1))</f>
        <v/>
      </c>
      <c r="BE50" s="52">
        <f>IF(OR($I50&lt;1,IF($I50&gt;=6,BA50,AW50)&lt;=0),"",IF(SUMPRODUCT(MAX(($C$5:$C$215=$C50)*($I$5:$I$215&gt;=1)*($I$5:$I$215&lt;$I50)*IF($I50&gt;=6,$BA$5:$BA$215,$AW$5:$AW$215)))&lt;=0,"",SUMPRODUCT(MAX(($C$5:$C$215=$C50)*($I$5:$I$215=$I50)*IF($I50&gt;=6,$BA$5:$BA$215,$AW$5:$AW$215)))/SUMPRODUCT(MAX(($C$5:$C$215=$C50)*($I$5:$I$215&gt;=1)*($I$5:$I$215&lt;$I50)*IF($I50&gt;=6,$BA$5:$BA$215,$AW$5:$AW$215)))-1))</f>
        <v/>
      </c>
      <c r="BF50" s="19">
        <f>IF(AND(BB50="",BC50="",BD50="",BE50=""),"",IF(IF(AND(ISNUMBER(BB50),BB50&lt;'Item Budget'!$R$11),"W ","")&amp;IF(AND(ISNUMBER(BC50),BC50&lt;'Item Budget'!$R$11),"R ","")&amp;IF(AND(ISNUMBER(BD50),BD50&lt;'Item Budget'!$R$11),"M ","")&amp;IF(AND(ISNUMBER(BE50),BE50&lt;'Item Budget'!$R$11),"P ","")="","OK","Not above lower step: "&amp;IF(AND(ISNUMBER(BB50),BB50&lt;'Item Budget'!$R$11),"W ","")&amp;IF(AND(ISNUMBER(BC50),BC50&lt;'Item Budget'!$R$11),"R ","")&amp;IF(AND(ISNUMBER(BD50),BD50&lt;'Item Budget'!$R$11),"M ","")&amp;IF(AND(ISNUMBER(BE50),BE50&lt;'Item Budget'!$R$11),"P ","")))</f>
        <v/>
      </c>
    </row>
    <row r="51">
      <c r="A51" s="21" t="n">
        <v>98</v>
      </c>
      <c r="B51" s="21" t="inlineStr">
        <is>
          <t>Leather Cap</t>
        </is>
      </c>
      <c r="C51" s="21" t="inlineStr">
        <is>
          <t>Helmet</t>
        </is>
      </c>
      <c r="D51" s="21" t="inlineStr">
        <is>
          <t>All</t>
        </is>
      </c>
      <c r="E51" s="21" t="inlineStr">
        <is>
          <t>All</t>
        </is>
      </c>
      <c r="F51" s="21" t="inlineStr">
        <is>
          <t>Warrior plate</t>
        </is>
      </c>
      <c r="G51" s="21" t="inlineStr">
        <is>
          <t>vendor: Leather Armor Guy</t>
        </is>
      </c>
      <c r="H51" s="37" t="n">
        <v>0</v>
      </c>
      <c r="I51" s="21" t="n">
        <v>0</v>
      </c>
      <c r="J51" s="3" t="inlineStr">
        <is>
          <t>Applied</t>
        </is>
      </c>
      <c r="K51" s="21" t="inlineStr">
        <is>
          <t>Vendor</t>
        </is>
      </c>
      <c r="L51" s="31">
        <f>INDEX('Item Budget'!$F$5:$F$13,MATCH(K51,'Item Budget'!$E$5:$E$13,0))+IF(E51="All",0,'Item Budget'!$F$15)+LOOKUP(H51,'Item Budget'!$E$19:$E$23,'Item Budget'!$F$19:$F$23)</f>
        <v/>
      </c>
      <c r="M51" s="21" t="n">
        <v>10</v>
      </c>
      <c r="N51" s="21" t="n">
        <v>0</v>
      </c>
      <c r="O51" s="21" t="n">
        <v>10</v>
      </c>
      <c r="P51" s="21" t="n">
        <v>10</v>
      </c>
      <c r="Q51" s="21" t="n">
        <v>1</v>
      </c>
      <c r="R51" s="21" t="n">
        <v>2</v>
      </c>
      <c r="S51" s="21" t="n">
        <v>0</v>
      </c>
      <c r="T51" s="21" t="n">
        <v>1</v>
      </c>
      <c r="U51" s="21" t="n">
        <v>0</v>
      </c>
      <c r="V51" s="21" t="inlineStr">
        <is>
          <t>(none)</t>
        </is>
      </c>
      <c r="W51" s="61">
        <f>N51*'Item Budget'!$B$5+R51*'Item Budget'!$B$7+P51*'Item Budget'!$B$11+S51*'Item Budget'!$B$10+Q51*'Item Budget'!$B$9+IFERROR(INDEX('Item Budget'!$M$25:$M$95,MATCH(V51,'Item Budget'!$B$25:$B$95,0)),0)+IF($C51="Weapon",U51*'Item Budget'!$B$9,0)</f>
        <v/>
      </c>
      <c r="X51" s="61">
        <f>N51*'Item Budget'!$B$5+R51*'Item Budget'!$B$7+P51*'Item Budget'!$B$11+S51*'Item Budget'!$B$10+O51*'Item Budget'!$B$6+T51*'Item Budget'!$B$8+IFERROR(INDEX('Item Budget'!$N$25:$N$95,MATCH(V51,'Item Budget'!$B$25:$B$95,0)),0)</f>
        <v/>
      </c>
      <c r="Y51" s="61">
        <f>MAX('Item Budget'!$F$16,INDEX('Gear Budget'!$C$8:$C$14,MATCH($C51,'Gear Budget'!$A$8:$A$14,0))*MIN(M51,50))*$L51</f>
        <v/>
      </c>
      <c r="Z51" s="41">
        <f>IF($C51="Caster weapon",X51,MAX(W51,X51))/Y51</f>
        <v/>
      </c>
      <c r="AA51" s="61">
        <f>IF(OR($C51="Weapon",$C51="Caster weapon"),"",'Gear Budget'!$B$5*MAX(1,MIN(M51,50))*INDEX('Gear Budget'!$B$8:$B$14,MATCH($C51,'Gear Budget'!$A$8:$A$14,0))*IF($C51="Shield",IF(D51="Warrior",1,IF(OR(D51="Rogue",D51="All"),0.38/0.6,0.25/0.6)),IFERROR(INDEX('Gear Budget'!$B$18:$B$21,MATCH($F51,'Gear Budget'!$A$18:$A$21,0)),1)))</f>
        <v/>
      </c>
      <c r="AB51" s="41">
        <f>IF(AA51="","",P51/AA51)</f>
        <v/>
      </c>
      <c r="AC51" s="21" t="n">
        <v>10</v>
      </c>
      <c r="AD51" s="21" t="n">
        <v>0</v>
      </c>
      <c r="AE51" s="21" t="n">
        <v>10</v>
      </c>
      <c r="AF51" s="21" t="n">
        <v>10</v>
      </c>
      <c r="AG51" s="21" t="n">
        <v>1</v>
      </c>
      <c r="AH51" s="21" t="n">
        <v>2</v>
      </c>
      <c r="AI51" s="21" t="n">
        <v>0</v>
      </c>
      <c r="AJ51" s="21" t="n">
        <v>1</v>
      </c>
      <c r="AK51" s="21" t="n">
        <v>0</v>
      </c>
      <c r="AL51" s="21" t="inlineStr">
        <is>
          <t>(none)</t>
        </is>
      </c>
      <c r="AM51" s="61">
        <f>AD51*'Item Budget'!$B$5+AH51*'Item Budget'!$B$7+AF51*'Item Budget'!$B$11+AI51*'Item Budget'!$B$10+AG51*'Item Budget'!$B$9+IFERROR(INDEX('Item Budget'!$M$25:$M$95,MATCH(AL51,'Item Budget'!$B$25:$B$95,0)),0)+IF($C51="Weapon",AK51*'Item Budget'!$B$9,0)</f>
        <v/>
      </c>
      <c r="AN51" s="61">
        <f>AD51*'Item Budget'!$B$5+AH51*'Item Budget'!$B$7+AF51*'Item Budget'!$B$11+AI51*'Item Budget'!$B$10+AE51*'Item Budget'!$B$6+AJ51*'Item Budget'!$B$8+IFERROR(INDEX('Item Budget'!$N$25:$N$95,MATCH(AL51,'Item Budget'!$B$25:$B$95,0)),0)</f>
        <v/>
      </c>
      <c r="AO51" s="61">
        <f>MAX('Item Budget'!$F$16,INDEX('Gear Budget'!$C$8:$C$14,MATCH($C51,'Gear Budget'!$A$8:$A$14,0))*MIN(AC51,50))*$L51</f>
        <v/>
      </c>
      <c r="AP51" s="41">
        <f>IF($C51="Caster weapon",AN51,MAX(AM51,AN51))/AO51</f>
        <v/>
      </c>
      <c r="AQ51" s="61">
        <f>IF(OR($C51="Weapon",$C51="Caster weapon"),"",'Gear Budget'!$B$5*MAX(1,MIN(AC51,50))*INDEX('Gear Budget'!$B$8:$B$14,MATCH($C51,'Gear Budget'!$A$8:$A$14,0))*IF($C51="Shield",IF(E51="Warrior",1,IF(OR(E51="Rogue",E51="All"),0.38/0.6,0.25/0.6)),IFERROR(INDEX('Gear Budget'!$B$18:$B$21,MATCH($F51,'Gear Budget'!$A$18:$A$21,0)),1)))</f>
        <v/>
      </c>
      <c r="AR51" s="41">
        <f>IF(AQ51="","",AF51/AQ51)</f>
        <v/>
      </c>
      <c r="AS51" s="64" t="inlineStr">
        <is>
          <t>Pass 1 (applied): All classes. AC 7 -&gt; 10 so the cap matches the boots.</t>
        </is>
      </c>
      <c r="AT51" s="44">
        <f>IF(OR($E51="All",ISNUMBER(SEARCH("Warrior",$E51))),IF($C51="Caster weapon",(AN51+AF51*('Item Budget'!$AB$14-'Item Budget'!$B$11)),(AM51+AF51*('Item Budget'!$AB$14-'Item Budget'!$B$11))),0)</f>
        <v/>
      </c>
      <c r="AU51" s="44">
        <f>IF(OR($E51="All",ISNUMBER(SEARCH("Rogue",$E51))),IF($C51="Caster weapon",(AN51+AF51*('Item Budget'!$AB$15-'Item Budget'!$B$11)),(AM51+AF51*('Item Budget'!$AB$15-'Item Budget'!$B$11))),0)</f>
        <v/>
      </c>
      <c r="AV51" s="44">
        <f>IF(OR($E51="All",ISNUMBER(SEARCH("Magus",$E51))),(AN51+AF51*('Item Budget'!$AB$16-'Item Budget'!$B$11)),0)</f>
        <v/>
      </c>
      <c r="AW51" s="44">
        <f>IF(OR($E51="All",ISNUMBER(SEARCH("Priest",$E51))),(AN51+AF51*('Item Budget'!$AB$17-'Item Budget'!$B$11)),0)</f>
        <v/>
      </c>
      <c r="AX51" s="44">
        <f>IF(AND(OR($E51="All",ISNUMBER(SEARCH("Warrior",$E51))),AC51&gt;='Item Budget'!$R$10),'Item Budget'!$R$7*100*('Item Budget'!$R$14*(AD51+25*AH51)+'Item Budget'!$S$14*(AE51+25*AJ51))/'Item Budget'!$Z$14+'Item Budget'!$R$9*AF51+IFERROR(INDEX('Item Budget'!$O$25:$O$95,MATCH(AL51,'Item Budget'!$B$25:$B$95,0)),0),0)</f>
        <v/>
      </c>
      <c r="AY51" s="44">
        <f>IF(AND(OR($E51="All",ISNUMBER(SEARCH("Rogue",$E51))),AC51&gt;='Item Budget'!$R$10),'Item Budget'!$R$7*100*('Item Budget'!$R$15*(AD51+25*AH51)+'Item Budget'!$S$15*(AE51+25*AJ51))/'Item Budget'!$Z$15+'Item Budget'!$R$9*AF51+IFERROR(INDEX('Item Budget'!$O$25:$O$95,MATCH(AL51,'Item Budget'!$B$25:$B$95,0)),0),0)</f>
        <v/>
      </c>
      <c r="AZ51" s="44">
        <f>IF(AND(OR($E51="All",ISNUMBER(SEARCH("Magus",$E51))),AC51&gt;='Item Budget'!$R$10),'Item Budget'!$R$7*100*('Item Budget'!$R$16*(AD51+25*AH51)+'Item Budget'!$S$16*(AE51+25*AJ51))/'Item Budget'!$Z$16+'Item Budget'!$R$9*AF51+IFERROR(INDEX('Item Budget'!$O$25:$O$95,MATCH(AL51,'Item Budget'!$B$25:$B$95,0)),0),0)</f>
        <v/>
      </c>
      <c r="BA51" s="44">
        <f>IF(AND(OR($E51="All",ISNUMBER(SEARCH("Priest",$E51))),AC51&gt;='Item Budget'!$R$10),'Item Budget'!$R$7*100*('Item Budget'!$R$17*(AD51+25*AH51)+'Item Budget'!$S$17*(AE51+25*AJ51))/'Item Budget'!$Z$17+'Item Budget'!$R$9*AF51+IFERROR(INDEX('Item Budget'!$O$25:$O$95,MATCH(AL51,'Item Budget'!$B$25:$B$95,0)),0),0)</f>
        <v/>
      </c>
      <c r="BB51" s="52">
        <f>IF(OR($I51&lt;1,IF($I51&gt;=6,AX51,AT51)&lt;=0),"",IF(SUMPRODUCT(MAX(($C$5:$C$215=$C51)*($I$5:$I$215&gt;=1)*($I$5:$I$215&lt;$I51)*IF($I51&gt;=6,$AX$5:$AX$215,$AT$5:$AT$215)))&lt;=0,"",SUMPRODUCT(MAX(($C$5:$C$215=$C51)*($I$5:$I$215=$I51)*IF($I51&gt;=6,$AX$5:$AX$215,$AT$5:$AT$215)))/SUMPRODUCT(MAX(($C$5:$C$215=$C51)*($I$5:$I$215&gt;=1)*($I$5:$I$215&lt;$I51)*IF($I51&gt;=6,$AX$5:$AX$215,$AT$5:$AT$215)))-1))</f>
        <v/>
      </c>
      <c r="BC51" s="52">
        <f>IF(OR($I51&lt;1,IF($I51&gt;=6,AY51,AU51)&lt;=0),"",IF(SUMPRODUCT(MAX(($C$5:$C$215=$C51)*($I$5:$I$215&gt;=1)*($I$5:$I$215&lt;$I51)*IF($I51&gt;=6,$AY$5:$AY$215,$AU$5:$AU$215)))&lt;=0,"",SUMPRODUCT(MAX(($C$5:$C$215=$C51)*($I$5:$I$215=$I51)*IF($I51&gt;=6,$AY$5:$AY$215,$AU$5:$AU$215)))/SUMPRODUCT(MAX(($C$5:$C$215=$C51)*($I$5:$I$215&gt;=1)*($I$5:$I$215&lt;$I51)*IF($I51&gt;=6,$AY$5:$AY$215,$AU$5:$AU$215)))-1))</f>
        <v/>
      </c>
      <c r="BD51" s="52">
        <f>IF(OR($I51&lt;1,IF($I51&gt;=6,AZ51,AV51)&lt;=0),"",IF(SUMPRODUCT(MAX(($C$5:$C$215=$C51)*($I$5:$I$215&gt;=1)*($I$5:$I$215&lt;$I51)*IF($I51&gt;=6,$AZ$5:$AZ$215,$AV$5:$AV$215)))&lt;=0,"",SUMPRODUCT(MAX(($C$5:$C$215=$C51)*($I$5:$I$215=$I51)*IF($I51&gt;=6,$AZ$5:$AZ$215,$AV$5:$AV$215)))/SUMPRODUCT(MAX(($C$5:$C$215=$C51)*($I$5:$I$215&gt;=1)*($I$5:$I$215&lt;$I51)*IF($I51&gt;=6,$AZ$5:$AZ$215,$AV$5:$AV$215)))-1))</f>
        <v/>
      </c>
      <c r="BE51" s="52">
        <f>IF(OR($I51&lt;1,IF($I51&gt;=6,BA51,AW51)&lt;=0),"",IF(SUMPRODUCT(MAX(($C$5:$C$215=$C51)*($I$5:$I$215&gt;=1)*($I$5:$I$215&lt;$I51)*IF($I51&gt;=6,$BA$5:$BA$215,$AW$5:$AW$215)))&lt;=0,"",SUMPRODUCT(MAX(($C$5:$C$215=$C51)*($I$5:$I$215=$I51)*IF($I51&gt;=6,$BA$5:$BA$215,$AW$5:$AW$215)))/SUMPRODUCT(MAX(($C$5:$C$215=$C51)*($I$5:$I$215&gt;=1)*($I$5:$I$215&lt;$I51)*IF($I51&gt;=6,$BA$5:$BA$215,$AW$5:$AW$215)))-1))</f>
        <v/>
      </c>
      <c r="BF51" s="19">
        <f>IF(AND(BB51="",BC51="",BD51="",BE51=""),"",IF(IF(AND(ISNUMBER(BB51),BB51&lt;'Item Budget'!$R$11),"W ","")&amp;IF(AND(ISNUMBER(BC51),BC51&lt;'Item Budget'!$R$11),"R ","")&amp;IF(AND(ISNUMBER(BD51),BD51&lt;'Item Budget'!$R$11),"M ","")&amp;IF(AND(ISNUMBER(BE51),BE51&lt;'Item Budget'!$R$11),"P ","")="","OK","Not above lower step: "&amp;IF(AND(ISNUMBER(BB51),BB51&lt;'Item Budget'!$R$11),"W ","")&amp;IF(AND(ISNUMBER(BC51),BC51&lt;'Item Budget'!$R$11),"R ","")&amp;IF(AND(ISNUMBER(BD51),BD51&lt;'Item Budget'!$R$11),"M ","")&amp;IF(AND(ISNUMBER(BE51),BE51&lt;'Item Budget'!$R$11),"P ","")))</f>
        <v/>
      </c>
    </row>
    <row r="52">
      <c r="A52" s="21" t="n">
        <v>453</v>
      </c>
      <c r="B52" s="21" t="inlineStr">
        <is>
          <t>Cat Ears</t>
        </is>
      </c>
      <c r="C52" s="21" t="inlineStr">
        <is>
          <t>Helmet</t>
        </is>
      </c>
      <c r="D52" s="21" t="inlineStr">
        <is>
          <t>All</t>
        </is>
      </c>
      <c r="E52" s="21" t="inlineStr">
        <is>
          <t>All</t>
        </is>
      </c>
      <c r="F52" s="21" t="inlineStr">
        <is>
          <t>All classes</t>
        </is>
      </c>
      <c r="G52" s="21" t="inlineStr">
        <is>
          <t>craft</t>
        </is>
      </c>
      <c r="H52" s="37" t="n">
        <v>0</v>
      </c>
      <c r="I52" s="21" t="n">
        <v>0</v>
      </c>
      <c r="J52" s="19" t="inlineStr">
        <is>
          <t>Leave</t>
        </is>
      </c>
      <c r="K52" s="21" t="inlineStr">
        <is>
          <t>Crafted</t>
        </is>
      </c>
      <c r="L52" s="31">
        <f>INDEX('Item Budget'!$F$5:$F$13,MATCH(K52,'Item Budget'!$E$5:$E$13,0))+IF(E52="All",0,'Item Budget'!$F$15)+LOOKUP(H52,'Item Budget'!$E$19:$E$23,'Item Budget'!$F$19:$F$23)</f>
        <v/>
      </c>
      <c r="M52" s="21" t="n">
        <v>15</v>
      </c>
      <c r="N52" s="21" t="n">
        <v>30</v>
      </c>
      <c r="O52" s="21" t="n">
        <v>30</v>
      </c>
      <c r="P52" s="21" t="n">
        <v>30</v>
      </c>
      <c r="Q52" s="21" t="n">
        <v>4</v>
      </c>
      <c r="R52" s="21" t="n">
        <v>0</v>
      </c>
      <c r="S52" s="21" t="n">
        <v>0</v>
      </c>
      <c r="T52" s="21" t="n">
        <v>0</v>
      </c>
      <c r="U52" s="21" t="n">
        <v>0</v>
      </c>
      <c r="V52" s="21" t="inlineStr">
        <is>
          <t>(none)</t>
        </is>
      </c>
      <c r="W52" s="61">
        <f>N52*'Item Budget'!$B$5+R52*'Item Budget'!$B$7+P52*'Item Budget'!$B$11+S52*'Item Budget'!$B$10+Q52*'Item Budget'!$B$9+IFERROR(INDEX('Item Budget'!$M$25:$M$95,MATCH(V52,'Item Budget'!$B$25:$B$95,0)),0)+IF($C52="Weapon",U52*'Item Budget'!$B$9,0)</f>
        <v/>
      </c>
      <c r="X52" s="61">
        <f>N52*'Item Budget'!$B$5+R52*'Item Budget'!$B$7+P52*'Item Budget'!$B$11+S52*'Item Budget'!$B$10+O52*'Item Budget'!$B$6+T52*'Item Budget'!$B$8+IFERROR(INDEX('Item Budget'!$N$25:$N$95,MATCH(V52,'Item Budget'!$B$25:$B$95,0)),0)</f>
        <v/>
      </c>
      <c r="Y52" s="61">
        <f>MAX('Item Budget'!$F$16,INDEX('Gear Budget'!$C$8:$C$14,MATCH($C52,'Gear Budget'!$A$8:$A$14,0))*MIN(M52,50))*$L52</f>
        <v/>
      </c>
      <c r="Z52" s="41">
        <f>IF($C52="Caster weapon",X52,MAX(W52,X52))/Y52</f>
        <v/>
      </c>
      <c r="AA52" s="61">
        <f>IF(OR($C52="Weapon",$C52="Caster weapon"),"",'Gear Budget'!$B$5*MAX(1,MIN(M52,50))*INDEX('Gear Budget'!$B$8:$B$14,MATCH($C52,'Gear Budget'!$A$8:$A$14,0))*IF($C52="Shield",IF(D52="Warrior",1,IF(OR(D52="Rogue",D52="All"),0.38/0.6,0.25/0.6)),IFERROR(INDEX('Gear Budget'!$B$18:$B$21,MATCH($F52,'Gear Budget'!$A$18:$A$21,0)),1)))</f>
        <v/>
      </c>
      <c r="AB52" s="41">
        <f>IF(AA52="","",P52/AA52)</f>
        <v/>
      </c>
      <c r="AC52" s="21" t="n">
        <v>15</v>
      </c>
      <c r="AD52" s="21" t="n">
        <v>30</v>
      </c>
      <c r="AE52" s="21" t="n">
        <v>30</v>
      </c>
      <c r="AF52" s="21" t="n">
        <v>30</v>
      </c>
      <c r="AG52" s="21" t="n">
        <v>4</v>
      </c>
      <c r="AH52" s="21" t="n">
        <v>0</v>
      </c>
      <c r="AI52" s="21" t="n">
        <v>0</v>
      </c>
      <c r="AJ52" s="21" t="n">
        <v>0</v>
      </c>
      <c r="AK52" s="21" t="n">
        <v>0</v>
      </c>
      <c r="AL52" s="21" t="inlineStr">
        <is>
          <t>(none)</t>
        </is>
      </c>
      <c r="AM52" s="61">
        <f>AD52*'Item Budget'!$B$5+AH52*'Item Budget'!$B$7+AF52*'Item Budget'!$B$11+AI52*'Item Budget'!$B$10+AG52*'Item Budget'!$B$9+IFERROR(INDEX('Item Budget'!$M$25:$M$95,MATCH(AL52,'Item Budget'!$B$25:$B$95,0)),0)+IF($C52="Weapon",AK52*'Item Budget'!$B$9,0)</f>
        <v/>
      </c>
      <c r="AN52" s="61">
        <f>AD52*'Item Budget'!$B$5+AH52*'Item Budget'!$B$7+AF52*'Item Budget'!$B$11+AI52*'Item Budget'!$B$10+AE52*'Item Budget'!$B$6+AJ52*'Item Budget'!$B$8+IFERROR(INDEX('Item Budget'!$N$25:$N$95,MATCH(AL52,'Item Budget'!$B$25:$B$95,0)),0)</f>
        <v/>
      </c>
      <c r="AO52" s="61">
        <f>MAX('Item Budget'!$F$16,INDEX('Gear Budget'!$C$8:$C$14,MATCH($C52,'Gear Budget'!$A$8:$A$14,0))*MIN(AC52,50))*$L52</f>
        <v/>
      </c>
      <c r="AP52" s="41">
        <f>IF($C52="Caster weapon",AN52,MAX(AM52,AN52))/AO52</f>
        <v/>
      </c>
      <c r="AQ52" s="61">
        <f>IF(OR($C52="Weapon",$C52="Caster weapon"),"",'Gear Budget'!$B$5*MAX(1,MIN(AC52,50))*INDEX('Gear Budget'!$B$8:$B$14,MATCH($C52,'Gear Budget'!$A$8:$A$14,0))*IF($C52="Shield",IF(E52="Warrior",1,IF(OR(E52="Rogue",E52="All"),0.38/0.6,0.25/0.6)),IFERROR(INDEX('Gear Budget'!$B$18:$B$21,MATCH($F52,'Gear Budget'!$A$18:$A$21,0)),1)))</f>
        <v/>
      </c>
      <c r="AR52" s="41">
        <f>IF(AQ52="","",AF52/AQ52)</f>
        <v/>
      </c>
      <c r="AS52" s="64" t="n"/>
      <c r="AT52" s="44">
        <f>IF(OR($E52="All",ISNUMBER(SEARCH("Warrior",$E52))),IF($C52="Caster weapon",(AN52+AF52*('Item Budget'!$AB$14-'Item Budget'!$B$11)),(AM52+AF52*('Item Budget'!$AB$14-'Item Budget'!$B$11))),0)</f>
        <v/>
      </c>
      <c r="AU52" s="44">
        <f>IF(OR($E52="All",ISNUMBER(SEARCH("Rogue",$E52))),IF($C52="Caster weapon",(AN52+AF52*('Item Budget'!$AB$15-'Item Budget'!$B$11)),(AM52+AF52*('Item Budget'!$AB$15-'Item Budget'!$B$11))),0)</f>
        <v/>
      </c>
      <c r="AV52" s="44">
        <f>IF(OR($E52="All",ISNUMBER(SEARCH("Magus",$E52))),(AN52+AF52*('Item Budget'!$AB$16-'Item Budget'!$B$11)),0)</f>
        <v/>
      </c>
      <c r="AW52" s="44">
        <f>IF(OR($E52="All",ISNUMBER(SEARCH("Priest",$E52))),(AN52+AF52*('Item Budget'!$AB$17-'Item Budget'!$B$11)),0)</f>
        <v/>
      </c>
      <c r="AX52" s="44">
        <f>IF(AND(OR($E52="All",ISNUMBER(SEARCH("Warrior",$E52))),AC52&gt;='Item Budget'!$R$10),'Item Budget'!$R$7*100*('Item Budget'!$R$14*(AD52+25*AH52)+'Item Budget'!$S$14*(AE52+25*AJ52))/'Item Budget'!$Z$14+'Item Budget'!$R$9*AF52+IFERROR(INDEX('Item Budget'!$O$25:$O$95,MATCH(AL52,'Item Budget'!$B$25:$B$95,0)),0),0)</f>
        <v/>
      </c>
      <c r="AY52" s="44">
        <f>IF(AND(OR($E52="All",ISNUMBER(SEARCH("Rogue",$E52))),AC52&gt;='Item Budget'!$R$10),'Item Budget'!$R$7*100*('Item Budget'!$R$15*(AD52+25*AH52)+'Item Budget'!$S$15*(AE52+25*AJ52))/'Item Budget'!$Z$15+'Item Budget'!$R$9*AF52+IFERROR(INDEX('Item Budget'!$O$25:$O$95,MATCH(AL52,'Item Budget'!$B$25:$B$95,0)),0),0)</f>
        <v/>
      </c>
      <c r="AZ52" s="44">
        <f>IF(AND(OR($E52="All",ISNUMBER(SEARCH("Magus",$E52))),AC52&gt;='Item Budget'!$R$10),'Item Budget'!$R$7*100*('Item Budget'!$R$16*(AD52+25*AH52)+'Item Budget'!$S$16*(AE52+25*AJ52))/'Item Budget'!$Z$16+'Item Budget'!$R$9*AF52+IFERROR(INDEX('Item Budget'!$O$25:$O$95,MATCH(AL52,'Item Budget'!$B$25:$B$95,0)),0),0)</f>
        <v/>
      </c>
      <c r="BA52" s="44">
        <f>IF(AND(OR($E52="All",ISNUMBER(SEARCH("Priest",$E52))),AC52&gt;='Item Budget'!$R$10),'Item Budget'!$R$7*100*('Item Budget'!$R$17*(AD52+25*AH52)+'Item Budget'!$S$17*(AE52+25*AJ52))/'Item Budget'!$Z$17+'Item Budget'!$R$9*AF52+IFERROR(INDEX('Item Budget'!$O$25:$O$95,MATCH(AL52,'Item Budget'!$B$25:$B$95,0)),0),0)</f>
        <v/>
      </c>
      <c r="BB52" s="52">
        <f>IF(OR($I52&lt;1,IF($I52&gt;=6,AX52,AT52)&lt;=0),"",IF(SUMPRODUCT(MAX(($C$5:$C$215=$C52)*($I$5:$I$215&gt;=1)*($I$5:$I$215&lt;$I52)*IF($I52&gt;=6,$AX$5:$AX$215,$AT$5:$AT$215)))&lt;=0,"",SUMPRODUCT(MAX(($C$5:$C$215=$C52)*($I$5:$I$215=$I52)*IF($I52&gt;=6,$AX$5:$AX$215,$AT$5:$AT$215)))/SUMPRODUCT(MAX(($C$5:$C$215=$C52)*($I$5:$I$215&gt;=1)*($I$5:$I$215&lt;$I52)*IF($I52&gt;=6,$AX$5:$AX$215,$AT$5:$AT$215)))-1))</f>
        <v/>
      </c>
      <c r="BC52" s="52">
        <f>IF(OR($I52&lt;1,IF($I52&gt;=6,AY52,AU52)&lt;=0),"",IF(SUMPRODUCT(MAX(($C$5:$C$215=$C52)*($I$5:$I$215&gt;=1)*($I$5:$I$215&lt;$I52)*IF($I52&gt;=6,$AY$5:$AY$215,$AU$5:$AU$215)))&lt;=0,"",SUMPRODUCT(MAX(($C$5:$C$215=$C52)*($I$5:$I$215=$I52)*IF($I52&gt;=6,$AY$5:$AY$215,$AU$5:$AU$215)))/SUMPRODUCT(MAX(($C$5:$C$215=$C52)*($I$5:$I$215&gt;=1)*($I$5:$I$215&lt;$I52)*IF($I52&gt;=6,$AY$5:$AY$215,$AU$5:$AU$215)))-1))</f>
        <v/>
      </c>
      <c r="BD52" s="52">
        <f>IF(OR($I52&lt;1,IF($I52&gt;=6,AZ52,AV52)&lt;=0),"",IF(SUMPRODUCT(MAX(($C$5:$C$215=$C52)*($I$5:$I$215&gt;=1)*($I$5:$I$215&lt;$I52)*IF($I52&gt;=6,$AZ$5:$AZ$215,$AV$5:$AV$215)))&lt;=0,"",SUMPRODUCT(MAX(($C$5:$C$215=$C52)*($I$5:$I$215=$I52)*IF($I52&gt;=6,$AZ$5:$AZ$215,$AV$5:$AV$215)))/SUMPRODUCT(MAX(($C$5:$C$215=$C52)*($I$5:$I$215&gt;=1)*($I$5:$I$215&lt;$I52)*IF($I52&gt;=6,$AZ$5:$AZ$215,$AV$5:$AV$215)))-1))</f>
        <v/>
      </c>
      <c r="BE52" s="52">
        <f>IF(OR($I52&lt;1,IF($I52&gt;=6,BA52,AW52)&lt;=0),"",IF(SUMPRODUCT(MAX(($C$5:$C$215=$C52)*($I$5:$I$215&gt;=1)*($I$5:$I$215&lt;$I52)*IF($I52&gt;=6,$BA$5:$BA$215,$AW$5:$AW$215)))&lt;=0,"",SUMPRODUCT(MAX(($C$5:$C$215=$C52)*($I$5:$I$215=$I52)*IF($I52&gt;=6,$BA$5:$BA$215,$AW$5:$AW$215)))/SUMPRODUCT(MAX(($C$5:$C$215=$C52)*($I$5:$I$215&gt;=1)*($I$5:$I$215&lt;$I52)*IF($I52&gt;=6,$BA$5:$BA$215,$AW$5:$AW$215)))-1))</f>
        <v/>
      </c>
      <c r="BF52" s="19">
        <f>IF(AND(BB52="",BC52="",BD52="",BE52=""),"",IF(IF(AND(ISNUMBER(BB52),BB52&lt;'Item Budget'!$R$11),"W ","")&amp;IF(AND(ISNUMBER(BC52),BC52&lt;'Item Budget'!$R$11),"R ","")&amp;IF(AND(ISNUMBER(BD52),BD52&lt;'Item Budget'!$R$11),"M ","")&amp;IF(AND(ISNUMBER(BE52),BE52&lt;'Item Budget'!$R$11),"P ","")="","OK","Not above lower step: "&amp;IF(AND(ISNUMBER(BB52),BB52&lt;'Item Budget'!$R$11),"W ","")&amp;IF(AND(ISNUMBER(BC52),BC52&lt;'Item Budget'!$R$11),"R ","")&amp;IF(AND(ISNUMBER(BD52),BD52&lt;'Item Budget'!$R$11),"M ","")&amp;IF(AND(ISNUMBER(BE52),BE52&lt;'Item Budget'!$R$11),"P ","")))</f>
        <v/>
      </c>
    </row>
    <row r="53">
      <c r="A53" s="21" t="n">
        <v>454</v>
      </c>
      <c r="B53" s="21" t="inlineStr">
        <is>
          <t>Black Cat Ears</t>
        </is>
      </c>
      <c r="C53" s="21" t="inlineStr">
        <is>
          <t>Helmet</t>
        </is>
      </c>
      <c r="D53" s="21" t="inlineStr">
        <is>
          <t>All</t>
        </is>
      </c>
      <c r="E53" s="21" t="inlineStr">
        <is>
          <t>All</t>
        </is>
      </c>
      <c r="F53" s="21" t="inlineStr">
        <is>
          <t>All classes</t>
        </is>
      </c>
      <c r="G53" s="21" t="inlineStr">
        <is>
          <t>craft</t>
        </is>
      </c>
      <c r="H53" s="37" t="n">
        <v>0</v>
      </c>
      <c r="I53" s="21" t="n">
        <v>0</v>
      </c>
      <c r="J53" s="19" t="inlineStr">
        <is>
          <t>Leave</t>
        </is>
      </c>
      <c r="K53" s="21" t="inlineStr">
        <is>
          <t>Crafted</t>
        </is>
      </c>
      <c r="L53" s="31">
        <f>INDEX('Item Budget'!$F$5:$F$13,MATCH(K53,'Item Budget'!$E$5:$E$13,0))+IF(E53="All",0,'Item Budget'!$F$15)+LOOKUP(H53,'Item Budget'!$E$19:$E$23,'Item Budget'!$F$19:$F$23)</f>
        <v/>
      </c>
      <c r="M53" s="21" t="n">
        <v>15</v>
      </c>
      <c r="N53" s="21" t="n">
        <v>30</v>
      </c>
      <c r="O53" s="21" t="n">
        <v>30</v>
      </c>
      <c r="P53" s="21" t="n">
        <v>30</v>
      </c>
      <c r="Q53" s="21" t="n">
        <v>4</v>
      </c>
      <c r="R53" s="21" t="n">
        <v>0</v>
      </c>
      <c r="S53" s="21" t="n">
        <v>0</v>
      </c>
      <c r="T53" s="21" t="n">
        <v>0</v>
      </c>
      <c r="U53" s="21" t="n">
        <v>0</v>
      </c>
      <c r="V53" s="21" t="inlineStr">
        <is>
          <t>(none)</t>
        </is>
      </c>
      <c r="W53" s="61">
        <f>N53*'Item Budget'!$B$5+R53*'Item Budget'!$B$7+P53*'Item Budget'!$B$11+S53*'Item Budget'!$B$10+Q53*'Item Budget'!$B$9+IFERROR(INDEX('Item Budget'!$M$25:$M$95,MATCH(V53,'Item Budget'!$B$25:$B$95,0)),0)+IF($C53="Weapon",U53*'Item Budget'!$B$9,0)</f>
        <v/>
      </c>
      <c r="X53" s="61">
        <f>N53*'Item Budget'!$B$5+R53*'Item Budget'!$B$7+P53*'Item Budget'!$B$11+S53*'Item Budget'!$B$10+O53*'Item Budget'!$B$6+T53*'Item Budget'!$B$8+IFERROR(INDEX('Item Budget'!$N$25:$N$95,MATCH(V53,'Item Budget'!$B$25:$B$95,0)),0)</f>
        <v/>
      </c>
      <c r="Y53" s="61">
        <f>MAX('Item Budget'!$F$16,INDEX('Gear Budget'!$C$8:$C$14,MATCH($C53,'Gear Budget'!$A$8:$A$14,0))*MIN(M53,50))*$L53</f>
        <v/>
      </c>
      <c r="Z53" s="41">
        <f>IF($C53="Caster weapon",X53,MAX(W53,X53))/Y53</f>
        <v/>
      </c>
      <c r="AA53" s="61">
        <f>IF(OR($C53="Weapon",$C53="Caster weapon"),"",'Gear Budget'!$B$5*MAX(1,MIN(M53,50))*INDEX('Gear Budget'!$B$8:$B$14,MATCH($C53,'Gear Budget'!$A$8:$A$14,0))*IF($C53="Shield",IF(D53="Warrior",1,IF(OR(D53="Rogue",D53="All"),0.38/0.6,0.25/0.6)),IFERROR(INDEX('Gear Budget'!$B$18:$B$21,MATCH($F53,'Gear Budget'!$A$18:$A$21,0)),1)))</f>
        <v/>
      </c>
      <c r="AB53" s="41">
        <f>IF(AA53="","",P53/AA53)</f>
        <v/>
      </c>
      <c r="AC53" s="21" t="n">
        <v>15</v>
      </c>
      <c r="AD53" s="21" t="n">
        <v>30</v>
      </c>
      <c r="AE53" s="21" t="n">
        <v>30</v>
      </c>
      <c r="AF53" s="21" t="n">
        <v>30</v>
      </c>
      <c r="AG53" s="21" t="n">
        <v>4</v>
      </c>
      <c r="AH53" s="21" t="n">
        <v>0</v>
      </c>
      <c r="AI53" s="21" t="n">
        <v>0</v>
      </c>
      <c r="AJ53" s="21" t="n">
        <v>0</v>
      </c>
      <c r="AK53" s="21" t="n">
        <v>0</v>
      </c>
      <c r="AL53" s="21" t="inlineStr">
        <is>
          <t>(none)</t>
        </is>
      </c>
      <c r="AM53" s="61">
        <f>AD53*'Item Budget'!$B$5+AH53*'Item Budget'!$B$7+AF53*'Item Budget'!$B$11+AI53*'Item Budget'!$B$10+AG53*'Item Budget'!$B$9+IFERROR(INDEX('Item Budget'!$M$25:$M$95,MATCH(AL53,'Item Budget'!$B$25:$B$95,0)),0)+IF($C53="Weapon",AK53*'Item Budget'!$B$9,0)</f>
        <v/>
      </c>
      <c r="AN53" s="61">
        <f>AD53*'Item Budget'!$B$5+AH53*'Item Budget'!$B$7+AF53*'Item Budget'!$B$11+AI53*'Item Budget'!$B$10+AE53*'Item Budget'!$B$6+AJ53*'Item Budget'!$B$8+IFERROR(INDEX('Item Budget'!$N$25:$N$95,MATCH(AL53,'Item Budget'!$B$25:$B$95,0)),0)</f>
        <v/>
      </c>
      <c r="AO53" s="61">
        <f>MAX('Item Budget'!$F$16,INDEX('Gear Budget'!$C$8:$C$14,MATCH($C53,'Gear Budget'!$A$8:$A$14,0))*MIN(AC53,50))*$L53</f>
        <v/>
      </c>
      <c r="AP53" s="41">
        <f>IF($C53="Caster weapon",AN53,MAX(AM53,AN53))/AO53</f>
        <v/>
      </c>
      <c r="AQ53" s="61">
        <f>IF(OR($C53="Weapon",$C53="Caster weapon"),"",'Gear Budget'!$B$5*MAX(1,MIN(AC53,50))*INDEX('Gear Budget'!$B$8:$B$14,MATCH($C53,'Gear Budget'!$A$8:$A$14,0))*IF($C53="Shield",IF(E53="Warrior",1,IF(OR(E53="Rogue",E53="All"),0.38/0.6,0.25/0.6)),IFERROR(INDEX('Gear Budget'!$B$18:$B$21,MATCH($F53,'Gear Budget'!$A$18:$A$21,0)),1)))</f>
        <v/>
      </c>
      <c r="AR53" s="41">
        <f>IF(AQ53="","",AF53/AQ53)</f>
        <v/>
      </c>
      <c r="AS53" s="64" t="n"/>
      <c r="AT53" s="44">
        <f>IF(OR($E53="All",ISNUMBER(SEARCH("Warrior",$E53))),IF($C53="Caster weapon",(AN53+AF53*('Item Budget'!$AB$14-'Item Budget'!$B$11)),(AM53+AF53*('Item Budget'!$AB$14-'Item Budget'!$B$11))),0)</f>
        <v/>
      </c>
      <c r="AU53" s="44">
        <f>IF(OR($E53="All",ISNUMBER(SEARCH("Rogue",$E53))),IF($C53="Caster weapon",(AN53+AF53*('Item Budget'!$AB$15-'Item Budget'!$B$11)),(AM53+AF53*('Item Budget'!$AB$15-'Item Budget'!$B$11))),0)</f>
        <v/>
      </c>
      <c r="AV53" s="44">
        <f>IF(OR($E53="All",ISNUMBER(SEARCH("Magus",$E53))),(AN53+AF53*('Item Budget'!$AB$16-'Item Budget'!$B$11)),0)</f>
        <v/>
      </c>
      <c r="AW53" s="44">
        <f>IF(OR($E53="All",ISNUMBER(SEARCH("Priest",$E53))),(AN53+AF53*('Item Budget'!$AB$17-'Item Budget'!$B$11)),0)</f>
        <v/>
      </c>
      <c r="AX53" s="44">
        <f>IF(AND(OR($E53="All",ISNUMBER(SEARCH("Warrior",$E53))),AC53&gt;='Item Budget'!$R$10),'Item Budget'!$R$7*100*('Item Budget'!$R$14*(AD53+25*AH53)+'Item Budget'!$S$14*(AE53+25*AJ53))/'Item Budget'!$Z$14+'Item Budget'!$R$9*AF53+IFERROR(INDEX('Item Budget'!$O$25:$O$95,MATCH(AL53,'Item Budget'!$B$25:$B$95,0)),0),0)</f>
        <v/>
      </c>
      <c r="AY53" s="44">
        <f>IF(AND(OR($E53="All",ISNUMBER(SEARCH("Rogue",$E53))),AC53&gt;='Item Budget'!$R$10),'Item Budget'!$R$7*100*('Item Budget'!$R$15*(AD53+25*AH53)+'Item Budget'!$S$15*(AE53+25*AJ53))/'Item Budget'!$Z$15+'Item Budget'!$R$9*AF53+IFERROR(INDEX('Item Budget'!$O$25:$O$95,MATCH(AL53,'Item Budget'!$B$25:$B$95,0)),0),0)</f>
        <v/>
      </c>
      <c r="AZ53" s="44">
        <f>IF(AND(OR($E53="All",ISNUMBER(SEARCH("Magus",$E53))),AC53&gt;='Item Budget'!$R$10),'Item Budget'!$R$7*100*('Item Budget'!$R$16*(AD53+25*AH53)+'Item Budget'!$S$16*(AE53+25*AJ53))/'Item Budget'!$Z$16+'Item Budget'!$R$9*AF53+IFERROR(INDEX('Item Budget'!$O$25:$O$95,MATCH(AL53,'Item Budget'!$B$25:$B$95,0)),0),0)</f>
        <v/>
      </c>
      <c r="BA53" s="44">
        <f>IF(AND(OR($E53="All",ISNUMBER(SEARCH("Priest",$E53))),AC53&gt;='Item Budget'!$R$10),'Item Budget'!$R$7*100*('Item Budget'!$R$17*(AD53+25*AH53)+'Item Budget'!$S$17*(AE53+25*AJ53))/'Item Budget'!$Z$17+'Item Budget'!$R$9*AF53+IFERROR(INDEX('Item Budget'!$O$25:$O$95,MATCH(AL53,'Item Budget'!$B$25:$B$95,0)),0),0)</f>
        <v/>
      </c>
      <c r="BB53" s="52">
        <f>IF(OR($I53&lt;1,IF($I53&gt;=6,AX53,AT53)&lt;=0),"",IF(SUMPRODUCT(MAX(($C$5:$C$215=$C53)*($I$5:$I$215&gt;=1)*($I$5:$I$215&lt;$I53)*IF($I53&gt;=6,$AX$5:$AX$215,$AT$5:$AT$215)))&lt;=0,"",SUMPRODUCT(MAX(($C$5:$C$215=$C53)*($I$5:$I$215=$I53)*IF($I53&gt;=6,$AX$5:$AX$215,$AT$5:$AT$215)))/SUMPRODUCT(MAX(($C$5:$C$215=$C53)*($I$5:$I$215&gt;=1)*($I$5:$I$215&lt;$I53)*IF($I53&gt;=6,$AX$5:$AX$215,$AT$5:$AT$215)))-1))</f>
        <v/>
      </c>
      <c r="BC53" s="52">
        <f>IF(OR($I53&lt;1,IF($I53&gt;=6,AY53,AU53)&lt;=0),"",IF(SUMPRODUCT(MAX(($C$5:$C$215=$C53)*($I$5:$I$215&gt;=1)*($I$5:$I$215&lt;$I53)*IF($I53&gt;=6,$AY$5:$AY$215,$AU$5:$AU$215)))&lt;=0,"",SUMPRODUCT(MAX(($C$5:$C$215=$C53)*($I$5:$I$215=$I53)*IF($I53&gt;=6,$AY$5:$AY$215,$AU$5:$AU$215)))/SUMPRODUCT(MAX(($C$5:$C$215=$C53)*($I$5:$I$215&gt;=1)*($I$5:$I$215&lt;$I53)*IF($I53&gt;=6,$AY$5:$AY$215,$AU$5:$AU$215)))-1))</f>
        <v/>
      </c>
      <c r="BD53" s="52">
        <f>IF(OR($I53&lt;1,IF($I53&gt;=6,AZ53,AV53)&lt;=0),"",IF(SUMPRODUCT(MAX(($C$5:$C$215=$C53)*($I$5:$I$215&gt;=1)*($I$5:$I$215&lt;$I53)*IF($I53&gt;=6,$AZ$5:$AZ$215,$AV$5:$AV$215)))&lt;=0,"",SUMPRODUCT(MAX(($C$5:$C$215=$C53)*($I$5:$I$215=$I53)*IF($I53&gt;=6,$AZ$5:$AZ$215,$AV$5:$AV$215)))/SUMPRODUCT(MAX(($C$5:$C$215=$C53)*($I$5:$I$215&gt;=1)*($I$5:$I$215&lt;$I53)*IF($I53&gt;=6,$AZ$5:$AZ$215,$AV$5:$AV$215)))-1))</f>
        <v/>
      </c>
      <c r="BE53" s="52">
        <f>IF(OR($I53&lt;1,IF($I53&gt;=6,BA53,AW53)&lt;=0),"",IF(SUMPRODUCT(MAX(($C$5:$C$215=$C53)*($I$5:$I$215&gt;=1)*($I$5:$I$215&lt;$I53)*IF($I53&gt;=6,$BA$5:$BA$215,$AW$5:$AW$215)))&lt;=0,"",SUMPRODUCT(MAX(($C$5:$C$215=$C53)*($I$5:$I$215=$I53)*IF($I53&gt;=6,$BA$5:$BA$215,$AW$5:$AW$215)))/SUMPRODUCT(MAX(($C$5:$C$215=$C53)*($I$5:$I$215&gt;=1)*($I$5:$I$215&lt;$I53)*IF($I53&gt;=6,$BA$5:$BA$215,$AW$5:$AW$215)))-1))</f>
        <v/>
      </c>
      <c r="BF53" s="19">
        <f>IF(AND(BB53="",BC53="",BD53="",BE53=""),"",IF(IF(AND(ISNUMBER(BB53),BB53&lt;'Item Budget'!$R$11),"W ","")&amp;IF(AND(ISNUMBER(BC53),BC53&lt;'Item Budget'!$R$11),"R ","")&amp;IF(AND(ISNUMBER(BD53),BD53&lt;'Item Budget'!$R$11),"M ","")&amp;IF(AND(ISNUMBER(BE53),BE53&lt;'Item Budget'!$R$11),"P ","")="","OK","Not above lower step: "&amp;IF(AND(ISNUMBER(BB53),BB53&lt;'Item Budget'!$R$11),"W ","")&amp;IF(AND(ISNUMBER(BC53),BC53&lt;'Item Budget'!$R$11),"R ","")&amp;IF(AND(ISNUMBER(BD53),BD53&lt;'Item Budget'!$R$11),"M ","")&amp;IF(AND(ISNUMBER(BE53),BE53&lt;'Item Budget'!$R$11),"P ","")))</f>
        <v/>
      </c>
    </row>
    <row r="54">
      <c r="A54" s="21" t="n">
        <v>49</v>
      </c>
      <c r="B54" s="21" t="inlineStr">
        <is>
          <t>Hair Bow</t>
        </is>
      </c>
      <c r="C54" s="21" t="inlineStr">
        <is>
          <t>Helmet</t>
        </is>
      </c>
      <c r="D54" s="21" t="inlineStr">
        <is>
          <t>All</t>
        </is>
      </c>
      <c r="E54" s="21" t="inlineStr">
        <is>
          <t>All</t>
        </is>
      </c>
      <c r="F54" s="21" t="inlineStr">
        <is>
          <t>All classes</t>
        </is>
      </c>
      <c r="G54" s="21" t="inlineStr">
        <is>
          <t>drop: Sliminator 15%</t>
        </is>
      </c>
      <c r="H54" s="37" t="n">
        <v>0</v>
      </c>
      <c r="I54" s="21" t="n">
        <v>0</v>
      </c>
      <c r="J54" s="3" t="inlineStr">
        <is>
          <t>Pass 2</t>
        </is>
      </c>
      <c r="K54" s="21" t="inlineStr">
        <is>
          <t>Rare boss drop</t>
        </is>
      </c>
      <c r="L54" s="31">
        <f>INDEX('Item Budget'!$F$5:$F$13,MATCH(K54,'Item Budget'!$E$5:$E$13,0))+IF(E54="All",0,'Item Budget'!$F$15)+LOOKUP(H54,'Item Budget'!$E$19:$E$23,'Item Budget'!$F$19:$F$23)</f>
        <v/>
      </c>
      <c r="M54" s="21" t="n">
        <v>15</v>
      </c>
      <c r="N54" s="21" t="n">
        <v>25</v>
      </c>
      <c r="O54" s="21" t="n">
        <v>25</v>
      </c>
      <c r="P54" s="21" t="n">
        <v>15</v>
      </c>
      <c r="Q54" s="21" t="n">
        <v>3</v>
      </c>
      <c r="R54" s="21" t="n">
        <v>3</v>
      </c>
      <c r="S54" s="21" t="n">
        <v>3</v>
      </c>
      <c r="T54" s="21" t="n">
        <v>3</v>
      </c>
      <c r="U54" s="21" t="n">
        <v>0</v>
      </c>
      <c r="V54" s="21" t="inlineStr">
        <is>
          <t>(none)</t>
        </is>
      </c>
      <c r="W54" s="61">
        <f>N54*'Item Budget'!$B$5+R54*'Item Budget'!$B$7+P54*'Item Budget'!$B$11+S54*'Item Budget'!$B$10+Q54*'Item Budget'!$B$9+IFERROR(INDEX('Item Budget'!$M$25:$M$95,MATCH(V54,'Item Budget'!$B$25:$B$95,0)),0)+IF($C54="Weapon",U54*'Item Budget'!$B$9,0)</f>
        <v/>
      </c>
      <c r="X54" s="61">
        <f>N54*'Item Budget'!$B$5+R54*'Item Budget'!$B$7+P54*'Item Budget'!$B$11+S54*'Item Budget'!$B$10+O54*'Item Budget'!$B$6+T54*'Item Budget'!$B$8+IFERROR(INDEX('Item Budget'!$N$25:$N$95,MATCH(V54,'Item Budget'!$B$25:$B$95,0)),0)</f>
        <v/>
      </c>
      <c r="Y54" s="61">
        <f>MAX('Item Budget'!$F$16,INDEX('Gear Budget'!$C$8:$C$14,MATCH($C54,'Gear Budget'!$A$8:$A$14,0))*MIN(M54,50))*$L54</f>
        <v/>
      </c>
      <c r="Z54" s="41">
        <f>IF($C54="Caster weapon",X54,MAX(W54,X54))/Y54</f>
        <v/>
      </c>
      <c r="AA54" s="61">
        <f>IF(OR($C54="Weapon",$C54="Caster weapon"),"",'Gear Budget'!$B$5*MAX(1,MIN(M54,50))*INDEX('Gear Budget'!$B$8:$B$14,MATCH($C54,'Gear Budget'!$A$8:$A$14,0))*IF($C54="Shield",IF(D54="Warrior",1,IF(OR(D54="Rogue",D54="All"),0.38/0.6,0.25/0.6)),IFERROR(INDEX('Gear Budget'!$B$18:$B$21,MATCH($F54,'Gear Budget'!$A$18:$A$21,0)),1)))</f>
        <v/>
      </c>
      <c r="AB54" s="41">
        <f>IF(AA54="","",P54/AA54)</f>
        <v/>
      </c>
      <c r="AC54" s="21" t="n">
        <v>15</v>
      </c>
      <c r="AD54" s="20" t="n">
        <v>35</v>
      </c>
      <c r="AE54" s="20" t="n">
        <v>35</v>
      </c>
      <c r="AF54" s="20" t="n">
        <v>21</v>
      </c>
      <c r="AG54" s="20" t="n">
        <v>4</v>
      </c>
      <c r="AH54" s="20" t="n">
        <v>4</v>
      </c>
      <c r="AI54" s="20" t="n">
        <v>4</v>
      </c>
      <c r="AJ54" s="20" t="n">
        <v>4</v>
      </c>
      <c r="AK54" s="21" t="n">
        <v>0</v>
      </c>
      <c r="AL54" s="21" t="inlineStr">
        <is>
          <t>(none)</t>
        </is>
      </c>
      <c r="AM54" s="61">
        <f>AD54*'Item Budget'!$B$5+AH54*'Item Budget'!$B$7+AF54*'Item Budget'!$B$11+AI54*'Item Budget'!$B$10+AG54*'Item Budget'!$B$9+IFERROR(INDEX('Item Budget'!$M$25:$M$95,MATCH(AL54,'Item Budget'!$B$25:$B$95,0)),0)+IF($C54="Weapon",AK54*'Item Budget'!$B$9,0)</f>
        <v/>
      </c>
      <c r="AN54" s="61">
        <f>AD54*'Item Budget'!$B$5+AH54*'Item Budget'!$B$7+AF54*'Item Budget'!$B$11+AI54*'Item Budget'!$B$10+AE54*'Item Budget'!$B$6+AJ54*'Item Budget'!$B$8+IFERROR(INDEX('Item Budget'!$N$25:$N$95,MATCH(AL54,'Item Budget'!$B$25:$B$95,0)),0)</f>
        <v/>
      </c>
      <c r="AO54" s="61">
        <f>MAX('Item Budget'!$F$16,INDEX('Gear Budget'!$C$8:$C$14,MATCH($C54,'Gear Budget'!$A$8:$A$14,0))*MIN(AC54,50))*$L54</f>
        <v/>
      </c>
      <c r="AP54" s="41">
        <f>IF($C54="Caster weapon",AN54,MAX(AM54,AN54))/AO54</f>
        <v/>
      </c>
      <c r="AQ54" s="61">
        <f>IF(OR($C54="Weapon",$C54="Caster weapon"),"",'Gear Budget'!$B$5*MAX(1,MIN(AC54,50))*INDEX('Gear Budget'!$B$8:$B$14,MATCH($C54,'Gear Budget'!$A$8:$A$14,0))*IF($C54="Shield",IF(E54="Warrior",1,IF(OR(E54="Rogue",E54="All"),0.38/0.6,0.25/0.6)),IFERROR(INDEX('Gear Budget'!$B$18:$B$21,MATCH($F54,'Gear Budget'!$A$18:$A$21,0)),1)))</f>
        <v/>
      </c>
      <c r="AR54" s="41">
        <f>IF(AQ54="","",AF54/AQ54)</f>
        <v/>
      </c>
      <c r="AS54" s="64" t="inlineStr">
        <is>
          <t>Hair Bow (Sliminator boss): was below the L15 Cat Ears craft</t>
        </is>
      </c>
      <c r="AT54" s="44">
        <f>IF(OR($E54="All",ISNUMBER(SEARCH("Warrior",$E54))),IF($C54="Caster weapon",(AN54+AF54*('Item Budget'!$AB$14-'Item Budget'!$B$11)),(AM54+AF54*('Item Budget'!$AB$14-'Item Budget'!$B$11))),0)</f>
        <v/>
      </c>
      <c r="AU54" s="44">
        <f>IF(OR($E54="All",ISNUMBER(SEARCH("Rogue",$E54))),IF($C54="Caster weapon",(AN54+AF54*('Item Budget'!$AB$15-'Item Budget'!$B$11)),(AM54+AF54*('Item Budget'!$AB$15-'Item Budget'!$B$11))),0)</f>
        <v/>
      </c>
      <c r="AV54" s="44">
        <f>IF(OR($E54="All",ISNUMBER(SEARCH("Magus",$E54))),(AN54+AF54*('Item Budget'!$AB$16-'Item Budget'!$B$11)),0)</f>
        <v/>
      </c>
      <c r="AW54" s="44">
        <f>IF(OR($E54="All",ISNUMBER(SEARCH("Priest",$E54))),(AN54+AF54*('Item Budget'!$AB$17-'Item Budget'!$B$11)),0)</f>
        <v/>
      </c>
      <c r="AX54" s="44">
        <f>IF(AND(OR($E54="All",ISNUMBER(SEARCH("Warrior",$E54))),AC54&gt;='Item Budget'!$R$10),'Item Budget'!$R$7*100*('Item Budget'!$R$14*(AD54+25*AH54)+'Item Budget'!$S$14*(AE54+25*AJ54))/'Item Budget'!$Z$14+'Item Budget'!$R$9*AF54+IFERROR(INDEX('Item Budget'!$O$25:$O$95,MATCH(AL54,'Item Budget'!$B$25:$B$95,0)),0),0)</f>
        <v/>
      </c>
      <c r="AY54" s="44">
        <f>IF(AND(OR($E54="All",ISNUMBER(SEARCH("Rogue",$E54))),AC54&gt;='Item Budget'!$R$10),'Item Budget'!$R$7*100*('Item Budget'!$R$15*(AD54+25*AH54)+'Item Budget'!$S$15*(AE54+25*AJ54))/'Item Budget'!$Z$15+'Item Budget'!$R$9*AF54+IFERROR(INDEX('Item Budget'!$O$25:$O$95,MATCH(AL54,'Item Budget'!$B$25:$B$95,0)),0),0)</f>
        <v/>
      </c>
      <c r="AZ54" s="44">
        <f>IF(AND(OR($E54="All",ISNUMBER(SEARCH("Magus",$E54))),AC54&gt;='Item Budget'!$R$10),'Item Budget'!$R$7*100*('Item Budget'!$R$16*(AD54+25*AH54)+'Item Budget'!$S$16*(AE54+25*AJ54))/'Item Budget'!$Z$16+'Item Budget'!$R$9*AF54+IFERROR(INDEX('Item Budget'!$O$25:$O$95,MATCH(AL54,'Item Budget'!$B$25:$B$95,0)),0),0)</f>
        <v/>
      </c>
      <c r="BA54" s="44">
        <f>IF(AND(OR($E54="All",ISNUMBER(SEARCH("Priest",$E54))),AC54&gt;='Item Budget'!$R$10),'Item Budget'!$R$7*100*('Item Budget'!$R$17*(AD54+25*AH54)+'Item Budget'!$S$17*(AE54+25*AJ54))/'Item Budget'!$Z$17+'Item Budget'!$R$9*AF54+IFERROR(INDEX('Item Budget'!$O$25:$O$95,MATCH(AL54,'Item Budget'!$B$25:$B$95,0)),0),0)</f>
        <v/>
      </c>
      <c r="BB54" s="52">
        <f>IF(OR($I54&lt;1,IF($I54&gt;=6,AX54,AT54)&lt;=0),"",IF(SUMPRODUCT(MAX(($C$5:$C$215=$C54)*($I$5:$I$215&gt;=1)*($I$5:$I$215&lt;$I54)*IF($I54&gt;=6,$AX$5:$AX$215,$AT$5:$AT$215)))&lt;=0,"",SUMPRODUCT(MAX(($C$5:$C$215=$C54)*($I$5:$I$215=$I54)*IF($I54&gt;=6,$AX$5:$AX$215,$AT$5:$AT$215)))/SUMPRODUCT(MAX(($C$5:$C$215=$C54)*($I$5:$I$215&gt;=1)*($I$5:$I$215&lt;$I54)*IF($I54&gt;=6,$AX$5:$AX$215,$AT$5:$AT$215)))-1))</f>
        <v/>
      </c>
      <c r="BC54" s="52">
        <f>IF(OR($I54&lt;1,IF($I54&gt;=6,AY54,AU54)&lt;=0),"",IF(SUMPRODUCT(MAX(($C$5:$C$215=$C54)*($I$5:$I$215&gt;=1)*($I$5:$I$215&lt;$I54)*IF($I54&gt;=6,$AY$5:$AY$215,$AU$5:$AU$215)))&lt;=0,"",SUMPRODUCT(MAX(($C$5:$C$215=$C54)*($I$5:$I$215=$I54)*IF($I54&gt;=6,$AY$5:$AY$215,$AU$5:$AU$215)))/SUMPRODUCT(MAX(($C$5:$C$215=$C54)*($I$5:$I$215&gt;=1)*($I$5:$I$215&lt;$I54)*IF($I54&gt;=6,$AY$5:$AY$215,$AU$5:$AU$215)))-1))</f>
        <v/>
      </c>
      <c r="BD54" s="52">
        <f>IF(OR($I54&lt;1,IF($I54&gt;=6,AZ54,AV54)&lt;=0),"",IF(SUMPRODUCT(MAX(($C$5:$C$215=$C54)*($I$5:$I$215&gt;=1)*($I$5:$I$215&lt;$I54)*IF($I54&gt;=6,$AZ$5:$AZ$215,$AV$5:$AV$215)))&lt;=0,"",SUMPRODUCT(MAX(($C$5:$C$215=$C54)*($I$5:$I$215=$I54)*IF($I54&gt;=6,$AZ$5:$AZ$215,$AV$5:$AV$215)))/SUMPRODUCT(MAX(($C$5:$C$215=$C54)*($I$5:$I$215&gt;=1)*($I$5:$I$215&lt;$I54)*IF($I54&gt;=6,$AZ$5:$AZ$215,$AV$5:$AV$215)))-1))</f>
        <v/>
      </c>
      <c r="BE54" s="52">
        <f>IF(OR($I54&lt;1,IF($I54&gt;=6,BA54,AW54)&lt;=0),"",IF(SUMPRODUCT(MAX(($C$5:$C$215=$C54)*($I$5:$I$215&gt;=1)*($I$5:$I$215&lt;$I54)*IF($I54&gt;=6,$BA$5:$BA$215,$AW$5:$AW$215)))&lt;=0,"",SUMPRODUCT(MAX(($C$5:$C$215=$C54)*($I$5:$I$215=$I54)*IF($I54&gt;=6,$BA$5:$BA$215,$AW$5:$AW$215)))/SUMPRODUCT(MAX(($C$5:$C$215=$C54)*($I$5:$I$215&gt;=1)*($I$5:$I$215&lt;$I54)*IF($I54&gt;=6,$BA$5:$BA$215,$AW$5:$AW$215)))-1))</f>
        <v/>
      </c>
      <c r="BF54" s="19">
        <f>IF(AND(BB54="",BC54="",BD54="",BE54=""),"",IF(IF(AND(ISNUMBER(BB54),BB54&lt;'Item Budget'!$R$11),"W ","")&amp;IF(AND(ISNUMBER(BC54),BC54&lt;'Item Budget'!$R$11),"R ","")&amp;IF(AND(ISNUMBER(BD54),BD54&lt;'Item Budget'!$R$11),"M ","")&amp;IF(AND(ISNUMBER(BE54),BE54&lt;'Item Budget'!$R$11),"P ","")="","OK","Not above lower step: "&amp;IF(AND(ISNUMBER(BB54),BB54&lt;'Item Budget'!$R$11),"W ","")&amp;IF(AND(ISNUMBER(BC54),BC54&lt;'Item Budget'!$R$11),"R ","")&amp;IF(AND(ISNUMBER(BD54),BD54&lt;'Item Budget'!$R$11),"M ","")&amp;IF(AND(ISNUMBER(BE54),BE54&lt;'Item Budget'!$R$11),"P ","")))</f>
        <v/>
      </c>
    </row>
    <row r="55">
      <c r="A55" s="21" t="n">
        <v>50</v>
      </c>
      <c r="B55" s="21" t="inlineStr">
        <is>
          <t>Cow Skull Helmet</t>
        </is>
      </c>
      <c r="C55" s="21" t="inlineStr">
        <is>
          <t>Helmet</t>
        </is>
      </c>
      <c r="D55" s="21" t="inlineStr">
        <is>
          <t>Rogue/Warrior</t>
        </is>
      </c>
      <c r="E55" s="21" t="inlineStr">
        <is>
          <t>Rogue/Warrior</t>
        </is>
      </c>
      <c r="F55" s="21" t="inlineStr">
        <is>
          <t>Warrior plate</t>
        </is>
      </c>
      <c r="G55" s="21" t="inlineStr">
        <is>
          <t>drop: King Goo 15%</t>
        </is>
      </c>
      <c r="H55" s="37" t="n">
        <v>0</v>
      </c>
      <c r="I55" s="21" t="n">
        <v>0</v>
      </c>
      <c r="J55" s="19" t="inlineStr">
        <is>
          <t>Pass 2</t>
        </is>
      </c>
      <c r="K55" s="21" t="inlineStr">
        <is>
          <t>Rare boss drop</t>
        </is>
      </c>
      <c r="L55" s="31">
        <f>INDEX('Item Budget'!$F$5:$F$13,MATCH(K55,'Item Budget'!$E$5:$E$13,0))+IF(E55="All",0,'Item Budget'!$F$15)+LOOKUP(H55,'Item Budget'!$E$19:$E$23,'Item Budget'!$F$19:$F$23)</f>
        <v/>
      </c>
      <c r="M55" s="21" t="n">
        <v>15</v>
      </c>
      <c r="N55" s="21" t="n">
        <v>20</v>
      </c>
      <c r="O55" s="21" t="n">
        <v>10</v>
      </c>
      <c r="P55" s="21" t="n">
        <v>20</v>
      </c>
      <c r="Q55" s="21" t="n">
        <v>5</v>
      </c>
      <c r="R55" s="21" t="n">
        <v>2</v>
      </c>
      <c r="S55" s="21" t="n">
        <v>0</v>
      </c>
      <c r="T55" s="21" t="n">
        <v>0</v>
      </c>
      <c r="U55" s="21" t="n">
        <v>0</v>
      </c>
      <c r="V55" s="21" t="inlineStr">
        <is>
          <t>(none)</t>
        </is>
      </c>
      <c r="W55" s="61">
        <f>N55*'Item Budget'!$B$5+R55*'Item Budget'!$B$7+P55*'Item Budget'!$B$11+S55*'Item Budget'!$B$10+Q55*'Item Budget'!$B$9+IFERROR(INDEX('Item Budget'!$M$25:$M$95,MATCH(V55,'Item Budget'!$B$25:$B$95,0)),0)+IF($C55="Weapon",U55*'Item Budget'!$B$9,0)</f>
        <v/>
      </c>
      <c r="X55" s="61">
        <f>N55*'Item Budget'!$B$5+R55*'Item Budget'!$B$7+P55*'Item Budget'!$B$11+S55*'Item Budget'!$B$10+O55*'Item Budget'!$B$6+T55*'Item Budget'!$B$8+IFERROR(INDEX('Item Budget'!$N$25:$N$95,MATCH(V55,'Item Budget'!$B$25:$B$95,0)),0)</f>
        <v/>
      </c>
      <c r="Y55" s="61">
        <f>MAX('Item Budget'!$F$16,INDEX('Gear Budget'!$C$8:$C$14,MATCH($C55,'Gear Budget'!$A$8:$A$14,0))*MIN(M55,50))*$L55</f>
        <v/>
      </c>
      <c r="Z55" s="41">
        <f>IF($C55="Caster weapon",X55,MAX(W55,X55))/Y55</f>
        <v/>
      </c>
      <c r="AA55" s="61">
        <f>IF(OR($C55="Weapon",$C55="Caster weapon"),"",'Gear Budget'!$B$5*MAX(1,MIN(M55,50))*INDEX('Gear Budget'!$B$8:$B$14,MATCH($C55,'Gear Budget'!$A$8:$A$14,0))*IF($C55="Shield",IF(D55="Warrior",1,IF(OR(D55="Rogue",D55="All"),0.38/0.6,0.25/0.6)),IFERROR(INDEX('Gear Budget'!$B$18:$B$21,MATCH($F55,'Gear Budget'!$A$18:$A$21,0)),1)))</f>
        <v/>
      </c>
      <c r="AB55" s="41">
        <f>IF(AA55="","",P55/AA55)</f>
        <v/>
      </c>
      <c r="AC55" s="21" t="n">
        <v>15</v>
      </c>
      <c r="AD55" s="21" t="n">
        <v>20</v>
      </c>
      <c r="AE55" s="21" t="n">
        <v>10</v>
      </c>
      <c r="AF55" s="20" t="n">
        <v>22</v>
      </c>
      <c r="AG55" s="20" t="n">
        <v>6</v>
      </c>
      <c r="AH55" s="21" t="n">
        <v>2</v>
      </c>
      <c r="AI55" s="21" t="n">
        <v>0</v>
      </c>
      <c r="AJ55" s="21" t="n">
        <v>0</v>
      </c>
      <c r="AK55" s="21" t="n">
        <v>0</v>
      </c>
      <c r="AL55" s="21" t="inlineStr">
        <is>
          <t>(none)</t>
        </is>
      </c>
      <c r="AM55" s="61">
        <f>AD55*'Item Budget'!$B$5+AH55*'Item Budget'!$B$7+AF55*'Item Budget'!$B$11+AI55*'Item Budget'!$B$10+AG55*'Item Budget'!$B$9+IFERROR(INDEX('Item Budget'!$M$25:$M$95,MATCH(AL55,'Item Budget'!$B$25:$B$95,0)),0)+IF($C55="Weapon",AK55*'Item Budget'!$B$9,0)</f>
        <v/>
      </c>
      <c r="AN55" s="61">
        <f>AD55*'Item Budget'!$B$5+AH55*'Item Budget'!$B$7+AF55*'Item Budget'!$B$11+AI55*'Item Budget'!$B$10+AE55*'Item Budget'!$B$6+AJ55*'Item Budget'!$B$8+IFERROR(INDEX('Item Budget'!$N$25:$N$95,MATCH(AL55,'Item Budget'!$B$25:$B$95,0)),0)</f>
        <v/>
      </c>
      <c r="AO55" s="61">
        <f>MAX('Item Budget'!$F$16,INDEX('Gear Budget'!$C$8:$C$14,MATCH($C55,'Gear Budget'!$A$8:$A$14,0))*MIN(AC55,50))*$L55</f>
        <v/>
      </c>
      <c r="AP55" s="41">
        <f>IF($C55="Caster weapon",AN55,MAX(AM55,AN55))/AO55</f>
        <v/>
      </c>
      <c r="AQ55" s="61">
        <f>IF(OR($C55="Weapon",$C55="Caster weapon"),"",'Gear Budget'!$B$5*MAX(1,MIN(AC55,50))*INDEX('Gear Budget'!$B$8:$B$14,MATCH($C55,'Gear Budget'!$A$8:$A$14,0))*IF($C55="Shield",IF(E55="Warrior",1,IF(OR(E55="Rogue",E55="All"),0.38/0.6,0.25/0.6)),IFERROR(INDEX('Gear Budget'!$B$18:$B$21,MATCH($F55,'Gear Budget'!$A$18:$A$21,0)),1)))</f>
        <v/>
      </c>
      <c r="AR55" s="41">
        <f>IF(AQ55="","",AF55/AQ55)</f>
        <v/>
      </c>
      <c r="AS55" s="64" t="inlineStr">
        <is>
          <t>Cow Skull Helmet (King Goo boss): was level with the Cat Ears craft</t>
        </is>
      </c>
      <c r="AT55" s="44">
        <f>IF(OR($E55="All",ISNUMBER(SEARCH("Warrior",$E55))),IF($C55="Caster weapon",(AN55+AF55*('Item Budget'!$AB$14-'Item Budget'!$B$11)),(AM55+AF55*('Item Budget'!$AB$14-'Item Budget'!$B$11))),0)</f>
        <v/>
      </c>
      <c r="AU55" s="44">
        <f>IF(OR($E55="All",ISNUMBER(SEARCH("Rogue",$E55))),IF($C55="Caster weapon",(AN55+AF55*('Item Budget'!$AB$15-'Item Budget'!$B$11)),(AM55+AF55*('Item Budget'!$AB$15-'Item Budget'!$B$11))),0)</f>
        <v/>
      </c>
      <c r="AV55" s="44">
        <f>IF(OR($E55="All",ISNUMBER(SEARCH("Magus",$E55))),(AN55+AF55*('Item Budget'!$AB$16-'Item Budget'!$B$11)),0)</f>
        <v/>
      </c>
      <c r="AW55" s="44">
        <f>IF(OR($E55="All",ISNUMBER(SEARCH("Priest",$E55))),(AN55+AF55*('Item Budget'!$AB$17-'Item Budget'!$B$11)),0)</f>
        <v/>
      </c>
      <c r="AX55" s="44">
        <f>IF(AND(OR($E55="All",ISNUMBER(SEARCH("Warrior",$E55))),AC55&gt;='Item Budget'!$R$10),'Item Budget'!$R$7*100*('Item Budget'!$R$14*(AD55+25*AH55)+'Item Budget'!$S$14*(AE55+25*AJ55))/'Item Budget'!$Z$14+'Item Budget'!$R$9*AF55+IFERROR(INDEX('Item Budget'!$O$25:$O$95,MATCH(AL55,'Item Budget'!$B$25:$B$95,0)),0),0)</f>
        <v/>
      </c>
      <c r="AY55" s="44">
        <f>IF(AND(OR($E55="All",ISNUMBER(SEARCH("Rogue",$E55))),AC55&gt;='Item Budget'!$R$10),'Item Budget'!$R$7*100*('Item Budget'!$R$15*(AD55+25*AH55)+'Item Budget'!$S$15*(AE55+25*AJ55))/'Item Budget'!$Z$15+'Item Budget'!$R$9*AF55+IFERROR(INDEX('Item Budget'!$O$25:$O$95,MATCH(AL55,'Item Budget'!$B$25:$B$95,0)),0),0)</f>
        <v/>
      </c>
      <c r="AZ55" s="44">
        <f>IF(AND(OR($E55="All",ISNUMBER(SEARCH("Magus",$E55))),AC55&gt;='Item Budget'!$R$10),'Item Budget'!$R$7*100*('Item Budget'!$R$16*(AD55+25*AH55)+'Item Budget'!$S$16*(AE55+25*AJ55))/'Item Budget'!$Z$16+'Item Budget'!$R$9*AF55+IFERROR(INDEX('Item Budget'!$O$25:$O$95,MATCH(AL55,'Item Budget'!$B$25:$B$95,0)),0),0)</f>
        <v/>
      </c>
      <c r="BA55" s="44">
        <f>IF(AND(OR($E55="All",ISNUMBER(SEARCH("Priest",$E55))),AC55&gt;='Item Budget'!$R$10),'Item Budget'!$R$7*100*('Item Budget'!$R$17*(AD55+25*AH55)+'Item Budget'!$S$17*(AE55+25*AJ55))/'Item Budget'!$Z$17+'Item Budget'!$R$9*AF55+IFERROR(INDEX('Item Budget'!$O$25:$O$95,MATCH(AL55,'Item Budget'!$B$25:$B$95,0)),0),0)</f>
        <v/>
      </c>
      <c r="BB55" s="52">
        <f>IF(OR($I55&lt;1,IF($I55&gt;=6,AX55,AT55)&lt;=0),"",IF(SUMPRODUCT(MAX(($C$5:$C$215=$C55)*($I$5:$I$215&gt;=1)*($I$5:$I$215&lt;$I55)*IF($I55&gt;=6,$AX$5:$AX$215,$AT$5:$AT$215)))&lt;=0,"",SUMPRODUCT(MAX(($C$5:$C$215=$C55)*($I$5:$I$215=$I55)*IF($I55&gt;=6,$AX$5:$AX$215,$AT$5:$AT$215)))/SUMPRODUCT(MAX(($C$5:$C$215=$C55)*($I$5:$I$215&gt;=1)*($I$5:$I$215&lt;$I55)*IF($I55&gt;=6,$AX$5:$AX$215,$AT$5:$AT$215)))-1))</f>
        <v/>
      </c>
      <c r="BC55" s="52">
        <f>IF(OR($I55&lt;1,IF($I55&gt;=6,AY55,AU55)&lt;=0),"",IF(SUMPRODUCT(MAX(($C$5:$C$215=$C55)*($I$5:$I$215&gt;=1)*($I$5:$I$215&lt;$I55)*IF($I55&gt;=6,$AY$5:$AY$215,$AU$5:$AU$215)))&lt;=0,"",SUMPRODUCT(MAX(($C$5:$C$215=$C55)*($I$5:$I$215=$I55)*IF($I55&gt;=6,$AY$5:$AY$215,$AU$5:$AU$215)))/SUMPRODUCT(MAX(($C$5:$C$215=$C55)*($I$5:$I$215&gt;=1)*($I$5:$I$215&lt;$I55)*IF($I55&gt;=6,$AY$5:$AY$215,$AU$5:$AU$215)))-1))</f>
        <v/>
      </c>
      <c r="BD55" s="52">
        <f>IF(OR($I55&lt;1,IF($I55&gt;=6,AZ55,AV55)&lt;=0),"",IF(SUMPRODUCT(MAX(($C$5:$C$215=$C55)*($I$5:$I$215&gt;=1)*($I$5:$I$215&lt;$I55)*IF($I55&gt;=6,$AZ$5:$AZ$215,$AV$5:$AV$215)))&lt;=0,"",SUMPRODUCT(MAX(($C$5:$C$215=$C55)*($I$5:$I$215=$I55)*IF($I55&gt;=6,$AZ$5:$AZ$215,$AV$5:$AV$215)))/SUMPRODUCT(MAX(($C$5:$C$215=$C55)*($I$5:$I$215&gt;=1)*($I$5:$I$215&lt;$I55)*IF($I55&gt;=6,$AZ$5:$AZ$215,$AV$5:$AV$215)))-1))</f>
        <v/>
      </c>
      <c r="BE55" s="52">
        <f>IF(OR($I55&lt;1,IF($I55&gt;=6,BA55,AW55)&lt;=0),"",IF(SUMPRODUCT(MAX(($C$5:$C$215=$C55)*($I$5:$I$215&gt;=1)*($I$5:$I$215&lt;$I55)*IF($I55&gt;=6,$BA$5:$BA$215,$AW$5:$AW$215)))&lt;=0,"",SUMPRODUCT(MAX(($C$5:$C$215=$C55)*($I$5:$I$215=$I55)*IF($I55&gt;=6,$BA$5:$BA$215,$AW$5:$AW$215)))/SUMPRODUCT(MAX(($C$5:$C$215=$C55)*($I$5:$I$215&gt;=1)*($I$5:$I$215&lt;$I55)*IF($I55&gt;=6,$BA$5:$BA$215,$AW$5:$AW$215)))-1))</f>
        <v/>
      </c>
      <c r="BF55" s="19">
        <f>IF(AND(BB55="",BC55="",BD55="",BE55=""),"",IF(IF(AND(ISNUMBER(BB55),BB55&lt;'Item Budget'!$R$11),"W ","")&amp;IF(AND(ISNUMBER(BC55),BC55&lt;'Item Budget'!$R$11),"R ","")&amp;IF(AND(ISNUMBER(BD55),BD55&lt;'Item Budget'!$R$11),"M ","")&amp;IF(AND(ISNUMBER(BE55),BE55&lt;'Item Budget'!$R$11),"P ","")="","OK","Not above lower step: "&amp;IF(AND(ISNUMBER(BB55),BB55&lt;'Item Budget'!$R$11),"W ","")&amp;IF(AND(ISNUMBER(BC55),BC55&lt;'Item Budget'!$R$11),"R ","")&amp;IF(AND(ISNUMBER(BD55),BD55&lt;'Item Budget'!$R$11),"M ","")&amp;IF(AND(ISNUMBER(BE55),BE55&lt;'Item Budget'!$R$11),"P ","")))</f>
        <v/>
      </c>
    </row>
    <row r="56">
      <c r="A56" s="21" t="n">
        <v>101</v>
      </c>
      <c r="B56" s="21" t="inlineStr">
        <is>
          <t>Silk Cap</t>
        </is>
      </c>
      <c r="C56" s="21" t="inlineStr">
        <is>
          <t>Helmet</t>
        </is>
      </c>
      <c r="D56" s="21" t="inlineStr">
        <is>
          <t>Magus/Priest</t>
        </is>
      </c>
      <c r="E56" s="21" t="inlineStr">
        <is>
          <t>Magus/Priest</t>
        </is>
      </c>
      <c r="F56" s="21" t="inlineStr">
        <is>
          <t>Caster cloth</t>
        </is>
      </c>
      <c r="G56" s="21" t="inlineStr">
        <is>
          <t>vendor: Silk Armor Guy</t>
        </is>
      </c>
      <c r="H56" s="37" t="n">
        <v>0</v>
      </c>
      <c r="I56" s="21" t="n">
        <v>0</v>
      </c>
      <c r="J56" s="3" t="inlineStr">
        <is>
          <t>Applied</t>
        </is>
      </c>
      <c r="K56" s="21" t="inlineStr">
        <is>
          <t>Vendor</t>
        </is>
      </c>
      <c r="L56" s="31">
        <f>INDEX('Item Budget'!$F$5:$F$13,MATCH(K56,'Item Budget'!$E$5:$E$13,0))+IF(E56="All",0,'Item Budget'!$F$15)+LOOKUP(H56,'Item Budget'!$E$19:$E$23,'Item Budget'!$F$19:$F$23)</f>
        <v/>
      </c>
      <c r="M56" s="21" t="n">
        <v>20</v>
      </c>
      <c r="N56" s="21" t="n">
        <v>25</v>
      </c>
      <c r="O56" s="21" t="n">
        <v>50</v>
      </c>
      <c r="P56" s="21" t="n">
        <v>8</v>
      </c>
      <c r="Q56" s="21" t="n">
        <v>0</v>
      </c>
      <c r="R56" s="21" t="n">
        <v>3</v>
      </c>
      <c r="S56" s="21" t="n">
        <v>0</v>
      </c>
      <c r="T56" s="21" t="n">
        <v>5</v>
      </c>
      <c r="U56" s="21" t="n">
        <v>0</v>
      </c>
      <c r="V56" s="21" t="inlineStr">
        <is>
          <t>(none)</t>
        </is>
      </c>
      <c r="W56" s="61">
        <f>N56*'Item Budget'!$B$5+R56*'Item Budget'!$B$7+P56*'Item Budget'!$B$11+S56*'Item Budget'!$B$10+Q56*'Item Budget'!$B$9+IFERROR(INDEX('Item Budget'!$M$25:$M$95,MATCH(V56,'Item Budget'!$B$25:$B$95,0)),0)+IF($C56="Weapon",U56*'Item Budget'!$B$9,0)</f>
        <v/>
      </c>
      <c r="X56" s="61">
        <f>N56*'Item Budget'!$B$5+R56*'Item Budget'!$B$7+P56*'Item Budget'!$B$11+S56*'Item Budget'!$B$10+O56*'Item Budget'!$B$6+T56*'Item Budget'!$B$8+IFERROR(INDEX('Item Budget'!$N$25:$N$95,MATCH(V56,'Item Budget'!$B$25:$B$95,0)),0)</f>
        <v/>
      </c>
      <c r="Y56" s="61">
        <f>MAX('Item Budget'!$F$16,INDEX('Gear Budget'!$C$8:$C$14,MATCH($C56,'Gear Budget'!$A$8:$A$14,0))*MIN(M56,50))*$L56</f>
        <v/>
      </c>
      <c r="Z56" s="41">
        <f>IF($C56="Caster weapon",X56,MAX(W56,X56))/Y56</f>
        <v/>
      </c>
      <c r="AA56" s="61">
        <f>IF(OR($C56="Weapon",$C56="Caster weapon"),"",'Gear Budget'!$B$5*MAX(1,MIN(M56,50))*INDEX('Gear Budget'!$B$8:$B$14,MATCH($C56,'Gear Budget'!$A$8:$A$14,0))*IF($C56="Shield",IF(D56="Warrior",1,IF(OR(D56="Rogue",D56="All"),0.38/0.6,0.25/0.6)),IFERROR(INDEX('Gear Budget'!$B$18:$B$21,MATCH($F56,'Gear Budget'!$A$18:$A$21,0)),1)))</f>
        <v/>
      </c>
      <c r="AB56" s="41">
        <f>IF(AA56="","",P56/AA56)</f>
        <v/>
      </c>
      <c r="AC56" s="21" t="n">
        <v>20</v>
      </c>
      <c r="AD56" s="21" t="n">
        <v>25</v>
      </c>
      <c r="AE56" s="21" t="n">
        <v>50</v>
      </c>
      <c r="AF56" s="21" t="n">
        <v>8</v>
      </c>
      <c r="AG56" s="21" t="n">
        <v>0</v>
      </c>
      <c r="AH56" s="21" t="n">
        <v>3</v>
      </c>
      <c r="AI56" s="21" t="n">
        <v>0</v>
      </c>
      <c r="AJ56" s="21" t="n">
        <v>5</v>
      </c>
      <c r="AK56" s="21" t="n">
        <v>0</v>
      </c>
      <c r="AL56" s="21" t="inlineStr">
        <is>
          <t>(none)</t>
        </is>
      </c>
      <c r="AM56" s="61">
        <f>AD56*'Item Budget'!$B$5+AH56*'Item Budget'!$B$7+AF56*'Item Budget'!$B$11+AI56*'Item Budget'!$B$10+AG56*'Item Budget'!$B$9+IFERROR(INDEX('Item Budget'!$M$25:$M$95,MATCH(AL56,'Item Budget'!$B$25:$B$95,0)),0)+IF($C56="Weapon",AK56*'Item Budget'!$B$9,0)</f>
        <v/>
      </c>
      <c r="AN56" s="61">
        <f>AD56*'Item Budget'!$B$5+AH56*'Item Budget'!$B$7+AF56*'Item Budget'!$B$11+AI56*'Item Budget'!$B$10+AE56*'Item Budget'!$B$6+AJ56*'Item Budget'!$B$8+IFERROR(INDEX('Item Budget'!$N$25:$N$95,MATCH(AL56,'Item Budget'!$B$25:$B$95,0)),0)</f>
        <v/>
      </c>
      <c r="AO56" s="61">
        <f>MAX('Item Budget'!$F$16,INDEX('Gear Budget'!$C$8:$C$14,MATCH($C56,'Gear Budget'!$A$8:$A$14,0))*MIN(AC56,50))*$L56</f>
        <v/>
      </c>
      <c r="AP56" s="41">
        <f>IF($C56="Caster weapon",AN56,MAX(AM56,AN56))/AO56</f>
        <v/>
      </c>
      <c r="AQ56" s="61">
        <f>IF(OR($C56="Weapon",$C56="Caster weapon"),"",'Gear Budget'!$B$5*MAX(1,MIN(AC56,50))*INDEX('Gear Budget'!$B$8:$B$14,MATCH($C56,'Gear Budget'!$A$8:$A$14,0))*IF($C56="Shield",IF(E56="Warrior",1,IF(OR(E56="Rogue",E56="All"),0.38/0.6,0.25/0.6)),IFERROR(INDEX('Gear Budget'!$B$18:$B$21,MATCH($F56,'Gear Budget'!$A$18:$A$21,0)),1)))</f>
        <v/>
      </c>
      <c r="AR56" s="41">
        <f>IF(AQ56="","",AF56/AQ56)</f>
        <v/>
      </c>
      <c r="AS56" s="64" t="inlineStr">
        <is>
          <t>Pass 1 (applied): Caster L20 set.</t>
        </is>
      </c>
      <c r="AT56" s="44">
        <f>IF(OR($E56="All",ISNUMBER(SEARCH("Warrior",$E56))),IF($C56="Caster weapon",(AN56+AF56*('Item Budget'!$AB$14-'Item Budget'!$B$11)),(AM56+AF56*('Item Budget'!$AB$14-'Item Budget'!$B$11))),0)</f>
        <v/>
      </c>
      <c r="AU56" s="44">
        <f>IF(OR($E56="All",ISNUMBER(SEARCH("Rogue",$E56))),IF($C56="Caster weapon",(AN56+AF56*('Item Budget'!$AB$15-'Item Budget'!$B$11)),(AM56+AF56*('Item Budget'!$AB$15-'Item Budget'!$B$11))),0)</f>
        <v/>
      </c>
      <c r="AV56" s="44">
        <f>IF(OR($E56="All",ISNUMBER(SEARCH("Magus",$E56))),(AN56+AF56*('Item Budget'!$AB$16-'Item Budget'!$B$11)),0)</f>
        <v/>
      </c>
      <c r="AW56" s="44">
        <f>IF(OR($E56="All",ISNUMBER(SEARCH("Priest",$E56))),(AN56+AF56*('Item Budget'!$AB$17-'Item Budget'!$B$11)),0)</f>
        <v/>
      </c>
      <c r="AX56" s="44">
        <f>IF(AND(OR($E56="All",ISNUMBER(SEARCH("Warrior",$E56))),AC56&gt;='Item Budget'!$R$10),'Item Budget'!$R$7*100*('Item Budget'!$R$14*(AD56+25*AH56)+'Item Budget'!$S$14*(AE56+25*AJ56))/'Item Budget'!$Z$14+'Item Budget'!$R$9*AF56+IFERROR(INDEX('Item Budget'!$O$25:$O$95,MATCH(AL56,'Item Budget'!$B$25:$B$95,0)),0),0)</f>
        <v/>
      </c>
      <c r="AY56" s="44">
        <f>IF(AND(OR($E56="All",ISNUMBER(SEARCH("Rogue",$E56))),AC56&gt;='Item Budget'!$R$10),'Item Budget'!$R$7*100*('Item Budget'!$R$15*(AD56+25*AH56)+'Item Budget'!$S$15*(AE56+25*AJ56))/'Item Budget'!$Z$15+'Item Budget'!$R$9*AF56+IFERROR(INDEX('Item Budget'!$O$25:$O$95,MATCH(AL56,'Item Budget'!$B$25:$B$95,0)),0),0)</f>
        <v/>
      </c>
      <c r="AZ56" s="44">
        <f>IF(AND(OR($E56="All",ISNUMBER(SEARCH("Magus",$E56))),AC56&gt;='Item Budget'!$R$10),'Item Budget'!$R$7*100*('Item Budget'!$R$16*(AD56+25*AH56)+'Item Budget'!$S$16*(AE56+25*AJ56))/'Item Budget'!$Z$16+'Item Budget'!$R$9*AF56+IFERROR(INDEX('Item Budget'!$O$25:$O$95,MATCH(AL56,'Item Budget'!$B$25:$B$95,0)),0),0)</f>
        <v/>
      </c>
      <c r="BA56" s="44">
        <f>IF(AND(OR($E56="All",ISNUMBER(SEARCH("Priest",$E56))),AC56&gt;='Item Budget'!$R$10),'Item Budget'!$R$7*100*('Item Budget'!$R$17*(AD56+25*AH56)+'Item Budget'!$S$17*(AE56+25*AJ56))/'Item Budget'!$Z$17+'Item Budget'!$R$9*AF56+IFERROR(INDEX('Item Budget'!$O$25:$O$95,MATCH(AL56,'Item Budget'!$B$25:$B$95,0)),0),0)</f>
        <v/>
      </c>
      <c r="BB56" s="52">
        <f>IF(OR($I56&lt;1,IF($I56&gt;=6,AX56,AT56)&lt;=0),"",IF(SUMPRODUCT(MAX(($C$5:$C$215=$C56)*($I$5:$I$215&gt;=1)*($I$5:$I$215&lt;$I56)*IF($I56&gt;=6,$AX$5:$AX$215,$AT$5:$AT$215)))&lt;=0,"",SUMPRODUCT(MAX(($C$5:$C$215=$C56)*($I$5:$I$215=$I56)*IF($I56&gt;=6,$AX$5:$AX$215,$AT$5:$AT$215)))/SUMPRODUCT(MAX(($C$5:$C$215=$C56)*($I$5:$I$215&gt;=1)*($I$5:$I$215&lt;$I56)*IF($I56&gt;=6,$AX$5:$AX$215,$AT$5:$AT$215)))-1))</f>
        <v/>
      </c>
      <c r="BC56" s="52">
        <f>IF(OR($I56&lt;1,IF($I56&gt;=6,AY56,AU56)&lt;=0),"",IF(SUMPRODUCT(MAX(($C$5:$C$215=$C56)*($I$5:$I$215&gt;=1)*($I$5:$I$215&lt;$I56)*IF($I56&gt;=6,$AY$5:$AY$215,$AU$5:$AU$215)))&lt;=0,"",SUMPRODUCT(MAX(($C$5:$C$215=$C56)*($I$5:$I$215=$I56)*IF($I56&gt;=6,$AY$5:$AY$215,$AU$5:$AU$215)))/SUMPRODUCT(MAX(($C$5:$C$215=$C56)*($I$5:$I$215&gt;=1)*($I$5:$I$215&lt;$I56)*IF($I56&gt;=6,$AY$5:$AY$215,$AU$5:$AU$215)))-1))</f>
        <v/>
      </c>
      <c r="BD56" s="52">
        <f>IF(OR($I56&lt;1,IF($I56&gt;=6,AZ56,AV56)&lt;=0),"",IF(SUMPRODUCT(MAX(($C$5:$C$215=$C56)*($I$5:$I$215&gt;=1)*($I$5:$I$215&lt;$I56)*IF($I56&gt;=6,$AZ$5:$AZ$215,$AV$5:$AV$215)))&lt;=0,"",SUMPRODUCT(MAX(($C$5:$C$215=$C56)*($I$5:$I$215=$I56)*IF($I56&gt;=6,$AZ$5:$AZ$215,$AV$5:$AV$215)))/SUMPRODUCT(MAX(($C$5:$C$215=$C56)*($I$5:$I$215&gt;=1)*($I$5:$I$215&lt;$I56)*IF($I56&gt;=6,$AZ$5:$AZ$215,$AV$5:$AV$215)))-1))</f>
        <v/>
      </c>
      <c r="BE56" s="52">
        <f>IF(OR($I56&lt;1,IF($I56&gt;=6,BA56,AW56)&lt;=0),"",IF(SUMPRODUCT(MAX(($C$5:$C$215=$C56)*($I$5:$I$215&gt;=1)*($I$5:$I$215&lt;$I56)*IF($I56&gt;=6,$BA$5:$BA$215,$AW$5:$AW$215)))&lt;=0,"",SUMPRODUCT(MAX(($C$5:$C$215=$C56)*($I$5:$I$215=$I56)*IF($I56&gt;=6,$BA$5:$BA$215,$AW$5:$AW$215)))/SUMPRODUCT(MAX(($C$5:$C$215=$C56)*($I$5:$I$215&gt;=1)*($I$5:$I$215&lt;$I56)*IF($I56&gt;=6,$BA$5:$BA$215,$AW$5:$AW$215)))-1))</f>
        <v/>
      </c>
      <c r="BF56" s="19">
        <f>IF(AND(BB56="",BC56="",BD56="",BE56=""),"",IF(IF(AND(ISNUMBER(BB56),BB56&lt;'Item Budget'!$R$11),"W ","")&amp;IF(AND(ISNUMBER(BC56),BC56&lt;'Item Budget'!$R$11),"R ","")&amp;IF(AND(ISNUMBER(BD56),BD56&lt;'Item Budget'!$R$11),"M ","")&amp;IF(AND(ISNUMBER(BE56),BE56&lt;'Item Budget'!$R$11),"P ","")="","OK","Not above lower step: "&amp;IF(AND(ISNUMBER(BB56),BB56&lt;'Item Budget'!$R$11),"W ","")&amp;IF(AND(ISNUMBER(BC56),BC56&lt;'Item Budget'!$R$11),"R ","")&amp;IF(AND(ISNUMBER(BD56),BD56&lt;'Item Budget'!$R$11),"M ","")&amp;IF(AND(ISNUMBER(BE56),BE56&lt;'Item Budget'!$R$11),"P ","")))</f>
        <v/>
      </c>
    </row>
    <row r="57">
      <c r="A57" s="21" t="n">
        <v>89</v>
      </c>
      <c r="B57" s="21" t="inlineStr">
        <is>
          <t>Bronze Helmet</t>
        </is>
      </c>
      <c r="C57" s="21" t="inlineStr">
        <is>
          <t>Helmet</t>
        </is>
      </c>
      <c r="D57" s="21" t="inlineStr">
        <is>
          <t>Rogue/Warrior</t>
        </is>
      </c>
      <c r="E57" s="21" t="inlineStr">
        <is>
          <t>Rogue/Warrior</t>
        </is>
      </c>
      <c r="F57" s="21" t="inlineStr">
        <is>
          <t>Warrior plate</t>
        </is>
      </c>
      <c r="G57" s="21" t="inlineStr">
        <is>
          <t>vendor: Bronze Armor Guy</t>
        </is>
      </c>
      <c r="H57" s="37" t="n">
        <v>0</v>
      </c>
      <c r="I57" s="21" t="n">
        <v>0</v>
      </c>
      <c r="J57" s="3" t="inlineStr">
        <is>
          <t>Applied</t>
        </is>
      </c>
      <c r="K57" s="21" t="inlineStr">
        <is>
          <t>Vendor</t>
        </is>
      </c>
      <c r="L57" s="31">
        <f>INDEX('Item Budget'!$F$5:$F$13,MATCH(K57,'Item Budget'!$E$5:$E$13,0))+IF(E57="All",0,'Item Budget'!$F$15)+LOOKUP(H57,'Item Budget'!$E$19:$E$23,'Item Budget'!$F$19:$F$23)</f>
        <v/>
      </c>
      <c r="M57" s="21" t="n">
        <v>20</v>
      </c>
      <c r="N57" s="21" t="n">
        <v>25</v>
      </c>
      <c r="O57" s="21" t="n">
        <v>0</v>
      </c>
      <c r="P57" s="21" t="n">
        <v>16</v>
      </c>
      <c r="Q57" s="21" t="n">
        <v>2</v>
      </c>
      <c r="R57" s="21" t="n">
        <v>4</v>
      </c>
      <c r="S57" s="21" t="n">
        <v>0</v>
      </c>
      <c r="T57" s="21" t="n">
        <v>0</v>
      </c>
      <c r="U57" s="21" t="n">
        <v>0</v>
      </c>
      <c r="V57" s="21" t="inlineStr">
        <is>
          <t>(none)</t>
        </is>
      </c>
      <c r="W57" s="61">
        <f>N57*'Item Budget'!$B$5+R57*'Item Budget'!$B$7+P57*'Item Budget'!$B$11+S57*'Item Budget'!$B$10+Q57*'Item Budget'!$B$9+IFERROR(INDEX('Item Budget'!$M$25:$M$95,MATCH(V57,'Item Budget'!$B$25:$B$95,0)),0)+IF($C57="Weapon",U57*'Item Budget'!$B$9,0)</f>
        <v/>
      </c>
      <c r="X57" s="61">
        <f>N57*'Item Budget'!$B$5+R57*'Item Budget'!$B$7+P57*'Item Budget'!$B$11+S57*'Item Budget'!$B$10+O57*'Item Budget'!$B$6+T57*'Item Budget'!$B$8+IFERROR(INDEX('Item Budget'!$N$25:$N$95,MATCH(V57,'Item Budget'!$B$25:$B$95,0)),0)</f>
        <v/>
      </c>
      <c r="Y57" s="61">
        <f>MAX('Item Budget'!$F$16,INDEX('Gear Budget'!$C$8:$C$14,MATCH($C57,'Gear Budget'!$A$8:$A$14,0))*MIN(M57,50))*$L57</f>
        <v/>
      </c>
      <c r="Z57" s="41">
        <f>IF($C57="Caster weapon",X57,MAX(W57,X57))/Y57</f>
        <v/>
      </c>
      <c r="AA57" s="61">
        <f>IF(OR($C57="Weapon",$C57="Caster weapon"),"",'Gear Budget'!$B$5*MAX(1,MIN(M57,50))*INDEX('Gear Budget'!$B$8:$B$14,MATCH($C57,'Gear Budget'!$A$8:$A$14,0))*IF($C57="Shield",IF(D57="Warrior",1,IF(OR(D57="Rogue",D57="All"),0.38/0.6,0.25/0.6)),IFERROR(INDEX('Gear Budget'!$B$18:$B$21,MATCH($F57,'Gear Budget'!$A$18:$A$21,0)),1)))</f>
        <v/>
      </c>
      <c r="AB57" s="41">
        <f>IF(AA57="","",P57/AA57)</f>
        <v/>
      </c>
      <c r="AC57" s="21" t="n">
        <v>20</v>
      </c>
      <c r="AD57" s="21" t="n">
        <v>25</v>
      </c>
      <c r="AE57" s="21" t="n">
        <v>0</v>
      </c>
      <c r="AF57" s="21" t="n">
        <v>16</v>
      </c>
      <c r="AG57" s="21" t="n">
        <v>2</v>
      </c>
      <c r="AH57" s="21" t="n">
        <v>4</v>
      </c>
      <c r="AI57" s="21" t="n">
        <v>0</v>
      </c>
      <c r="AJ57" s="21" t="n">
        <v>0</v>
      </c>
      <c r="AK57" s="21" t="n">
        <v>0</v>
      </c>
      <c r="AL57" s="21" t="inlineStr">
        <is>
          <t>(none)</t>
        </is>
      </c>
      <c r="AM57" s="61">
        <f>AD57*'Item Budget'!$B$5+AH57*'Item Budget'!$B$7+AF57*'Item Budget'!$B$11+AI57*'Item Budget'!$B$10+AG57*'Item Budget'!$B$9+IFERROR(INDEX('Item Budget'!$M$25:$M$95,MATCH(AL57,'Item Budget'!$B$25:$B$95,0)),0)+IF($C57="Weapon",AK57*'Item Budget'!$B$9,0)</f>
        <v/>
      </c>
      <c r="AN57" s="61">
        <f>AD57*'Item Budget'!$B$5+AH57*'Item Budget'!$B$7+AF57*'Item Budget'!$B$11+AI57*'Item Budget'!$B$10+AE57*'Item Budget'!$B$6+AJ57*'Item Budget'!$B$8+IFERROR(INDEX('Item Budget'!$N$25:$N$95,MATCH(AL57,'Item Budget'!$B$25:$B$95,0)),0)</f>
        <v/>
      </c>
      <c r="AO57" s="61">
        <f>MAX('Item Budget'!$F$16,INDEX('Gear Budget'!$C$8:$C$14,MATCH($C57,'Gear Budget'!$A$8:$A$14,0))*MIN(AC57,50))*$L57</f>
        <v/>
      </c>
      <c r="AP57" s="41">
        <f>IF($C57="Caster weapon",AN57,MAX(AM57,AN57))/AO57</f>
        <v/>
      </c>
      <c r="AQ57" s="61">
        <f>IF(OR($C57="Weapon",$C57="Caster weapon"),"",'Gear Budget'!$B$5*MAX(1,MIN(AC57,50))*INDEX('Gear Budget'!$B$8:$B$14,MATCH($C57,'Gear Budget'!$A$8:$A$14,0))*IF($C57="Shield",IF(E57="Warrior",1,IF(OR(E57="Rogue",E57="All"),0.38/0.6,0.25/0.6)),IFERROR(INDEX('Gear Budget'!$B$18:$B$21,MATCH($F57,'Gear Budget'!$A$18:$A$21,0)),1)))</f>
        <v/>
      </c>
      <c r="AR57" s="41">
        <f>IF(AQ57="","",AF57/AQ57)</f>
        <v/>
      </c>
      <c r="AS57" s="64" t="inlineStr">
        <is>
          <t>Pass 1 (applied): Moved to L20.</t>
        </is>
      </c>
      <c r="AT57" s="44">
        <f>IF(OR($E57="All",ISNUMBER(SEARCH("Warrior",$E57))),IF($C57="Caster weapon",(AN57+AF57*('Item Budget'!$AB$14-'Item Budget'!$B$11)),(AM57+AF57*('Item Budget'!$AB$14-'Item Budget'!$B$11))),0)</f>
        <v/>
      </c>
      <c r="AU57" s="44">
        <f>IF(OR($E57="All",ISNUMBER(SEARCH("Rogue",$E57))),IF($C57="Caster weapon",(AN57+AF57*('Item Budget'!$AB$15-'Item Budget'!$B$11)),(AM57+AF57*('Item Budget'!$AB$15-'Item Budget'!$B$11))),0)</f>
        <v/>
      </c>
      <c r="AV57" s="44">
        <f>IF(OR($E57="All",ISNUMBER(SEARCH("Magus",$E57))),(AN57+AF57*('Item Budget'!$AB$16-'Item Budget'!$B$11)),0)</f>
        <v/>
      </c>
      <c r="AW57" s="44">
        <f>IF(OR($E57="All",ISNUMBER(SEARCH("Priest",$E57))),(AN57+AF57*('Item Budget'!$AB$17-'Item Budget'!$B$11)),0)</f>
        <v/>
      </c>
      <c r="AX57" s="44">
        <f>IF(AND(OR($E57="All",ISNUMBER(SEARCH("Warrior",$E57))),AC57&gt;='Item Budget'!$R$10),'Item Budget'!$R$7*100*('Item Budget'!$R$14*(AD57+25*AH57)+'Item Budget'!$S$14*(AE57+25*AJ57))/'Item Budget'!$Z$14+'Item Budget'!$R$9*AF57+IFERROR(INDEX('Item Budget'!$O$25:$O$95,MATCH(AL57,'Item Budget'!$B$25:$B$95,0)),0),0)</f>
        <v/>
      </c>
      <c r="AY57" s="44">
        <f>IF(AND(OR($E57="All",ISNUMBER(SEARCH("Rogue",$E57))),AC57&gt;='Item Budget'!$R$10),'Item Budget'!$R$7*100*('Item Budget'!$R$15*(AD57+25*AH57)+'Item Budget'!$S$15*(AE57+25*AJ57))/'Item Budget'!$Z$15+'Item Budget'!$R$9*AF57+IFERROR(INDEX('Item Budget'!$O$25:$O$95,MATCH(AL57,'Item Budget'!$B$25:$B$95,0)),0),0)</f>
        <v/>
      </c>
      <c r="AZ57" s="44">
        <f>IF(AND(OR($E57="All",ISNUMBER(SEARCH("Magus",$E57))),AC57&gt;='Item Budget'!$R$10),'Item Budget'!$R$7*100*('Item Budget'!$R$16*(AD57+25*AH57)+'Item Budget'!$S$16*(AE57+25*AJ57))/'Item Budget'!$Z$16+'Item Budget'!$R$9*AF57+IFERROR(INDEX('Item Budget'!$O$25:$O$95,MATCH(AL57,'Item Budget'!$B$25:$B$95,0)),0),0)</f>
        <v/>
      </c>
      <c r="BA57" s="44">
        <f>IF(AND(OR($E57="All",ISNUMBER(SEARCH("Priest",$E57))),AC57&gt;='Item Budget'!$R$10),'Item Budget'!$R$7*100*('Item Budget'!$R$17*(AD57+25*AH57)+'Item Budget'!$S$17*(AE57+25*AJ57))/'Item Budget'!$Z$17+'Item Budget'!$R$9*AF57+IFERROR(INDEX('Item Budget'!$O$25:$O$95,MATCH(AL57,'Item Budget'!$B$25:$B$95,0)),0),0)</f>
        <v/>
      </c>
      <c r="BB57" s="52">
        <f>IF(OR($I57&lt;1,IF($I57&gt;=6,AX57,AT57)&lt;=0),"",IF(SUMPRODUCT(MAX(($C$5:$C$215=$C57)*($I$5:$I$215&gt;=1)*($I$5:$I$215&lt;$I57)*IF($I57&gt;=6,$AX$5:$AX$215,$AT$5:$AT$215)))&lt;=0,"",SUMPRODUCT(MAX(($C$5:$C$215=$C57)*($I$5:$I$215=$I57)*IF($I57&gt;=6,$AX$5:$AX$215,$AT$5:$AT$215)))/SUMPRODUCT(MAX(($C$5:$C$215=$C57)*($I$5:$I$215&gt;=1)*($I$5:$I$215&lt;$I57)*IF($I57&gt;=6,$AX$5:$AX$215,$AT$5:$AT$215)))-1))</f>
        <v/>
      </c>
      <c r="BC57" s="52">
        <f>IF(OR($I57&lt;1,IF($I57&gt;=6,AY57,AU57)&lt;=0),"",IF(SUMPRODUCT(MAX(($C$5:$C$215=$C57)*($I$5:$I$215&gt;=1)*($I$5:$I$215&lt;$I57)*IF($I57&gt;=6,$AY$5:$AY$215,$AU$5:$AU$215)))&lt;=0,"",SUMPRODUCT(MAX(($C$5:$C$215=$C57)*($I$5:$I$215=$I57)*IF($I57&gt;=6,$AY$5:$AY$215,$AU$5:$AU$215)))/SUMPRODUCT(MAX(($C$5:$C$215=$C57)*($I$5:$I$215&gt;=1)*($I$5:$I$215&lt;$I57)*IF($I57&gt;=6,$AY$5:$AY$215,$AU$5:$AU$215)))-1))</f>
        <v/>
      </c>
      <c r="BD57" s="52">
        <f>IF(OR($I57&lt;1,IF($I57&gt;=6,AZ57,AV57)&lt;=0),"",IF(SUMPRODUCT(MAX(($C$5:$C$215=$C57)*($I$5:$I$215&gt;=1)*($I$5:$I$215&lt;$I57)*IF($I57&gt;=6,$AZ$5:$AZ$215,$AV$5:$AV$215)))&lt;=0,"",SUMPRODUCT(MAX(($C$5:$C$215=$C57)*($I$5:$I$215=$I57)*IF($I57&gt;=6,$AZ$5:$AZ$215,$AV$5:$AV$215)))/SUMPRODUCT(MAX(($C$5:$C$215=$C57)*($I$5:$I$215&gt;=1)*($I$5:$I$215&lt;$I57)*IF($I57&gt;=6,$AZ$5:$AZ$215,$AV$5:$AV$215)))-1))</f>
        <v/>
      </c>
      <c r="BE57" s="52">
        <f>IF(OR($I57&lt;1,IF($I57&gt;=6,BA57,AW57)&lt;=0),"",IF(SUMPRODUCT(MAX(($C$5:$C$215=$C57)*($I$5:$I$215&gt;=1)*($I$5:$I$215&lt;$I57)*IF($I57&gt;=6,$BA$5:$BA$215,$AW$5:$AW$215)))&lt;=0,"",SUMPRODUCT(MAX(($C$5:$C$215=$C57)*($I$5:$I$215=$I57)*IF($I57&gt;=6,$BA$5:$BA$215,$AW$5:$AW$215)))/SUMPRODUCT(MAX(($C$5:$C$215=$C57)*($I$5:$I$215&gt;=1)*($I$5:$I$215&lt;$I57)*IF($I57&gt;=6,$BA$5:$BA$215,$AW$5:$AW$215)))-1))</f>
        <v/>
      </c>
      <c r="BF57" s="19">
        <f>IF(AND(BB57="",BC57="",BD57="",BE57=""),"",IF(IF(AND(ISNUMBER(BB57),BB57&lt;'Item Budget'!$R$11),"W ","")&amp;IF(AND(ISNUMBER(BC57),BC57&lt;'Item Budget'!$R$11),"R ","")&amp;IF(AND(ISNUMBER(BD57),BD57&lt;'Item Budget'!$R$11),"M ","")&amp;IF(AND(ISNUMBER(BE57),BE57&lt;'Item Budget'!$R$11),"P ","")="","OK","Not above lower step: "&amp;IF(AND(ISNUMBER(BB57),BB57&lt;'Item Budget'!$R$11),"W ","")&amp;IF(AND(ISNUMBER(BC57),BC57&lt;'Item Budget'!$R$11),"R ","")&amp;IF(AND(ISNUMBER(BD57),BD57&lt;'Item Budget'!$R$11),"M ","")&amp;IF(AND(ISNUMBER(BE57),BE57&lt;'Item Budget'!$R$11),"P ","")))</f>
        <v/>
      </c>
    </row>
    <row r="58">
      <c r="A58" s="21" t="n">
        <v>409</v>
      </c>
      <c r="B58" s="21" t="inlineStr">
        <is>
          <t>Laurels</t>
        </is>
      </c>
      <c r="C58" s="21" t="inlineStr">
        <is>
          <t>Helmet</t>
        </is>
      </c>
      <c r="D58" s="21" t="inlineStr">
        <is>
          <t>All</t>
        </is>
      </c>
      <c r="E58" s="21" t="inlineStr">
        <is>
          <t>All</t>
        </is>
      </c>
      <c r="F58" s="21" t="inlineStr">
        <is>
          <t>All classes</t>
        </is>
      </c>
      <c r="G58" s="21" t="inlineStr">
        <is>
          <t>drop: Disciple Von Bangs 20%</t>
        </is>
      </c>
      <c r="H58" s="37" t="n">
        <v>100000000</v>
      </c>
      <c r="I58" s="21" t="n">
        <v>7</v>
      </c>
      <c r="J58" s="19" t="inlineStr">
        <is>
          <t>Leave</t>
        </is>
      </c>
      <c r="K58" s="21" t="inlineStr">
        <is>
          <t>Rare boss drop</t>
        </is>
      </c>
      <c r="L58" s="31">
        <f>INDEX('Item Budget'!$F$5:$F$13,MATCH(K58,'Item Budget'!$E$5:$E$13,0))+IF(E58="All",0,'Item Budget'!$F$15)+LOOKUP(H58,'Item Budget'!$E$19:$E$23,'Item Budget'!$F$19:$F$23)</f>
        <v/>
      </c>
      <c r="M58" s="21" t="n">
        <v>25</v>
      </c>
      <c r="N58" s="21" t="n">
        <v>300</v>
      </c>
      <c r="O58" s="21" t="n">
        <v>300</v>
      </c>
      <c r="P58" s="21" t="n">
        <v>50</v>
      </c>
      <c r="Q58" s="21" t="n">
        <v>20</v>
      </c>
      <c r="R58" s="21" t="n">
        <v>20</v>
      </c>
      <c r="S58" s="21" t="n">
        <v>20</v>
      </c>
      <c r="T58" s="21" t="n">
        <v>20</v>
      </c>
      <c r="U58" s="21" t="n">
        <v>0</v>
      </c>
      <c r="V58" s="21" t="inlineStr">
        <is>
          <t>(none)</t>
        </is>
      </c>
      <c r="W58" s="61">
        <f>N58*'Item Budget'!$B$5+R58*'Item Budget'!$B$7+P58*'Item Budget'!$B$11+S58*'Item Budget'!$B$10+Q58*'Item Budget'!$B$9+IFERROR(INDEX('Item Budget'!$M$25:$M$95,MATCH(V58,'Item Budget'!$B$25:$B$95,0)),0)+IF($C58="Weapon",U58*'Item Budget'!$B$9,0)</f>
        <v/>
      </c>
      <c r="X58" s="61">
        <f>N58*'Item Budget'!$B$5+R58*'Item Budget'!$B$7+P58*'Item Budget'!$B$11+S58*'Item Budget'!$B$10+O58*'Item Budget'!$B$6+T58*'Item Budget'!$B$8+IFERROR(INDEX('Item Budget'!$N$25:$N$95,MATCH(V58,'Item Budget'!$B$25:$B$95,0)),0)</f>
        <v/>
      </c>
      <c r="Y58" s="61">
        <f>MAX('Item Budget'!$F$16,INDEX('Gear Budget'!$C$8:$C$14,MATCH($C58,'Gear Budget'!$A$8:$A$14,0))*MIN(M58,50))*$L58</f>
        <v/>
      </c>
      <c r="Z58" s="41">
        <f>IF($C58="Caster weapon",X58,MAX(W58,X58))/Y58</f>
        <v/>
      </c>
      <c r="AA58" s="61">
        <f>IF(OR($C58="Weapon",$C58="Caster weapon"),"",'Gear Budget'!$B$5*MAX(1,MIN(M58,50))*INDEX('Gear Budget'!$B$8:$B$14,MATCH($C58,'Gear Budget'!$A$8:$A$14,0))*IF($C58="Shield",IF(D58="Warrior",1,IF(OR(D58="Rogue",D58="All"),0.38/0.6,0.25/0.6)),IFERROR(INDEX('Gear Budget'!$B$18:$B$21,MATCH($F58,'Gear Budget'!$A$18:$A$21,0)),1)))</f>
        <v/>
      </c>
      <c r="AB58" s="41">
        <f>IF(AA58="","",P58/AA58)</f>
        <v/>
      </c>
      <c r="AC58" s="21" t="n">
        <v>25</v>
      </c>
      <c r="AD58" s="21" t="n">
        <v>300</v>
      </c>
      <c r="AE58" s="21" t="n">
        <v>300</v>
      </c>
      <c r="AF58" s="21" t="n">
        <v>50</v>
      </c>
      <c r="AG58" s="21" t="n">
        <v>20</v>
      </c>
      <c r="AH58" s="21" t="n">
        <v>20</v>
      </c>
      <c r="AI58" s="21" t="n">
        <v>20</v>
      </c>
      <c r="AJ58" s="21" t="n">
        <v>20</v>
      </c>
      <c r="AK58" s="21" t="n">
        <v>0</v>
      </c>
      <c r="AL58" s="21" t="inlineStr">
        <is>
          <t>(none)</t>
        </is>
      </c>
      <c r="AM58" s="61">
        <f>AD58*'Item Budget'!$B$5+AH58*'Item Budget'!$B$7+AF58*'Item Budget'!$B$11+AI58*'Item Budget'!$B$10+AG58*'Item Budget'!$B$9+IFERROR(INDEX('Item Budget'!$M$25:$M$95,MATCH(AL58,'Item Budget'!$B$25:$B$95,0)),0)+IF($C58="Weapon",AK58*'Item Budget'!$B$9,0)</f>
        <v/>
      </c>
      <c r="AN58" s="61">
        <f>AD58*'Item Budget'!$B$5+AH58*'Item Budget'!$B$7+AF58*'Item Budget'!$B$11+AI58*'Item Budget'!$B$10+AE58*'Item Budget'!$B$6+AJ58*'Item Budget'!$B$8+IFERROR(INDEX('Item Budget'!$N$25:$N$95,MATCH(AL58,'Item Budget'!$B$25:$B$95,0)),0)</f>
        <v/>
      </c>
      <c r="AO58" s="61">
        <f>MAX('Item Budget'!$F$16,INDEX('Gear Budget'!$C$8:$C$14,MATCH($C58,'Gear Budget'!$A$8:$A$14,0))*MIN(AC58,50))*$L58</f>
        <v/>
      </c>
      <c r="AP58" s="41">
        <f>IF($C58="Caster weapon",AN58,MAX(AM58,AN58))/AO58</f>
        <v/>
      </c>
      <c r="AQ58" s="61">
        <f>IF(OR($C58="Weapon",$C58="Caster weapon"),"",'Gear Budget'!$B$5*MAX(1,MIN(AC58,50))*INDEX('Gear Budget'!$B$8:$B$14,MATCH($C58,'Gear Budget'!$A$8:$A$14,0))*IF($C58="Shield",IF(E58="Warrior",1,IF(OR(E58="Rogue",E58="All"),0.38/0.6,0.25/0.6)),IFERROR(INDEX('Gear Budget'!$B$18:$B$21,MATCH($F58,'Gear Budget'!$A$18:$A$21,0)),1)))</f>
        <v/>
      </c>
      <c r="AR58" s="41">
        <f>IF(AQ58="","",AF58/AQ58)</f>
        <v/>
      </c>
      <c r="AS58" s="64" t="n"/>
      <c r="AT58" s="44">
        <f>IF(OR($E58="All",ISNUMBER(SEARCH("Warrior",$E58))),IF($C58="Caster weapon",(AN58+AF58*('Item Budget'!$AB$14-'Item Budget'!$B$11)),(AM58+AF58*('Item Budget'!$AB$14-'Item Budget'!$B$11))),0)</f>
        <v/>
      </c>
      <c r="AU58" s="44">
        <f>IF(OR($E58="All",ISNUMBER(SEARCH("Rogue",$E58))),IF($C58="Caster weapon",(AN58+AF58*('Item Budget'!$AB$15-'Item Budget'!$B$11)),(AM58+AF58*('Item Budget'!$AB$15-'Item Budget'!$B$11))),0)</f>
        <v/>
      </c>
      <c r="AV58" s="44">
        <f>IF(OR($E58="All",ISNUMBER(SEARCH("Magus",$E58))),(AN58+AF58*('Item Budget'!$AB$16-'Item Budget'!$B$11)),0)</f>
        <v/>
      </c>
      <c r="AW58" s="44">
        <f>IF(OR($E58="All",ISNUMBER(SEARCH("Priest",$E58))),(AN58+AF58*('Item Budget'!$AB$17-'Item Budget'!$B$11)),0)</f>
        <v/>
      </c>
      <c r="AX58" s="44">
        <f>IF(AND(OR($E58="All",ISNUMBER(SEARCH("Warrior",$E58))),AC58&gt;='Item Budget'!$R$10),'Item Budget'!$R$7*100*('Item Budget'!$R$14*(AD58+25*AH58)+'Item Budget'!$S$14*(AE58+25*AJ58))/'Item Budget'!$Z$14+'Item Budget'!$R$9*AF58+IFERROR(INDEX('Item Budget'!$O$25:$O$95,MATCH(AL58,'Item Budget'!$B$25:$B$95,0)),0),0)</f>
        <v/>
      </c>
      <c r="AY58" s="44">
        <f>IF(AND(OR($E58="All",ISNUMBER(SEARCH("Rogue",$E58))),AC58&gt;='Item Budget'!$R$10),'Item Budget'!$R$7*100*('Item Budget'!$R$15*(AD58+25*AH58)+'Item Budget'!$S$15*(AE58+25*AJ58))/'Item Budget'!$Z$15+'Item Budget'!$R$9*AF58+IFERROR(INDEX('Item Budget'!$O$25:$O$95,MATCH(AL58,'Item Budget'!$B$25:$B$95,0)),0),0)</f>
        <v/>
      </c>
      <c r="AZ58" s="44">
        <f>IF(AND(OR($E58="All",ISNUMBER(SEARCH("Magus",$E58))),AC58&gt;='Item Budget'!$R$10),'Item Budget'!$R$7*100*('Item Budget'!$R$16*(AD58+25*AH58)+'Item Budget'!$S$16*(AE58+25*AJ58))/'Item Budget'!$Z$16+'Item Budget'!$R$9*AF58+IFERROR(INDEX('Item Budget'!$O$25:$O$95,MATCH(AL58,'Item Budget'!$B$25:$B$95,0)),0),0)</f>
        <v/>
      </c>
      <c r="BA58" s="44">
        <f>IF(AND(OR($E58="All",ISNUMBER(SEARCH("Priest",$E58))),AC58&gt;='Item Budget'!$R$10),'Item Budget'!$R$7*100*('Item Budget'!$R$17*(AD58+25*AH58)+'Item Budget'!$S$17*(AE58+25*AJ58))/'Item Budget'!$Z$17+'Item Budget'!$R$9*AF58+IFERROR(INDEX('Item Budget'!$O$25:$O$95,MATCH(AL58,'Item Budget'!$B$25:$B$95,0)),0),0)</f>
        <v/>
      </c>
      <c r="BB58" s="52">
        <f>IF(OR($I58&lt;1,IF($I58&gt;=6,AX58,AT58)&lt;=0),"",IF(SUMPRODUCT(MAX(($C$5:$C$215=$C58)*($I$5:$I$215&gt;=1)*($I$5:$I$215&lt;$I58)*IF($I58&gt;=6,$AX$5:$AX$215,$AT$5:$AT$215)))&lt;=0,"",SUMPRODUCT(MAX(($C$5:$C$215=$C58)*($I$5:$I$215=$I58)*IF($I58&gt;=6,$AX$5:$AX$215,$AT$5:$AT$215)))/SUMPRODUCT(MAX(($C$5:$C$215=$C58)*($I$5:$I$215&gt;=1)*($I$5:$I$215&lt;$I58)*IF($I58&gt;=6,$AX$5:$AX$215,$AT$5:$AT$215)))-1))</f>
        <v/>
      </c>
      <c r="BC58" s="52">
        <f>IF(OR($I58&lt;1,IF($I58&gt;=6,AY58,AU58)&lt;=0),"",IF(SUMPRODUCT(MAX(($C$5:$C$215=$C58)*($I$5:$I$215&gt;=1)*($I$5:$I$215&lt;$I58)*IF($I58&gt;=6,$AY$5:$AY$215,$AU$5:$AU$215)))&lt;=0,"",SUMPRODUCT(MAX(($C$5:$C$215=$C58)*($I$5:$I$215=$I58)*IF($I58&gt;=6,$AY$5:$AY$215,$AU$5:$AU$215)))/SUMPRODUCT(MAX(($C$5:$C$215=$C58)*($I$5:$I$215&gt;=1)*($I$5:$I$215&lt;$I58)*IF($I58&gt;=6,$AY$5:$AY$215,$AU$5:$AU$215)))-1))</f>
        <v/>
      </c>
      <c r="BD58" s="52">
        <f>IF(OR($I58&lt;1,IF($I58&gt;=6,AZ58,AV58)&lt;=0),"",IF(SUMPRODUCT(MAX(($C$5:$C$215=$C58)*($I$5:$I$215&gt;=1)*($I$5:$I$215&lt;$I58)*IF($I58&gt;=6,$AZ$5:$AZ$215,$AV$5:$AV$215)))&lt;=0,"",SUMPRODUCT(MAX(($C$5:$C$215=$C58)*($I$5:$I$215=$I58)*IF($I58&gt;=6,$AZ$5:$AZ$215,$AV$5:$AV$215)))/SUMPRODUCT(MAX(($C$5:$C$215=$C58)*($I$5:$I$215&gt;=1)*($I$5:$I$215&lt;$I58)*IF($I58&gt;=6,$AZ$5:$AZ$215,$AV$5:$AV$215)))-1))</f>
        <v/>
      </c>
      <c r="BE58" s="52">
        <f>IF(OR($I58&lt;1,IF($I58&gt;=6,BA58,AW58)&lt;=0),"",IF(SUMPRODUCT(MAX(($C$5:$C$215=$C58)*($I$5:$I$215&gt;=1)*($I$5:$I$215&lt;$I58)*IF($I58&gt;=6,$BA$5:$BA$215,$AW$5:$AW$215)))&lt;=0,"",SUMPRODUCT(MAX(($C$5:$C$215=$C58)*($I$5:$I$215=$I58)*IF($I58&gt;=6,$BA$5:$BA$215,$AW$5:$AW$215)))/SUMPRODUCT(MAX(($C$5:$C$215=$C58)*($I$5:$I$215&gt;=1)*($I$5:$I$215&lt;$I58)*IF($I58&gt;=6,$BA$5:$BA$215,$AW$5:$AW$215)))-1))</f>
        <v/>
      </c>
      <c r="BF58" s="19">
        <f>IF(AND(BB58="",BC58="",BD58="",BE58=""),"",IF(IF(AND(ISNUMBER(BB58),BB58&lt;'Item Budget'!$R$11),"W ","")&amp;IF(AND(ISNUMBER(BC58),BC58&lt;'Item Budget'!$R$11),"R ","")&amp;IF(AND(ISNUMBER(BD58),BD58&lt;'Item Budget'!$R$11),"M ","")&amp;IF(AND(ISNUMBER(BE58),BE58&lt;'Item Budget'!$R$11),"P ","")="","OK","Not above lower step: "&amp;IF(AND(ISNUMBER(BB58),BB58&lt;'Item Budget'!$R$11),"W ","")&amp;IF(AND(ISNUMBER(BC58),BC58&lt;'Item Budget'!$R$11),"R ","")&amp;IF(AND(ISNUMBER(BD58),BD58&lt;'Item Budget'!$R$11),"M ","")&amp;IF(AND(ISNUMBER(BE58),BE58&lt;'Item Budget'!$R$11),"P ","")))</f>
        <v/>
      </c>
    </row>
    <row r="59">
      <c r="A59" s="21" t="n">
        <v>103</v>
      </c>
      <c r="B59" s="21" t="inlineStr">
        <is>
          <t>Steel Helmet</t>
        </is>
      </c>
      <c r="C59" s="21" t="inlineStr">
        <is>
          <t>Helmet</t>
        </is>
      </c>
      <c r="D59" s="21" t="inlineStr">
        <is>
          <t>Warrior</t>
        </is>
      </c>
      <c r="E59" s="21" t="inlineStr">
        <is>
          <t>Warrior</t>
        </is>
      </c>
      <c r="F59" s="21" t="inlineStr">
        <is>
          <t>Warrior plate</t>
        </is>
      </c>
      <c r="G59" s="21" t="inlineStr">
        <is>
          <t>vendor: Steel Armor Guy</t>
        </is>
      </c>
      <c r="H59" s="37" t="n">
        <v>0</v>
      </c>
      <c r="I59" s="21" t="n">
        <v>0</v>
      </c>
      <c r="J59" s="3" t="inlineStr">
        <is>
          <t>Pass 2</t>
        </is>
      </c>
      <c r="K59" s="21" t="inlineStr">
        <is>
          <t>Vendor</t>
        </is>
      </c>
      <c r="L59" s="31">
        <f>INDEX('Item Budget'!$F$5:$F$13,MATCH(K59,'Item Budget'!$E$5:$E$13,0))+IF(E59="All",0,'Item Budget'!$F$15)+LOOKUP(H59,'Item Budget'!$E$19:$E$23,'Item Budget'!$F$19:$F$23)</f>
        <v/>
      </c>
      <c r="M59" s="21" t="n">
        <v>30</v>
      </c>
      <c r="N59" s="21" t="n">
        <v>50</v>
      </c>
      <c r="O59" s="21" t="n">
        <v>0</v>
      </c>
      <c r="P59" s="21" t="n">
        <v>25</v>
      </c>
      <c r="Q59" s="21" t="n">
        <v>3</v>
      </c>
      <c r="R59" s="21" t="n">
        <v>6</v>
      </c>
      <c r="S59" s="21" t="n">
        <v>0</v>
      </c>
      <c r="T59" s="21" t="n">
        <v>0</v>
      </c>
      <c r="U59" s="21" t="n">
        <v>0</v>
      </c>
      <c r="V59" s="21" t="inlineStr">
        <is>
          <t>(none)</t>
        </is>
      </c>
      <c r="W59" s="61">
        <f>N59*'Item Budget'!$B$5+R59*'Item Budget'!$B$7+P59*'Item Budget'!$B$11+S59*'Item Budget'!$B$10+Q59*'Item Budget'!$B$9+IFERROR(INDEX('Item Budget'!$M$25:$M$95,MATCH(V59,'Item Budget'!$B$25:$B$95,0)),0)+IF($C59="Weapon",U59*'Item Budget'!$B$9,0)</f>
        <v/>
      </c>
      <c r="X59" s="61">
        <f>N59*'Item Budget'!$B$5+R59*'Item Budget'!$B$7+P59*'Item Budget'!$B$11+S59*'Item Budget'!$B$10+O59*'Item Budget'!$B$6+T59*'Item Budget'!$B$8+IFERROR(INDEX('Item Budget'!$N$25:$N$95,MATCH(V59,'Item Budget'!$B$25:$B$95,0)),0)</f>
        <v/>
      </c>
      <c r="Y59" s="61">
        <f>MAX('Item Budget'!$F$16,INDEX('Gear Budget'!$C$8:$C$14,MATCH($C59,'Gear Budget'!$A$8:$A$14,0))*MIN(M59,50))*$L59</f>
        <v/>
      </c>
      <c r="Z59" s="41">
        <f>IF($C59="Caster weapon",X59,MAX(W59,X59))/Y59</f>
        <v/>
      </c>
      <c r="AA59" s="61">
        <f>IF(OR($C59="Weapon",$C59="Caster weapon"),"",'Gear Budget'!$B$5*MAX(1,MIN(M59,50))*INDEX('Gear Budget'!$B$8:$B$14,MATCH($C59,'Gear Budget'!$A$8:$A$14,0))*IF($C59="Shield",IF(D59="Warrior",1,IF(OR(D59="Rogue",D59="All"),0.38/0.6,0.25/0.6)),IFERROR(INDEX('Gear Budget'!$B$18:$B$21,MATCH($F59,'Gear Budget'!$A$18:$A$21,0)),1)))</f>
        <v/>
      </c>
      <c r="AB59" s="41">
        <f>IF(AA59="","",P59/AA59)</f>
        <v/>
      </c>
      <c r="AC59" s="21" t="n">
        <v>30</v>
      </c>
      <c r="AD59" s="20" t="n">
        <v>60</v>
      </c>
      <c r="AE59" s="21" t="n">
        <v>0</v>
      </c>
      <c r="AF59" s="20" t="n">
        <v>30</v>
      </c>
      <c r="AG59" s="20" t="n">
        <v>4</v>
      </c>
      <c r="AH59" s="20" t="n">
        <v>7</v>
      </c>
      <c r="AI59" s="21" t="n">
        <v>0</v>
      </c>
      <c r="AJ59" s="21" t="n">
        <v>0</v>
      </c>
      <c r="AK59" s="21" t="n">
        <v>0</v>
      </c>
      <c r="AL59" s="21" t="inlineStr">
        <is>
          <t>(none)</t>
        </is>
      </c>
      <c r="AM59" s="61">
        <f>AD59*'Item Budget'!$B$5+AH59*'Item Budget'!$B$7+AF59*'Item Budget'!$B$11+AI59*'Item Budget'!$B$10+AG59*'Item Budget'!$B$9+IFERROR(INDEX('Item Budget'!$M$25:$M$95,MATCH(AL59,'Item Budget'!$B$25:$B$95,0)),0)+IF($C59="Weapon",AK59*'Item Budget'!$B$9,0)</f>
        <v/>
      </c>
      <c r="AN59" s="61">
        <f>AD59*'Item Budget'!$B$5+AH59*'Item Budget'!$B$7+AF59*'Item Budget'!$B$11+AI59*'Item Budget'!$B$10+AE59*'Item Budget'!$B$6+AJ59*'Item Budget'!$B$8+IFERROR(INDEX('Item Budget'!$N$25:$N$95,MATCH(AL59,'Item Budget'!$B$25:$B$95,0)),0)</f>
        <v/>
      </c>
      <c r="AO59" s="61">
        <f>MAX('Item Budget'!$F$16,INDEX('Gear Budget'!$C$8:$C$14,MATCH($C59,'Gear Budget'!$A$8:$A$14,0))*MIN(AC59,50))*$L59</f>
        <v/>
      </c>
      <c r="AP59" s="41">
        <f>IF($C59="Caster weapon",AN59,MAX(AM59,AN59))/AO59</f>
        <v/>
      </c>
      <c r="AQ59" s="61">
        <f>IF(OR($C59="Weapon",$C59="Caster weapon"),"",'Gear Budget'!$B$5*MAX(1,MIN(AC59,50))*INDEX('Gear Budget'!$B$8:$B$14,MATCH($C59,'Gear Budget'!$A$8:$A$14,0))*IF($C59="Shield",IF(E59="Warrior",1,IF(OR(E59="Rogue",E59="All"),0.38/0.6,0.25/0.6)),IFERROR(INDEX('Gear Budget'!$B$18:$B$21,MATCH($F59,'Gear Budget'!$A$18:$A$21,0)),1)))</f>
        <v/>
      </c>
      <c r="AR59" s="41">
        <f>IF(AQ59="","",AF59/AQ59)</f>
        <v/>
      </c>
      <c r="AS59" s="64" t="inlineStr">
        <is>
          <t>L30 vendor: 1.85x the matching L20 vendor piece (Bronze Helmet) so it is a clear upgrade</t>
        </is>
      </c>
      <c r="AT59" s="44">
        <f>IF(OR($E59="All",ISNUMBER(SEARCH("Warrior",$E59))),IF($C59="Caster weapon",(AN59+AF59*('Item Budget'!$AB$14-'Item Budget'!$B$11)),(AM59+AF59*('Item Budget'!$AB$14-'Item Budget'!$B$11))),0)</f>
        <v/>
      </c>
      <c r="AU59" s="44">
        <f>IF(OR($E59="All",ISNUMBER(SEARCH("Rogue",$E59))),IF($C59="Caster weapon",(AN59+AF59*('Item Budget'!$AB$15-'Item Budget'!$B$11)),(AM59+AF59*('Item Budget'!$AB$15-'Item Budget'!$B$11))),0)</f>
        <v/>
      </c>
      <c r="AV59" s="44">
        <f>IF(OR($E59="All",ISNUMBER(SEARCH("Magus",$E59))),(AN59+AF59*('Item Budget'!$AB$16-'Item Budget'!$B$11)),0)</f>
        <v/>
      </c>
      <c r="AW59" s="44">
        <f>IF(OR($E59="All",ISNUMBER(SEARCH("Priest",$E59))),(AN59+AF59*('Item Budget'!$AB$17-'Item Budget'!$B$11)),0)</f>
        <v/>
      </c>
      <c r="AX59" s="44">
        <f>IF(AND(OR($E59="All",ISNUMBER(SEARCH("Warrior",$E59))),AC59&gt;='Item Budget'!$R$10),'Item Budget'!$R$7*100*('Item Budget'!$R$14*(AD59+25*AH59)+'Item Budget'!$S$14*(AE59+25*AJ59))/'Item Budget'!$Z$14+'Item Budget'!$R$9*AF59+IFERROR(INDEX('Item Budget'!$O$25:$O$95,MATCH(AL59,'Item Budget'!$B$25:$B$95,0)),0),0)</f>
        <v/>
      </c>
      <c r="AY59" s="44">
        <f>IF(AND(OR($E59="All",ISNUMBER(SEARCH("Rogue",$E59))),AC59&gt;='Item Budget'!$R$10),'Item Budget'!$R$7*100*('Item Budget'!$R$15*(AD59+25*AH59)+'Item Budget'!$S$15*(AE59+25*AJ59))/'Item Budget'!$Z$15+'Item Budget'!$R$9*AF59+IFERROR(INDEX('Item Budget'!$O$25:$O$95,MATCH(AL59,'Item Budget'!$B$25:$B$95,0)),0),0)</f>
        <v/>
      </c>
      <c r="AZ59" s="44">
        <f>IF(AND(OR($E59="All",ISNUMBER(SEARCH("Magus",$E59))),AC59&gt;='Item Budget'!$R$10),'Item Budget'!$R$7*100*('Item Budget'!$R$16*(AD59+25*AH59)+'Item Budget'!$S$16*(AE59+25*AJ59))/'Item Budget'!$Z$16+'Item Budget'!$R$9*AF59+IFERROR(INDEX('Item Budget'!$O$25:$O$95,MATCH(AL59,'Item Budget'!$B$25:$B$95,0)),0),0)</f>
        <v/>
      </c>
      <c r="BA59" s="44">
        <f>IF(AND(OR($E59="All",ISNUMBER(SEARCH("Priest",$E59))),AC59&gt;='Item Budget'!$R$10),'Item Budget'!$R$7*100*('Item Budget'!$R$17*(AD59+25*AH59)+'Item Budget'!$S$17*(AE59+25*AJ59))/'Item Budget'!$Z$17+'Item Budget'!$R$9*AF59+IFERROR(INDEX('Item Budget'!$O$25:$O$95,MATCH(AL59,'Item Budget'!$B$25:$B$95,0)),0),0)</f>
        <v/>
      </c>
      <c r="BB59" s="52">
        <f>IF(OR($I59&lt;1,IF($I59&gt;=6,AX59,AT59)&lt;=0),"",IF(SUMPRODUCT(MAX(($C$5:$C$215=$C59)*($I$5:$I$215&gt;=1)*($I$5:$I$215&lt;$I59)*IF($I59&gt;=6,$AX$5:$AX$215,$AT$5:$AT$215)))&lt;=0,"",SUMPRODUCT(MAX(($C$5:$C$215=$C59)*($I$5:$I$215=$I59)*IF($I59&gt;=6,$AX$5:$AX$215,$AT$5:$AT$215)))/SUMPRODUCT(MAX(($C$5:$C$215=$C59)*($I$5:$I$215&gt;=1)*($I$5:$I$215&lt;$I59)*IF($I59&gt;=6,$AX$5:$AX$215,$AT$5:$AT$215)))-1))</f>
        <v/>
      </c>
      <c r="BC59" s="52">
        <f>IF(OR($I59&lt;1,IF($I59&gt;=6,AY59,AU59)&lt;=0),"",IF(SUMPRODUCT(MAX(($C$5:$C$215=$C59)*($I$5:$I$215&gt;=1)*($I$5:$I$215&lt;$I59)*IF($I59&gt;=6,$AY$5:$AY$215,$AU$5:$AU$215)))&lt;=0,"",SUMPRODUCT(MAX(($C$5:$C$215=$C59)*($I$5:$I$215=$I59)*IF($I59&gt;=6,$AY$5:$AY$215,$AU$5:$AU$215)))/SUMPRODUCT(MAX(($C$5:$C$215=$C59)*($I$5:$I$215&gt;=1)*($I$5:$I$215&lt;$I59)*IF($I59&gt;=6,$AY$5:$AY$215,$AU$5:$AU$215)))-1))</f>
        <v/>
      </c>
      <c r="BD59" s="52">
        <f>IF(OR($I59&lt;1,IF($I59&gt;=6,AZ59,AV59)&lt;=0),"",IF(SUMPRODUCT(MAX(($C$5:$C$215=$C59)*($I$5:$I$215&gt;=1)*($I$5:$I$215&lt;$I59)*IF($I59&gt;=6,$AZ$5:$AZ$215,$AV$5:$AV$215)))&lt;=0,"",SUMPRODUCT(MAX(($C$5:$C$215=$C59)*($I$5:$I$215=$I59)*IF($I59&gt;=6,$AZ$5:$AZ$215,$AV$5:$AV$215)))/SUMPRODUCT(MAX(($C$5:$C$215=$C59)*($I$5:$I$215&gt;=1)*($I$5:$I$215&lt;$I59)*IF($I59&gt;=6,$AZ$5:$AZ$215,$AV$5:$AV$215)))-1))</f>
        <v/>
      </c>
      <c r="BE59" s="52">
        <f>IF(OR($I59&lt;1,IF($I59&gt;=6,BA59,AW59)&lt;=0),"",IF(SUMPRODUCT(MAX(($C$5:$C$215=$C59)*($I$5:$I$215&gt;=1)*($I$5:$I$215&lt;$I59)*IF($I59&gt;=6,$BA$5:$BA$215,$AW$5:$AW$215)))&lt;=0,"",SUMPRODUCT(MAX(($C$5:$C$215=$C59)*($I$5:$I$215=$I59)*IF($I59&gt;=6,$BA$5:$BA$215,$AW$5:$AW$215)))/SUMPRODUCT(MAX(($C$5:$C$215=$C59)*($I$5:$I$215&gt;=1)*($I$5:$I$215&lt;$I59)*IF($I59&gt;=6,$BA$5:$BA$215,$AW$5:$AW$215)))-1))</f>
        <v/>
      </c>
      <c r="BF59" s="19">
        <f>IF(AND(BB59="",BC59="",BD59="",BE59=""),"",IF(IF(AND(ISNUMBER(BB59),BB59&lt;'Item Budget'!$R$11),"W ","")&amp;IF(AND(ISNUMBER(BC59),BC59&lt;'Item Budget'!$R$11),"R ","")&amp;IF(AND(ISNUMBER(BD59),BD59&lt;'Item Budget'!$R$11),"M ","")&amp;IF(AND(ISNUMBER(BE59),BE59&lt;'Item Budget'!$R$11),"P ","")="","OK","Not above lower step: "&amp;IF(AND(ISNUMBER(BB59),BB59&lt;'Item Budget'!$R$11),"W ","")&amp;IF(AND(ISNUMBER(BC59),BC59&lt;'Item Budget'!$R$11),"R ","")&amp;IF(AND(ISNUMBER(BD59),BD59&lt;'Item Budget'!$R$11),"M ","")&amp;IF(AND(ISNUMBER(BE59),BE59&lt;'Item Budget'!$R$11),"P ","")))</f>
        <v/>
      </c>
    </row>
    <row r="60">
      <c r="A60" s="21" t="n">
        <v>97</v>
      </c>
      <c r="B60" s="21" t="inlineStr">
        <is>
          <t>Iron Helmet</t>
        </is>
      </c>
      <c r="C60" s="21" t="inlineStr">
        <is>
          <t>Helmet</t>
        </is>
      </c>
      <c r="D60" s="21" t="inlineStr">
        <is>
          <t>Rogue</t>
        </is>
      </c>
      <c r="E60" s="21" t="inlineStr">
        <is>
          <t>Rogue</t>
        </is>
      </c>
      <c r="F60" s="21" t="inlineStr">
        <is>
          <t>Rogue</t>
        </is>
      </c>
      <c r="G60" s="21" t="inlineStr">
        <is>
          <t>vendor: Iron Armor Guy</t>
        </is>
      </c>
      <c r="H60" s="37" t="n">
        <v>0</v>
      </c>
      <c r="I60" s="21" t="n">
        <v>0</v>
      </c>
      <c r="J60" s="3" t="inlineStr">
        <is>
          <t>Pass 2</t>
        </is>
      </c>
      <c r="K60" s="21" t="inlineStr">
        <is>
          <t>Vendor</t>
        </is>
      </c>
      <c r="L60" s="31">
        <f>INDEX('Item Budget'!$F$5:$F$13,MATCH(K60,'Item Budget'!$E$5:$E$13,0))+IF(E60="All",0,'Item Budget'!$F$15)+LOOKUP(H60,'Item Budget'!$E$19:$E$23,'Item Budget'!$F$19:$F$23)</f>
        <v/>
      </c>
      <c r="M60" s="21" t="n">
        <v>30</v>
      </c>
      <c r="N60" s="21" t="n">
        <v>50</v>
      </c>
      <c r="O60" s="21" t="n">
        <v>0</v>
      </c>
      <c r="P60" s="21" t="n">
        <v>19</v>
      </c>
      <c r="Q60" s="21" t="n">
        <v>3</v>
      </c>
      <c r="R60" s="21" t="n">
        <v>4</v>
      </c>
      <c r="S60" s="21" t="n">
        <v>10</v>
      </c>
      <c r="T60" s="21" t="n">
        <v>0</v>
      </c>
      <c r="U60" s="21" t="n">
        <v>0</v>
      </c>
      <c r="V60" s="21" t="inlineStr">
        <is>
          <t>(none)</t>
        </is>
      </c>
      <c r="W60" s="61">
        <f>N60*'Item Budget'!$B$5+R60*'Item Budget'!$B$7+P60*'Item Budget'!$B$11+S60*'Item Budget'!$B$10+Q60*'Item Budget'!$B$9+IFERROR(INDEX('Item Budget'!$M$25:$M$95,MATCH(V60,'Item Budget'!$B$25:$B$95,0)),0)+IF($C60="Weapon",U60*'Item Budget'!$B$9,0)</f>
        <v/>
      </c>
      <c r="X60" s="61">
        <f>N60*'Item Budget'!$B$5+R60*'Item Budget'!$B$7+P60*'Item Budget'!$B$11+S60*'Item Budget'!$B$10+O60*'Item Budget'!$B$6+T60*'Item Budget'!$B$8+IFERROR(INDEX('Item Budget'!$N$25:$N$95,MATCH(V60,'Item Budget'!$B$25:$B$95,0)),0)</f>
        <v/>
      </c>
      <c r="Y60" s="61">
        <f>MAX('Item Budget'!$F$16,INDEX('Gear Budget'!$C$8:$C$14,MATCH($C60,'Gear Budget'!$A$8:$A$14,0))*MIN(M60,50))*$L60</f>
        <v/>
      </c>
      <c r="Z60" s="41">
        <f>IF($C60="Caster weapon",X60,MAX(W60,X60))/Y60</f>
        <v/>
      </c>
      <c r="AA60" s="61">
        <f>IF(OR($C60="Weapon",$C60="Caster weapon"),"",'Gear Budget'!$B$5*MAX(1,MIN(M60,50))*INDEX('Gear Budget'!$B$8:$B$14,MATCH($C60,'Gear Budget'!$A$8:$A$14,0))*IF($C60="Shield",IF(D60="Warrior",1,IF(OR(D60="Rogue",D60="All"),0.38/0.6,0.25/0.6)),IFERROR(INDEX('Gear Budget'!$B$18:$B$21,MATCH($F60,'Gear Budget'!$A$18:$A$21,0)),1)))</f>
        <v/>
      </c>
      <c r="AB60" s="41">
        <f>IF(AA60="","",P60/AA60)</f>
        <v/>
      </c>
      <c r="AC60" s="21" t="n">
        <v>30</v>
      </c>
      <c r="AD60" s="20" t="n">
        <v>65</v>
      </c>
      <c r="AE60" s="21" t="n">
        <v>0</v>
      </c>
      <c r="AF60" s="20" t="n">
        <v>25</v>
      </c>
      <c r="AG60" s="20" t="n">
        <v>4</v>
      </c>
      <c r="AH60" s="20" t="n">
        <v>5</v>
      </c>
      <c r="AI60" s="20" t="n">
        <v>13</v>
      </c>
      <c r="AJ60" s="21" t="n">
        <v>0</v>
      </c>
      <c r="AK60" s="21" t="n">
        <v>0</v>
      </c>
      <c r="AL60" s="21" t="inlineStr">
        <is>
          <t>(none)</t>
        </is>
      </c>
      <c r="AM60" s="61">
        <f>AD60*'Item Budget'!$B$5+AH60*'Item Budget'!$B$7+AF60*'Item Budget'!$B$11+AI60*'Item Budget'!$B$10+AG60*'Item Budget'!$B$9+IFERROR(INDEX('Item Budget'!$M$25:$M$95,MATCH(AL60,'Item Budget'!$B$25:$B$95,0)),0)+IF($C60="Weapon",AK60*'Item Budget'!$B$9,0)</f>
        <v/>
      </c>
      <c r="AN60" s="61">
        <f>AD60*'Item Budget'!$B$5+AH60*'Item Budget'!$B$7+AF60*'Item Budget'!$B$11+AI60*'Item Budget'!$B$10+AE60*'Item Budget'!$B$6+AJ60*'Item Budget'!$B$8+IFERROR(INDEX('Item Budget'!$N$25:$N$95,MATCH(AL60,'Item Budget'!$B$25:$B$95,0)),0)</f>
        <v/>
      </c>
      <c r="AO60" s="61">
        <f>MAX('Item Budget'!$F$16,INDEX('Gear Budget'!$C$8:$C$14,MATCH($C60,'Gear Budget'!$A$8:$A$14,0))*MIN(AC60,50))*$L60</f>
        <v/>
      </c>
      <c r="AP60" s="41">
        <f>IF($C60="Caster weapon",AN60,MAX(AM60,AN60))/AO60</f>
        <v/>
      </c>
      <c r="AQ60" s="61">
        <f>IF(OR($C60="Weapon",$C60="Caster weapon"),"",'Gear Budget'!$B$5*MAX(1,MIN(AC60,50))*INDEX('Gear Budget'!$B$8:$B$14,MATCH($C60,'Gear Budget'!$A$8:$A$14,0))*IF($C60="Shield",IF(E60="Warrior",1,IF(OR(E60="Rogue",E60="All"),0.38/0.6,0.25/0.6)),IFERROR(INDEX('Gear Budget'!$B$18:$B$21,MATCH($F60,'Gear Budget'!$A$18:$A$21,0)),1)))</f>
        <v/>
      </c>
      <c r="AR60" s="41">
        <f>IF(AQ60="","",AF60/AQ60)</f>
        <v/>
      </c>
      <c r="AS60" s="64" t="inlineStr">
        <is>
          <t>L30 vendor: 1.85x the matching L20 vendor piece (Bronze Helmet) so it is a clear upgrade</t>
        </is>
      </c>
      <c r="AT60" s="44">
        <f>IF(OR($E60="All",ISNUMBER(SEARCH("Warrior",$E60))),IF($C60="Caster weapon",(AN60+AF60*('Item Budget'!$AB$14-'Item Budget'!$B$11)),(AM60+AF60*('Item Budget'!$AB$14-'Item Budget'!$B$11))),0)</f>
        <v/>
      </c>
      <c r="AU60" s="44">
        <f>IF(OR($E60="All",ISNUMBER(SEARCH("Rogue",$E60))),IF($C60="Caster weapon",(AN60+AF60*('Item Budget'!$AB$15-'Item Budget'!$B$11)),(AM60+AF60*('Item Budget'!$AB$15-'Item Budget'!$B$11))),0)</f>
        <v/>
      </c>
      <c r="AV60" s="44">
        <f>IF(OR($E60="All",ISNUMBER(SEARCH("Magus",$E60))),(AN60+AF60*('Item Budget'!$AB$16-'Item Budget'!$B$11)),0)</f>
        <v/>
      </c>
      <c r="AW60" s="44">
        <f>IF(OR($E60="All",ISNUMBER(SEARCH("Priest",$E60))),(AN60+AF60*('Item Budget'!$AB$17-'Item Budget'!$B$11)),0)</f>
        <v/>
      </c>
      <c r="AX60" s="44">
        <f>IF(AND(OR($E60="All",ISNUMBER(SEARCH("Warrior",$E60))),AC60&gt;='Item Budget'!$R$10),'Item Budget'!$R$7*100*('Item Budget'!$R$14*(AD60+25*AH60)+'Item Budget'!$S$14*(AE60+25*AJ60))/'Item Budget'!$Z$14+'Item Budget'!$R$9*AF60+IFERROR(INDEX('Item Budget'!$O$25:$O$95,MATCH(AL60,'Item Budget'!$B$25:$B$95,0)),0),0)</f>
        <v/>
      </c>
      <c r="AY60" s="44">
        <f>IF(AND(OR($E60="All",ISNUMBER(SEARCH("Rogue",$E60))),AC60&gt;='Item Budget'!$R$10),'Item Budget'!$R$7*100*('Item Budget'!$R$15*(AD60+25*AH60)+'Item Budget'!$S$15*(AE60+25*AJ60))/'Item Budget'!$Z$15+'Item Budget'!$R$9*AF60+IFERROR(INDEX('Item Budget'!$O$25:$O$95,MATCH(AL60,'Item Budget'!$B$25:$B$95,0)),0),0)</f>
        <v/>
      </c>
      <c r="AZ60" s="44">
        <f>IF(AND(OR($E60="All",ISNUMBER(SEARCH("Magus",$E60))),AC60&gt;='Item Budget'!$R$10),'Item Budget'!$R$7*100*('Item Budget'!$R$16*(AD60+25*AH60)+'Item Budget'!$S$16*(AE60+25*AJ60))/'Item Budget'!$Z$16+'Item Budget'!$R$9*AF60+IFERROR(INDEX('Item Budget'!$O$25:$O$95,MATCH(AL60,'Item Budget'!$B$25:$B$95,0)),0),0)</f>
        <v/>
      </c>
      <c r="BA60" s="44">
        <f>IF(AND(OR($E60="All",ISNUMBER(SEARCH("Priest",$E60))),AC60&gt;='Item Budget'!$R$10),'Item Budget'!$R$7*100*('Item Budget'!$R$17*(AD60+25*AH60)+'Item Budget'!$S$17*(AE60+25*AJ60))/'Item Budget'!$Z$17+'Item Budget'!$R$9*AF60+IFERROR(INDEX('Item Budget'!$O$25:$O$95,MATCH(AL60,'Item Budget'!$B$25:$B$95,0)),0),0)</f>
        <v/>
      </c>
      <c r="BB60" s="52">
        <f>IF(OR($I60&lt;1,IF($I60&gt;=6,AX60,AT60)&lt;=0),"",IF(SUMPRODUCT(MAX(($C$5:$C$215=$C60)*($I$5:$I$215&gt;=1)*($I$5:$I$215&lt;$I60)*IF($I60&gt;=6,$AX$5:$AX$215,$AT$5:$AT$215)))&lt;=0,"",SUMPRODUCT(MAX(($C$5:$C$215=$C60)*($I$5:$I$215=$I60)*IF($I60&gt;=6,$AX$5:$AX$215,$AT$5:$AT$215)))/SUMPRODUCT(MAX(($C$5:$C$215=$C60)*($I$5:$I$215&gt;=1)*($I$5:$I$215&lt;$I60)*IF($I60&gt;=6,$AX$5:$AX$215,$AT$5:$AT$215)))-1))</f>
        <v/>
      </c>
      <c r="BC60" s="52">
        <f>IF(OR($I60&lt;1,IF($I60&gt;=6,AY60,AU60)&lt;=0),"",IF(SUMPRODUCT(MAX(($C$5:$C$215=$C60)*($I$5:$I$215&gt;=1)*($I$5:$I$215&lt;$I60)*IF($I60&gt;=6,$AY$5:$AY$215,$AU$5:$AU$215)))&lt;=0,"",SUMPRODUCT(MAX(($C$5:$C$215=$C60)*($I$5:$I$215=$I60)*IF($I60&gt;=6,$AY$5:$AY$215,$AU$5:$AU$215)))/SUMPRODUCT(MAX(($C$5:$C$215=$C60)*($I$5:$I$215&gt;=1)*($I$5:$I$215&lt;$I60)*IF($I60&gt;=6,$AY$5:$AY$215,$AU$5:$AU$215)))-1))</f>
        <v/>
      </c>
      <c r="BD60" s="52">
        <f>IF(OR($I60&lt;1,IF($I60&gt;=6,AZ60,AV60)&lt;=0),"",IF(SUMPRODUCT(MAX(($C$5:$C$215=$C60)*($I$5:$I$215&gt;=1)*($I$5:$I$215&lt;$I60)*IF($I60&gt;=6,$AZ$5:$AZ$215,$AV$5:$AV$215)))&lt;=0,"",SUMPRODUCT(MAX(($C$5:$C$215=$C60)*($I$5:$I$215=$I60)*IF($I60&gt;=6,$AZ$5:$AZ$215,$AV$5:$AV$215)))/SUMPRODUCT(MAX(($C$5:$C$215=$C60)*($I$5:$I$215&gt;=1)*($I$5:$I$215&lt;$I60)*IF($I60&gt;=6,$AZ$5:$AZ$215,$AV$5:$AV$215)))-1))</f>
        <v/>
      </c>
      <c r="BE60" s="52">
        <f>IF(OR($I60&lt;1,IF($I60&gt;=6,BA60,AW60)&lt;=0),"",IF(SUMPRODUCT(MAX(($C$5:$C$215=$C60)*($I$5:$I$215&gt;=1)*($I$5:$I$215&lt;$I60)*IF($I60&gt;=6,$BA$5:$BA$215,$AW$5:$AW$215)))&lt;=0,"",SUMPRODUCT(MAX(($C$5:$C$215=$C60)*($I$5:$I$215=$I60)*IF($I60&gt;=6,$BA$5:$BA$215,$AW$5:$AW$215)))/SUMPRODUCT(MAX(($C$5:$C$215=$C60)*($I$5:$I$215&gt;=1)*($I$5:$I$215&lt;$I60)*IF($I60&gt;=6,$BA$5:$BA$215,$AW$5:$AW$215)))-1))</f>
        <v/>
      </c>
      <c r="BF60" s="19">
        <f>IF(AND(BB60="",BC60="",BD60="",BE60=""),"",IF(IF(AND(ISNUMBER(BB60),BB60&lt;'Item Budget'!$R$11),"W ","")&amp;IF(AND(ISNUMBER(BC60),BC60&lt;'Item Budget'!$R$11),"R ","")&amp;IF(AND(ISNUMBER(BD60),BD60&lt;'Item Budget'!$R$11),"M ","")&amp;IF(AND(ISNUMBER(BE60),BE60&lt;'Item Budget'!$R$11),"P ","")="","OK","Not above lower step: "&amp;IF(AND(ISNUMBER(BB60),BB60&lt;'Item Budget'!$R$11),"W ","")&amp;IF(AND(ISNUMBER(BC60),BC60&lt;'Item Budget'!$R$11),"R ","")&amp;IF(AND(ISNUMBER(BD60),BD60&lt;'Item Budget'!$R$11),"M ","")&amp;IF(AND(ISNUMBER(BE60),BE60&lt;'Item Budget'!$R$11),"P ","")))</f>
        <v/>
      </c>
    </row>
    <row r="61">
      <c r="A61" s="53" t="n">
        <v>701</v>
      </c>
      <c r="B61" s="53" t="inlineStr">
        <is>
          <t>Woven Silk Cap</t>
        </is>
      </c>
      <c r="C61" s="53" t="inlineStr">
        <is>
          <t>Helmet</t>
        </is>
      </c>
      <c r="D61" s="53" t="inlineStr">
        <is>
          <t>Magus/Priest</t>
        </is>
      </c>
      <c r="E61" s="21" t="inlineStr">
        <is>
          <t>Magus/Priest</t>
        </is>
      </c>
      <c r="F61" s="53" t="inlineStr">
        <is>
          <t>Caster cloth</t>
        </is>
      </c>
      <c r="G61" s="53" t="inlineStr">
        <is>
          <t>vendor: Silk Armor Guy</t>
        </is>
      </c>
      <c r="H61" s="54" t="n">
        <v>0</v>
      </c>
      <c r="I61" s="53" t="n">
        <v>0</v>
      </c>
      <c r="J61" s="55" t="inlineStr">
        <is>
          <t>Pass 2</t>
        </is>
      </c>
      <c r="K61" s="53" t="inlineStr">
        <is>
          <t>Vendor</t>
        </is>
      </c>
      <c r="L61" s="56">
        <f>INDEX('Item Budget'!$F$5:$F$13,MATCH(K61,'Item Budget'!$E$5:$E$13,0))+IF(E61="All",0,'Item Budget'!$F$15)+LOOKUP(H61,'Item Budget'!$E$19:$E$23,'Item Budget'!$F$19:$F$23)</f>
        <v/>
      </c>
      <c r="M61" s="21" t="n">
        <v>30</v>
      </c>
      <c r="N61" s="21" t="n">
        <v>25</v>
      </c>
      <c r="O61" s="21" t="n">
        <v>75</v>
      </c>
      <c r="P61" s="21" t="n">
        <v>13</v>
      </c>
      <c r="Q61" s="21" t="n">
        <v>0</v>
      </c>
      <c r="R61" s="21" t="n">
        <v>4</v>
      </c>
      <c r="S61" s="21" t="n">
        <v>0</v>
      </c>
      <c r="T61" s="21" t="n">
        <v>8</v>
      </c>
      <c r="U61" s="21" t="n">
        <v>0</v>
      </c>
      <c r="V61" s="21" t="inlineStr">
        <is>
          <t>(none)</t>
        </is>
      </c>
      <c r="W61" s="61">
        <f>N61*'Item Budget'!$B$5+R61*'Item Budget'!$B$7+P61*'Item Budget'!$B$11+S61*'Item Budget'!$B$10+Q61*'Item Budget'!$B$9+IFERROR(INDEX('Item Budget'!$M$25:$M$95,MATCH(V61,'Item Budget'!$B$25:$B$95,0)),0)+IF($C61="Weapon",U61*'Item Budget'!$B$9,0)</f>
        <v/>
      </c>
      <c r="X61" s="61">
        <f>N61*'Item Budget'!$B$5+R61*'Item Budget'!$B$7+P61*'Item Budget'!$B$11+S61*'Item Budget'!$B$10+O61*'Item Budget'!$B$6+T61*'Item Budget'!$B$8+IFERROR(INDEX('Item Budget'!$N$25:$N$95,MATCH(V61,'Item Budget'!$B$25:$B$95,0)),0)</f>
        <v/>
      </c>
      <c r="Y61" s="61">
        <f>MAX('Item Budget'!$F$16,INDEX('Gear Budget'!$C$8:$C$14,MATCH($C61,'Gear Budget'!$A$8:$A$14,0))*MIN(M61,50))*$L61</f>
        <v/>
      </c>
      <c r="Z61" s="41">
        <f>IF($C61="Caster weapon",X61,MAX(W61,X61))/Y61</f>
        <v/>
      </c>
      <c r="AA61" s="61">
        <f>IF(OR($C61="Weapon",$C61="Caster weapon"),"",'Gear Budget'!$B$5*MAX(1,MIN(M61,50))*INDEX('Gear Budget'!$B$8:$B$14,MATCH($C61,'Gear Budget'!$A$8:$A$14,0))*IF($C61="Shield",IF(D61="Warrior",1,IF(OR(D61="Rogue",D61="All"),0.38/0.6,0.25/0.6)),IFERROR(INDEX('Gear Budget'!$B$18:$B$21,MATCH($F61,'Gear Budget'!$A$18:$A$21,0)),1)))</f>
        <v/>
      </c>
      <c r="AB61" s="41">
        <f>IF(AA61="","",P61/AA61)</f>
        <v/>
      </c>
      <c r="AC61" s="21" t="n">
        <v>30</v>
      </c>
      <c r="AD61" s="20" t="n">
        <v>30</v>
      </c>
      <c r="AE61" s="20" t="n">
        <v>95</v>
      </c>
      <c r="AF61" s="20" t="n">
        <v>16</v>
      </c>
      <c r="AG61" s="21" t="n">
        <v>0</v>
      </c>
      <c r="AH61" s="20" t="n">
        <v>5</v>
      </c>
      <c r="AI61" s="21" t="n">
        <v>0</v>
      </c>
      <c r="AJ61" s="20" t="n">
        <v>10</v>
      </c>
      <c r="AK61" s="21" t="n">
        <v>0</v>
      </c>
      <c r="AL61" s="21" t="inlineStr">
        <is>
          <t>(none)</t>
        </is>
      </c>
      <c r="AM61" s="61">
        <f>AD61*'Item Budget'!$B$5+AH61*'Item Budget'!$B$7+AF61*'Item Budget'!$B$11+AI61*'Item Budget'!$B$10+AG61*'Item Budget'!$B$9+IFERROR(INDEX('Item Budget'!$M$25:$M$95,MATCH(AL61,'Item Budget'!$B$25:$B$95,0)),0)+IF($C61="Weapon",AK61*'Item Budget'!$B$9,0)</f>
        <v/>
      </c>
      <c r="AN61" s="61">
        <f>AD61*'Item Budget'!$B$5+AH61*'Item Budget'!$B$7+AF61*'Item Budget'!$B$11+AI61*'Item Budget'!$B$10+AE61*'Item Budget'!$B$6+AJ61*'Item Budget'!$B$8+IFERROR(INDEX('Item Budget'!$N$25:$N$95,MATCH(AL61,'Item Budget'!$B$25:$B$95,0)),0)</f>
        <v/>
      </c>
      <c r="AO61" s="61">
        <f>MAX('Item Budget'!$F$16,INDEX('Gear Budget'!$C$8:$C$14,MATCH($C61,'Gear Budget'!$A$8:$A$14,0))*MIN(AC61,50))*$L61</f>
        <v/>
      </c>
      <c r="AP61" s="41">
        <f>IF($C61="Caster weapon",AN61,MAX(AM61,AN61))/AO61</f>
        <v/>
      </c>
      <c r="AQ61" s="61">
        <f>IF(OR($C61="Weapon",$C61="Caster weapon"),"",'Gear Budget'!$B$5*MAX(1,MIN(AC61,50))*INDEX('Gear Budget'!$B$8:$B$14,MATCH($C61,'Gear Budget'!$A$8:$A$14,0))*IF($C61="Shield",IF(E61="Warrior",1,IF(OR(E61="Rogue",E61="All"),0.38/0.6,0.25/0.6)),IFERROR(INDEX('Gear Budget'!$B$18:$B$21,MATCH($F61,'Gear Budget'!$A$18:$A$21,0)),1)))</f>
        <v/>
      </c>
      <c r="AR61" s="41">
        <f>IF(AQ61="","",AF61/AQ61)</f>
        <v/>
      </c>
      <c r="AS61" s="64" t="inlineStr">
        <is>
          <t>L30 vendor: 1.85x the matching L20 vendor piece (Silk Cap) so it is a clear upgrade</t>
        </is>
      </c>
      <c r="AT61" s="44">
        <f>IF(OR($E61="All",ISNUMBER(SEARCH("Warrior",$E61))),IF($C61="Caster weapon",(AN61+AF61*('Item Budget'!$AB$14-'Item Budget'!$B$11)),(AM61+AF61*('Item Budget'!$AB$14-'Item Budget'!$B$11))),0)</f>
        <v/>
      </c>
      <c r="AU61" s="44">
        <f>IF(OR($E61="All",ISNUMBER(SEARCH("Rogue",$E61))),IF($C61="Caster weapon",(AN61+AF61*('Item Budget'!$AB$15-'Item Budget'!$B$11)),(AM61+AF61*('Item Budget'!$AB$15-'Item Budget'!$B$11))),0)</f>
        <v/>
      </c>
      <c r="AV61" s="44">
        <f>IF(OR($E61="All",ISNUMBER(SEARCH("Magus",$E61))),(AN61+AF61*('Item Budget'!$AB$16-'Item Budget'!$B$11)),0)</f>
        <v/>
      </c>
      <c r="AW61" s="44">
        <f>IF(OR($E61="All",ISNUMBER(SEARCH("Priest",$E61))),(AN61+AF61*('Item Budget'!$AB$17-'Item Budget'!$B$11)),0)</f>
        <v/>
      </c>
      <c r="AX61" s="44">
        <f>IF(AND(OR($E61="All",ISNUMBER(SEARCH("Warrior",$E61))),AC61&gt;='Item Budget'!$R$10),'Item Budget'!$R$7*100*('Item Budget'!$R$14*(AD61+25*AH61)+'Item Budget'!$S$14*(AE61+25*AJ61))/'Item Budget'!$Z$14+'Item Budget'!$R$9*AF61+IFERROR(INDEX('Item Budget'!$O$25:$O$95,MATCH(AL61,'Item Budget'!$B$25:$B$95,0)),0),0)</f>
        <v/>
      </c>
      <c r="AY61" s="44">
        <f>IF(AND(OR($E61="All",ISNUMBER(SEARCH("Rogue",$E61))),AC61&gt;='Item Budget'!$R$10),'Item Budget'!$R$7*100*('Item Budget'!$R$15*(AD61+25*AH61)+'Item Budget'!$S$15*(AE61+25*AJ61))/'Item Budget'!$Z$15+'Item Budget'!$R$9*AF61+IFERROR(INDEX('Item Budget'!$O$25:$O$95,MATCH(AL61,'Item Budget'!$B$25:$B$95,0)),0),0)</f>
        <v/>
      </c>
      <c r="AZ61" s="44">
        <f>IF(AND(OR($E61="All",ISNUMBER(SEARCH("Magus",$E61))),AC61&gt;='Item Budget'!$R$10),'Item Budget'!$R$7*100*('Item Budget'!$R$16*(AD61+25*AH61)+'Item Budget'!$S$16*(AE61+25*AJ61))/'Item Budget'!$Z$16+'Item Budget'!$R$9*AF61+IFERROR(INDEX('Item Budget'!$O$25:$O$95,MATCH(AL61,'Item Budget'!$B$25:$B$95,0)),0),0)</f>
        <v/>
      </c>
      <c r="BA61" s="44">
        <f>IF(AND(OR($E61="All",ISNUMBER(SEARCH("Priest",$E61))),AC61&gt;='Item Budget'!$R$10),'Item Budget'!$R$7*100*('Item Budget'!$R$17*(AD61+25*AH61)+'Item Budget'!$S$17*(AE61+25*AJ61))/'Item Budget'!$Z$17+'Item Budget'!$R$9*AF61+IFERROR(INDEX('Item Budget'!$O$25:$O$95,MATCH(AL61,'Item Budget'!$B$25:$B$95,0)),0),0)</f>
        <v/>
      </c>
      <c r="BB61" s="52">
        <f>IF(OR($I61&lt;1,IF($I61&gt;=6,AX61,AT61)&lt;=0),"",IF(SUMPRODUCT(MAX(($C$5:$C$215=$C61)*($I$5:$I$215&gt;=1)*($I$5:$I$215&lt;$I61)*IF($I61&gt;=6,$AX$5:$AX$215,$AT$5:$AT$215)))&lt;=0,"",SUMPRODUCT(MAX(($C$5:$C$215=$C61)*($I$5:$I$215=$I61)*IF($I61&gt;=6,$AX$5:$AX$215,$AT$5:$AT$215)))/SUMPRODUCT(MAX(($C$5:$C$215=$C61)*($I$5:$I$215&gt;=1)*($I$5:$I$215&lt;$I61)*IF($I61&gt;=6,$AX$5:$AX$215,$AT$5:$AT$215)))-1))</f>
        <v/>
      </c>
      <c r="BC61" s="52">
        <f>IF(OR($I61&lt;1,IF($I61&gt;=6,AY61,AU61)&lt;=0),"",IF(SUMPRODUCT(MAX(($C$5:$C$215=$C61)*($I$5:$I$215&gt;=1)*($I$5:$I$215&lt;$I61)*IF($I61&gt;=6,$AY$5:$AY$215,$AU$5:$AU$215)))&lt;=0,"",SUMPRODUCT(MAX(($C$5:$C$215=$C61)*($I$5:$I$215=$I61)*IF($I61&gt;=6,$AY$5:$AY$215,$AU$5:$AU$215)))/SUMPRODUCT(MAX(($C$5:$C$215=$C61)*($I$5:$I$215&gt;=1)*($I$5:$I$215&lt;$I61)*IF($I61&gt;=6,$AY$5:$AY$215,$AU$5:$AU$215)))-1))</f>
        <v/>
      </c>
      <c r="BD61" s="52">
        <f>IF(OR($I61&lt;1,IF($I61&gt;=6,AZ61,AV61)&lt;=0),"",IF(SUMPRODUCT(MAX(($C$5:$C$215=$C61)*($I$5:$I$215&gt;=1)*($I$5:$I$215&lt;$I61)*IF($I61&gt;=6,$AZ$5:$AZ$215,$AV$5:$AV$215)))&lt;=0,"",SUMPRODUCT(MAX(($C$5:$C$215=$C61)*($I$5:$I$215=$I61)*IF($I61&gt;=6,$AZ$5:$AZ$215,$AV$5:$AV$215)))/SUMPRODUCT(MAX(($C$5:$C$215=$C61)*($I$5:$I$215&gt;=1)*($I$5:$I$215&lt;$I61)*IF($I61&gt;=6,$AZ$5:$AZ$215,$AV$5:$AV$215)))-1))</f>
        <v/>
      </c>
      <c r="BE61" s="52">
        <f>IF(OR($I61&lt;1,IF($I61&gt;=6,BA61,AW61)&lt;=0),"",IF(SUMPRODUCT(MAX(($C$5:$C$215=$C61)*($I$5:$I$215&gt;=1)*($I$5:$I$215&lt;$I61)*IF($I61&gt;=6,$BA$5:$BA$215,$AW$5:$AW$215)))&lt;=0,"",SUMPRODUCT(MAX(($C$5:$C$215=$C61)*($I$5:$I$215=$I61)*IF($I61&gt;=6,$BA$5:$BA$215,$AW$5:$AW$215)))/SUMPRODUCT(MAX(($C$5:$C$215=$C61)*($I$5:$I$215&gt;=1)*($I$5:$I$215&lt;$I61)*IF($I61&gt;=6,$BA$5:$BA$215,$AW$5:$AW$215)))-1))</f>
        <v/>
      </c>
      <c r="BF61" s="19">
        <f>IF(AND(BB61="",BC61="",BD61="",BE61=""),"",IF(IF(AND(ISNUMBER(BB61),BB61&lt;'Item Budget'!$R$11),"W ","")&amp;IF(AND(ISNUMBER(BC61),BC61&lt;'Item Budget'!$R$11),"R ","")&amp;IF(AND(ISNUMBER(BD61),BD61&lt;'Item Budget'!$R$11),"M ","")&amp;IF(AND(ISNUMBER(BE61),BE61&lt;'Item Budget'!$R$11),"P ","")="","OK","Not above lower step: "&amp;IF(AND(ISNUMBER(BB61),BB61&lt;'Item Budget'!$R$11),"W ","")&amp;IF(AND(ISNUMBER(BC61),BC61&lt;'Item Budget'!$R$11),"R ","")&amp;IF(AND(ISNUMBER(BD61),BD61&lt;'Item Budget'!$R$11),"M ","")&amp;IF(AND(ISNUMBER(BE61),BE61&lt;'Item Budget'!$R$11),"P ","")))</f>
        <v/>
      </c>
    </row>
    <row r="62">
      <c r="A62" s="21" t="n">
        <v>100</v>
      </c>
      <c r="B62" s="21" t="inlineStr">
        <is>
          <t>Priests Crown</t>
        </is>
      </c>
      <c r="C62" s="21" t="inlineStr">
        <is>
          <t>Helmet</t>
        </is>
      </c>
      <c r="D62" s="21" t="inlineStr">
        <is>
          <t>Priest</t>
        </is>
      </c>
      <c r="E62" s="21" t="inlineStr">
        <is>
          <t>Priest</t>
        </is>
      </c>
      <c r="F62" s="21" t="inlineStr">
        <is>
          <t>Caster cloth</t>
        </is>
      </c>
      <c r="G62" s="21" t="inlineStr">
        <is>
          <t>drop: Misplaced Spouse 7%</t>
        </is>
      </c>
      <c r="H62" s="37" t="n">
        <v>0</v>
      </c>
      <c r="I62" s="21" t="n">
        <v>0</v>
      </c>
      <c r="J62" s="3" t="inlineStr">
        <is>
          <t>Pass 2</t>
        </is>
      </c>
      <c r="K62" s="21" t="inlineStr">
        <is>
          <t>Rare boss drop</t>
        </is>
      </c>
      <c r="L62" s="31">
        <f>INDEX('Item Budget'!$F$5:$F$13,MATCH(K62,'Item Budget'!$E$5:$E$13,0))+IF(E62="All",0,'Item Budget'!$F$15)+LOOKUP(H62,'Item Budget'!$E$19:$E$23,'Item Budget'!$F$19:$F$23)</f>
        <v/>
      </c>
      <c r="M62" s="21" t="n">
        <v>40</v>
      </c>
      <c r="N62" s="21" t="n">
        <v>100</v>
      </c>
      <c r="O62" s="21" t="n">
        <v>175</v>
      </c>
      <c r="P62" s="21" t="n">
        <v>20</v>
      </c>
      <c r="Q62" s="21" t="n">
        <v>0</v>
      </c>
      <c r="R62" s="21" t="n">
        <v>8</v>
      </c>
      <c r="S62" s="21" t="n">
        <v>0</v>
      </c>
      <c r="T62" s="21" t="n">
        <v>14</v>
      </c>
      <c r="U62" s="21" t="n">
        <v>0</v>
      </c>
      <c r="V62" s="21" t="inlineStr">
        <is>
          <t>(none)</t>
        </is>
      </c>
      <c r="W62" s="61">
        <f>N62*'Item Budget'!$B$5+R62*'Item Budget'!$B$7+P62*'Item Budget'!$B$11+S62*'Item Budget'!$B$10+Q62*'Item Budget'!$B$9+IFERROR(INDEX('Item Budget'!$M$25:$M$95,MATCH(V62,'Item Budget'!$B$25:$B$95,0)),0)+IF($C62="Weapon",U62*'Item Budget'!$B$9,0)</f>
        <v/>
      </c>
      <c r="X62" s="61">
        <f>N62*'Item Budget'!$B$5+R62*'Item Budget'!$B$7+P62*'Item Budget'!$B$11+S62*'Item Budget'!$B$10+O62*'Item Budget'!$B$6+T62*'Item Budget'!$B$8+IFERROR(INDEX('Item Budget'!$N$25:$N$95,MATCH(V62,'Item Budget'!$B$25:$B$95,0)),0)</f>
        <v/>
      </c>
      <c r="Y62" s="61">
        <f>MAX('Item Budget'!$F$16,INDEX('Gear Budget'!$C$8:$C$14,MATCH($C62,'Gear Budget'!$A$8:$A$14,0))*MIN(M62,50))*$L62</f>
        <v/>
      </c>
      <c r="Z62" s="41">
        <f>IF($C62="Caster weapon",X62,MAX(W62,X62))/Y62</f>
        <v/>
      </c>
      <c r="AA62" s="61">
        <f>IF(OR($C62="Weapon",$C62="Caster weapon"),"",'Gear Budget'!$B$5*MAX(1,MIN(M62,50))*INDEX('Gear Budget'!$B$8:$B$14,MATCH($C62,'Gear Budget'!$A$8:$A$14,0))*IF($C62="Shield",IF(D62="Warrior",1,IF(OR(D62="Rogue",D62="All"),0.38/0.6,0.25/0.6)),IFERROR(INDEX('Gear Budget'!$B$18:$B$21,MATCH($F62,'Gear Budget'!$A$18:$A$21,0)),1)))</f>
        <v/>
      </c>
      <c r="AB62" s="41">
        <f>IF(AA62="","",P62/AA62)</f>
        <v/>
      </c>
      <c r="AC62" s="21" t="n">
        <v>40</v>
      </c>
      <c r="AD62" s="20" t="n">
        <v>95</v>
      </c>
      <c r="AE62" s="20" t="n">
        <v>165</v>
      </c>
      <c r="AF62" s="20" t="n">
        <v>19</v>
      </c>
      <c r="AG62" s="21" t="n">
        <v>0</v>
      </c>
      <c r="AH62" s="20" t="n">
        <v>7</v>
      </c>
      <c r="AI62" s="21" t="n">
        <v>0</v>
      </c>
      <c r="AJ62" s="20" t="n">
        <v>13</v>
      </c>
      <c r="AK62" s="21" t="n">
        <v>0</v>
      </c>
      <c r="AL62" s="21" t="inlineStr">
        <is>
          <t>(none)</t>
        </is>
      </c>
      <c r="AM62" s="61">
        <f>AD62*'Item Budget'!$B$5+AH62*'Item Budget'!$B$7+AF62*'Item Budget'!$B$11+AI62*'Item Budget'!$B$10+AG62*'Item Budget'!$B$9+IFERROR(INDEX('Item Budget'!$M$25:$M$95,MATCH(AL62,'Item Budget'!$B$25:$B$95,0)),0)+IF($C62="Weapon",AK62*'Item Budget'!$B$9,0)</f>
        <v/>
      </c>
      <c r="AN62" s="61">
        <f>AD62*'Item Budget'!$B$5+AH62*'Item Budget'!$B$7+AF62*'Item Budget'!$B$11+AI62*'Item Budget'!$B$10+AE62*'Item Budget'!$B$6+AJ62*'Item Budget'!$B$8+IFERROR(INDEX('Item Budget'!$N$25:$N$95,MATCH(AL62,'Item Budget'!$B$25:$B$95,0)),0)</f>
        <v/>
      </c>
      <c r="AO62" s="61">
        <f>MAX('Item Budget'!$F$16,INDEX('Gear Budget'!$C$8:$C$14,MATCH($C62,'Gear Budget'!$A$8:$A$14,0))*MIN(AC62,50))*$L62</f>
        <v/>
      </c>
      <c r="AP62" s="41">
        <f>IF($C62="Caster weapon",AN62,MAX(AM62,AN62))/AO62</f>
        <v/>
      </c>
      <c r="AQ62" s="61">
        <f>IF(OR($C62="Weapon",$C62="Caster weapon"),"",'Gear Budget'!$B$5*MAX(1,MIN(AC62,50))*INDEX('Gear Budget'!$B$8:$B$14,MATCH($C62,'Gear Budget'!$A$8:$A$14,0))*IF($C62="Shield",IF(E62="Warrior",1,IF(OR(E62="Rogue",E62="All"),0.38/0.6,0.25/0.6)),IFERROR(INDEX('Gear Budget'!$B$18:$B$21,MATCH($F62,'Gear Budget'!$A$18:$A$21,0)),1)))</f>
        <v/>
      </c>
      <c r="AR62" s="41">
        <f>IF(AQ62="","",AF62/AQ62)</f>
        <v/>
      </c>
      <c r="AS62" s="64" t="inlineStr">
        <is>
          <t>L40 boss set: lowered so Punchy is a clear (+25%) upgrade</t>
        </is>
      </c>
      <c r="AT62" s="44">
        <f>IF(OR($E62="All",ISNUMBER(SEARCH("Warrior",$E62))),IF($C62="Caster weapon",(AN62+AF62*('Item Budget'!$AB$14-'Item Budget'!$B$11)),(AM62+AF62*('Item Budget'!$AB$14-'Item Budget'!$B$11))),0)</f>
        <v/>
      </c>
      <c r="AU62" s="44">
        <f>IF(OR($E62="All",ISNUMBER(SEARCH("Rogue",$E62))),IF($C62="Caster weapon",(AN62+AF62*('Item Budget'!$AB$15-'Item Budget'!$B$11)),(AM62+AF62*('Item Budget'!$AB$15-'Item Budget'!$B$11))),0)</f>
        <v/>
      </c>
      <c r="AV62" s="44">
        <f>IF(OR($E62="All",ISNUMBER(SEARCH("Magus",$E62))),(AN62+AF62*('Item Budget'!$AB$16-'Item Budget'!$B$11)),0)</f>
        <v/>
      </c>
      <c r="AW62" s="44">
        <f>IF(OR($E62="All",ISNUMBER(SEARCH("Priest",$E62))),(AN62+AF62*('Item Budget'!$AB$17-'Item Budget'!$B$11)),0)</f>
        <v/>
      </c>
      <c r="AX62" s="44">
        <f>IF(AND(OR($E62="All",ISNUMBER(SEARCH("Warrior",$E62))),AC62&gt;='Item Budget'!$R$10),'Item Budget'!$R$7*100*('Item Budget'!$R$14*(AD62+25*AH62)+'Item Budget'!$S$14*(AE62+25*AJ62))/'Item Budget'!$Z$14+'Item Budget'!$R$9*AF62+IFERROR(INDEX('Item Budget'!$O$25:$O$95,MATCH(AL62,'Item Budget'!$B$25:$B$95,0)),0),0)</f>
        <v/>
      </c>
      <c r="AY62" s="44">
        <f>IF(AND(OR($E62="All",ISNUMBER(SEARCH("Rogue",$E62))),AC62&gt;='Item Budget'!$R$10),'Item Budget'!$R$7*100*('Item Budget'!$R$15*(AD62+25*AH62)+'Item Budget'!$S$15*(AE62+25*AJ62))/'Item Budget'!$Z$15+'Item Budget'!$R$9*AF62+IFERROR(INDEX('Item Budget'!$O$25:$O$95,MATCH(AL62,'Item Budget'!$B$25:$B$95,0)),0),0)</f>
        <v/>
      </c>
      <c r="AZ62" s="44">
        <f>IF(AND(OR($E62="All",ISNUMBER(SEARCH("Magus",$E62))),AC62&gt;='Item Budget'!$R$10),'Item Budget'!$R$7*100*('Item Budget'!$R$16*(AD62+25*AH62)+'Item Budget'!$S$16*(AE62+25*AJ62))/'Item Budget'!$Z$16+'Item Budget'!$R$9*AF62+IFERROR(INDEX('Item Budget'!$O$25:$O$95,MATCH(AL62,'Item Budget'!$B$25:$B$95,0)),0),0)</f>
        <v/>
      </c>
      <c r="BA62" s="44">
        <f>IF(AND(OR($E62="All",ISNUMBER(SEARCH("Priest",$E62))),AC62&gt;='Item Budget'!$R$10),'Item Budget'!$R$7*100*('Item Budget'!$R$17*(AD62+25*AH62)+'Item Budget'!$S$17*(AE62+25*AJ62))/'Item Budget'!$Z$17+'Item Budget'!$R$9*AF62+IFERROR(INDEX('Item Budget'!$O$25:$O$95,MATCH(AL62,'Item Budget'!$B$25:$B$95,0)),0),0)</f>
        <v/>
      </c>
      <c r="BB62" s="52">
        <f>IF(OR($I62&lt;1,IF($I62&gt;=6,AX62,AT62)&lt;=0),"",IF(SUMPRODUCT(MAX(($C$5:$C$215=$C62)*($I$5:$I$215&gt;=1)*($I$5:$I$215&lt;$I62)*IF($I62&gt;=6,$AX$5:$AX$215,$AT$5:$AT$215)))&lt;=0,"",SUMPRODUCT(MAX(($C$5:$C$215=$C62)*($I$5:$I$215=$I62)*IF($I62&gt;=6,$AX$5:$AX$215,$AT$5:$AT$215)))/SUMPRODUCT(MAX(($C$5:$C$215=$C62)*($I$5:$I$215&gt;=1)*($I$5:$I$215&lt;$I62)*IF($I62&gt;=6,$AX$5:$AX$215,$AT$5:$AT$215)))-1))</f>
        <v/>
      </c>
      <c r="BC62" s="52">
        <f>IF(OR($I62&lt;1,IF($I62&gt;=6,AY62,AU62)&lt;=0),"",IF(SUMPRODUCT(MAX(($C$5:$C$215=$C62)*($I$5:$I$215&gt;=1)*($I$5:$I$215&lt;$I62)*IF($I62&gt;=6,$AY$5:$AY$215,$AU$5:$AU$215)))&lt;=0,"",SUMPRODUCT(MAX(($C$5:$C$215=$C62)*($I$5:$I$215=$I62)*IF($I62&gt;=6,$AY$5:$AY$215,$AU$5:$AU$215)))/SUMPRODUCT(MAX(($C$5:$C$215=$C62)*($I$5:$I$215&gt;=1)*($I$5:$I$215&lt;$I62)*IF($I62&gt;=6,$AY$5:$AY$215,$AU$5:$AU$215)))-1))</f>
        <v/>
      </c>
      <c r="BD62" s="52">
        <f>IF(OR($I62&lt;1,IF($I62&gt;=6,AZ62,AV62)&lt;=0),"",IF(SUMPRODUCT(MAX(($C$5:$C$215=$C62)*($I$5:$I$215&gt;=1)*($I$5:$I$215&lt;$I62)*IF($I62&gt;=6,$AZ$5:$AZ$215,$AV$5:$AV$215)))&lt;=0,"",SUMPRODUCT(MAX(($C$5:$C$215=$C62)*($I$5:$I$215=$I62)*IF($I62&gt;=6,$AZ$5:$AZ$215,$AV$5:$AV$215)))/SUMPRODUCT(MAX(($C$5:$C$215=$C62)*($I$5:$I$215&gt;=1)*($I$5:$I$215&lt;$I62)*IF($I62&gt;=6,$AZ$5:$AZ$215,$AV$5:$AV$215)))-1))</f>
        <v/>
      </c>
      <c r="BE62" s="52">
        <f>IF(OR($I62&lt;1,IF($I62&gt;=6,BA62,AW62)&lt;=0),"",IF(SUMPRODUCT(MAX(($C$5:$C$215=$C62)*($I$5:$I$215&gt;=1)*($I$5:$I$215&lt;$I62)*IF($I62&gt;=6,$BA$5:$BA$215,$AW$5:$AW$215)))&lt;=0,"",SUMPRODUCT(MAX(($C$5:$C$215=$C62)*($I$5:$I$215=$I62)*IF($I62&gt;=6,$BA$5:$BA$215,$AW$5:$AW$215)))/SUMPRODUCT(MAX(($C$5:$C$215=$C62)*($I$5:$I$215&gt;=1)*($I$5:$I$215&lt;$I62)*IF($I62&gt;=6,$BA$5:$BA$215,$AW$5:$AW$215)))-1))</f>
        <v/>
      </c>
      <c r="BF62" s="19">
        <f>IF(AND(BB62="",BC62="",BD62="",BE62=""),"",IF(IF(AND(ISNUMBER(BB62),BB62&lt;'Item Budget'!$R$11),"W ","")&amp;IF(AND(ISNUMBER(BC62),BC62&lt;'Item Budget'!$R$11),"R ","")&amp;IF(AND(ISNUMBER(BD62),BD62&lt;'Item Budget'!$R$11),"M ","")&amp;IF(AND(ISNUMBER(BE62),BE62&lt;'Item Budget'!$R$11),"P ","")="","OK","Not above lower step: "&amp;IF(AND(ISNUMBER(BB62),BB62&lt;'Item Budget'!$R$11),"W ","")&amp;IF(AND(ISNUMBER(BC62),BC62&lt;'Item Budget'!$R$11),"R ","")&amp;IF(AND(ISNUMBER(BD62),BD62&lt;'Item Budget'!$R$11),"M ","")&amp;IF(AND(ISNUMBER(BE62),BE62&lt;'Item Budget'!$R$11),"P ","")))</f>
        <v/>
      </c>
    </row>
    <row r="63">
      <c r="A63" s="21" t="n">
        <v>230</v>
      </c>
      <c r="B63" s="21" t="inlineStr">
        <is>
          <t>Magus Crown</t>
        </is>
      </c>
      <c r="C63" s="21" t="inlineStr">
        <is>
          <t>Helmet</t>
        </is>
      </c>
      <c r="D63" s="21" t="inlineStr">
        <is>
          <t>Magus</t>
        </is>
      </c>
      <c r="E63" s="21" t="inlineStr">
        <is>
          <t>Magus</t>
        </is>
      </c>
      <c r="F63" s="21" t="inlineStr">
        <is>
          <t>Caster cloth</t>
        </is>
      </c>
      <c r="G63" s="21" t="inlineStr">
        <is>
          <t>drop: Misplaced Spouse 7%</t>
        </is>
      </c>
      <c r="H63" s="37" t="n">
        <v>0</v>
      </c>
      <c r="I63" s="21" t="n">
        <v>0</v>
      </c>
      <c r="J63" s="3" t="inlineStr">
        <is>
          <t>Pass 2</t>
        </is>
      </c>
      <c r="K63" s="21" t="inlineStr">
        <is>
          <t>Rare boss drop</t>
        </is>
      </c>
      <c r="L63" s="31">
        <f>INDEX('Item Budget'!$F$5:$F$13,MATCH(K63,'Item Budget'!$E$5:$E$13,0))+IF(E63="All",0,'Item Budget'!$F$15)+LOOKUP(H63,'Item Budget'!$E$19:$E$23,'Item Budget'!$F$19:$F$23)</f>
        <v/>
      </c>
      <c r="M63" s="21" t="n">
        <v>40</v>
      </c>
      <c r="N63" s="21" t="n">
        <v>25</v>
      </c>
      <c r="O63" s="21" t="n">
        <v>250</v>
      </c>
      <c r="P63" s="21" t="n">
        <v>20</v>
      </c>
      <c r="Q63" s="21" t="n">
        <v>0</v>
      </c>
      <c r="R63" s="21" t="n">
        <v>5</v>
      </c>
      <c r="S63" s="21" t="n">
        <v>0</v>
      </c>
      <c r="T63" s="21" t="n">
        <v>16</v>
      </c>
      <c r="U63" s="21" t="n">
        <v>0</v>
      </c>
      <c r="V63" s="21" t="inlineStr">
        <is>
          <t>(none)</t>
        </is>
      </c>
      <c r="W63" s="61">
        <f>N63*'Item Budget'!$B$5+R63*'Item Budget'!$B$7+P63*'Item Budget'!$B$11+S63*'Item Budget'!$B$10+Q63*'Item Budget'!$B$9+IFERROR(INDEX('Item Budget'!$M$25:$M$95,MATCH(V63,'Item Budget'!$B$25:$B$95,0)),0)+IF($C63="Weapon",U63*'Item Budget'!$B$9,0)</f>
        <v/>
      </c>
      <c r="X63" s="61">
        <f>N63*'Item Budget'!$B$5+R63*'Item Budget'!$B$7+P63*'Item Budget'!$B$11+S63*'Item Budget'!$B$10+O63*'Item Budget'!$B$6+T63*'Item Budget'!$B$8+IFERROR(INDEX('Item Budget'!$N$25:$N$95,MATCH(V63,'Item Budget'!$B$25:$B$95,0)),0)</f>
        <v/>
      </c>
      <c r="Y63" s="61">
        <f>MAX('Item Budget'!$F$16,INDEX('Gear Budget'!$C$8:$C$14,MATCH($C63,'Gear Budget'!$A$8:$A$14,0))*MIN(M63,50))*$L63</f>
        <v/>
      </c>
      <c r="Z63" s="41">
        <f>IF($C63="Caster weapon",X63,MAX(W63,X63))/Y63</f>
        <v/>
      </c>
      <c r="AA63" s="61">
        <f>IF(OR($C63="Weapon",$C63="Caster weapon"),"",'Gear Budget'!$B$5*MAX(1,MIN(M63,50))*INDEX('Gear Budget'!$B$8:$B$14,MATCH($C63,'Gear Budget'!$A$8:$A$14,0))*IF($C63="Shield",IF(D63="Warrior",1,IF(OR(D63="Rogue",D63="All"),0.38/0.6,0.25/0.6)),IFERROR(INDEX('Gear Budget'!$B$18:$B$21,MATCH($F63,'Gear Budget'!$A$18:$A$21,0)),1)))</f>
        <v/>
      </c>
      <c r="AB63" s="41">
        <f>IF(AA63="","",P63/AA63)</f>
        <v/>
      </c>
      <c r="AC63" s="21" t="n">
        <v>40</v>
      </c>
      <c r="AD63" s="21" t="n">
        <v>25</v>
      </c>
      <c r="AE63" s="20" t="n">
        <v>225</v>
      </c>
      <c r="AF63" s="20" t="n">
        <v>19</v>
      </c>
      <c r="AG63" s="21" t="n">
        <v>0</v>
      </c>
      <c r="AH63" s="21" t="n">
        <v>5</v>
      </c>
      <c r="AI63" s="21" t="n">
        <v>0</v>
      </c>
      <c r="AJ63" s="20" t="n">
        <v>15</v>
      </c>
      <c r="AK63" s="21" t="n">
        <v>0</v>
      </c>
      <c r="AL63" s="21" t="inlineStr">
        <is>
          <t>(none)</t>
        </is>
      </c>
      <c r="AM63" s="61">
        <f>AD63*'Item Budget'!$B$5+AH63*'Item Budget'!$B$7+AF63*'Item Budget'!$B$11+AI63*'Item Budget'!$B$10+AG63*'Item Budget'!$B$9+IFERROR(INDEX('Item Budget'!$M$25:$M$95,MATCH(AL63,'Item Budget'!$B$25:$B$95,0)),0)+IF($C63="Weapon",AK63*'Item Budget'!$B$9,0)</f>
        <v/>
      </c>
      <c r="AN63" s="61">
        <f>AD63*'Item Budget'!$B$5+AH63*'Item Budget'!$B$7+AF63*'Item Budget'!$B$11+AI63*'Item Budget'!$B$10+AE63*'Item Budget'!$B$6+AJ63*'Item Budget'!$B$8+IFERROR(INDEX('Item Budget'!$N$25:$N$95,MATCH(AL63,'Item Budget'!$B$25:$B$95,0)),0)</f>
        <v/>
      </c>
      <c r="AO63" s="61">
        <f>MAX('Item Budget'!$F$16,INDEX('Gear Budget'!$C$8:$C$14,MATCH($C63,'Gear Budget'!$A$8:$A$14,0))*MIN(AC63,50))*$L63</f>
        <v/>
      </c>
      <c r="AP63" s="41">
        <f>IF($C63="Caster weapon",AN63,MAX(AM63,AN63))/AO63</f>
        <v/>
      </c>
      <c r="AQ63" s="61">
        <f>IF(OR($C63="Weapon",$C63="Caster weapon"),"",'Gear Budget'!$B$5*MAX(1,MIN(AC63,50))*INDEX('Gear Budget'!$B$8:$B$14,MATCH($C63,'Gear Budget'!$A$8:$A$14,0))*IF($C63="Shield",IF(E63="Warrior",1,IF(OR(E63="Rogue",E63="All"),0.38/0.6,0.25/0.6)),IFERROR(INDEX('Gear Budget'!$B$18:$B$21,MATCH($F63,'Gear Budget'!$A$18:$A$21,0)),1)))</f>
        <v/>
      </c>
      <c r="AR63" s="41">
        <f>IF(AQ63="","",AF63/AQ63)</f>
        <v/>
      </c>
      <c r="AS63" s="64" t="inlineStr">
        <is>
          <t>L40 boss set: lowered so Punchy is a clear (+25%) upgrade</t>
        </is>
      </c>
      <c r="AT63" s="44">
        <f>IF(OR($E63="All",ISNUMBER(SEARCH("Warrior",$E63))),IF($C63="Caster weapon",(AN63+AF63*('Item Budget'!$AB$14-'Item Budget'!$B$11)),(AM63+AF63*('Item Budget'!$AB$14-'Item Budget'!$B$11))),0)</f>
        <v/>
      </c>
      <c r="AU63" s="44">
        <f>IF(OR($E63="All",ISNUMBER(SEARCH("Rogue",$E63))),IF($C63="Caster weapon",(AN63+AF63*('Item Budget'!$AB$15-'Item Budget'!$B$11)),(AM63+AF63*('Item Budget'!$AB$15-'Item Budget'!$B$11))),0)</f>
        <v/>
      </c>
      <c r="AV63" s="44">
        <f>IF(OR($E63="All",ISNUMBER(SEARCH("Magus",$E63))),(AN63+AF63*('Item Budget'!$AB$16-'Item Budget'!$B$11)),0)</f>
        <v/>
      </c>
      <c r="AW63" s="44">
        <f>IF(OR($E63="All",ISNUMBER(SEARCH("Priest",$E63))),(AN63+AF63*('Item Budget'!$AB$17-'Item Budget'!$B$11)),0)</f>
        <v/>
      </c>
      <c r="AX63" s="44">
        <f>IF(AND(OR($E63="All",ISNUMBER(SEARCH("Warrior",$E63))),AC63&gt;='Item Budget'!$R$10),'Item Budget'!$R$7*100*('Item Budget'!$R$14*(AD63+25*AH63)+'Item Budget'!$S$14*(AE63+25*AJ63))/'Item Budget'!$Z$14+'Item Budget'!$R$9*AF63+IFERROR(INDEX('Item Budget'!$O$25:$O$95,MATCH(AL63,'Item Budget'!$B$25:$B$95,0)),0),0)</f>
        <v/>
      </c>
      <c r="AY63" s="44">
        <f>IF(AND(OR($E63="All",ISNUMBER(SEARCH("Rogue",$E63))),AC63&gt;='Item Budget'!$R$10),'Item Budget'!$R$7*100*('Item Budget'!$R$15*(AD63+25*AH63)+'Item Budget'!$S$15*(AE63+25*AJ63))/'Item Budget'!$Z$15+'Item Budget'!$R$9*AF63+IFERROR(INDEX('Item Budget'!$O$25:$O$95,MATCH(AL63,'Item Budget'!$B$25:$B$95,0)),0),0)</f>
        <v/>
      </c>
      <c r="AZ63" s="44">
        <f>IF(AND(OR($E63="All",ISNUMBER(SEARCH("Magus",$E63))),AC63&gt;='Item Budget'!$R$10),'Item Budget'!$R$7*100*('Item Budget'!$R$16*(AD63+25*AH63)+'Item Budget'!$S$16*(AE63+25*AJ63))/'Item Budget'!$Z$16+'Item Budget'!$R$9*AF63+IFERROR(INDEX('Item Budget'!$O$25:$O$95,MATCH(AL63,'Item Budget'!$B$25:$B$95,0)),0),0)</f>
        <v/>
      </c>
      <c r="BA63" s="44">
        <f>IF(AND(OR($E63="All",ISNUMBER(SEARCH("Priest",$E63))),AC63&gt;='Item Budget'!$R$10),'Item Budget'!$R$7*100*('Item Budget'!$R$17*(AD63+25*AH63)+'Item Budget'!$S$17*(AE63+25*AJ63))/'Item Budget'!$Z$17+'Item Budget'!$R$9*AF63+IFERROR(INDEX('Item Budget'!$O$25:$O$95,MATCH(AL63,'Item Budget'!$B$25:$B$95,0)),0),0)</f>
        <v/>
      </c>
      <c r="BB63" s="52">
        <f>IF(OR($I63&lt;1,IF($I63&gt;=6,AX63,AT63)&lt;=0),"",IF(SUMPRODUCT(MAX(($C$5:$C$215=$C63)*($I$5:$I$215&gt;=1)*($I$5:$I$215&lt;$I63)*IF($I63&gt;=6,$AX$5:$AX$215,$AT$5:$AT$215)))&lt;=0,"",SUMPRODUCT(MAX(($C$5:$C$215=$C63)*($I$5:$I$215=$I63)*IF($I63&gt;=6,$AX$5:$AX$215,$AT$5:$AT$215)))/SUMPRODUCT(MAX(($C$5:$C$215=$C63)*($I$5:$I$215&gt;=1)*($I$5:$I$215&lt;$I63)*IF($I63&gt;=6,$AX$5:$AX$215,$AT$5:$AT$215)))-1))</f>
        <v/>
      </c>
      <c r="BC63" s="52">
        <f>IF(OR($I63&lt;1,IF($I63&gt;=6,AY63,AU63)&lt;=0),"",IF(SUMPRODUCT(MAX(($C$5:$C$215=$C63)*($I$5:$I$215&gt;=1)*($I$5:$I$215&lt;$I63)*IF($I63&gt;=6,$AY$5:$AY$215,$AU$5:$AU$215)))&lt;=0,"",SUMPRODUCT(MAX(($C$5:$C$215=$C63)*($I$5:$I$215=$I63)*IF($I63&gt;=6,$AY$5:$AY$215,$AU$5:$AU$215)))/SUMPRODUCT(MAX(($C$5:$C$215=$C63)*($I$5:$I$215&gt;=1)*($I$5:$I$215&lt;$I63)*IF($I63&gt;=6,$AY$5:$AY$215,$AU$5:$AU$215)))-1))</f>
        <v/>
      </c>
      <c r="BD63" s="52">
        <f>IF(OR($I63&lt;1,IF($I63&gt;=6,AZ63,AV63)&lt;=0),"",IF(SUMPRODUCT(MAX(($C$5:$C$215=$C63)*($I$5:$I$215&gt;=1)*($I$5:$I$215&lt;$I63)*IF($I63&gt;=6,$AZ$5:$AZ$215,$AV$5:$AV$215)))&lt;=0,"",SUMPRODUCT(MAX(($C$5:$C$215=$C63)*($I$5:$I$215=$I63)*IF($I63&gt;=6,$AZ$5:$AZ$215,$AV$5:$AV$215)))/SUMPRODUCT(MAX(($C$5:$C$215=$C63)*($I$5:$I$215&gt;=1)*($I$5:$I$215&lt;$I63)*IF($I63&gt;=6,$AZ$5:$AZ$215,$AV$5:$AV$215)))-1))</f>
        <v/>
      </c>
      <c r="BE63" s="52">
        <f>IF(OR($I63&lt;1,IF($I63&gt;=6,BA63,AW63)&lt;=0),"",IF(SUMPRODUCT(MAX(($C$5:$C$215=$C63)*($I$5:$I$215&gt;=1)*($I$5:$I$215&lt;$I63)*IF($I63&gt;=6,$BA$5:$BA$215,$AW$5:$AW$215)))&lt;=0,"",SUMPRODUCT(MAX(($C$5:$C$215=$C63)*($I$5:$I$215=$I63)*IF($I63&gt;=6,$BA$5:$BA$215,$AW$5:$AW$215)))/SUMPRODUCT(MAX(($C$5:$C$215=$C63)*($I$5:$I$215&gt;=1)*($I$5:$I$215&lt;$I63)*IF($I63&gt;=6,$BA$5:$BA$215,$AW$5:$AW$215)))-1))</f>
        <v/>
      </c>
      <c r="BF63" s="19">
        <f>IF(AND(BB63="",BC63="",BD63="",BE63=""),"",IF(IF(AND(ISNUMBER(BB63),BB63&lt;'Item Budget'!$R$11),"W ","")&amp;IF(AND(ISNUMBER(BC63),BC63&lt;'Item Budget'!$R$11),"R ","")&amp;IF(AND(ISNUMBER(BD63),BD63&lt;'Item Budget'!$R$11),"M ","")&amp;IF(AND(ISNUMBER(BE63),BE63&lt;'Item Budget'!$R$11),"P ","")="","OK","Not above lower step: "&amp;IF(AND(ISNUMBER(BB63),BB63&lt;'Item Budget'!$R$11),"W ","")&amp;IF(AND(ISNUMBER(BC63),BC63&lt;'Item Budget'!$R$11),"R ","")&amp;IF(AND(ISNUMBER(BD63),BD63&lt;'Item Budget'!$R$11),"M ","")&amp;IF(AND(ISNUMBER(BE63),BE63&lt;'Item Budget'!$R$11),"P ","")))</f>
        <v/>
      </c>
    </row>
    <row r="64">
      <c r="A64" s="21" t="n">
        <v>231</v>
      </c>
      <c r="B64" s="21" t="inlineStr">
        <is>
          <t>Warriors Helmet</t>
        </is>
      </c>
      <c r="C64" s="21" t="inlineStr">
        <is>
          <t>Helmet</t>
        </is>
      </c>
      <c r="D64" s="21" t="inlineStr">
        <is>
          <t>Warrior</t>
        </is>
      </c>
      <c r="E64" s="21" t="inlineStr">
        <is>
          <t>Warrior</t>
        </is>
      </c>
      <c r="F64" s="21" t="inlineStr">
        <is>
          <t>Warrior plate</t>
        </is>
      </c>
      <c r="G64" s="21" t="inlineStr">
        <is>
          <t>drop: Misplaced Spouse 7%</t>
        </is>
      </c>
      <c r="H64" s="37" t="n">
        <v>0</v>
      </c>
      <c r="I64" s="21" t="n">
        <v>0</v>
      </c>
      <c r="J64" s="3" t="inlineStr">
        <is>
          <t>Pass 2</t>
        </is>
      </c>
      <c r="K64" s="21" t="inlineStr">
        <is>
          <t>Rare boss drop</t>
        </is>
      </c>
      <c r="L64" s="31">
        <f>INDEX('Item Budget'!$F$5:$F$13,MATCH(K64,'Item Budget'!$E$5:$E$13,0))+IF(E64="All",0,'Item Budget'!$F$15)+LOOKUP(H64,'Item Budget'!$E$19:$E$23,'Item Budget'!$F$19:$F$23)</f>
        <v/>
      </c>
      <c r="M64" s="21" t="n">
        <v>40</v>
      </c>
      <c r="N64" s="21" t="n">
        <v>125</v>
      </c>
      <c r="O64" s="21" t="n">
        <v>0</v>
      </c>
      <c r="P64" s="21" t="n">
        <v>34</v>
      </c>
      <c r="Q64" s="21" t="n">
        <v>6</v>
      </c>
      <c r="R64" s="21" t="n">
        <v>12</v>
      </c>
      <c r="S64" s="21" t="n">
        <v>0</v>
      </c>
      <c r="T64" s="21" t="n">
        <v>0</v>
      </c>
      <c r="U64" s="21" t="n">
        <v>0</v>
      </c>
      <c r="V64" s="21" t="inlineStr">
        <is>
          <t>(none)</t>
        </is>
      </c>
      <c r="W64" s="61">
        <f>N64*'Item Budget'!$B$5+R64*'Item Budget'!$B$7+P64*'Item Budget'!$B$11+S64*'Item Budget'!$B$10+Q64*'Item Budget'!$B$9+IFERROR(INDEX('Item Budget'!$M$25:$M$95,MATCH(V64,'Item Budget'!$B$25:$B$95,0)),0)+IF($C64="Weapon",U64*'Item Budget'!$B$9,0)</f>
        <v/>
      </c>
      <c r="X64" s="61">
        <f>N64*'Item Budget'!$B$5+R64*'Item Budget'!$B$7+P64*'Item Budget'!$B$11+S64*'Item Budget'!$B$10+O64*'Item Budget'!$B$6+T64*'Item Budget'!$B$8+IFERROR(INDEX('Item Budget'!$N$25:$N$95,MATCH(V64,'Item Budget'!$B$25:$B$95,0)),0)</f>
        <v/>
      </c>
      <c r="Y64" s="61">
        <f>MAX('Item Budget'!$F$16,INDEX('Gear Budget'!$C$8:$C$14,MATCH($C64,'Gear Budget'!$A$8:$A$14,0))*MIN(M64,50))*$L64</f>
        <v/>
      </c>
      <c r="Z64" s="41">
        <f>IF($C64="Caster weapon",X64,MAX(W64,X64))/Y64</f>
        <v/>
      </c>
      <c r="AA64" s="61">
        <f>IF(OR($C64="Weapon",$C64="Caster weapon"),"",'Gear Budget'!$B$5*MAX(1,MIN(M64,50))*INDEX('Gear Budget'!$B$8:$B$14,MATCH($C64,'Gear Budget'!$A$8:$A$14,0))*IF($C64="Shield",IF(D64="Warrior",1,IF(OR(D64="Rogue",D64="All"),0.38/0.6,0.25/0.6)),IFERROR(INDEX('Gear Budget'!$B$18:$B$21,MATCH($F64,'Gear Budget'!$A$18:$A$21,0)),1)))</f>
        <v/>
      </c>
      <c r="AB64" s="41">
        <f>IF(AA64="","",P64/AA64)</f>
        <v/>
      </c>
      <c r="AC64" s="21" t="n">
        <v>40</v>
      </c>
      <c r="AD64" s="20" t="n">
        <v>115</v>
      </c>
      <c r="AE64" s="21" t="n">
        <v>0</v>
      </c>
      <c r="AF64" s="20" t="n">
        <v>32</v>
      </c>
      <c r="AG64" s="21" t="n">
        <v>6</v>
      </c>
      <c r="AH64" s="20" t="n">
        <v>11</v>
      </c>
      <c r="AI64" s="21" t="n">
        <v>0</v>
      </c>
      <c r="AJ64" s="21" t="n">
        <v>0</v>
      </c>
      <c r="AK64" s="21" t="n">
        <v>0</v>
      </c>
      <c r="AL64" s="21" t="inlineStr">
        <is>
          <t>(none)</t>
        </is>
      </c>
      <c r="AM64" s="61">
        <f>AD64*'Item Budget'!$B$5+AH64*'Item Budget'!$B$7+AF64*'Item Budget'!$B$11+AI64*'Item Budget'!$B$10+AG64*'Item Budget'!$B$9+IFERROR(INDEX('Item Budget'!$M$25:$M$95,MATCH(AL64,'Item Budget'!$B$25:$B$95,0)),0)+IF($C64="Weapon",AK64*'Item Budget'!$B$9,0)</f>
        <v/>
      </c>
      <c r="AN64" s="61">
        <f>AD64*'Item Budget'!$B$5+AH64*'Item Budget'!$B$7+AF64*'Item Budget'!$B$11+AI64*'Item Budget'!$B$10+AE64*'Item Budget'!$B$6+AJ64*'Item Budget'!$B$8+IFERROR(INDEX('Item Budget'!$N$25:$N$95,MATCH(AL64,'Item Budget'!$B$25:$B$95,0)),0)</f>
        <v/>
      </c>
      <c r="AO64" s="61">
        <f>MAX('Item Budget'!$F$16,INDEX('Gear Budget'!$C$8:$C$14,MATCH($C64,'Gear Budget'!$A$8:$A$14,0))*MIN(AC64,50))*$L64</f>
        <v/>
      </c>
      <c r="AP64" s="41">
        <f>IF($C64="Caster weapon",AN64,MAX(AM64,AN64))/AO64</f>
        <v/>
      </c>
      <c r="AQ64" s="61">
        <f>IF(OR($C64="Weapon",$C64="Caster weapon"),"",'Gear Budget'!$B$5*MAX(1,MIN(AC64,50))*INDEX('Gear Budget'!$B$8:$B$14,MATCH($C64,'Gear Budget'!$A$8:$A$14,0))*IF($C64="Shield",IF(E64="Warrior",1,IF(OR(E64="Rogue",E64="All"),0.38/0.6,0.25/0.6)),IFERROR(INDEX('Gear Budget'!$B$18:$B$21,MATCH($F64,'Gear Budget'!$A$18:$A$21,0)),1)))</f>
        <v/>
      </c>
      <c r="AR64" s="41">
        <f>IF(AQ64="","",AF64/AQ64)</f>
        <v/>
      </c>
      <c r="AS64" s="64" t="inlineStr">
        <is>
          <t>L40 boss set: lowered so Punchy is a clear (+25%) upgrade</t>
        </is>
      </c>
      <c r="AT64" s="44">
        <f>IF(OR($E64="All",ISNUMBER(SEARCH("Warrior",$E64))),IF($C64="Caster weapon",(AN64+AF64*('Item Budget'!$AB$14-'Item Budget'!$B$11)),(AM64+AF64*('Item Budget'!$AB$14-'Item Budget'!$B$11))),0)</f>
        <v/>
      </c>
      <c r="AU64" s="44">
        <f>IF(OR($E64="All",ISNUMBER(SEARCH("Rogue",$E64))),IF($C64="Caster weapon",(AN64+AF64*('Item Budget'!$AB$15-'Item Budget'!$B$11)),(AM64+AF64*('Item Budget'!$AB$15-'Item Budget'!$B$11))),0)</f>
        <v/>
      </c>
      <c r="AV64" s="44">
        <f>IF(OR($E64="All",ISNUMBER(SEARCH("Magus",$E64))),(AN64+AF64*('Item Budget'!$AB$16-'Item Budget'!$B$11)),0)</f>
        <v/>
      </c>
      <c r="AW64" s="44">
        <f>IF(OR($E64="All",ISNUMBER(SEARCH("Priest",$E64))),(AN64+AF64*('Item Budget'!$AB$17-'Item Budget'!$B$11)),0)</f>
        <v/>
      </c>
      <c r="AX64" s="44">
        <f>IF(AND(OR($E64="All",ISNUMBER(SEARCH("Warrior",$E64))),AC64&gt;='Item Budget'!$R$10),'Item Budget'!$R$7*100*('Item Budget'!$R$14*(AD64+25*AH64)+'Item Budget'!$S$14*(AE64+25*AJ64))/'Item Budget'!$Z$14+'Item Budget'!$R$9*AF64+IFERROR(INDEX('Item Budget'!$O$25:$O$95,MATCH(AL64,'Item Budget'!$B$25:$B$95,0)),0),0)</f>
        <v/>
      </c>
      <c r="AY64" s="44">
        <f>IF(AND(OR($E64="All",ISNUMBER(SEARCH("Rogue",$E64))),AC64&gt;='Item Budget'!$R$10),'Item Budget'!$R$7*100*('Item Budget'!$R$15*(AD64+25*AH64)+'Item Budget'!$S$15*(AE64+25*AJ64))/'Item Budget'!$Z$15+'Item Budget'!$R$9*AF64+IFERROR(INDEX('Item Budget'!$O$25:$O$95,MATCH(AL64,'Item Budget'!$B$25:$B$95,0)),0),0)</f>
        <v/>
      </c>
      <c r="AZ64" s="44">
        <f>IF(AND(OR($E64="All",ISNUMBER(SEARCH("Magus",$E64))),AC64&gt;='Item Budget'!$R$10),'Item Budget'!$R$7*100*('Item Budget'!$R$16*(AD64+25*AH64)+'Item Budget'!$S$16*(AE64+25*AJ64))/'Item Budget'!$Z$16+'Item Budget'!$R$9*AF64+IFERROR(INDEX('Item Budget'!$O$25:$O$95,MATCH(AL64,'Item Budget'!$B$25:$B$95,0)),0),0)</f>
        <v/>
      </c>
      <c r="BA64" s="44">
        <f>IF(AND(OR($E64="All",ISNUMBER(SEARCH("Priest",$E64))),AC64&gt;='Item Budget'!$R$10),'Item Budget'!$R$7*100*('Item Budget'!$R$17*(AD64+25*AH64)+'Item Budget'!$S$17*(AE64+25*AJ64))/'Item Budget'!$Z$17+'Item Budget'!$R$9*AF64+IFERROR(INDEX('Item Budget'!$O$25:$O$95,MATCH(AL64,'Item Budget'!$B$25:$B$95,0)),0),0)</f>
        <v/>
      </c>
      <c r="BB64" s="52">
        <f>IF(OR($I64&lt;1,IF($I64&gt;=6,AX64,AT64)&lt;=0),"",IF(SUMPRODUCT(MAX(($C$5:$C$215=$C64)*($I$5:$I$215&gt;=1)*($I$5:$I$215&lt;$I64)*IF($I64&gt;=6,$AX$5:$AX$215,$AT$5:$AT$215)))&lt;=0,"",SUMPRODUCT(MAX(($C$5:$C$215=$C64)*($I$5:$I$215=$I64)*IF($I64&gt;=6,$AX$5:$AX$215,$AT$5:$AT$215)))/SUMPRODUCT(MAX(($C$5:$C$215=$C64)*($I$5:$I$215&gt;=1)*($I$5:$I$215&lt;$I64)*IF($I64&gt;=6,$AX$5:$AX$215,$AT$5:$AT$215)))-1))</f>
        <v/>
      </c>
      <c r="BC64" s="52">
        <f>IF(OR($I64&lt;1,IF($I64&gt;=6,AY64,AU64)&lt;=0),"",IF(SUMPRODUCT(MAX(($C$5:$C$215=$C64)*($I$5:$I$215&gt;=1)*($I$5:$I$215&lt;$I64)*IF($I64&gt;=6,$AY$5:$AY$215,$AU$5:$AU$215)))&lt;=0,"",SUMPRODUCT(MAX(($C$5:$C$215=$C64)*($I$5:$I$215=$I64)*IF($I64&gt;=6,$AY$5:$AY$215,$AU$5:$AU$215)))/SUMPRODUCT(MAX(($C$5:$C$215=$C64)*($I$5:$I$215&gt;=1)*($I$5:$I$215&lt;$I64)*IF($I64&gt;=6,$AY$5:$AY$215,$AU$5:$AU$215)))-1))</f>
        <v/>
      </c>
      <c r="BD64" s="52">
        <f>IF(OR($I64&lt;1,IF($I64&gt;=6,AZ64,AV64)&lt;=0),"",IF(SUMPRODUCT(MAX(($C$5:$C$215=$C64)*($I$5:$I$215&gt;=1)*($I$5:$I$215&lt;$I64)*IF($I64&gt;=6,$AZ$5:$AZ$215,$AV$5:$AV$215)))&lt;=0,"",SUMPRODUCT(MAX(($C$5:$C$215=$C64)*($I$5:$I$215=$I64)*IF($I64&gt;=6,$AZ$5:$AZ$215,$AV$5:$AV$215)))/SUMPRODUCT(MAX(($C$5:$C$215=$C64)*($I$5:$I$215&gt;=1)*($I$5:$I$215&lt;$I64)*IF($I64&gt;=6,$AZ$5:$AZ$215,$AV$5:$AV$215)))-1))</f>
        <v/>
      </c>
      <c r="BE64" s="52">
        <f>IF(OR($I64&lt;1,IF($I64&gt;=6,BA64,AW64)&lt;=0),"",IF(SUMPRODUCT(MAX(($C$5:$C$215=$C64)*($I$5:$I$215&gt;=1)*($I$5:$I$215&lt;$I64)*IF($I64&gt;=6,$BA$5:$BA$215,$AW$5:$AW$215)))&lt;=0,"",SUMPRODUCT(MAX(($C$5:$C$215=$C64)*($I$5:$I$215=$I64)*IF($I64&gt;=6,$BA$5:$BA$215,$AW$5:$AW$215)))/SUMPRODUCT(MAX(($C$5:$C$215=$C64)*($I$5:$I$215&gt;=1)*($I$5:$I$215&lt;$I64)*IF($I64&gt;=6,$BA$5:$BA$215,$AW$5:$AW$215)))-1))</f>
        <v/>
      </c>
      <c r="BF64" s="19">
        <f>IF(AND(BB64="",BC64="",BD64="",BE64=""),"",IF(IF(AND(ISNUMBER(BB64),BB64&lt;'Item Budget'!$R$11),"W ","")&amp;IF(AND(ISNUMBER(BC64),BC64&lt;'Item Budget'!$R$11),"R ","")&amp;IF(AND(ISNUMBER(BD64),BD64&lt;'Item Budget'!$R$11),"M ","")&amp;IF(AND(ISNUMBER(BE64),BE64&lt;'Item Budget'!$R$11),"P ","")="","OK","Not above lower step: "&amp;IF(AND(ISNUMBER(BB64),BB64&lt;'Item Budget'!$R$11),"W ","")&amp;IF(AND(ISNUMBER(BC64),BC64&lt;'Item Budget'!$R$11),"R ","")&amp;IF(AND(ISNUMBER(BD64),BD64&lt;'Item Budget'!$R$11),"M ","")&amp;IF(AND(ISNUMBER(BE64),BE64&lt;'Item Budget'!$R$11),"P ","")))</f>
        <v/>
      </c>
    </row>
    <row r="65">
      <c r="A65" s="21" t="n">
        <v>235</v>
      </c>
      <c r="B65" s="21" t="inlineStr">
        <is>
          <t>Rogues Helmet</t>
        </is>
      </c>
      <c r="C65" s="21" t="inlineStr">
        <is>
          <t>Helmet</t>
        </is>
      </c>
      <c r="D65" s="21" t="inlineStr">
        <is>
          <t>Rogue</t>
        </is>
      </c>
      <c r="E65" s="21" t="inlineStr">
        <is>
          <t>Rogue</t>
        </is>
      </c>
      <c r="F65" s="21" t="inlineStr">
        <is>
          <t>Rogue</t>
        </is>
      </c>
      <c r="G65" s="21" t="inlineStr">
        <is>
          <t>drop: Misplaced Spouse 7%</t>
        </is>
      </c>
      <c r="H65" s="37" t="n">
        <v>0</v>
      </c>
      <c r="I65" s="21" t="n">
        <v>0</v>
      </c>
      <c r="J65" s="3" t="inlineStr">
        <is>
          <t>Pass 2</t>
        </is>
      </c>
      <c r="K65" s="21" t="inlineStr">
        <is>
          <t>Rare boss drop</t>
        </is>
      </c>
      <c r="L65" s="31">
        <f>INDEX('Item Budget'!$F$5:$F$13,MATCH(K65,'Item Budget'!$E$5:$E$13,0))+IF(E65="All",0,'Item Budget'!$F$15)+LOOKUP(H65,'Item Budget'!$E$19:$E$23,'Item Budget'!$F$19:$F$23)</f>
        <v/>
      </c>
      <c r="M65" s="21" t="n">
        <v>40</v>
      </c>
      <c r="N65" s="21" t="n">
        <v>100</v>
      </c>
      <c r="O65" s="21" t="n">
        <v>50</v>
      </c>
      <c r="P65" s="21" t="n">
        <v>28</v>
      </c>
      <c r="Q65" s="21" t="n">
        <v>7</v>
      </c>
      <c r="R65" s="21" t="n">
        <v>9</v>
      </c>
      <c r="S65" s="21" t="n">
        <v>15</v>
      </c>
      <c r="T65" s="21" t="n">
        <v>0</v>
      </c>
      <c r="U65" s="21" t="n">
        <v>0</v>
      </c>
      <c r="V65" s="21" t="inlineStr">
        <is>
          <t>(none)</t>
        </is>
      </c>
      <c r="W65" s="61">
        <f>N65*'Item Budget'!$B$5+R65*'Item Budget'!$B$7+P65*'Item Budget'!$B$11+S65*'Item Budget'!$B$10+Q65*'Item Budget'!$B$9+IFERROR(INDEX('Item Budget'!$M$25:$M$95,MATCH(V65,'Item Budget'!$B$25:$B$95,0)),0)+IF($C65="Weapon",U65*'Item Budget'!$B$9,0)</f>
        <v/>
      </c>
      <c r="X65" s="61">
        <f>N65*'Item Budget'!$B$5+R65*'Item Budget'!$B$7+P65*'Item Budget'!$B$11+S65*'Item Budget'!$B$10+O65*'Item Budget'!$B$6+T65*'Item Budget'!$B$8+IFERROR(INDEX('Item Budget'!$N$25:$N$95,MATCH(V65,'Item Budget'!$B$25:$B$95,0)),0)</f>
        <v/>
      </c>
      <c r="Y65" s="61">
        <f>MAX('Item Budget'!$F$16,INDEX('Gear Budget'!$C$8:$C$14,MATCH($C65,'Gear Budget'!$A$8:$A$14,0))*MIN(M65,50))*$L65</f>
        <v/>
      </c>
      <c r="Z65" s="41">
        <f>IF($C65="Caster weapon",X65,MAX(W65,X65))/Y65</f>
        <v/>
      </c>
      <c r="AA65" s="61">
        <f>IF(OR($C65="Weapon",$C65="Caster weapon"),"",'Gear Budget'!$B$5*MAX(1,MIN(M65,50))*INDEX('Gear Budget'!$B$8:$B$14,MATCH($C65,'Gear Budget'!$A$8:$A$14,0))*IF($C65="Shield",IF(D65="Warrior",1,IF(OR(D65="Rogue",D65="All"),0.38/0.6,0.25/0.6)),IFERROR(INDEX('Gear Budget'!$B$18:$B$21,MATCH($F65,'Gear Budget'!$A$18:$A$21,0)),1)))</f>
        <v/>
      </c>
      <c r="AB65" s="41">
        <f>IF(AA65="","",P65/AA65)</f>
        <v/>
      </c>
      <c r="AC65" s="21" t="n">
        <v>40</v>
      </c>
      <c r="AD65" s="20" t="n">
        <v>95</v>
      </c>
      <c r="AE65" s="20" t="n">
        <v>45</v>
      </c>
      <c r="AF65" s="20" t="n">
        <v>26</v>
      </c>
      <c r="AG65" s="21" t="n">
        <v>7</v>
      </c>
      <c r="AH65" s="20" t="n">
        <v>8</v>
      </c>
      <c r="AI65" s="20" t="n">
        <v>14</v>
      </c>
      <c r="AJ65" s="21" t="n">
        <v>0</v>
      </c>
      <c r="AK65" s="21" t="n">
        <v>0</v>
      </c>
      <c r="AL65" s="21" t="inlineStr">
        <is>
          <t>(none)</t>
        </is>
      </c>
      <c r="AM65" s="61">
        <f>AD65*'Item Budget'!$B$5+AH65*'Item Budget'!$B$7+AF65*'Item Budget'!$B$11+AI65*'Item Budget'!$B$10+AG65*'Item Budget'!$B$9+IFERROR(INDEX('Item Budget'!$M$25:$M$95,MATCH(AL65,'Item Budget'!$B$25:$B$95,0)),0)+IF($C65="Weapon",AK65*'Item Budget'!$B$9,0)</f>
        <v/>
      </c>
      <c r="AN65" s="61">
        <f>AD65*'Item Budget'!$B$5+AH65*'Item Budget'!$B$7+AF65*'Item Budget'!$B$11+AI65*'Item Budget'!$B$10+AE65*'Item Budget'!$B$6+AJ65*'Item Budget'!$B$8+IFERROR(INDEX('Item Budget'!$N$25:$N$95,MATCH(AL65,'Item Budget'!$B$25:$B$95,0)),0)</f>
        <v/>
      </c>
      <c r="AO65" s="61">
        <f>MAX('Item Budget'!$F$16,INDEX('Gear Budget'!$C$8:$C$14,MATCH($C65,'Gear Budget'!$A$8:$A$14,0))*MIN(AC65,50))*$L65</f>
        <v/>
      </c>
      <c r="AP65" s="41">
        <f>IF($C65="Caster weapon",AN65,MAX(AM65,AN65))/AO65</f>
        <v/>
      </c>
      <c r="AQ65" s="61">
        <f>IF(OR($C65="Weapon",$C65="Caster weapon"),"",'Gear Budget'!$B$5*MAX(1,MIN(AC65,50))*INDEX('Gear Budget'!$B$8:$B$14,MATCH($C65,'Gear Budget'!$A$8:$A$14,0))*IF($C65="Shield",IF(E65="Warrior",1,IF(OR(E65="Rogue",E65="All"),0.38/0.6,0.25/0.6)),IFERROR(INDEX('Gear Budget'!$B$18:$B$21,MATCH($F65,'Gear Budget'!$A$18:$A$21,0)),1)))</f>
        <v/>
      </c>
      <c r="AR65" s="41">
        <f>IF(AQ65="","",AF65/AQ65)</f>
        <v/>
      </c>
      <c r="AS65" s="64" t="inlineStr">
        <is>
          <t>L40 boss set: lowered so Punchy is a clear (+25%) upgrade</t>
        </is>
      </c>
      <c r="AT65" s="44">
        <f>IF(OR($E65="All",ISNUMBER(SEARCH("Warrior",$E65))),IF($C65="Caster weapon",(AN65+AF65*('Item Budget'!$AB$14-'Item Budget'!$B$11)),(AM65+AF65*('Item Budget'!$AB$14-'Item Budget'!$B$11))),0)</f>
        <v/>
      </c>
      <c r="AU65" s="44">
        <f>IF(OR($E65="All",ISNUMBER(SEARCH("Rogue",$E65))),IF($C65="Caster weapon",(AN65+AF65*('Item Budget'!$AB$15-'Item Budget'!$B$11)),(AM65+AF65*('Item Budget'!$AB$15-'Item Budget'!$B$11))),0)</f>
        <v/>
      </c>
      <c r="AV65" s="44">
        <f>IF(OR($E65="All",ISNUMBER(SEARCH("Magus",$E65))),(AN65+AF65*('Item Budget'!$AB$16-'Item Budget'!$B$11)),0)</f>
        <v/>
      </c>
      <c r="AW65" s="44">
        <f>IF(OR($E65="All",ISNUMBER(SEARCH("Priest",$E65))),(AN65+AF65*('Item Budget'!$AB$17-'Item Budget'!$B$11)),0)</f>
        <v/>
      </c>
      <c r="AX65" s="44">
        <f>IF(AND(OR($E65="All",ISNUMBER(SEARCH("Warrior",$E65))),AC65&gt;='Item Budget'!$R$10),'Item Budget'!$R$7*100*('Item Budget'!$R$14*(AD65+25*AH65)+'Item Budget'!$S$14*(AE65+25*AJ65))/'Item Budget'!$Z$14+'Item Budget'!$R$9*AF65+IFERROR(INDEX('Item Budget'!$O$25:$O$95,MATCH(AL65,'Item Budget'!$B$25:$B$95,0)),0),0)</f>
        <v/>
      </c>
      <c r="AY65" s="44">
        <f>IF(AND(OR($E65="All",ISNUMBER(SEARCH("Rogue",$E65))),AC65&gt;='Item Budget'!$R$10),'Item Budget'!$R$7*100*('Item Budget'!$R$15*(AD65+25*AH65)+'Item Budget'!$S$15*(AE65+25*AJ65))/'Item Budget'!$Z$15+'Item Budget'!$R$9*AF65+IFERROR(INDEX('Item Budget'!$O$25:$O$95,MATCH(AL65,'Item Budget'!$B$25:$B$95,0)),0),0)</f>
        <v/>
      </c>
      <c r="AZ65" s="44">
        <f>IF(AND(OR($E65="All",ISNUMBER(SEARCH("Magus",$E65))),AC65&gt;='Item Budget'!$R$10),'Item Budget'!$R$7*100*('Item Budget'!$R$16*(AD65+25*AH65)+'Item Budget'!$S$16*(AE65+25*AJ65))/'Item Budget'!$Z$16+'Item Budget'!$R$9*AF65+IFERROR(INDEX('Item Budget'!$O$25:$O$95,MATCH(AL65,'Item Budget'!$B$25:$B$95,0)),0),0)</f>
        <v/>
      </c>
      <c r="BA65" s="44">
        <f>IF(AND(OR($E65="All",ISNUMBER(SEARCH("Priest",$E65))),AC65&gt;='Item Budget'!$R$10),'Item Budget'!$R$7*100*('Item Budget'!$R$17*(AD65+25*AH65)+'Item Budget'!$S$17*(AE65+25*AJ65))/'Item Budget'!$Z$17+'Item Budget'!$R$9*AF65+IFERROR(INDEX('Item Budget'!$O$25:$O$95,MATCH(AL65,'Item Budget'!$B$25:$B$95,0)),0),0)</f>
        <v/>
      </c>
      <c r="BB65" s="52">
        <f>IF(OR($I65&lt;1,IF($I65&gt;=6,AX65,AT65)&lt;=0),"",IF(SUMPRODUCT(MAX(($C$5:$C$215=$C65)*($I$5:$I$215&gt;=1)*($I$5:$I$215&lt;$I65)*IF($I65&gt;=6,$AX$5:$AX$215,$AT$5:$AT$215)))&lt;=0,"",SUMPRODUCT(MAX(($C$5:$C$215=$C65)*($I$5:$I$215=$I65)*IF($I65&gt;=6,$AX$5:$AX$215,$AT$5:$AT$215)))/SUMPRODUCT(MAX(($C$5:$C$215=$C65)*($I$5:$I$215&gt;=1)*($I$5:$I$215&lt;$I65)*IF($I65&gt;=6,$AX$5:$AX$215,$AT$5:$AT$215)))-1))</f>
        <v/>
      </c>
      <c r="BC65" s="52">
        <f>IF(OR($I65&lt;1,IF($I65&gt;=6,AY65,AU65)&lt;=0),"",IF(SUMPRODUCT(MAX(($C$5:$C$215=$C65)*($I$5:$I$215&gt;=1)*($I$5:$I$215&lt;$I65)*IF($I65&gt;=6,$AY$5:$AY$215,$AU$5:$AU$215)))&lt;=0,"",SUMPRODUCT(MAX(($C$5:$C$215=$C65)*($I$5:$I$215=$I65)*IF($I65&gt;=6,$AY$5:$AY$215,$AU$5:$AU$215)))/SUMPRODUCT(MAX(($C$5:$C$215=$C65)*($I$5:$I$215&gt;=1)*($I$5:$I$215&lt;$I65)*IF($I65&gt;=6,$AY$5:$AY$215,$AU$5:$AU$215)))-1))</f>
        <v/>
      </c>
      <c r="BD65" s="52">
        <f>IF(OR($I65&lt;1,IF($I65&gt;=6,AZ65,AV65)&lt;=0),"",IF(SUMPRODUCT(MAX(($C$5:$C$215=$C65)*($I$5:$I$215&gt;=1)*($I$5:$I$215&lt;$I65)*IF($I65&gt;=6,$AZ$5:$AZ$215,$AV$5:$AV$215)))&lt;=0,"",SUMPRODUCT(MAX(($C$5:$C$215=$C65)*($I$5:$I$215=$I65)*IF($I65&gt;=6,$AZ$5:$AZ$215,$AV$5:$AV$215)))/SUMPRODUCT(MAX(($C$5:$C$215=$C65)*($I$5:$I$215&gt;=1)*($I$5:$I$215&lt;$I65)*IF($I65&gt;=6,$AZ$5:$AZ$215,$AV$5:$AV$215)))-1))</f>
        <v/>
      </c>
      <c r="BE65" s="52">
        <f>IF(OR($I65&lt;1,IF($I65&gt;=6,BA65,AW65)&lt;=0),"",IF(SUMPRODUCT(MAX(($C$5:$C$215=$C65)*($I$5:$I$215&gt;=1)*($I$5:$I$215&lt;$I65)*IF($I65&gt;=6,$BA$5:$BA$215,$AW$5:$AW$215)))&lt;=0,"",SUMPRODUCT(MAX(($C$5:$C$215=$C65)*($I$5:$I$215=$I65)*IF($I65&gt;=6,$BA$5:$BA$215,$AW$5:$AW$215)))/SUMPRODUCT(MAX(($C$5:$C$215=$C65)*($I$5:$I$215&gt;=1)*($I$5:$I$215&lt;$I65)*IF($I65&gt;=6,$BA$5:$BA$215,$AW$5:$AW$215)))-1))</f>
        <v/>
      </c>
      <c r="BF65" s="19">
        <f>IF(AND(BB65="",BC65="",BD65="",BE65=""),"",IF(IF(AND(ISNUMBER(BB65),BB65&lt;'Item Budget'!$R$11),"W ","")&amp;IF(AND(ISNUMBER(BC65),BC65&lt;'Item Budget'!$R$11),"R ","")&amp;IF(AND(ISNUMBER(BD65),BD65&lt;'Item Budget'!$R$11),"M ","")&amp;IF(AND(ISNUMBER(BE65),BE65&lt;'Item Budget'!$R$11),"P ","")="","OK","Not above lower step: "&amp;IF(AND(ISNUMBER(BB65),BB65&lt;'Item Budget'!$R$11),"W ","")&amp;IF(AND(ISNUMBER(BC65),BC65&lt;'Item Budget'!$R$11),"R ","")&amp;IF(AND(ISNUMBER(BD65),BD65&lt;'Item Budget'!$R$11),"M ","")&amp;IF(AND(ISNUMBER(BE65),BE65&lt;'Item Budget'!$R$11),"P ","")))</f>
        <v/>
      </c>
    </row>
    <row r="66">
      <c r="A66" s="21" t="n">
        <v>94</v>
      </c>
      <c r="B66" s="21" t="inlineStr">
        <is>
          <t>Devastators Helmet</t>
        </is>
      </c>
      <c r="C66" s="21" t="inlineStr">
        <is>
          <t>Helmet</t>
        </is>
      </c>
      <c r="D66" s="21" t="inlineStr">
        <is>
          <t>Rogue/Warrior</t>
        </is>
      </c>
      <c r="E66" s="21" t="inlineStr">
        <is>
          <t>Rogue/Warrior</t>
        </is>
      </c>
      <c r="F66" s="21" t="inlineStr">
        <is>
          <t>Warrior plate</t>
        </is>
      </c>
      <c r="G66" s="21" t="inlineStr">
        <is>
          <t>drop: Showboat 10%</t>
        </is>
      </c>
      <c r="H66" s="37" t="n">
        <v>0</v>
      </c>
      <c r="I66" s="21" t="n">
        <v>4</v>
      </c>
      <c r="J66" s="19" t="inlineStr">
        <is>
          <t>Leave</t>
        </is>
      </c>
      <c r="K66" s="21" t="inlineStr">
        <is>
          <t>Rare boss drop</t>
        </is>
      </c>
      <c r="L66" s="31">
        <f>INDEX('Item Budget'!$F$5:$F$13,MATCH(K66,'Item Budget'!$E$5:$E$13,0))+IF(E66="All",0,'Item Budget'!$F$15)+LOOKUP(H66,'Item Budget'!$E$19:$E$23,'Item Budget'!$F$19:$F$23)</f>
        <v/>
      </c>
      <c r="M66" s="21" t="n">
        <v>50</v>
      </c>
      <c r="N66" s="21" t="n">
        <v>100</v>
      </c>
      <c r="O66" s="21" t="n">
        <v>0</v>
      </c>
      <c r="P66" s="21" t="n">
        <v>75</v>
      </c>
      <c r="Q66" s="21" t="n">
        <v>15</v>
      </c>
      <c r="R66" s="21" t="n">
        <v>8</v>
      </c>
      <c r="S66" s="21" t="n">
        <v>20</v>
      </c>
      <c r="T66" s="21" t="n">
        <v>0</v>
      </c>
      <c r="U66" s="21" t="n">
        <v>0</v>
      </c>
      <c r="V66" s="21" t="inlineStr">
        <is>
          <t>(none)</t>
        </is>
      </c>
      <c r="W66" s="61">
        <f>N66*'Item Budget'!$B$5+R66*'Item Budget'!$B$7+P66*'Item Budget'!$B$11+S66*'Item Budget'!$B$10+Q66*'Item Budget'!$B$9+IFERROR(INDEX('Item Budget'!$M$25:$M$95,MATCH(V66,'Item Budget'!$B$25:$B$95,0)),0)+IF($C66="Weapon",U66*'Item Budget'!$B$9,0)</f>
        <v/>
      </c>
      <c r="X66" s="61">
        <f>N66*'Item Budget'!$B$5+R66*'Item Budget'!$B$7+P66*'Item Budget'!$B$11+S66*'Item Budget'!$B$10+O66*'Item Budget'!$B$6+T66*'Item Budget'!$B$8+IFERROR(INDEX('Item Budget'!$N$25:$N$95,MATCH(V66,'Item Budget'!$B$25:$B$95,0)),0)</f>
        <v/>
      </c>
      <c r="Y66" s="61">
        <f>MAX('Item Budget'!$F$16,INDEX('Gear Budget'!$C$8:$C$14,MATCH($C66,'Gear Budget'!$A$8:$A$14,0))*MIN(M66,50))*$L66</f>
        <v/>
      </c>
      <c r="Z66" s="41">
        <f>IF($C66="Caster weapon",X66,MAX(W66,X66))/Y66</f>
        <v/>
      </c>
      <c r="AA66" s="61">
        <f>IF(OR($C66="Weapon",$C66="Caster weapon"),"",'Gear Budget'!$B$5*MAX(1,MIN(M66,50))*INDEX('Gear Budget'!$B$8:$B$14,MATCH($C66,'Gear Budget'!$A$8:$A$14,0))*IF($C66="Shield",IF(D66="Warrior",1,IF(OR(D66="Rogue",D66="All"),0.38/0.6,0.25/0.6)),IFERROR(INDEX('Gear Budget'!$B$18:$B$21,MATCH($F66,'Gear Budget'!$A$18:$A$21,0)),1)))</f>
        <v/>
      </c>
      <c r="AB66" s="41">
        <f>IF(AA66="","",P66/AA66)</f>
        <v/>
      </c>
      <c r="AC66" s="21" t="n">
        <v>50</v>
      </c>
      <c r="AD66" s="21" t="n">
        <v>100</v>
      </c>
      <c r="AE66" s="21" t="n">
        <v>0</v>
      </c>
      <c r="AF66" s="21" t="n">
        <v>75</v>
      </c>
      <c r="AG66" s="21" t="n">
        <v>15</v>
      </c>
      <c r="AH66" s="21" t="n">
        <v>8</v>
      </c>
      <c r="AI66" s="21" t="n">
        <v>20</v>
      </c>
      <c r="AJ66" s="21" t="n">
        <v>0</v>
      </c>
      <c r="AK66" s="21" t="n">
        <v>0</v>
      </c>
      <c r="AL66" s="21" t="inlineStr">
        <is>
          <t>(none)</t>
        </is>
      </c>
      <c r="AM66" s="61">
        <f>AD66*'Item Budget'!$B$5+AH66*'Item Budget'!$B$7+AF66*'Item Budget'!$B$11+AI66*'Item Budget'!$B$10+AG66*'Item Budget'!$B$9+IFERROR(INDEX('Item Budget'!$M$25:$M$95,MATCH(AL66,'Item Budget'!$B$25:$B$95,0)),0)+IF($C66="Weapon",AK66*'Item Budget'!$B$9,0)</f>
        <v/>
      </c>
      <c r="AN66" s="61">
        <f>AD66*'Item Budget'!$B$5+AH66*'Item Budget'!$B$7+AF66*'Item Budget'!$B$11+AI66*'Item Budget'!$B$10+AE66*'Item Budget'!$B$6+AJ66*'Item Budget'!$B$8+IFERROR(INDEX('Item Budget'!$N$25:$N$95,MATCH(AL66,'Item Budget'!$B$25:$B$95,0)),0)</f>
        <v/>
      </c>
      <c r="AO66" s="61">
        <f>MAX('Item Budget'!$F$16,INDEX('Gear Budget'!$C$8:$C$14,MATCH($C66,'Gear Budget'!$A$8:$A$14,0))*MIN(AC66,50))*$L66</f>
        <v/>
      </c>
      <c r="AP66" s="41">
        <f>IF($C66="Caster weapon",AN66,MAX(AM66,AN66))/AO66</f>
        <v/>
      </c>
      <c r="AQ66" s="61">
        <f>IF(OR($C66="Weapon",$C66="Caster weapon"),"",'Gear Budget'!$B$5*MAX(1,MIN(AC66,50))*INDEX('Gear Budget'!$B$8:$B$14,MATCH($C66,'Gear Budget'!$A$8:$A$14,0))*IF($C66="Shield",IF(E66="Warrior",1,IF(OR(E66="Rogue",E66="All"),0.38/0.6,0.25/0.6)),IFERROR(INDEX('Gear Budget'!$B$18:$B$21,MATCH($F66,'Gear Budget'!$A$18:$A$21,0)),1)))</f>
        <v/>
      </c>
      <c r="AR66" s="41">
        <f>IF(AQ66="","",AF66/AQ66)</f>
        <v/>
      </c>
      <c r="AS66" s="64" t="n"/>
      <c r="AT66" s="44">
        <f>IF(OR($E66="All",ISNUMBER(SEARCH("Warrior",$E66))),IF($C66="Caster weapon",(AN66+AF66*('Item Budget'!$AB$14-'Item Budget'!$B$11)),(AM66+AF66*('Item Budget'!$AB$14-'Item Budget'!$B$11))),0)</f>
        <v/>
      </c>
      <c r="AU66" s="44">
        <f>IF(OR($E66="All",ISNUMBER(SEARCH("Rogue",$E66))),IF($C66="Caster weapon",(AN66+AF66*('Item Budget'!$AB$15-'Item Budget'!$B$11)),(AM66+AF66*('Item Budget'!$AB$15-'Item Budget'!$B$11))),0)</f>
        <v/>
      </c>
      <c r="AV66" s="44">
        <f>IF(OR($E66="All",ISNUMBER(SEARCH("Magus",$E66))),(AN66+AF66*('Item Budget'!$AB$16-'Item Budget'!$B$11)),0)</f>
        <v/>
      </c>
      <c r="AW66" s="44">
        <f>IF(OR($E66="All",ISNUMBER(SEARCH("Priest",$E66))),(AN66+AF66*('Item Budget'!$AB$17-'Item Budget'!$B$11)),0)</f>
        <v/>
      </c>
      <c r="AX66" s="44">
        <f>IF(AND(OR($E66="All",ISNUMBER(SEARCH("Warrior",$E66))),AC66&gt;='Item Budget'!$R$10),'Item Budget'!$R$7*100*('Item Budget'!$R$14*(AD66+25*AH66)+'Item Budget'!$S$14*(AE66+25*AJ66))/'Item Budget'!$Z$14+'Item Budget'!$R$9*AF66+IFERROR(INDEX('Item Budget'!$O$25:$O$95,MATCH(AL66,'Item Budget'!$B$25:$B$95,0)),0),0)</f>
        <v/>
      </c>
      <c r="AY66" s="44">
        <f>IF(AND(OR($E66="All",ISNUMBER(SEARCH("Rogue",$E66))),AC66&gt;='Item Budget'!$R$10),'Item Budget'!$R$7*100*('Item Budget'!$R$15*(AD66+25*AH66)+'Item Budget'!$S$15*(AE66+25*AJ66))/'Item Budget'!$Z$15+'Item Budget'!$R$9*AF66+IFERROR(INDEX('Item Budget'!$O$25:$O$95,MATCH(AL66,'Item Budget'!$B$25:$B$95,0)),0),0)</f>
        <v/>
      </c>
      <c r="AZ66" s="44">
        <f>IF(AND(OR($E66="All",ISNUMBER(SEARCH("Magus",$E66))),AC66&gt;='Item Budget'!$R$10),'Item Budget'!$R$7*100*('Item Budget'!$R$16*(AD66+25*AH66)+'Item Budget'!$S$16*(AE66+25*AJ66))/'Item Budget'!$Z$16+'Item Budget'!$R$9*AF66+IFERROR(INDEX('Item Budget'!$O$25:$O$95,MATCH(AL66,'Item Budget'!$B$25:$B$95,0)),0),0)</f>
        <v/>
      </c>
      <c r="BA66" s="44">
        <f>IF(AND(OR($E66="All",ISNUMBER(SEARCH("Priest",$E66))),AC66&gt;='Item Budget'!$R$10),'Item Budget'!$R$7*100*('Item Budget'!$R$17*(AD66+25*AH66)+'Item Budget'!$S$17*(AE66+25*AJ66))/'Item Budget'!$Z$17+'Item Budget'!$R$9*AF66+IFERROR(INDEX('Item Budget'!$O$25:$O$95,MATCH(AL66,'Item Budget'!$B$25:$B$95,0)),0),0)</f>
        <v/>
      </c>
      <c r="BB66" s="52">
        <f>IF(OR($I66&lt;1,IF($I66&gt;=6,AX66,AT66)&lt;=0),"",IF(SUMPRODUCT(MAX(($C$5:$C$215=$C66)*($I$5:$I$215&gt;=1)*($I$5:$I$215&lt;$I66)*IF($I66&gt;=6,$AX$5:$AX$215,$AT$5:$AT$215)))&lt;=0,"",SUMPRODUCT(MAX(($C$5:$C$215=$C66)*($I$5:$I$215=$I66)*IF($I66&gt;=6,$AX$5:$AX$215,$AT$5:$AT$215)))/SUMPRODUCT(MAX(($C$5:$C$215=$C66)*($I$5:$I$215&gt;=1)*($I$5:$I$215&lt;$I66)*IF($I66&gt;=6,$AX$5:$AX$215,$AT$5:$AT$215)))-1))</f>
        <v/>
      </c>
      <c r="BC66" s="52">
        <f>IF(OR($I66&lt;1,IF($I66&gt;=6,AY66,AU66)&lt;=0),"",IF(SUMPRODUCT(MAX(($C$5:$C$215=$C66)*($I$5:$I$215&gt;=1)*($I$5:$I$215&lt;$I66)*IF($I66&gt;=6,$AY$5:$AY$215,$AU$5:$AU$215)))&lt;=0,"",SUMPRODUCT(MAX(($C$5:$C$215=$C66)*($I$5:$I$215=$I66)*IF($I66&gt;=6,$AY$5:$AY$215,$AU$5:$AU$215)))/SUMPRODUCT(MAX(($C$5:$C$215=$C66)*($I$5:$I$215&gt;=1)*($I$5:$I$215&lt;$I66)*IF($I66&gt;=6,$AY$5:$AY$215,$AU$5:$AU$215)))-1))</f>
        <v/>
      </c>
      <c r="BD66" s="52">
        <f>IF(OR($I66&lt;1,IF($I66&gt;=6,AZ66,AV66)&lt;=0),"",IF(SUMPRODUCT(MAX(($C$5:$C$215=$C66)*($I$5:$I$215&gt;=1)*($I$5:$I$215&lt;$I66)*IF($I66&gt;=6,$AZ$5:$AZ$215,$AV$5:$AV$215)))&lt;=0,"",SUMPRODUCT(MAX(($C$5:$C$215=$C66)*($I$5:$I$215=$I66)*IF($I66&gt;=6,$AZ$5:$AZ$215,$AV$5:$AV$215)))/SUMPRODUCT(MAX(($C$5:$C$215=$C66)*($I$5:$I$215&gt;=1)*($I$5:$I$215&lt;$I66)*IF($I66&gt;=6,$AZ$5:$AZ$215,$AV$5:$AV$215)))-1))</f>
        <v/>
      </c>
      <c r="BE66" s="52">
        <f>IF(OR($I66&lt;1,IF($I66&gt;=6,BA66,AW66)&lt;=0),"",IF(SUMPRODUCT(MAX(($C$5:$C$215=$C66)*($I$5:$I$215&gt;=1)*($I$5:$I$215&lt;$I66)*IF($I66&gt;=6,$BA$5:$BA$215,$AW$5:$AW$215)))&lt;=0,"",SUMPRODUCT(MAX(($C$5:$C$215=$C66)*($I$5:$I$215=$I66)*IF($I66&gt;=6,$BA$5:$BA$215,$AW$5:$AW$215)))/SUMPRODUCT(MAX(($C$5:$C$215=$C66)*($I$5:$I$215&gt;=1)*($I$5:$I$215&lt;$I66)*IF($I66&gt;=6,$BA$5:$BA$215,$AW$5:$AW$215)))-1))</f>
        <v/>
      </c>
      <c r="BF66" s="19">
        <f>IF(AND(BB66="",BC66="",BD66="",BE66=""),"",IF(IF(AND(ISNUMBER(BB66),BB66&lt;'Item Budget'!$R$11),"W ","")&amp;IF(AND(ISNUMBER(BC66),BC66&lt;'Item Budget'!$R$11),"R ","")&amp;IF(AND(ISNUMBER(BD66),BD66&lt;'Item Budget'!$R$11),"M ","")&amp;IF(AND(ISNUMBER(BE66),BE66&lt;'Item Budget'!$R$11),"P ","")="","OK","Not above lower step: "&amp;IF(AND(ISNUMBER(BB66),BB66&lt;'Item Budget'!$R$11),"W ","")&amp;IF(AND(ISNUMBER(BC66),BC66&lt;'Item Budget'!$R$11),"R ","")&amp;IF(AND(ISNUMBER(BD66),BD66&lt;'Item Budget'!$R$11),"M ","")&amp;IF(AND(ISNUMBER(BE66),BE66&lt;'Item Budget'!$R$11),"P ","")))</f>
        <v/>
      </c>
    </row>
    <row r="67">
      <c r="A67" s="21" t="n">
        <v>104</v>
      </c>
      <c r="B67" s="21" t="inlineStr">
        <is>
          <t>True Ewe</t>
        </is>
      </c>
      <c r="C67" s="21" t="inlineStr">
        <is>
          <t>Helmet</t>
        </is>
      </c>
      <c r="D67" s="21" t="inlineStr">
        <is>
          <t>All</t>
        </is>
      </c>
      <c r="E67" s="21" t="inlineStr">
        <is>
          <t>All</t>
        </is>
      </c>
      <c r="F67" s="21" t="inlineStr">
        <is>
          <t>All classes</t>
        </is>
      </c>
      <c r="G67" s="21" t="inlineStr">
        <is>
          <t>drop: Cranky Ewe 8%</t>
        </is>
      </c>
      <c r="H67" s="37" t="n">
        <v>0</v>
      </c>
      <c r="I67" s="21" t="n">
        <v>-1</v>
      </c>
      <c r="J67" s="19" t="inlineStr">
        <is>
          <t>Leave</t>
        </is>
      </c>
      <c r="K67" s="21" t="inlineStr">
        <is>
          <t>Rare boss drop</t>
        </is>
      </c>
      <c r="L67" s="31">
        <f>INDEX('Item Budget'!$F$5:$F$13,MATCH(K67,'Item Budget'!$E$5:$E$13,0))+IF(E67="All",0,'Item Budget'!$F$15)+LOOKUP(H67,'Item Budget'!$E$19:$E$23,'Item Budget'!$F$19:$F$23)</f>
        <v/>
      </c>
      <c r="M67" s="21" t="n">
        <v>50</v>
      </c>
      <c r="N67" s="21" t="n">
        <v>25</v>
      </c>
      <c r="O67" s="21" t="n">
        <v>25</v>
      </c>
      <c r="P67" s="21" t="n">
        <v>55</v>
      </c>
      <c r="Q67" s="21" t="n">
        <v>5</v>
      </c>
      <c r="R67" s="21" t="n">
        <v>5</v>
      </c>
      <c r="S67" s="21" t="n">
        <v>5</v>
      </c>
      <c r="T67" s="21" t="n">
        <v>5</v>
      </c>
      <c r="U67" s="21" t="n">
        <v>0</v>
      </c>
      <c r="V67" s="21" t="inlineStr">
        <is>
          <t>Haste X</t>
        </is>
      </c>
      <c r="W67" s="61">
        <f>N67*'Item Budget'!$B$5+R67*'Item Budget'!$B$7+P67*'Item Budget'!$B$11+S67*'Item Budget'!$B$10+Q67*'Item Budget'!$B$9+IFERROR(INDEX('Item Budget'!$M$25:$M$95,MATCH(V67,'Item Budget'!$B$25:$B$95,0)),0)+IF($C67="Weapon",U67*'Item Budget'!$B$9,0)</f>
        <v/>
      </c>
      <c r="X67" s="61">
        <f>N67*'Item Budget'!$B$5+R67*'Item Budget'!$B$7+P67*'Item Budget'!$B$11+S67*'Item Budget'!$B$10+O67*'Item Budget'!$B$6+T67*'Item Budget'!$B$8+IFERROR(INDEX('Item Budget'!$N$25:$N$95,MATCH(V67,'Item Budget'!$B$25:$B$95,0)),0)</f>
        <v/>
      </c>
      <c r="Y67" s="61">
        <f>MAX('Item Budget'!$F$16,INDEX('Gear Budget'!$C$8:$C$14,MATCH($C67,'Gear Budget'!$A$8:$A$14,0))*MIN(M67,50))*$L67</f>
        <v/>
      </c>
      <c r="Z67" s="41">
        <f>IF($C67="Caster weapon",X67,MAX(W67,X67))/Y67</f>
        <v/>
      </c>
      <c r="AA67" s="61">
        <f>IF(OR($C67="Weapon",$C67="Caster weapon"),"",'Gear Budget'!$B$5*MAX(1,MIN(M67,50))*INDEX('Gear Budget'!$B$8:$B$14,MATCH($C67,'Gear Budget'!$A$8:$A$14,0))*IF($C67="Shield",IF(D67="Warrior",1,IF(OR(D67="Rogue",D67="All"),0.38/0.6,0.25/0.6)),IFERROR(INDEX('Gear Budget'!$B$18:$B$21,MATCH($F67,'Gear Budget'!$A$18:$A$21,0)),1)))</f>
        <v/>
      </c>
      <c r="AB67" s="41">
        <f>IF(AA67="","",P67/AA67)</f>
        <v/>
      </c>
      <c r="AC67" s="21" t="n">
        <v>50</v>
      </c>
      <c r="AD67" s="21" t="n">
        <v>25</v>
      </c>
      <c r="AE67" s="21" t="n">
        <v>25</v>
      </c>
      <c r="AF67" s="21" t="n">
        <v>55</v>
      </c>
      <c r="AG67" s="21" t="n">
        <v>5</v>
      </c>
      <c r="AH67" s="21" t="n">
        <v>5</v>
      </c>
      <c r="AI67" s="21" t="n">
        <v>5</v>
      </c>
      <c r="AJ67" s="21" t="n">
        <v>5</v>
      </c>
      <c r="AK67" s="21" t="n">
        <v>0</v>
      </c>
      <c r="AL67" s="21" t="inlineStr">
        <is>
          <t>Haste X</t>
        </is>
      </c>
      <c r="AM67" s="61">
        <f>AD67*'Item Budget'!$B$5+AH67*'Item Budget'!$B$7+AF67*'Item Budget'!$B$11+AI67*'Item Budget'!$B$10+AG67*'Item Budget'!$B$9+IFERROR(INDEX('Item Budget'!$M$25:$M$95,MATCH(AL67,'Item Budget'!$B$25:$B$95,0)),0)+IF($C67="Weapon",AK67*'Item Budget'!$B$9,0)</f>
        <v/>
      </c>
      <c r="AN67" s="61">
        <f>AD67*'Item Budget'!$B$5+AH67*'Item Budget'!$B$7+AF67*'Item Budget'!$B$11+AI67*'Item Budget'!$B$10+AE67*'Item Budget'!$B$6+AJ67*'Item Budget'!$B$8+IFERROR(INDEX('Item Budget'!$N$25:$N$95,MATCH(AL67,'Item Budget'!$B$25:$B$95,0)),0)</f>
        <v/>
      </c>
      <c r="AO67" s="61">
        <f>MAX('Item Budget'!$F$16,INDEX('Gear Budget'!$C$8:$C$14,MATCH($C67,'Gear Budget'!$A$8:$A$14,0))*MIN(AC67,50))*$L67</f>
        <v/>
      </c>
      <c r="AP67" s="41">
        <f>IF($C67="Caster weapon",AN67,MAX(AM67,AN67))/AO67</f>
        <v/>
      </c>
      <c r="AQ67" s="61">
        <f>IF(OR($C67="Weapon",$C67="Caster weapon"),"",'Gear Budget'!$B$5*MAX(1,MIN(AC67,50))*INDEX('Gear Budget'!$B$8:$B$14,MATCH($C67,'Gear Budget'!$A$8:$A$14,0))*IF($C67="Shield",IF(E67="Warrior",1,IF(OR(E67="Rogue",E67="All"),0.38/0.6,0.25/0.6)),IFERROR(INDEX('Gear Budget'!$B$18:$B$21,MATCH($F67,'Gear Budget'!$A$18:$A$21,0)),1)))</f>
        <v/>
      </c>
      <c r="AR67" s="41">
        <f>IF(AQ67="","",AF67/AQ67)</f>
        <v/>
      </c>
      <c r="AS67" s="64" t="inlineStr">
        <is>
          <t>Pass 1 (applied): Haste X helm: outvalues every ungated helm for melee. Left out of the step check (step -1).</t>
        </is>
      </c>
      <c r="AT67" s="44">
        <f>IF(OR($E67="All",ISNUMBER(SEARCH("Warrior",$E67))),IF($C67="Caster weapon",(AN67+AF67*('Item Budget'!$AB$14-'Item Budget'!$B$11)),(AM67+AF67*('Item Budget'!$AB$14-'Item Budget'!$B$11))),0)</f>
        <v/>
      </c>
      <c r="AU67" s="44">
        <f>IF(OR($E67="All",ISNUMBER(SEARCH("Rogue",$E67))),IF($C67="Caster weapon",(AN67+AF67*('Item Budget'!$AB$15-'Item Budget'!$B$11)),(AM67+AF67*('Item Budget'!$AB$15-'Item Budget'!$B$11))),0)</f>
        <v/>
      </c>
      <c r="AV67" s="44">
        <f>IF(OR($E67="All",ISNUMBER(SEARCH("Magus",$E67))),(AN67+AF67*('Item Budget'!$AB$16-'Item Budget'!$B$11)),0)</f>
        <v/>
      </c>
      <c r="AW67" s="44">
        <f>IF(OR($E67="All",ISNUMBER(SEARCH("Priest",$E67))),(AN67+AF67*('Item Budget'!$AB$17-'Item Budget'!$B$11)),0)</f>
        <v/>
      </c>
      <c r="AX67" s="44">
        <f>IF(AND(OR($E67="All",ISNUMBER(SEARCH("Warrior",$E67))),AC67&gt;='Item Budget'!$R$10),'Item Budget'!$R$7*100*('Item Budget'!$R$14*(AD67+25*AH67)+'Item Budget'!$S$14*(AE67+25*AJ67))/'Item Budget'!$Z$14+'Item Budget'!$R$9*AF67+IFERROR(INDEX('Item Budget'!$O$25:$O$95,MATCH(AL67,'Item Budget'!$B$25:$B$95,0)),0),0)</f>
        <v/>
      </c>
      <c r="AY67" s="44">
        <f>IF(AND(OR($E67="All",ISNUMBER(SEARCH("Rogue",$E67))),AC67&gt;='Item Budget'!$R$10),'Item Budget'!$R$7*100*('Item Budget'!$R$15*(AD67+25*AH67)+'Item Budget'!$S$15*(AE67+25*AJ67))/'Item Budget'!$Z$15+'Item Budget'!$R$9*AF67+IFERROR(INDEX('Item Budget'!$O$25:$O$95,MATCH(AL67,'Item Budget'!$B$25:$B$95,0)),0),0)</f>
        <v/>
      </c>
      <c r="AZ67" s="44">
        <f>IF(AND(OR($E67="All",ISNUMBER(SEARCH("Magus",$E67))),AC67&gt;='Item Budget'!$R$10),'Item Budget'!$R$7*100*('Item Budget'!$R$16*(AD67+25*AH67)+'Item Budget'!$S$16*(AE67+25*AJ67))/'Item Budget'!$Z$16+'Item Budget'!$R$9*AF67+IFERROR(INDEX('Item Budget'!$O$25:$O$95,MATCH(AL67,'Item Budget'!$B$25:$B$95,0)),0),0)</f>
        <v/>
      </c>
      <c r="BA67" s="44">
        <f>IF(AND(OR($E67="All",ISNUMBER(SEARCH("Priest",$E67))),AC67&gt;='Item Budget'!$R$10),'Item Budget'!$R$7*100*('Item Budget'!$R$17*(AD67+25*AH67)+'Item Budget'!$S$17*(AE67+25*AJ67))/'Item Budget'!$Z$17+'Item Budget'!$R$9*AF67+IFERROR(INDEX('Item Budget'!$O$25:$O$95,MATCH(AL67,'Item Budget'!$B$25:$B$95,0)),0),0)</f>
        <v/>
      </c>
      <c r="BB67" s="52">
        <f>IF(OR($I67&lt;1,IF($I67&gt;=6,AX67,AT67)&lt;=0),"",IF(SUMPRODUCT(MAX(($C$5:$C$215=$C67)*($I$5:$I$215&gt;=1)*($I$5:$I$215&lt;$I67)*IF($I67&gt;=6,$AX$5:$AX$215,$AT$5:$AT$215)))&lt;=0,"",SUMPRODUCT(MAX(($C$5:$C$215=$C67)*($I$5:$I$215=$I67)*IF($I67&gt;=6,$AX$5:$AX$215,$AT$5:$AT$215)))/SUMPRODUCT(MAX(($C$5:$C$215=$C67)*($I$5:$I$215&gt;=1)*($I$5:$I$215&lt;$I67)*IF($I67&gt;=6,$AX$5:$AX$215,$AT$5:$AT$215)))-1))</f>
        <v/>
      </c>
      <c r="BC67" s="52">
        <f>IF(OR($I67&lt;1,IF($I67&gt;=6,AY67,AU67)&lt;=0),"",IF(SUMPRODUCT(MAX(($C$5:$C$215=$C67)*($I$5:$I$215&gt;=1)*($I$5:$I$215&lt;$I67)*IF($I67&gt;=6,$AY$5:$AY$215,$AU$5:$AU$215)))&lt;=0,"",SUMPRODUCT(MAX(($C$5:$C$215=$C67)*($I$5:$I$215=$I67)*IF($I67&gt;=6,$AY$5:$AY$215,$AU$5:$AU$215)))/SUMPRODUCT(MAX(($C$5:$C$215=$C67)*($I$5:$I$215&gt;=1)*($I$5:$I$215&lt;$I67)*IF($I67&gt;=6,$AY$5:$AY$215,$AU$5:$AU$215)))-1))</f>
        <v/>
      </c>
      <c r="BD67" s="52">
        <f>IF(OR($I67&lt;1,IF($I67&gt;=6,AZ67,AV67)&lt;=0),"",IF(SUMPRODUCT(MAX(($C$5:$C$215=$C67)*($I$5:$I$215&gt;=1)*($I$5:$I$215&lt;$I67)*IF($I67&gt;=6,$AZ$5:$AZ$215,$AV$5:$AV$215)))&lt;=0,"",SUMPRODUCT(MAX(($C$5:$C$215=$C67)*($I$5:$I$215=$I67)*IF($I67&gt;=6,$AZ$5:$AZ$215,$AV$5:$AV$215)))/SUMPRODUCT(MAX(($C$5:$C$215=$C67)*($I$5:$I$215&gt;=1)*($I$5:$I$215&lt;$I67)*IF($I67&gt;=6,$AZ$5:$AZ$215,$AV$5:$AV$215)))-1))</f>
        <v/>
      </c>
      <c r="BE67" s="52">
        <f>IF(OR($I67&lt;1,IF($I67&gt;=6,BA67,AW67)&lt;=0),"",IF(SUMPRODUCT(MAX(($C$5:$C$215=$C67)*($I$5:$I$215&gt;=1)*($I$5:$I$215&lt;$I67)*IF($I67&gt;=6,$BA$5:$BA$215,$AW$5:$AW$215)))&lt;=0,"",SUMPRODUCT(MAX(($C$5:$C$215=$C67)*($I$5:$I$215=$I67)*IF($I67&gt;=6,$BA$5:$BA$215,$AW$5:$AW$215)))/SUMPRODUCT(MAX(($C$5:$C$215=$C67)*($I$5:$I$215&gt;=1)*($I$5:$I$215&lt;$I67)*IF($I67&gt;=6,$BA$5:$BA$215,$AW$5:$AW$215)))-1))</f>
        <v/>
      </c>
      <c r="BF67" s="19">
        <f>IF(AND(BB67="",BC67="",BD67="",BE67=""),"",IF(IF(AND(ISNUMBER(BB67),BB67&lt;'Item Budget'!$R$11),"W ","")&amp;IF(AND(ISNUMBER(BC67),BC67&lt;'Item Budget'!$R$11),"R ","")&amp;IF(AND(ISNUMBER(BD67),BD67&lt;'Item Budget'!$R$11),"M ","")&amp;IF(AND(ISNUMBER(BE67),BE67&lt;'Item Budget'!$R$11),"P ","")="","OK","Not above lower step: "&amp;IF(AND(ISNUMBER(BB67),BB67&lt;'Item Budget'!$R$11),"W ","")&amp;IF(AND(ISNUMBER(BC67),BC67&lt;'Item Budget'!$R$11),"R ","")&amp;IF(AND(ISNUMBER(BD67),BD67&lt;'Item Budget'!$R$11),"M ","")&amp;IF(AND(ISNUMBER(BE67),BE67&lt;'Item Budget'!$R$11),"P ","")))</f>
        <v/>
      </c>
    </row>
    <row r="68">
      <c r="A68" s="21" t="n">
        <v>241</v>
      </c>
      <c r="B68" s="21" t="inlineStr">
        <is>
          <t>High Priests Crown</t>
        </is>
      </c>
      <c r="C68" s="21" t="inlineStr">
        <is>
          <t>Helmet</t>
        </is>
      </c>
      <c r="D68" s="21" t="inlineStr">
        <is>
          <t>Priest</t>
        </is>
      </c>
      <c r="E68" s="21" t="inlineStr">
        <is>
          <t>Priest</t>
        </is>
      </c>
      <c r="F68" s="21" t="inlineStr">
        <is>
          <t>Caster cloth</t>
        </is>
      </c>
      <c r="G68" s="21" t="inlineStr">
        <is>
          <t>drop: Punchy 7%</t>
        </is>
      </c>
      <c r="H68" s="37" t="n">
        <v>0</v>
      </c>
      <c r="I68" s="21" t="n">
        <v>1</v>
      </c>
      <c r="J68" s="3" t="inlineStr">
        <is>
          <t>Pass 2</t>
        </is>
      </c>
      <c r="K68" s="21" t="inlineStr">
        <is>
          <t>Rare boss drop</t>
        </is>
      </c>
      <c r="L68" s="31">
        <f>INDEX('Item Budget'!$F$5:$F$13,MATCH(K68,'Item Budget'!$E$5:$E$13,0))+IF(E68="All",0,'Item Budget'!$F$15)+LOOKUP(H68,'Item Budget'!$E$19:$E$23,'Item Budget'!$F$19:$F$23)</f>
        <v/>
      </c>
      <c r="M68" s="21" t="n">
        <v>50</v>
      </c>
      <c r="N68" s="21" t="n">
        <v>100</v>
      </c>
      <c r="O68" s="21" t="n">
        <v>200</v>
      </c>
      <c r="P68" s="21" t="n">
        <v>30</v>
      </c>
      <c r="Q68" s="21" t="n">
        <v>0</v>
      </c>
      <c r="R68" s="21" t="n">
        <v>9</v>
      </c>
      <c r="S68" s="21" t="n">
        <v>0</v>
      </c>
      <c r="T68" s="21" t="n">
        <v>15</v>
      </c>
      <c r="U68" s="21" t="n">
        <v>0</v>
      </c>
      <c r="V68" s="21" t="inlineStr">
        <is>
          <t>(none)</t>
        </is>
      </c>
      <c r="W68" s="61">
        <f>N68*'Item Budget'!$B$5+R68*'Item Budget'!$B$7+P68*'Item Budget'!$B$11+S68*'Item Budget'!$B$10+Q68*'Item Budget'!$B$9+IFERROR(INDEX('Item Budget'!$M$25:$M$95,MATCH(V68,'Item Budget'!$B$25:$B$95,0)),0)+IF($C68="Weapon",U68*'Item Budget'!$B$9,0)</f>
        <v/>
      </c>
      <c r="X68" s="61">
        <f>N68*'Item Budget'!$B$5+R68*'Item Budget'!$B$7+P68*'Item Budget'!$B$11+S68*'Item Budget'!$B$10+O68*'Item Budget'!$B$6+T68*'Item Budget'!$B$8+IFERROR(INDEX('Item Budget'!$N$25:$N$95,MATCH(V68,'Item Budget'!$B$25:$B$95,0)),0)</f>
        <v/>
      </c>
      <c r="Y68" s="61">
        <f>MAX('Item Budget'!$F$16,INDEX('Gear Budget'!$C$8:$C$14,MATCH($C68,'Gear Budget'!$A$8:$A$14,0))*MIN(M68,50))*$L68</f>
        <v/>
      </c>
      <c r="Z68" s="41">
        <f>IF($C68="Caster weapon",X68,MAX(W68,X68))/Y68</f>
        <v/>
      </c>
      <c r="AA68" s="61">
        <f>IF(OR($C68="Weapon",$C68="Caster weapon"),"",'Gear Budget'!$B$5*MAX(1,MIN(M68,50))*INDEX('Gear Budget'!$B$8:$B$14,MATCH($C68,'Gear Budget'!$A$8:$A$14,0))*IF($C68="Shield",IF(D68="Warrior",1,IF(OR(D68="Rogue",D68="All"),0.38/0.6,0.25/0.6)),IFERROR(INDEX('Gear Budget'!$B$18:$B$21,MATCH($F68,'Gear Budget'!$A$18:$A$21,0)),1)))</f>
        <v/>
      </c>
      <c r="AB68" s="41">
        <f>IF(AA68="","",P68/AA68)</f>
        <v/>
      </c>
      <c r="AC68" s="21" t="n">
        <v>50</v>
      </c>
      <c r="AD68" s="20" t="n">
        <v>110</v>
      </c>
      <c r="AE68" s="20" t="n">
        <v>225</v>
      </c>
      <c r="AF68" s="20" t="n">
        <v>32</v>
      </c>
      <c r="AG68" s="21" t="n">
        <v>0</v>
      </c>
      <c r="AH68" s="20" t="n">
        <v>10</v>
      </c>
      <c r="AI68" s="21" t="n">
        <v>0</v>
      </c>
      <c r="AJ68" s="20" t="n">
        <v>16</v>
      </c>
      <c r="AK68" s="21" t="n">
        <v>0</v>
      </c>
      <c r="AL68" s="21" t="inlineStr">
        <is>
          <t>(none)</t>
        </is>
      </c>
      <c r="AM68" s="61">
        <f>AD68*'Item Budget'!$B$5+AH68*'Item Budget'!$B$7+AF68*'Item Budget'!$B$11+AI68*'Item Budget'!$B$10+AG68*'Item Budget'!$B$9+IFERROR(INDEX('Item Budget'!$M$25:$M$95,MATCH(AL68,'Item Budget'!$B$25:$B$95,0)),0)+IF($C68="Weapon",AK68*'Item Budget'!$B$9,0)</f>
        <v/>
      </c>
      <c r="AN68" s="61">
        <f>AD68*'Item Budget'!$B$5+AH68*'Item Budget'!$B$7+AF68*'Item Budget'!$B$11+AI68*'Item Budget'!$B$10+AE68*'Item Budget'!$B$6+AJ68*'Item Budget'!$B$8+IFERROR(INDEX('Item Budget'!$N$25:$N$95,MATCH(AL68,'Item Budget'!$B$25:$B$95,0)),0)</f>
        <v/>
      </c>
      <c r="AO68" s="61">
        <f>MAX('Item Budget'!$F$16,INDEX('Gear Budget'!$C$8:$C$14,MATCH($C68,'Gear Budget'!$A$8:$A$14,0))*MIN(AC68,50))*$L68</f>
        <v/>
      </c>
      <c r="AP68" s="41">
        <f>IF($C68="Caster weapon",AN68,MAX(AM68,AN68))/AO68</f>
        <v/>
      </c>
      <c r="AQ68" s="61">
        <f>IF(OR($C68="Weapon",$C68="Caster weapon"),"",'Gear Budget'!$B$5*MAX(1,MIN(AC68,50))*INDEX('Gear Budget'!$B$8:$B$14,MATCH($C68,'Gear Budget'!$A$8:$A$14,0))*IF($C68="Shield",IF(E68="Warrior",1,IF(OR(E68="Rogue",E68="All"),0.38/0.6,0.25/0.6)),IFERROR(INDEX('Gear Budget'!$B$18:$B$21,MATCH($F68,'Gear Budget'!$A$18:$A$21,0)),1)))</f>
        <v/>
      </c>
      <c r="AR68" s="41">
        <f>IF(AQ68="","",AF68/AQ68)</f>
        <v/>
      </c>
      <c r="AS68" s="64" t="inlineStr">
        <is>
          <t>Punchy set: raised to +25% over the L40 boss set</t>
        </is>
      </c>
      <c r="AT68" s="44">
        <f>IF(OR($E68="All",ISNUMBER(SEARCH("Warrior",$E68))),IF($C68="Caster weapon",(AN68+AF68*('Item Budget'!$AB$14-'Item Budget'!$B$11)),(AM68+AF68*('Item Budget'!$AB$14-'Item Budget'!$B$11))),0)</f>
        <v/>
      </c>
      <c r="AU68" s="44">
        <f>IF(OR($E68="All",ISNUMBER(SEARCH("Rogue",$E68))),IF($C68="Caster weapon",(AN68+AF68*('Item Budget'!$AB$15-'Item Budget'!$B$11)),(AM68+AF68*('Item Budget'!$AB$15-'Item Budget'!$B$11))),0)</f>
        <v/>
      </c>
      <c r="AV68" s="44">
        <f>IF(OR($E68="All",ISNUMBER(SEARCH("Magus",$E68))),(AN68+AF68*('Item Budget'!$AB$16-'Item Budget'!$B$11)),0)</f>
        <v/>
      </c>
      <c r="AW68" s="44">
        <f>IF(OR($E68="All",ISNUMBER(SEARCH("Priest",$E68))),(AN68+AF68*('Item Budget'!$AB$17-'Item Budget'!$B$11)),0)</f>
        <v/>
      </c>
      <c r="AX68" s="44">
        <f>IF(AND(OR($E68="All",ISNUMBER(SEARCH("Warrior",$E68))),AC68&gt;='Item Budget'!$R$10),'Item Budget'!$R$7*100*('Item Budget'!$R$14*(AD68+25*AH68)+'Item Budget'!$S$14*(AE68+25*AJ68))/'Item Budget'!$Z$14+'Item Budget'!$R$9*AF68+IFERROR(INDEX('Item Budget'!$O$25:$O$95,MATCH(AL68,'Item Budget'!$B$25:$B$95,0)),0),0)</f>
        <v/>
      </c>
      <c r="AY68" s="44">
        <f>IF(AND(OR($E68="All",ISNUMBER(SEARCH("Rogue",$E68))),AC68&gt;='Item Budget'!$R$10),'Item Budget'!$R$7*100*('Item Budget'!$R$15*(AD68+25*AH68)+'Item Budget'!$S$15*(AE68+25*AJ68))/'Item Budget'!$Z$15+'Item Budget'!$R$9*AF68+IFERROR(INDEX('Item Budget'!$O$25:$O$95,MATCH(AL68,'Item Budget'!$B$25:$B$95,0)),0),0)</f>
        <v/>
      </c>
      <c r="AZ68" s="44">
        <f>IF(AND(OR($E68="All",ISNUMBER(SEARCH("Magus",$E68))),AC68&gt;='Item Budget'!$R$10),'Item Budget'!$R$7*100*('Item Budget'!$R$16*(AD68+25*AH68)+'Item Budget'!$S$16*(AE68+25*AJ68))/'Item Budget'!$Z$16+'Item Budget'!$R$9*AF68+IFERROR(INDEX('Item Budget'!$O$25:$O$95,MATCH(AL68,'Item Budget'!$B$25:$B$95,0)),0),0)</f>
        <v/>
      </c>
      <c r="BA68" s="44">
        <f>IF(AND(OR($E68="All",ISNUMBER(SEARCH("Priest",$E68))),AC68&gt;='Item Budget'!$R$10),'Item Budget'!$R$7*100*('Item Budget'!$R$17*(AD68+25*AH68)+'Item Budget'!$S$17*(AE68+25*AJ68))/'Item Budget'!$Z$17+'Item Budget'!$R$9*AF68+IFERROR(INDEX('Item Budget'!$O$25:$O$95,MATCH(AL68,'Item Budget'!$B$25:$B$95,0)),0),0)</f>
        <v/>
      </c>
      <c r="BB68" s="52">
        <f>IF(OR($I68&lt;1,IF($I68&gt;=6,AX68,AT68)&lt;=0),"",IF(SUMPRODUCT(MAX(($C$5:$C$215=$C68)*($I$5:$I$215&gt;=1)*($I$5:$I$215&lt;$I68)*IF($I68&gt;=6,$AX$5:$AX$215,$AT$5:$AT$215)))&lt;=0,"",SUMPRODUCT(MAX(($C$5:$C$215=$C68)*($I$5:$I$215=$I68)*IF($I68&gt;=6,$AX$5:$AX$215,$AT$5:$AT$215)))/SUMPRODUCT(MAX(($C$5:$C$215=$C68)*($I$5:$I$215&gt;=1)*($I$5:$I$215&lt;$I68)*IF($I68&gt;=6,$AX$5:$AX$215,$AT$5:$AT$215)))-1))</f>
        <v/>
      </c>
      <c r="BC68" s="52">
        <f>IF(OR($I68&lt;1,IF($I68&gt;=6,AY68,AU68)&lt;=0),"",IF(SUMPRODUCT(MAX(($C$5:$C$215=$C68)*($I$5:$I$215&gt;=1)*($I$5:$I$215&lt;$I68)*IF($I68&gt;=6,$AY$5:$AY$215,$AU$5:$AU$215)))&lt;=0,"",SUMPRODUCT(MAX(($C$5:$C$215=$C68)*($I$5:$I$215=$I68)*IF($I68&gt;=6,$AY$5:$AY$215,$AU$5:$AU$215)))/SUMPRODUCT(MAX(($C$5:$C$215=$C68)*($I$5:$I$215&gt;=1)*($I$5:$I$215&lt;$I68)*IF($I68&gt;=6,$AY$5:$AY$215,$AU$5:$AU$215)))-1))</f>
        <v/>
      </c>
      <c r="BD68" s="52">
        <f>IF(OR($I68&lt;1,IF($I68&gt;=6,AZ68,AV68)&lt;=0),"",IF(SUMPRODUCT(MAX(($C$5:$C$215=$C68)*($I$5:$I$215&gt;=1)*($I$5:$I$215&lt;$I68)*IF($I68&gt;=6,$AZ$5:$AZ$215,$AV$5:$AV$215)))&lt;=0,"",SUMPRODUCT(MAX(($C$5:$C$215=$C68)*($I$5:$I$215=$I68)*IF($I68&gt;=6,$AZ$5:$AZ$215,$AV$5:$AV$215)))/SUMPRODUCT(MAX(($C$5:$C$215=$C68)*($I$5:$I$215&gt;=1)*($I$5:$I$215&lt;$I68)*IF($I68&gt;=6,$AZ$5:$AZ$215,$AV$5:$AV$215)))-1))</f>
        <v/>
      </c>
      <c r="BE68" s="52">
        <f>IF(OR($I68&lt;1,IF($I68&gt;=6,BA68,AW68)&lt;=0),"",IF(SUMPRODUCT(MAX(($C$5:$C$215=$C68)*($I$5:$I$215&gt;=1)*($I$5:$I$215&lt;$I68)*IF($I68&gt;=6,$BA$5:$BA$215,$AW$5:$AW$215)))&lt;=0,"",SUMPRODUCT(MAX(($C$5:$C$215=$C68)*($I$5:$I$215=$I68)*IF($I68&gt;=6,$BA$5:$BA$215,$AW$5:$AW$215)))/SUMPRODUCT(MAX(($C$5:$C$215=$C68)*($I$5:$I$215&gt;=1)*($I$5:$I$215&lt;$I68)*IF($I68&gt;=6,$BA$5:$BA$215,$AW$5:$AW$215)))-1))</f>
        <v/>
      </c>
      <c r="BF68" s="19">
        <f>IF(AND(BB68="",BC68="",BD68="",BE68=""),"",IF(IF(AND(ISNUMBER(BB68),BB68&lt;'Item Budget'!$R$11),"W ","")&amp;IF(AND(ISNUMBER(BC68),BC68&lt;'Item Budget'!$R$11),"R ","")&amp;IF(AND(ISNUMBER(BD68),BD68&lt;'Item Budget'!$R$11),"M ","")&amp;IF(AND(ISNUMBER(BE68),BE68&lt;'Item Budget'!$R$11),"P ","")="","OK","Not above lower step: "&amp;IF(AND(ISNUMBER(BB68),BB68&lt;'Item Budget'!$R$11),"W ","")&amp;IF(AND(ISNUMBER(BC68),BC68&lt;'Item Budget'!$R$11),"R ","")&amp;IF(AND(ISNUMBER(BD68),BD68&lt;'Item Budget'!$R$11),"M ","")&amp;IF(AND(ISNUMBER(BE68),BE68&lt;'Item Budget'!$R$11),"P ","")))</f>
        <v/>
      </c>
    </row>
    <row r="69">
      <c r="A69" s="21" t="n">
        <v>246</v>
      </c>
      <c r="B69" s="21" t="inlineStr">
        <is>
          <t>Elemental Crown</t>
        </is>
      </c>
      <c r="C69" s="21" t="inlineStr">
        <is>
          <t>Helmet</t>
        </is>
      </c>
      <c r="D69" s="21" t="inlineStr">
        <is>
          <t>Magus</t>
        </is>
      </c>
      <c r="E69" s="21" t="inlineStr">
        <is>
          <t>Magus</t>
        </is>
      </c>
      <c r="F69" s="21" t="inlineStr">
        <is>
          <t>Caster cloth</t>
        </is>
      </c>
      <c r="G69" s="21" t="inlineStr">
        <is>
          <t>drop: Punchy 7%</t>
        </is>
      </c>
      <c r="H69" s="37" t="n">
        <v>0</v>
      </c>
      <c r="I69" s="21" t="n">
        <v>1</v>
      </c>
      <c r="J69" s="3" t="inlineStr">
        <is>
          <t>Pass 2</t>
        </is>
      </c>
      <c r="K69" s="21" t="inlineStr">
        <is>
          <t>Rare boss drop</t>
        </is>
      </c>
      <c r="L69" s="31">
        <f>INDEX('Item Budget'!$F$5:$F$13,MATCH(K69,'Item Budget'!$E$5:$E$13,0))+IF(E69="All",0,'Item Budget'!$F$15)+LOOKUP(H69,'Item Budget'!$E$19:$E$23,'Item Budget'!$F$19:$F$23)</f>
        <v/>
      </c>
      <c r="M69" s="21" t="n">
        <v>50</v>
      </c>
      <c r="N69" s="21" t="n">
        <v>25</v>
      </c>
      <c r="O69" s="21" t="n">
        <v>275</v>
      </c>
      <c r="P69" s="21" t="n">
        <v>28</v>
      </c>
      <c r="Q69" s="21" t="n">
        <v>0</v>
      </c>
      <c r="R69" s="21" t="n">
        <v>6</v>
      </c>
      <c r="S69" s="21" t="n">
        <v>0</v>
      </c>
      <c r="T69" s="21" t="n">
        <v>17</v>
      </c>
      <c r="U69" s="21" t="n">
        <v>0</v>
      </c>
      <c r="V69" s="21" t="inlineStr">
        <is>
          <t>(none)</t>
        </is>
      </c>
      <c r="W69" s="61">
        <f>N69*'Item Budget'!$B$5+R69*'Item Budget'!$B$7+P69*'Item Budget'!$B$11+S69*'Item Budget'!$B$10+Q69*'Item Budget'!$B$9+IFERROR(INDEX('Item Budget'!$M$25:$M$95,MATCH(V69,'Item Budget'!$B$25:$B$95,0)),0)+IF($C69="Weapon",U69*'Item Budget'!$B$9,0)</f>
        <v/>
      </c>
      <c r="X69" s="61">
        <f>N69*'Item Budget'!$B$5+R69*'Item Budget'!$B$7+P69*'Item Budget'!$B$11+S69*'Item Budget'!$B$10+O69*'Item Budget'!$B$6+T69*'Item Budget'!$B$8+IFERROR(INDEX('Item Budget'!$N$25:$N$95,MATCH(V69,'Item Budget'!$B$25:$B$95,0)),0)</f>
        <v/>
      </c>
      <c r="Y69" s="61">
        <f>MAX('Item Budget'!$F$16,INDEX('Gear Budget'!$C$8:$C$14,MATCH($C69,'Gear Budget'!$A$8:$A$14,0))*MIN(M69,50))*$L69</f>
        <v/>
      </c>
      <c r="Z69" s="41">
        <f>IF($C69="Caster weapon",X69,MAX(W69,X69))/Y69</f>
        <v/>
      </c>
      <c r="AA69" s="61">
        <f>IF(OR($C69="Weapon",$C69="Caster weapon"),"",'Gear Budget'!$B$5*MAX(1,MIN(M69,50))*INDEX('Gear Budget'!$B$8:$B$14,MATCH($C69,'Gear Budget'!$A$8:$A$14,0))*IF($C69="Shield",IF(D69="Warrior",1,IF(OR(D69="Rogue",D69="All"),0.38/0.6,0.25/0.6)),IFERROR(INDEX('Gear Budget'!$B$18:$B$21,MATCH($F69,'Gear Budget'!$A$18:$A$21,0)),1)))</f>
        <v/>
      </c>
      <c r="AB69" s="41">
        <f>IF(AA69="","",P69/AA69)</f>
        <v/>
      </c>
      <c r="AC69" s="21" t="n">
        <v>50</v>
      </c>
      <c r="AD69" s="21" t="n">
        <v>25</v>
      </c>
      <c r="AE69" s="20" t="n">
        <v>300</v>
      </c>
      <c r="AF69" s="20" t="n">
        <v>30</v>
      </c>
      <c r="AG69" s="21" t="n">
        <v>0</v>
      </c>
      <c r="AH69" s="21" t="n">
        <v>6</v>
      </c>
      <c r="AI69" s="21" t="n">
        <v>0</v>
      </c>
      <c r="AJ69" s="20" t="n">
        <v>18</v>
      </c>
      <c r="AK69" s="21" t="n">
        <v>0</v>
      </c>
      <c r="AL69" s="21" t="inlineStr">
        <is>
          <t>(none)</t>
        </is>
      </c>
      <c r="AM69" s="61">
        <f>AD69*'Item Budget'!$B$5+AH69*'Item Budget'!$B$7+AF69*'Item Budget'!$B$11+AI69*'Item Budget'!$B$10+AG69*'Item Budget'!$B$9+IFERROR(INDEX('Item Budget'!$M$25:$M$95,MATCH(AL69,'Item Budget'!$B$25:$B$95,0)),0)+IF($C69="Weapon",AK69*'Item Budget'!$B$9,0)</f>
        <v/>
      </c>
      <c r="AN69" s="61">
        <f>AD69*'Item Budget'!$B$5+AH69*'Item Budget'!$B$7+AF69*'Item Budget'!$B$11+AI69*'Item Budget'!$B$10+AE69*'Item Budget'!$B$6+AJ69*'Item Budget'!$B$8+IFERROR(INDEX('Item Budget'!$N$25:$N$95,MATCH(AL69,'Item Budget'!$B$25:$B$95,0)),0)</f>
        <v/>
      </c>
      <c r="AO69" s="61">
        <f>MAX('Item Budget'!$F$16,INDEX('Gear Budget'!$C$8:$C$14,MATCH($C69,'Gear Budget'!$A$8:$A$14,0))*MIN(AC69,50))*$L69</f>
        <v/>
      </c>
      <c r="AP69" s="41">
        <f>IF($C69="Caster weapon",AN69,MAX(AM69,AN69))/AO69</f>
        <v/>
      </c>
      <c r="AQ69" s="61">
        <f>IF(OR($C69="Weapon",$C69="Caster weapon"),"",'Gear Budget'!$B$5*MAX(1,MIN(AC69,50))*INDEX('Gear Budget'!$B$8:$B$14,MATCH($C69,'Gear Budget'!$A$8:$A$14,0))*IF($C69="Shield",IF(E69="Warrior",1,IF(OR(E69="Rogue",E69="All"),0.38/0.6,0.25/0.6)),IFERROR(INDEX('Gear Budget'!$B$18:$B$21,MATCH($F69,'Gear Budget'!$A$18:$A$21,0)),1)))</f>
        <v/>
      </c>
      <c r="AR69" s="41">
        <f>IF(AQ69="","",AF69/AQ69)</f>
        <v/>
      </c>
      <c r="AS69" s="64" t="inlineStr">
        <is>
          <t>Punchy set: raised to +25% over the L40 boss set</t>
        </is>
      </c>
      <c r="AT69" s="44">
        <f>IF(OR($E69="All",ISNUMBER(SEARCH("Warrior",$E69))),IF($C69="Caster weapon",(AN69+AF69*('Item Budget'!$AB$14-'Item Budget'!$B$11)),(AM69+AF69*('Item Budget'!$AB$14-'Item Budget'!$B$11))),0)</f>
        <v/>
      </c>
      <c r="AU69" s="44">
        <f>IF(OR($E69="All",ISNUMBER(SEARCH("Rogue",$E69))),IF($C69="Caster weapon",(AN69+AF69*('Item Budget'!$AB$15-'Item Budget'!$B$11)),(AM69+AF69*('Item Budget'!$AB$15-'Item Budget'!$B$11))),0)</f>
        <v/>
      </c>
      <c r="AV69" s="44">
        <f>IF(OR($E69="All",ISNUMBER(SEARCH("Magus",$E69))),(AN69+AF69*('Item Budget'!$AB$16-'Item Budget'!$B$11)),0)</f>
        <v/>
      </c>
      <c r="AW69" s="44">
        <f>IF(OR($E69="All",ISNUMBER(SEARCH("Priest",$E69))),(AN69+AF69*('Item Budget'!$AB$17-'Item Budget'!$B$11)),0)</f>
        <v/>
      </c>
      <c r="AX69" s="44">
        <f>IF(AND(OR($E69="All",ISNUMBER(SEARCH("Warrior",$E69))),AC69&gt;='Item Budget'!$R$10),'Item Budget'!$R$7*100*('Item Budget'!$R$14*(AD69+25*AH69)+'Item Budget'!$S$14*(AE69+25*AJ69))/'Item Budget'!$Z$14+'Item Budget'!$R$9*AF69+IFERROR(INDEX('Item Budget'!$O$25:$O$95,MATCH(AL69,'Item Budget'!$B$25:$B$95,0)),0),0)</f>
        <v/>
      </c>
      <c r="AY69" s="44">
        <f>IF(AND(OR($E69="All",ISNUMBER(SEARCH("Rogue",$E69))),AC69&gt;='Item Budget'!$R$10),'Item Budget'!$R$7*100*('Item Budget'!$R$15*(AD69+25*AH69)+'Item Budget'!$S$15*(AE69+25*AJ69))/'Item Budget'!$Z$15+'Item Budget'!$R$9*AF69+IFERROR(INDEX('Item Budget'!$O$25:$O$95,MATCH(AL69,'Item Budget'!$B$25:$B$95,0)),0),0)</f>
        <v/>
      </c>
      <c r="AZ69" s="44">
        <f>IF(AND(OR($E69="All",ISNUMBER(SEARCH("Magus",$E69))),AC69&gt;='Item Budget'!$R$10),'Item Budget'!$R$7*100*('Item Budget'!$R$16*(AD69+25*AH69)+'Item Budget'!$S$16*(AE69+25*AJ69))/'Item Budget'!$Z$16+'Item Budget'!$R$9*AF69+IFERROR(INDEX('Item Budget'!$O$25:$O$95,MATCH(AL69,'Item Budget'!$B$25:$B$95,0)),0),0)</f>
        <v/>
      </c>
      <c r="BA69" s="44">
        <f>IF(AND(OR($E69="All",ISNUMBER(SEARCH("Priest",$E69))),AC69&gt;='Item Budget'!$R$10),'Item Budget'!$R$7*100*('Item Budget'!$R$17*(AD69+25*AH69)+'Item Budget'!$S$17*(AE69+25*AJ69))/'Item Budget'!$Z$17+'Item Budget'!$R$9*AF69+IFERROR(INDEX('Item Budget'!$O$25:$O$95,MATCH(AL69,'Item Budget'!$B$25:$B$95,0)),0),0)</f>
        <v/>
      </c>
      <c r="BB69" s="52">
        <f>IF(OR($I69&lt;1,IF($I69&gt;=6,AX69,AT69)&lt;=0),"",IF(SUMPRODUCT(MAX(($C$5:$C$215=$C69)*($I$5:$I$215&gt;=1)*($I$5:$I$215&lt;$I69)*IF($I69&gt;=6,$AX$5:$AX$215,$AT$5:$AT$215)))&lt;=0,"",SUMPRODUCT(MAX(($C$5:$C$215=$C69)*($I$5:$I$215=$I69)*IF($I69&gt;=6,$AX$5:$AX$215,$AT$5:$AT$215)))/SUMPRODUCT(MAX(($C$5:$C$215=$C69)*($I$5:$I$215&gt;=1)*($I$5:$I$215&lt;$I69)*IF($I69&gt;=6,$AX$5:$AX$215,$AT$5:$AT$215)))-1))</f>
        <v/>
      </c>
      <c r="BC69" s="52">
        <f>IF(OR($I69&lt;1,IF($I69&gt;=6,AY69,AU69)&lt;=0),"",IF(SUMPRODUCT(MAX(($C$5:$C$215=$C69)*($I$5:$I$215&gt;=1)*($I$5:$I$215&lt;$I69)*IF($I69&gt;=6,$AY$5:$AY$215,$AU$5:$AU$215)))&lt;=0,"",SUMPRODUCT(MAX(($C$5:$C$215=$C69)*($I$5:$I$215=$I69)*IF($I69&gt;=6,$AY$5:$AY$215,$AU$5:$AU$215)))/SUMPRODUCT(MAX(($C$5:$C$215=$C69)*($I$5:$I$215&gt;=1)*($I$5:$I$215&lt;$I69)*IF($I69&gt;=6,$AY$5:$AY$215,$AU$5:$AU$215)))-1))</f>
        <v/>
      </c>
      <c r="BD69" s="52">
        <f>IF(OR($I69&lt;1,IF($I69&gt;=6,AZ69,AV69)&lt;=0),"",IF(SUMPRODUCT(MAX(($C$5:$C$215=$C69)*($I$5:$I$215&gt;=1)*($I$5:$I$215&lt;$I69)*IF($I69&gt;=6,$AZ$5:$AZ$215,$AV$5:$AV$215)))&lt;=0,"",SUMPRODUCT(MAX(($C$5:$C$215=$C69)*($I$5:$I$215=$I69)*IF($I69&gt;=6,$AZ$5:$AZ$215,$AV$5:$AV$215)))/SUMPRODUCT(MAX(($C$5:$C$215=$C69)*($I$5:$I$215&gt;=1)*($I$5:$I$215&lt;$I69)*IF($I69&gt;=6,$AZ$5:$AZ$215,$AV$5:$AV$215)))-1))</f>
        <v/>
      </c>
      <c r="BE69" s="52">
        <f>IF(OR($I69&lt;1,IF($I69&gt;=6,BA69,AW69)&lt;=0),"",IF(SUMPRODUCT(MAX(($C$5:$C$215=$C69)*($I$5:$I$215&gt;=1)*($I$5:$I$215&lt;$I69)*IF($I69&gt;=6,$BA$5:$BA$215,$AW$5:$AW$215)))&lt;=0,"",SUMPRODUCT(MAX(($C$5:$C$215=$C69)*($I$5:$I$215=$I69)*IF($I69&gt;=6,$BA$5:$BA$215,$AW$5:$AW$215)))/SUMPRODUCT(MAX(($C$5:$C$215=$C69)*($I$5:$I$215&gt;=1)*($I$5:$I$215&lt;$I69)*IF($I69&gt;=6,$BA$5:$BA$215,$AW$5:$AW$215)))-1))</f>
        <v/>
      </c>
      <c r="BF69" s="19">
        <f>IF(AND(BB69="",BC69="",BD69="",BE69=""),"",IF(IF(AND(ISNUMBER(BB69),BB69&lt;'Item Budget'!$R$11),"W ","")&amp;IF(AND(ISNUMBER(BC69),BC69&lt;'Item Budget'!$R$11),"R ","")&amp;IF(AND(ISNUMBER(BD69),BD69&lt;'Item Budget'!$R$11),"M ","")&amp;IF(AND(ISNUMBER(BE69),BE69&lt;'Item Budget'!$R$11),"P ","")="","OK","Not above lower step: "&amp;IF(AND(ISNUMBER(BB69),BB69&lt;'Item Budget'!$R$11),"W ","")&amp;IF(AND(ISNUMBER(BC69),BC69&lt;'Item Budget'!$R$11),"R ","")&amp;IF(AND(ISNUMBER(BD69),BD69&lt;'Item Budget'!$R$11),"M ","")&amp;IF(AND(ISNUMBER(BE69),BE69&lt;'Item Budget'!$R$11),"P ","")))</f>
        <v/>
      </c>
    </row>
    <row r="70">
      <c r="A70" s="21" t="n">
        <v>90</v>
      </c>
      <c r="B70" s="21" t="inlineStr">
        <is>
          <t>Champions Helmet</t>
        </is>
      </c>
      <c r="C70" s="21" t="inlineStr">
        <is>
          <t>Helmet</t>
        </is>
      </c>
      <c r="D70" s="21" t="inlineStr">
        <is>
          <t>Warrior</t>
        </is>
      </c>
      <c r="E70" s="21" t="inlineStr">
        <is>
          <t>Warrior</t>
        </is>
      </c>
      <c r="F70" s="21" t="inlineStr">
        <is>
          <t>Warrior plate</t>
        </is>
      </c>
      <c r="G70" s="21" t="inlineStr">
        <is>
          <t>drop: Punchy 7%</t>
        </is>
      </c>
      <c r="H70" s="37" t="n">
        <v>0</v>
      </c>
      <c r="I70" s="21" t="n">
        <v>1</v>
      </c>
      <c r="J70" s="3" t="inlineStr">
        <is>
          <t>Pass 2</t>
        </is>
      </c>
      <c r="K70" s="21" t="inlineStr">
        <is>
          <t>Rare boss drop</t>
        </is>
      </c>
      <c r="L70" s="31">
        <f>INDEX('Item Budget'!$F$5:$F$13,MATCH(K70,'Item Budget'!$E$5:$E$13,0))+IF(E70="All",0,'Item Budget'!$F$15)+LOOKUP(H70,'Item Budget'!$E$19:$E$23,'Item Budget'!$F$19:$F$23)</f>
        <v/>
      </c>
      <c r="M70" s="21" t="n">
        <v>50</v>
      </c>
      <c r="N70" s="21" t="n">
        <v>125</v>
      </c>
      <c r="O70" s="21" t="n">
        <v>0</v>
      </c>
      <c r="P70" s="21" t="n">
        <v>52</v>
      </c>
      <c r="Q70" s="21" t="n">
        <v>7</v>
      </c>
      <c r="R70" s="21" t="n">
        <v>10</v>
      </c>
      <c r="S70" s="21" t="n">
        <v>0</v>
      </c>
      <c r="T70" s="21" t="n">
        <v>0</v>
      </c>
      <c r="U70" s="21" t="n">
        <v>0</v>
      </c>
      <c r="V70" s="21" t="inlineStr">
        <is>
          <t>(none)</t>
        </is>
      </c>
      <c r="W70" s="61">
        <f>N70*'Item Budget'!$B$5+R70*'Item Budget'!$B$7+P70*'Item Budget'!$B$11+S70*'Item Budget'!$B$10+Q70*'Item Budget'!$B$9+IFERROR(INDEX('Item Budget'!$M$25:$M$95,MATCH(V70,'Item Budget'!$B$25:$B$95,0)),0)+IF($C70="Weapon",U70*'Item Budget'!$B$9,0)</f>
        <v/>
      </c>
      <c r="X70" s="61">
        <f>N70*'Item Budget'!$B$5+R70*'Item Budget'!$B$7+P70*'Item Budget'!$B$11+S70*'Item Budget'!$B$10+O70*'Item Budget'!$B$6+T70*'Item Budget'!$B$8+IFERROR(INDEX('Item Budget'!$N$25:$N$95,MATCH(V70,'Item Budget'!$B$25:$B$95,0)),0)</f>
        <v/>
      </c>
      <c r="Y70" s="61">
        <f>MAX('Item Budget'!$F$16,INDEX('Gear Budget'!$C$8:$C$14,MATCH($C70,'Gear Budget'!$A$8:$A$14,0))*MIN(M70,50))*$L70</f>
        <v/>
      </c>
      <c r="Z70" s="41">
        <f>IF($C70="Caster weapon",X70,MAX(W70,X70))/Y70</f>
        <v/>
      </c>
      <c r="AA70" s="61">
        <f>IF(OR($C70="Weapon",$C70="Caster weapon"),"",'Gear Budget'!$B$5*MAX(1,MIN(M70,50))*INDEX('Gear Budget'!$B$8:$B$14,MATCH($C70,'Gear Budget'!$A$8:$A$14,0))*IF($C70="Shield",IF(D70="Warrior",1,IF(OR(D70="Rogue",D70="All"),0.38/0.6,0.25/0.6)),IFERROR(INDEX('Gear Budget'!$B$18:$B$21,MATCH($F70,'Gear Budget'!$A$18:$A$21,0)),1)))</f>
        <v/>
      </c>
      <c r="AB70" s="41">
        <f>IF(AA70="","",P70/AA70)</f>
        <v/>
      </c>
      <c r="AC70" s="21" t="n">
        <v>50</v>
      </c>
      <c r="AD70" s="20" t="n">
        <v>135</v>
      </c>
      <c r="AE70" s="21" t="n">
        <v>0</v>
      </c>
      <c r="AF70" s="20" t="n">
        <v>56</v>
      </c>
      <c r="AG70" s="20" t="n">
        <v>8</v>
      </c>
      <c r="AH70" s="20" t="n">
        <v>11</v>
      </c>
      <c r="AI70" s="21" t="n">
        <v>0</v>
      </c>
      <c r="AJ70" s="21" t="n">
        <v>0</v>
      </c>
      <c r="AK70" s="21" t="n">
        <v>0</v>
      </c>
      <c r="AL70" s="21" t="inlineStr">
        <is>
          <t>(none)</t>
        </is>
      </c>
      <c r="AM70" s="61">
        <f>AD70*'Item Budget'!$B$5+AH70*'Item Budget'!$B$7+AF70*'Item Budget'!$B$11+AI70*'Item Budget'!$B$10+AG70*'Item Budget'!$B$9+IFERROR(INDEX('Item Budget'!$M$25:$M$95,MATCH(AL70,'Item Budget'!$B$25:$B$95,0)),0)+IF($C70="Weapon",AK70*'Item Budget'!$B$9,0)</f>
        <v/>
      </c>
      <c r="AN70" s="61">
        <f>AD70*'Item Budget'!$B$5+AH70*'Item Budget'!$B$7+AF70*'Item Budget'!$B$11+AI70*'Item Budget'!$B$10+AE70*'Item Budget'!$B$6+AJ70*'Item Budget'!$B$8+IFERROR(INDEX('Item Budget'!$N$25:$N$95,MATCH(AL70,'Item Budget'!$B$25:$B$95,0)),0)</f>
        <v/>
      </c>
      <c r="AO70" s="61">
        <f>MAX('Item Budget'!$F$16,INDEX('Gear Budget'!$C$8:$C$14,MATCH($C70,'Gear Budget'!$A$8:$A$14,0))*MIN(AC70,50))*$L70</f>
        <v/>
      </c>
      <c r="AP70" s="41">
        <f>IF($C70="Caster weapon",AN70,MAX(AM70,AN70))/AO70</f>
        <v/>
      </c>
      <c r="AQ70" s="61">
        <f>IF(OR($C70="Weapon",$C70="Caster weapon"),"",'Gear Budget'!$B$5*MAX(1,MIN(AC70,50))*INDEX('Gear Budget'!$B$8:$B$14,MATCH($C70,'Gear Budget'!$A$8:$A$14,0))*IF($C70="Shield",IF(E70="Warrior",1,IF(OR(E70="Rogue",E70="All"),0.38/0.6,0.25/0.6)),IFERROR(INDEX('Gear Budget'!$B$18:$B$21,MATCH($F70,'Gear Budget'!$A$18:$A$21,0)),1)))</f>
        <v/>
      </c>
      <c r="AR70" s="41">
        <f>IF(AQ70="","",AF70/AQ70)</f>
        <v/>
      </c>
      <c r="AS70" s="64" t="inlineStr">
        <is>
          <t>Punchy set: raised to +25% over the L40 boss set</t>
        </is>
      </c>
      <c r="AT70" s="44">
        <f>IF(OR($E70="All",ISNUMBER(SEARCH("Warrior",$E70))),IF($C70="Caster weapon",(AN70+AF70*('Item Budget'!$AB$14-'Item Budget'!$B$11)),(AM70+AF70*('Item Budget'!$AB$14-'Item Budget'!$B$11))),0)</f>
        <v/>
      </c>
      <c r="AU70" s="44">
        <f>IF(OR($E70="All",ISNUMBER(SEARCH("Rogue",$E70))),IF($C70="Caster weapon",(AN70+AF70*('Item Budget'!$AB$15-'Item Budget'!$B$11)),(AM70+AF70*('Item Budget'!$AB$15-'Item Budget'!$B$11))),0)</f>
        <v/>
      </c>
      <c r="AV70" s="44">
        <f>IF(OR($E70="All",ISNUMBER(SEARCH("Magus",$E70))),(AN70+AF70*('Item Budget'!$AB$16-'Item Budget'!$B$11)),0)</f>
        <v/>
      </c>
      <c r="AW70" s="44">
        <f>IF(OR($E70="All",ISNUMBER(SEARCH("Priest",$E70))),(AN70+AF70*('Item Budget'!$AB$17-'Item Budget'!$B$11)),0)</f>
        <v/>
      </c>
      <c r="AX70" s="44">
        <f>IF(AND(OR($E70="All",ISNUMBER(SEARCH("Warrior",$E70))),AC70&gt;='Item Budget'!$R$10),'Item Budget'!$R$7*100*('Item Budget'!$R$14*(AD70+25*AH70)+'Item Budget'!$S$14*(AE70+25*AJ70))/'Item Budget'!$Z$14+'Item Budget'!$R$9*AF70+IFERROR(INDEX('Item Budget'!$O$25:$O$95,MATCH(AL70,'Item Budget'!$B$25:$B$95,0)),0),0)</f>
        <v/>
      </c>
      <c r="AY70" s="44">
        <f>IF(AND(OR($E70="All",ISNUMBER(SEARCH("Rogue",$E70))),AC70&gt;='Item Budget'!$R$10),'Item Budget'!$R$7*100*('Item Budget'!$R$15*(AD70+25*AH70)+'Item Budget'!$S$15*(AE70+25*AJ70))/'Item Budget'!$Z$15+'Item Budget'!$R$9*AF70+IFERROR(INDEX('Item Budget'!$O$25:$O$95,MATCH(AL70,'Item Budget'!$B$25:$B$95,0)),0),0)</f>
        <v/>
      </c>
      <c r="AZ70" s="44">
        <f>IF(AND(OR($E70="All",ISNUMBER(SEARCH("Magus",$E70))),AC70&gt;='Item Budget'!$R$10),'Item Budget'!$R$7*100*('Item Budget'!$R$16*(AD70+25*AH70)+'Item Budget'!$S$16*(AE70+25*AJ70))/'Item Budget'!$Z$16+'Item Budget'!$R$9*AF70+IFERROR(INDEX('Item Budget'!$O$25:$O$95,MATCH(AL70,'Item Budget'!$B$25:$B$95,0)),0),0)</f>
        <v/>
      </c>
      <c r="BA70" s="44">
        <f>IF(AND(OR($E70="All",ISNUMBER(SEARCH("Priest",$E70))),AC70&gt;='Item Budget'!$R$10),'Item Budget'!$R$7*100*('Item Budget'!$R$17*(AD70+25*AH70)+'Item Budget'!$S$17*(AE70+25*AJ70))/'Item Budget'!$Z$17+'Item Budget'!$R$9*AF70+IFERROR(INDEX('Item Budget'!$O$25:$O$95,MATCH(AL70,'Item Budget'!$B$25:$B$95,0)),0),0)</f>
        <v/>
      </c>
      <c r="BB70" s="52">
        <f>IF(OR($I70&lt;1,IF($I70&gt;=6,AX70,AT70)&lt;=0),"",IF(SUMPRODUCT(MAX(($C$5:$C$215=$C70)*($I$5:$I$215&gt;=1)*($I$5:$I$215&lt;$I70)*IF($I70&gt;=6,$AX$5:$AX$215,$AT$5:$AT$215)))&lt;=0,"",SUMPRODUCT(MAX(($C$5:$C$215=$C70)*($I$5:$I$215=$I70)*IF($I70&gt;=6,$AX$5:$AX$215,$AT$5:$AT$215)))/SUMPRODUCT(MAX(($C$5:$C$215=$C70)*($I$5:$I$215&gt;=1)*($I$5:$I$215&lt;$I70)*IF($I70&gt;=6,$AX$5:$AX$215,$AT$5:$AT$215)))-1))</f>
        <v/>
      </c>
      <c r="BC70" s="52">
        <f>IF(OR($I70&lt;1,IF($I70&gt;=6,AY70,AU70)&lt;=0),"",IF(SUMPRODUCT(MAX(($C$5:$C$215=$C70)*($I$5:$I$215&gt;=1)*($I$5:$I$215&lt;$I70)*IF($I70&gt;=6,$AY$5:$AY$215,$AU$5:$AU$215)))&lt;=0,"",SUMPRODUCT(MAX(($C$5:$C$215=$C70)*($I$5:$I$215=$I70)*IF($I70&gt;=6,$AY$5:$AY$215,$AU$5:$AU$215)))/SUMPRODUCT(MAX(($C$5:$C$215=$C70)*($I$5:$I$215&gt;=1)*($I$5:$I$215&lt;$I70)*IF($I70&gt;=6,$AY$5:$AY$215,$AU$5:$AU$215)))-1))</f>
        <v/>
      </c>
      <c r="BD70" s="52">
        <f>IF(OR($I70&lt;1,IF($I70&gt;=6,AZ70,AV70)&lt;=0),"",IF(SUMPRODUCT(MAX(($C$5:$C$215=$C70)*($I$5:$I$215&gt;=1)*($I$5:$I$215&lt;$I70)*IF($I70&gt;=6,$AZ$5:$AZ$215,$AV$5:$AV$215)))&lt;=0,"",SUMPRODUCT(MAX(($C$5:$C$215=$C70)*($I$5:$I$215=$I70)*IF($I70&gt;=6,$AZ$5:$AZ$215,$AV$5:$AV$215)))/SUMPRODUCT(MAX(($C$5:$C$215=$C70)*($I$5:$I$215&gt;=1)*($I$5:$I$215&lt;$I70)*IF($I70&gt;=6,$AZ$5:$AZ$215,$AV$5:$AV$215)))-1))</f>
        <v/>
      </c>
      <c r="BE70" s="52">
        <f>IF(OR($I70&lt;1,IF($I70&gt;=6,BA70,AW70)&lt;=0),"",IF(SUMPRODUCT(MAX(($C$5:$C$215=$C70)*($I$5:$I$215&gt;=1)*($I$5:$I$215&lt;$I70)*IF($I70&gt;=6,$BA$5:$BA$215,$AW$5:$AW$215)))&lt;=0,"",SUMPRODUCT(MAX(($C$5:$C$215=$C70)*($I$5:$I$215=$I70)*IF($I70&gt;=6,$BA$5:$BA$215,$AW$5:$AW$215)))/SUMPRODUCT(MAX(($C$5:$C$215=$C70)*($I$5:$I$215&gt;=1)*($I$5:$I$215&lt;$I70)*IF($I70&gt;=6,$BA$5:$BA$215,$AW$5:$AW$215)))-1))</f>
        <v/>
      </c>
      <c r="BF70" s="19">
        <f>IF(AND(BB70="",BC70="",BD70="",BE70=""),"",IF(IF(AND(ISNUMBER(BB70),BB70&lt;'Item Budget'!$R$11),"W ","")&amp;IF(AND(ISNUMBER(BC70),BC70&lt;'Item Budget'!$R$11),"R ","")&amp;IF(AND(ISNUMBER(BD70),BD70&lt;'Item Budget'!$R$11),"M ","")&amp;IF(AND(ISNUMBER(BE70),BE70&lt;'Item Budget'!$R$11),"P ","")="","OK","Not above lower step: "&amp;IF(AND(ISNUMBER(BB70),BB70&lt;'Item Budget'!$R$11),"W ","")&amp;IF(AND(ISNUMBER(BC70),BC70&lt;'Item Budget'!$R$11),"R ","")&amp;IF(AND(ISNUMBER(BD70),BD70&lt;'Item Budget'!$R$11),"M ","")&amp;IF(AND(ISNUMBER(BE70),BE70&lt;'Item Budget'!$R$11),"P ","")))</f>
        <v/>
      </c>
    </row>
    <row r="71">
      <c r="A71" s="21" t="n">
        <v>93</v>
      </c>
      <c r="B71" s="21" t="inlineStr">
        <is>
          <t>Deceivers Helmet</t>
        </is>
      </c>
      <c r="C71" s="21" t="inlineStr">
        <is>
          <t>Helmet</t>
        </is>
      </c>
      <c r="D71" s="21" t="inlineStr">
        <is>
          <t>Rogue</t>
        </is>
      </c>
      <c r="E71" s="21" t="inlineStr">
        <is>
          <t>Rogue</t>
        </is>
      </c>
      <c r="F71" s="21" t="inlineStr">
        <is>
          <t>Rogue</t>
        </is>
      </c>
      <c r="G71" s="21" t="inlineStr">
        <is>
          <t>drop: Punchy 7%</t>
        </is>
      </c>
      <c r="H71" s="37" t="n">
        <v>0</v>
      </c>
      <c r="I71" s="21" t="n">
        <v>1</v>
      </c>
      <c r="J71" s="3" t="inlineStr">
        <is>
          <t>Pass 2</t>
        </is>
      </c>
      <c r="K71" s="21" t="inlineStr">
        <is>
          <t>Rare boss drop</t>
        </is>
      </c>
      <c r="L71" s="31">
        <f>INDEX('Item Budget'!$F$5:$F$13,MATCH(K71,'Item Budget'!$E$5:$E$13,0))+IF(E71="All",0,'Item Budget'!$F$15)+LOOKUP(H71,'Item Budget'!$E$19:$E$23,'Item Budget'!$F$19:$F$23)</f>
        <v/>
      </c>
      <c r="M71" s="21" t="n">
        <v>50</v>
      </c>
      <c r="N71" s="21" t="n">
        <v>125</v>
      </c>
      <c r="O71" s="21" t="n">
        <v>50</v>
      </c>
      <c r="P71" s="21" t="n">
        <v>42</v>
      </c>
      <c r="Q71" s="21" t="n">
        <v>7</v>
      </c>
      <c r="R71" s="21" t="n">
        <v>10</v>
      </c>
      <c r="S71" s="21" t="n">
        <v>15</v>
      </c>
      <c r="T71" s="21" t="n">
        <v>0</v>
      </c>
      <c r="U71" s="21" t="n">
        <v>0</v>
      </c>
      <c r="V71" s="21" t="inlineStr">
        <is>
          <t>(none)</t>
        </is>
      </c>
      <c r="W71" s="61">
        <f>N71*'Item Budget'!$B$5+R71*'Item Budget'!$B$7+P71*'Item Budget'!$B$11+S71*'Item Budget'!$B$10+Q71*'Item Budget'!$B$9+IFERROR(INDEX('Item Budget'!$M$25:$M$95,MATCH(V71,'Item Budget'!$B$25:$B$95,0)),0)+IF($C71="Weapon",U71*'Item Budget'!$B$9,0)</f>
        <v/>
      </c>
      <c r="X71" s="61">
        <f>N71*'Item Budget'!$B$5+R71*'Item Budget'!$B$7+P71*'Item Budget'!$B$11+S71*'Item Budget'!$B$10+O71*'Item Budget'!$B$6+T71*'Item Budget'!$B$8+IFERROR(INDEX('Item Budget'!$N$25:$N$95,MATCH(V71,'Item Budget'!$B$25:$B$95,0)),0)</f>
        <v/>
      </c>
      <c r="Y71" s="61">
        <f>MAX('Item Budget'!$F$16,INDEX('Gear Budget'!$C$8:$C$14,MATCH($C71,'Gear Budget'!$A$8:$A$14,0))*MIN(M71,50))*$L71</f>
        <v/>
      </c>
      <c r="Z71" s="41">
        <f>IF($C71="Caster weapon",X71,MAX(W71,X71))/Y71</f>
        <v/>
      </c>
      <c r="AA71" s="61">
        <f>IF(OR($C71="Weapon",$C71="Caster weapon"),"",'Gear Budget'!$B$5*MAX(1,MIN(M71,50))*INDEX('Gear Budget'!$B$8:$B$14,MATCH($C71,'Gear Budget'!$A$8:$A$14,0))*IF($C71="Shield",IF(D71="Warrior",1,IF(OR(D71="Rogue",D71="All"),0.38/0.6,0.25/0.6)),IFERROR(INDEX('Gear Budget'!$B$18:$B$21,MATCH($F71,'Gear Budget'!$A$18:$A$21,0)),1)))</f>
        <v/>
      </c>
      <c r="AB71" s="41">
        <f>IF(AA71="","",P71/AA71)</f>
        <v/>
      </c>
      <c r="AC71" s="21" t="n">
        <v>50</v>
      </c>
      <c r="AD71" s="20" t="n">
        <v>135</v>
      </c>
      <c r="AE71" s="20" t="n">
        <v>55</v>
      </c>
      <c r="AF71" s="20" t="n">
        <v>45</v>
      </c>
      <c r="AG71" s="20" t="n">
        <v>8</v>
      </c>
      <c r="AH71" s="20" t="n">
        <v>11</v>
      </c>
      <c r="AI71" s="20" t="n">
        <v>16</v>
      </c>
      <c r="AJ71" s="21" t="n">
        <v>0</v>
      </c>
      <c r="AK71" s="21" t="n">
        <v>0</v>
      </c>
      <c r="AL71" s="21" t="inlineStr">
        <is>
          <t>(none)</t>
        </is>
      </c>
      <c r="AM71" s="61">
        <f>AD71*'Item Budget'!$B$5+AH71*'Item Budget'!$B$7+AF71*'Item Budget'!$B$11+AI71*'Item Budget'!$B$10+AG71*'Item Budget'!$B$9+IFERROR(INDEX('Item Budget'!$M$25:$M$95,MATCH(AL71,'Item Budget'!$B$25:$B$95,0)),0)+IF($C71="Weapon",AK71*'Item Budget'!$B$9,0)</f>
        <v/>
      </c>
      <c r="AN71" s="61">
        <f>AD71*'Item Budget'!$B$5+AH71*'Item Budget'!$B$7+AF71*'Item Budget'!$B$11+AI71*'Item Budget'!$B$10+AE71*'Item Budget'!$B$6+AJ71*'Item Budget'!$B$8+IFERROR(INDEX('Item Budget'!$N$25:$N$95,MATCH(AL71,'Item Budget'!$B$25:$B$95,0)),0)</f>
        <v/>
      </c>
      <c r="AO71" s="61">
        <f>MAX('Item Budget'!$F$16,INDEX('Gear Budget'!$C$8:$C$14,MATCH($C71,'Gear Budget'!$A$8:$A$14,0))*MIN(AC71,50))*$L71</f>
        <v/>
      </c>
      <c r="AP71" s="41">
        <f>IF($C71="Caster weapon",AN71,MAX(AM71,AN71))/AO71</f>
        <v/>
      </c>
      <c r="AQ71" s="61">
        <f>IF(OR($C71="Weapon",$C71="Caster weapon"),"",'Gear Budget'!$B$5*MAX(1,MIN(AC71,50))*INDEX('Gear Budget'!$B$8:$B$14,MATCH($C71,'Gear Budget'!$A$8:$A$14,0))*IF($C71="Shield",IF(E71="Warrior",1,IF(OR(E71="Rogue",E71="All"),0.38/0.6,0.25/0.6)),IFERROR(INDEX('Gear Budget'!$B$18:$B$21,MATCH($F71,'Gear Budget'!$A$18:$A$21,0)),1)))</f>
        <v/>
      </c>
      <c r="AR71" s="41">
        <f>IF(AQ71="","",AF71/AQ71)</f>
        <v/>
      </c>
      <c r="AS71" s="64" t="inlineStr">
        <is>
          <t>Punchy set: raised to +25% over the L40 boss set</t>
        </is>
      </c>
      <c r="AT71" s="44">
        <f>IF(OR($E71="All",ISNUMBER(SEARCH("Warrior",$E71))),IF($C71="Caster weapon",(AN71+AF71*('Item Budget'!$AB$14-'Item Budget'!$B$11)),(AM71+AF71*('Item Budget'!$AB$14-'Item Budget'!$B$11))),0)</f>
        <v/>
      </c>
      <c r="AU71" s="44">
        <f>IF(OR($E71="All",ISNUMBER(SEARCH("Rogue",$E71))),IF($C71="Caster weapon",(AN71+AF71*('Item Budget'!$AB$15-'Item Budget'!$B$11)),(AM71+AF71*('Item Budget'!$AB$15-'Item Budget'!$B$11))),0)</f>
        <v/>
      </c>
      <c r="AV71" s="44">
        <f>IF(OR($E71="All",ISNUMBER(SEARCH("Magus",$E71))),(AN71+AF71*('Item Budget'!$AB$16-'Item Budget'!$B$11)),0)</f>
        <v/>
      </c>
      <c r="AW71" s="44">
        <f>IF(OR($E71="All",ISNUMBER(SEARCH("Priest",$E71))),(AN71+AF71*('Item Budget'!$AB$17-'Item Budget'!$B$11)),0)</f>
        <v/>
      </c>
      <c r="AX71" s="44">
        <f>IF(AND(OR($E71="All",ISNUMBER(SEARCH("Warrior",$E71))),AC71&gt;='Item Budget'!$R$10),'Item Budget'!$R$7*100*('Item Budget'!$R$14*(AD71+25*AH71)+'Item Budget'!$S$14*(AE71+25*AJ71))/'Item Budget'!$Z$14+'Item Budget'!$R$9*AF71+IFERROR(INDEX('Item Budget'!$O$25:$O$95,MATCH(AL71,'Item Budget'!$B$25:$B$95,0)),0),0)</f>
        <v/>
      </c>
      <c r="AY71" s="44">
        <f>IF(AND(OR($E71="All",ISNUMBER(SEARCH("Rogue",$E71))),AC71&gt;='Item Budget'!$R$10),'Item Budget'!$R$7*100*('Item Budget'!$R$15*(AD71+25*AH71)+'Item Budget'!$S$15*(AE71+25*AJ71))/'Item Budget'!$Z$15+'Item Budget'!$R$9*AF71+IFERROR(INDEX('Item Budget'!$O$25:$O$95,MATCH(AL71,'Item Budget'!$B$25:$B$95,0)),0),0)</f>
        <v/>
      </c>
      <c r="AZ71" s="44">
        <f>IF(AND(OR($E71="All",ISNUMBER(SEARCH("Magus",$E71))),AC71&gt;='Item Budget'!$R$10),'Item Budget'!$R$7*100*('Item Budget'!$R$16*(AD71+25*AH71)+'Item Budget'!$S$16*(AE71+25*AJ71))/'Item Budget'!$Z$16+'Item Budget'!$R$9*AF71+IFERROR(INDEX('Item Budget'!$O$25:$O$95,MATCH(AL71,'Item Budget'!$B$25:$B$95,0)),0),0)</f>
        <v/>
      </c>
      <c r="BA71" s="44">
        <f>IF(AND(OR($E71="All",ISNUMBER(SEARCH("Priest",$E71))),AC71&gt;='Item Budget'!$R$10),'Item Budget'!$R$7*100*('Item Budget'!$R$17*(AD71+25*AH71)+'Item Budget'!$S$17*(AE71+25*AJ71))/'Item Budget'!$Z$17+'Item Budget'!$R$9*AF71+IFERROR(INDEX('Item Budget'!$O$25:$O$95,MATCH(AL71,'Item Budget'!$B$25:$B$95,0)),0),0)</f>
        <v/>
      </c>
      <c r="BB71" s="52">
        <f>IF(OR($I71&lt;1,IF($I71&gt;=6,AX71,AT71)&lt;=0),"",IF(SUMPRODUCT(MAX(($C$5:$C$215=$C71)*($I$5:$I$215&gt;=1)*($I$5:$I$215&lt;$I71)*IF($I71&gt;=6,$AX$5:$AX$215,$AT$5:$AT$215)))&lt;=0,"",SUMPRODUCT(MAX(($C$5:$C$215=$C71)*($I$5:$I$215=$I71)*IF($I71&gt;=6,$AX$5:$AX$215,$AT$5:$AT$215)))/SUMPRODUCT(MAX(($C$5:$C$215=$C71)*($I$5:$I$215&gt;=1)*($I$5:$I$215&lt;$I71)*IF($I71&gt;=6,$AX$5:$AX$215,$AT$5:$AT$215)))-1))</f>
        <v/>
      </c>
      <c r="BC71" s="52">
        <f>IF(OR($I71&lt;1,IF($I71&gt;=6,AY71,AU71)&lt;=0),"",IF(SUMPRODUCT(MAX(($C$5:$C$215=$C71)*($I$5:$I$215&gt;=1)*($I$5:$I$215&lt;$I71)*IF($I71&gt;=6,$AY$5:$AY$215,$AU$5:$AU$215)))&lt;=0,"",SUMPRODUCT(MAX(($C$5:$C$215=$C71)*($I$5:$I$215=$I71)*IF($I71&gt;=6,$AY$5:$AY$215,$AU$5:$AU$215)))/SUMPRODUCT(MAX(($C$5:$C$215=$C71)*($I$5:$I$215&gt;=1)*($I$5:$I$215&lt;$I71)*IF($I71&gt;=6,$AY$5:$AY$215,$AU$5:$AU$215)))-1))</f>
        <v/>
      </c>
      <c r="BD71" s="52">
        <f>IF(OR($I71&lt;1,IF($I71&gt;=6,AZ71,AV71)&lt;=0),"",IF(SUMPRODUCT(MAX(($C$5:$C$215=$C71)*($I$5:$I$215&gt;=1)*($I$5:$I$215&lt;$I71)*IF($I71&gt;=6,$AZ$5:$AZ$215,$AV$5:$AV$215)))&lt;=0,"",SUMPRODUCT(MAX(($C$5:$C$215=$C71)*($I$5:$I$215=$I71)*IF($I71&gt;=6,$AZ$5:$AZ$215,$AV$5:$AV$215)))/SUMPRODUCT(MAX(($C$5:$C$215=$C71)*($I$5:$I$215&gt;=1)*($I$5:$I$215&lt;$I71)*IF($I71&gt;=6,$AZ$5:$AZ$215,$AV$5:$AV$215)))-1))</f>
        <v/>
      </c>
      <c r="BE71" s="52">
        <f>IF(OR($I71&lt;1,IF($I71&gt;=6,BA71,AW71)&lt;=0),"",IF(SUMPRODUCT(MAX(($C$5:$C$215=$C71)*($I$5:$I$215&gt;=1)*($I$5:$I$215&lt;$I71)*IF($I71&gt;=6,$BA$5:$BA$215,$AW$5:$AW$215)))&lt;=0,"",SUMPRODUCT(MAX(($C$5:$C$215=$C71)*($I$5:$I$215=$I71)*IF($I71&gt;=6,$BA$5:$BA$215,$AW$5:$AW$215)))/SUMPRODUCT(MAX(($C$5:$C$215=$C71)*($I$5:$I$215&gt;=1)*($I$5:$I$215&lt;$I71)*IF($I71&gt;=6,$BA$5:$BA$215,$AW$5:$AW$215)))-1))</f>
        <v/>
      </c>
      <c r="BF71" s="19">
        <f>IF(AND(BB71="",BC71="",BD71="",BE71=""),"",IF(IF(AND(ISNUMBER(BB71),BB71&lt;'Item Budget'!$R$11),"W ","")&amp;IF(AND(ISNUMBER(BC71),BC71&lt;'Item Budget'!$R$11),"R ","")&amp;IF(AND(ISNUMBER(BD71),BD71&lt;'Item Budget'!$R$11),"M ","")&amp;IF(AND(ISNUMBER(BE71),BE71&lt;'Item Budget'!$R$11),"P ","")="","OK","Not above lower step: "&amp;IF(AND(ISNUMBER(BB71),BB71&lt;'Item Budget'!$R$11),"W ","")&amp;IF(AND(ISNUMBER(BC71),BC71&lt;'Item Budget'!$R$11),"R ","")&amp;IF(AND(ISNUMBER(BD71),BD71&lt;'Item Budget'!$R$11),"M ","")&amp;IF(AND(ISNUMBER(BE71),BE71&lt;'Item Budget'!$R$11),"P ","")))</f>
        <v/>
      </c>
    </row>
    <row r="72">
      <c r="A72" s="21" t="n">
        <v>249</v>
      </c>
      <c r="B72" s="21" t="inlineStr">
        <is>
          <t>Whirling Hat</t>
        </is>
      </c>
      <c r="C72" s="21" t="inlineStr">
        <is>
          <t>Helmet</t>
        </is>
      </c>
      <c r="D72" s="21" t="inlineStr">
        <is>
          <t>Magus/Priest</t>
        </is>
      </c>
      <c r="E72" s="21" t="inlineStr">
        <is>
          <t>Magus/Priest</t>
        </is>
      </c>
      <c r="F72" s="21" t="inlineStr">
        <is>
          <t>Caster cloth</t>
        </is>
      </c>
      <c r="G72" s="21" t="inlineStr">
        <is>
          <t>drop: Copycat 10%</t>
        </is>
      </c>
      <c r="H72" s="37" t="n">
        <v>0</v>
      </c>
      <c r="I72" s="21" t="n">
        <v>4</v>
      </c>
      <c r="J72" s="3" t="inlineStr">
        <is>
          <t>Pass 2</t>
        </is>
      </c>
      <c r="K72" s="21" t="inlineStr">
        <is>
          <t>Rare boss drop</t>
        </is>
      </c>
      <c r="L72" s="31">
        <f>INDEX('Item Budget'!$F$5:$F$13,MATCH(K72,'Item Budget'!$E$5:$E$13,0))+IF(E72="All",0,'Item Budget'!$F$15)+LOOKUP(H72,'Item Budget'!$E$19:$E$23,'Item Budget'!$F$19:$F$23)</f>
        <v/>
      </c>
      <c r="M72" s="21" t="n">
        <v>50</v>
      </c>
      <c r="N72" s="21" t="n">
        <v>50</v>
      </c>
      <c r="O72" s="21" t="n">
        <v>175</v>
      </c>
      <c r="P72" s="21" t="n">
        <v>60</v>
      </c>
      <c r="Q72" s="21" t="n">
        <v>0</v>
      </c>
      <c r="R72" s="21" t="n">
        <v>6</v>
      </c>
      <c r="S72" s="21" t="n">
        <v>0</v>
      </c>
      <c r="T72" s="21" t="n">
        <v>18</v>
      </c>
      <c r="U72" s="21" t="n">
        <v>0</v>
      </c>
      <c r="V72" s="21" t="inlineStr">
        <is>
          <t>(none)</t>
        </is>
      </c>
      <c r="W72" s="61">
        <f>N72*'Item Budget'!$B$5+R72*'Item Budget'!$B$7+P72*'Item Budget'!$B$11+S72*'Item Budget'!$B$10+Q72*'Item Budget'!$B$9+IFERROR(INDEX('Item Budget'!$M$25:$M$95,MATCH(V72,'Item Budget'!$B$25:$B$95,0)),0)+IF($C72="Weapon",U72*'Item Budget'!$B$9,0)</f>
        <v/>
      </c>
      <c r="X72" s="61">
        <f>N72*'Item Budget'!$B$5+R72*'Item Budget'!$B$7+P72*'Item Budget'!$B$11+S72*'Item Budget'!$B$10+O72*'Item Budget'!$B$6+T72*'Item Budget'!$B$8+IFERROR(INDEX('Item Budget'!$N$25:$N$95,MATCH(V72,'Item Budget'!$B$25:$B$95,0)),0)</f>
        <v/>
      </c>
      <c r="Y72" s="61">
        <f>MAX('Item Budget'!$F$16,INDEX('Gear Budget'!$C$8:$C$14,MATCH($C72,'Gear Budget'!$A$8:$A$14,0))*MIN(M72,50))*$L72</f>
        <v/>
      </c>
      <c r="Z72" s="41">
        <f>IF($C72="Caster weapon",X72,MAX(W72,X72))/Y72</f>
        <v/>
      </c>
      <c r="AA72" s="61">
        <f>IF(OR($C72="Weapon",$C72="Caster weapon"),"",'Gear Budget'!$B$5*MAX(1,MIN(M72,50))*INDEX('Gear Budget'!$B$8:$B$14,MATCH($C72,'Gear Budget'!$A$8:$A$14,0))*IF($C72="Shield",IF(D72="Warrior",1,IF(OR(D72="Rogue",D72="All"),0.38/0.6,0.25/0.6)),IFERROR(INDEX('Gear Budget'!$B$18:$B$21,MATCH($F72,'Gear Budget'!$A$18:$A$21,0)),1)))</f>
        <v/>
      </c>
      <c r="AB72" s="41">
        <f>IF(AA72="","",P72/AA72)</f>
        <v/>
      </c>
      <c r="AC72" s="21" t="n">
        <v>50</v>
      </c>
      <c r="AD72" s="20" t="n">
        <v>65</v>
      </c>
      <c r="AE72" s="20" t="n">
        <v>225</v>
      </c>
      <c r="AF72" s="21" t="n">
        <v>60</v>
      </c>
      <c r="AG72" s="21" t="n">
        <v>0</v>
      </c>
      <c r="AH72" s="20" t="n">
        <v>8</v>
      </c>
      <c r="AI72" s="21" t="n">
        <v>0</v>
      </c>
      <c r="AJ72" s="20" t="n">
        <v>24</v>
      </c>
      <c r="AK72" s="21" t="n">
        <v>0</v>
      </c>
      <c r="AL72" s="21" t="inlineStr">
        <is>
          <t>(none)</t>
        </is>
      </c>
      <c r="AM72" s="61">
        <f>AD72*'Item Budget'!$B$5+AH72*'Item Budget'!$B$7+AF72*'Item Budget'!$B$11+AI72*'Item Budget'!$B$10+AG72*'Item Budget'!$B$9+IFERROR(INDEX('Item Budget'!$M$25:$M$95,MATCH(AL72,'Item Budget'!$B$25:$B$95,0)),0)+IF($C72="Weapon",AK72*'Item Budget'!$B$9,0)</f>
        <v/>
      </c>
      <c r="AN72" s="61">
        <f>AD72*'Item Budget'!$B$5+AH72*'Item Budget'!$B$7+AF72*'Item Budget'!$B$11+AI72*'Item Budget'!$B$10+AE72*'Item Budget'!$B$6+AJ72*'Item Budget'!$B$8+IFERROR(INDEX('Item Budget'!$N$25:$N$95,MATCH(AL72,'Item Budget'!$B$25:$B$95,0)),0)</f>
        <v/>
      </c>
      <c r="AO72" s="61">
        <f>MAX('Item Budget'!$F$16,INDEX('Gear Budget'!$C$8:$C$14,MATCH($C72,'Gear Budget'!$A$8:$A$14,0))*MIN(AC72,50))*$L72</f>
        <v/>
      </c>
      <c r="AP72" s="41">
        <f>IF($C72="Caster weapon",AN72,MAX(AM72,AN72))/AO72</f>
        <v/>
      </c>
      <c r="AQ72" s="61">
        <f>IF(OR($C72="Weapon",$C72="Caster weapon"),"",'Gear Budget'!$B$5*MAX(1,MIN(AC72,50))*INDEX('Gear Budget'!$B$8:$B$14,MATCH($C72,'Gear Budget'!$A$8:$A$14,0))*IF($C72="Shield",IF(E72="Warrior",1,IF(OR(E72="Rogue",E72="All"),0.38/0.6,0.25/0.6)),IFERROR(INDEX('Gear Budget'!$B$18:$B$21,MATCH($F72,'Gear Budget'!$A$18:$A$21,0)),1)))</f>
        <v/>
      </c>
      <c r="AR72" s="41">
        <f>IF(AQ72="","",AF72/AQ72)</f>
        <v/>
      </c>
      <c r="AS72" s="64" t="inlineStr">
        <is>
          <t>Raised so it is 10% over Elemental Crown for Magus (pass 2 class weights)</t>
        </is>
      </c>
      <c r="AT72" s="44">
        <f>IF(OR($E72="All",ISNUMBER(SEARCH("Warrior",$E72))),IF($C72="Caster weapon",(AN72+AF72*('Item Budget'!$AB$14-'Item Budget'!$B$11)),(AM72+AF72*('Item Budget'!$AB$14-'Item Budget'!$B$11))),0)</f>
        <v/>
      </c>
      <c r="AU72" s="44">
        <f>IF(OR($E72="All",ISNUMBER(SEARCH("Rogue",$E72))),IF($C72="Caster weapon",(AN72+AF72*('Item Budget'!$AB$15-'Item Budget'!$B$11)),(AM72+AF72*('Item Budget'!$AB$15-'Item Budget'!$B$11))),0)</f>
        <v/>
      </c>
      <c r="AV72" s="44">
        <f>IF(OR($E72="All",ISNUMBER(SEARCH("Magus",$E72))),(AN72+AF72*('Item Budget'!$AB$16-'Item Budget'!$B$11)),0)</f>
        <v/>
      </c>
      <c r="AW72" s="44">
        <f>IF(OR($E72="All",ISNUMBER(SEARCH("Priest",$E72))),(AN72+AF72*('Item Budget'!$AB$17-'Item Budget'!$B$11)),0)</f>
        <v/>
      </c>
      <c r="AX72" s="44">
        <f>IF(AND(OR($E72="All",ISNUMBER(SEARCH("Warrior",$E72))),AC72&gt;='Item Budget'!$R$10),'Item Budget'!$R$7*100*('Item Budget'!$R$14*(AD72+25*AH72)+'Item Budget'!$S$14*(AE72+25*AJ72))/'Item Budget'!$Z$14+'Item Budget'!$R$9*AF72+IFERROR(INDEX('Item Budget'!$O$25:$O$95,MATCH(AL72,'Item Budget'!$B$25:$B$95,0)),0),0)</f>
        <v/>
      </c>
      <c r="AY72" s="44">
        <f>IF(AND(OR($E72="All",ISNUMBER(SEARCH("Rogue",$E72))),AC72&gt;='Item Budget'!$R$10),'Item Budget'!$R$7*100*('Item Budget'!$R$15*(AD72+25*AH72)+'Item Budget'!$S$15*(AE72+25*AJ72))/'Item Budget'!$Z$15+'Item Budget'!$R$9*AF72+IFERROR(INDEX('Item Budget'!$O$25:$O$95,MATCH(AL72,'Item Budget'!$B$25:$B$95,0)),0),0)</f>
        <v/>
      </c>
      <c r="AZ72" s="44">
        <f>IF(AND(OR($E72="All",ISNUMBER(SEARCH("Magus",$E72))),AC72&gt;='Item Budget'!$R$10),'Item Budget'!$R$7*100*('Item Budget'!$R$16*(AD72+25*AH72)+'Item Budget'!$S$16*(AE72+25*AJ72))/'Item Budget'!$Z$16+'Item Budget'!$R$9*AF72+IFERROR(INDEX('Item Budget'!$O$25:$O$95,MATCH(AL72,'Item Budget'!$B$25:$B$95,0)),0),0)</f>
        <v/>
      </c>
      <c r="BA72" s="44">
        <f>IF(AND(OR($E72="All",ISNUMBER(SEARCH("Priest",$E72))),AC72&gt;='Item Budget'!$R$10),'Item Budget'!$R$7*100*('Item Budget'!$R$17*(AD72+25*AH72)+'Item Budget'!$S$17*(AE72+25*AJ72))/'Item Budget'!$Z$17+'Item Budget'!$R$9*AF72+IFERROR(INDEX('Item Budget'!$O$25:$O$95,MATCH(AL72,'Item Budget'!$B$25:$B$95,0)),0),0)</f>
        <v/>
      </c>
      <c r="BB72" s="52">
        <f>IF(OR($I72&lt;1,IF($I72&gt;=6,AX72,AT72)&lt;=0),"",IF(SUMPRODUCT(MAX(($C$5:$C$215=$C72)*($I$5:$I$215&gt;=1)*($I$5:$I$215&lt;$I72)*IF($I72&gt;=6,$AX$5:$AX$215,$AT$5:$AT$215)))&lt;=0,"",SUMPRODUCT(MAX(($C$5:$C$215=$C72)*($I$5:$I$215=$I72)*IF($I72&gt;=6,$AX$5:$AX$215,$AT$5:$AT$215)))/SUMPRODUCT(MAX(($C$5:$C$215=$C72)*($I$5:$I$215&gt;=1)*($I$5:$I$215&lt;$I72)*IF($I72&gt;=6,$AX$5:$AX$215,$AT$5:$AT$215)))-1))</f>
        <v/>
      </c>
      <c r="BC72" s="52">
        <f>IF(OR($I72&lt;1,IF($I72&gt;=6,AY72,AU72)&lt;=0),"",IF(SUMPRODUCT(MAX(($C$5:$C$215=$C72)*($I$5:$I$215&gt;=1)*($I$5:$I$215&lt;$I72)*IF($I72&gt;=6,$AY$5:$AY$215,$AU$5:$AU$215)))&lt;=0,"",SUMPRODUCT(MAX(($C$5:$C$215=$C72)*($I$5:$I$215=$I72)*IF($I72&gt;=6,$AY$5:$AY$215,$AU$5:$AU$215)))/SUMPRODUCT(MAX(($C$5:$C$215=$C72)*($I$5:$I$215&gt;=1)*($I$5:$I$215&lt;$I72)*IF($I72&gt;=6,$AY$5:$AY$215,$AU$5:$AU$215)))-1))</f>
        <v/>
      </c>
      <c r="BD72" s="52">
        <f>IF(OR($I72&lt;1,IF($I72&gt;=6,AZ72,AV72)&lt;=0),"",IF(SUMPRODUCT(MAX(($C$5:$C$215=$C72)*($I$5:$I$215&gt;=1)*($I$5:$I$215&lt;$I72)*IF($I72&gt;=6,$AZ$5:$AZ$215,$AV$5:$AV$215)))&lt;=0,"",SUMPRODUCT(MAX(($C$5:$C$215=$C72)*($I$5:$I$215=$I72)*IF($I72&gt;=6,$AZ$5:$AZ$215,$AV$5:$AV$215)))/SUMPRODUCT(MAX(($C$5:$C$215=$C72)*($I$5:$I$215&gt;=1)*($I$5:$I$215&lt;$I72)*IF($I72&gt;=6,$AZ$5:$AZ$215,$AV$5:$AV$215)))-1))</f>
        <v/>
      </c>
      <c r="BE72" s="52">
        <f>IF(OR($I72&lt;1,IF($I72&gt;=6,BA72,AW72)&lt;=0),"",IF(SUMPRODUCT(MAX(($C$5:$C$215=$C72)*($I$5:$I$215&gt;=1)*($I$5:$I$215&lt;$I72)*IF($I72&gt;=6,$BA$5:$BA$215,$AW$5:$AW$215)))&lt;=0,"",SUMPRODUCT(MAX(($C$5:$C$215=$C72)*($I$5:$I$215=$I72)*IF($I72&gt;=6,$BA$5:$BA$215,$AW$5:$AW$215)))/SUMPRODUCT(MAX(($C$5:$C$215=$C72)*($I$5:$I$215&gt;=1)*($I$5:$I$215&lt;$I72)*IF($I72&gt;=6,$BA$5:$BA$215,$AW$5:$AW$215)))-1))</f>
        <v/>
      </c>
      <c r="BF72" s="19">
        <f>IF(AND(BB72="",BC72="",BD72="",BE72=""),"",IF(IF(AND(ISNUMBER(BB72),BB72&lt;'Item Budget'!$R$11),"W ","")&amp;IF(AND(ISNUMBER(BC72),BC72&lt;'Item Budget'!$R$11),"R ","")&amp;IF(AND(ISNUMBER(BD72),BD72&lt;'Item Budget'!$R$11),"M ","")&amp;IF(AND(ISNUMBER(BE72),BE72&lt;'Item Budget'!$R$11),"P ","")="","OK","Not above lower step: "&amp;IF(AND(ISNUMBER(BB72),BB72&lt;'Item Budget'!$R$11),"W ","")&amp;IF(AND(ISNUMBER(BC72),BC72&lt;'Item Budget'!$R$11),"R ","")&amp;IF(AND(ISNUMBER(BD72),BD72&lt;'Item Budget'!$R$11),"M ","")&amp;IF(AND(ISNUMBER(BE72),BE72&lt;'Item Budget'!$R$11),"P ","")))</f>
        <v/>
      </c>
    </row>
    <row r="73">
      <c r="A73" s="21" t="n">
        <v>95</v>
      </c>
      <c r="B73" s="21" t="inlineStr">
        <is>
          <t>Gold Helmet</t>
        </is>
      </c>
      <c r="C73" s="21" t="inlineStr">
        <is>
          <t>Helmet</t>
        </is>
      </c>
      <c r="D73" s="21" t="inlineStr">
        <is>
          <t>Rogue/Warrior</t>
        </is>
      </c>
      <c r="E73" s="21" t="inlineStr">
        <is>
          <t>Rogue/Warrior</t>
        </is>
      </c>
      <c r="F73" s="21" t="inlineStr">
        <is>
          <t>Warrior plate</t>
        </is>
      </c>
      <c r="G73" s="21" t="inlineStr">
        <is>
          <t>drop: Insanity 10%</t>
        </is>
      </c>
      <c r="H73" s="37" t="n">
        <v>0</v>
      </c>
      <c r="I73" s="21" t="n">
        <v>4</v>
      </c>
      <c r="J73" s="19" t="inlineStr">
        <is>
          <t>Leave</t>
        </is>
      </c>
      <c r="K73" s="21" t="inlineStr">
        <is>
          <t>Rare boss drop</t>
        </is>
      </c>
      <c r="L73" s="31">
        <f>INDEX('Item Budget'!$F$5:$F$13,MATCH(K73,'Item Budget'!$E$5:$E$13,0))+IF(E73="All",0,'Item Budget'!$F$15)+LOOKUP(H73,'Item Budget'!$E$19:$E$23,'Item Budget'!$F$19:$F$23)</f>
        <v/>
      </c>
      <c r="M73" s="21" t="n">
        <v>50</v>
      </c>
      <c r="N73" s="21" t="n">
        <v>200</v>
      </c>
      <c r="O73" s="21" t="n">
        <v>0</v>
      </c>
      <c r="P73" s="21" t="n">
        <v>100</v>
      </c>
      <c r="Q73" s="21" t="n">
        <v>9</v>
      </c>
      <c r="R73" s="21" t="n">
        <v>14</v>
      </c>
      <c r="S73" s="21" t="n">
        <v>0</v>
      </c>
      <c r="T73" s="21" t="n">
        <v>0</v>
      </c>
      <c r="U73" s="21" t="n">
        <v>0</v>
      </c>
      <c r="V73" s="21" t="inlineStr">
        <is>
          <t>(none)</t>
        </is>
      </c>
      <c r="W73" s="61">
        <f>N73*'Item Budget'!$B$5+R73*'Item Budget'!$B$7+P73*'Item Budget'!$B$11+S73*'Item Budget'!$B$10+Q73*'Item Budget'!$B$9+IFERROR(INDEX('Item Budget'!$M$25:$M$95,MATCH(V73,'Item Budget'!$B$25:$B$95,0)),0)+IF($C73="Weapon",U73*'Item Budget'!$B$9,0)</f>
        <v/>
      </c>
      <c r="X73" s="61">
        <f>N73*'Item Budget'!$B$5+R73*'Item Budget'!$B$7+P73*'Item Budget'!$B$11+S73*'Item Budget'!$B$10+O73*'Item Budget'!$B$6+T73*'Item Budget'!$B$8+IFERROR(INDEX('Item Budget'!$N$25:$N$95,MATCH(V73,'Item Budget'!$B$25:$B$95,0)),0)</f>
        <v/>
      </c>
      <c r="Y73" s="61">
        <f>MAX('Item Budget'!$F$16,INDEX('Gear Budget'!$C$8:$C$14,MATCH($C73,'Gear Budget'!$A$8:$A$14,0))*MIN(M73,50))*$L73</f>
        <v/>
      </c>
      <c r="Z73" s="41">
        <f>IF($C73="Caster weapon",X73,MAX(W73,X73))/Y73</f>
        <v/>
      </c>
      <c r="AA73" s="61">
        <f>IF(OR($C73="Weapon",$C73="Caster weapon"),"",'Gear Budget'!$B$5*MAX(1,MIN(M73,50))*INDEX('Gear Budget'!$B$8:$B$14,MATCH($C73,'Gear Budget'!$A$8:$A$14,0))*IF($C73="Shield",IF(D73="Warrior",1,IF(OR(D73="Rogue",D73="All"),0.38/0.6,0.25/0.6)),IFERROR(INDEX('Gear Budget'!$B$18:$B$21,MATCH($F73,'Gear Budget'!$A$18:$A$21,0)),1)))</f>
        <v/>
      </c>
      <c r="AB73" s="41">
        <f>IF(AA73="","",P73/AA73)</f>
        <v/>
      </c>
      <c r="AC73" s="21" t="n">
        <v>50</v>
      </c>
      <c r="AD73" s="21" t="n">
        <v>200</v>
      </c>
      <c r="AE73" s="21" t="n">
        <v>0</v>
      </c>
      <c r="AF73" s="21" t="n">
        <v>100</v>
      </c>
      <c r="AG73" s="21" t="n">
        <v>9</v>
      </c>
      <c r="AH73" s="21" t="n">
        <v>14</v>
      </c>
      <c r="AI73" s="21" t="n">
        <v>0</v>
      </c>
      <c r="AJ73" s="21" t="n">
        <v>0</v>
      </c>
      <c r="AK73" s="21" t="n">
        <v>0</v>
      </c>
      <c r="AL73" s="21" t="inlineStr">
        <is>
          <t>(none)</t>
        </is>
      </c>
      <c r="AM73" s="61">
        <f>AD73*'Item Budget'!$B$5+AH73*'Item Budget'!$B$7+AF73*'Item Budget'!$B$11+AI73*'Item Budget'!$B$10+AG73*'Item Budget'!$B$9+IFERROR(INDEX('Item Budget'!$M$25:$M$95,MATCH(AL73,'Item Budget'!$B$25:$B$95,0)),0)+IF($C73="Weapon",AK73*'Item Budget'!$B$9,0)</f>
        <v/>
      </c>
      <c r="AN73" s="61">
        <f>AD73*'Item Budget'!$B$5+AH73*'Item Budget'!$B$7+AF73*'Item Budget'!$B$11+AI73*'Item Budget'!$B$10+AE73*'Item Budget'!$B$6+AJ73*'Item Budget'!$B$8+IFERROR(INDEX('Item Budget'!$N$25:$N$95,MATCH(AL73,'Item Budget'!$B$25:$B$95,0)),0)</f>
        <v/>
      </c>
      <c r="AO73" s="61">
        <f>MAX('Item Budget'!$F$16,INDEX('Gear Budget'!$C$8:$C$14,MATCH($C73,'Gear Budget'!$A$8:$A$14,0))*MIN(AC73,50))*$L73</f>
        <v/>
      </c>
      <c r="AP73" s="41">
        <f>IF($C73="Caster weapon",AN73,MAX(AM73,AN73))/AO73</f>
        <v/>
      </c>
      <c r="AQ73" s="61">
        <f>IF(OR($C73="Weapon",$C73="Caster weapon"),"",'Gear Budget'!$B$5*MAX(1,MIN(AC73,50))*INDEX('Gear Budget'!$B$8:$B$14,MATCH($C73,'Gear Budget'!$A$8:$A$14,0))*IF($C73="Shield",IF(E73="Warrior",1,IF(OR(E73="Rogue",E73="All"),0.38/0.6,0.25/0.6)),IFERROR(INDEX('Gear Budget'!$B$18:$B$21,MATCH($F73,'Gear Budget'!$A$18:$A$21,0)),1)))</f>
        <v/>
      </c>
      <c r="AR73" s="41">
        <f>IF(AQ73="","",AF73/AQ73)</f>
        <v/>
      </c>
      <c r="AS73" s="64" t="n"/>
      <c r="AT73" s="44">
        <f>IF(OR($E73="All",ISNUMBER(SEARCH("Warrior",$E73))),IF($C73="Caster weapon",(AN73+AF73*('Item Budget'!$AB$14-'Item Budget'!$B$11)),(AM73+AF73*('Item Budget'!$AB$14-'Item Budget'!$B$11))),0)</f>
        <v/>
      </c>
      <c r="AU73" s="44">
        <f>IF(OR($E73="All",ISNUMBER(SEARCH("Rogue",$E73))),IF($C73="Caster weapon",(AN73+AF73*('Item Budget'!$AB$15-'Item Budget'!$B$11)),(AM73+AF73*('Item Budget'!$AB$15-'Item Budget'!$B$11))),0)</f>
        <v/>
      </c>
      <c r="AV73" s="44">
        <f>IF(OR($E73="All",ISNUMBER(SEARCH("Magus",$E73))),(AN73+AF73*('Item Budget'!$AB$16-'Item Budget'!$B$11)),0)</f>
        <v/>
      </c>
      <c r="AW73" s="44">
        <f>IF(OR($E73="All",ISNUMBER(SEARCH("Priest",$E73))),(AN73+AF73*('Item Budget'!$AB$17-'Item Budget'!$B$11)),0)</f>
        <v/>
      </c>
      <c r="AX73" s="44">
        <f>IF(AND(OR($E73="All",ISNUMBER(SEARCH("Warrior",$E73))),AC73&gt;='Item Budget'!$R$10),'Item Budget'!$R$7*100*('Item Budget'!$R$14*(AD73+25*AH73)+'Item Budget'!$S$14*(AE73+25*AJ73))/'Item Budget'!$Z$14+'Item Budget'!$R$9*AF73+IFERROR(INDEX('Item Budget'!$O$25:$O$95,MATCH(AL73,'Item Budget'!$B$25:$B$95,0)),0),0)</f>
        <v/>
      </c>
      <c r="AY73" s="44">
        <f>IF(AND(OR($E73="All",ISNUMBER(SEARCH("Rogue",$E73))),AC73&gt;='Item Budget'!$R$10),'Item Budget'!$R$7*100*('Item Budget'!$R$15*(AD73+25*AH73)+'Item Budget'!$S$15*(AE73+25*AJ73))/'Item Budget'!$Z$15+'Item Budget'!$R$9*AF73+IFERROR(INDEX('Item Budget'!$O$25:$O$95,MATCH(AL73,'Item Budget'!$B$25:$B$95,0)),0),0)</f>
        <v/>
      </c>
      <c r="AZ73" s="44">
        <f>IF(AND(OR($E73="All",ISNUMBER(SEARCH("Magus",$E73))),AC73&gt;='Item Budget'!$R$10),'Item Budget'!$R$7*100*('Item Budget'!$R$16*(AD73+25*AH73)+'Item Budget'!$S$16*(AE73+25*AJ73))/'Item Budget'!$Z$16+'Item Budget'!$R$9*AF73+IFERROR(INDEX('Item Budget'!$O$25:$O$95,MATCH(AL73,'Item Budget'!$B$25:$B$95,0)),0),0)</f>
        <v/>
      </c>
      <c r="BA73" s="44">
        <f>IF(AND(OR($E73="All",ISNUMBER(SEARCH("Priest",$E73))),AC73&gt;='Item Budget'!$R$10),'Item Budget'!$R$7*100*('Item Budget'!$R$17*(AD73+25*AH73)+'Item Budget'!$S$17*(AE73+25*AJ73))/'Item Budget'!$Z$17+'Item Budget'!$R$9*AF73+IFERROR(INDEX('Item Budget'!$O$25:$O$95,MATCH(AL73,'Item Budget'!$B$25:$B$95,0)),0),0)</f>
        <v/>
      </c>
      <c r="BB73" s="52">
        <f>IF(OR($I73&lt;1,IF($I73&gt;=6,AX73,AT73)&lt;=0),"",IF(SUMPRODUCT(MAX(($C$5:$C$215=$C73)*($I$5:$I$215&gt;=1)*($I$5:$I$215&lt;$I73)*IF($I73&gt;=6,$AX$5:$AX$215,$AT$5:$AT$215)))&lt;=0,"",SUMPRODUCT(MAX(($C$5:$C$215=$C73)*($I$5:$I$215=$I73)*IF($I73&gt;=6,$AX$5:$AX$215,$AT$5:$AT$215)))/SUMPRODUCT(MAX(($C$5:$C$215=$C73)*($I$5:$I$215&gt;=1)*($I$5:$I$215&lt;$I73)*IF($I73&gt;=6,$AX$5:$AX$215,$AT$5:$AT$215)))-1))</f>
        <v/>
      </c>
      <c r="BC73" s="52">
        <f>IF(OR($I73&lt;1,IF($I73&gt;=6,AY73,AU73)&lt;=0),"",IF(SUMPRODUCT(MAX(($C$5:$C$215=$C73)*($I$5:$I$215&gt;=1)*($I$5:$I$215&lt;$I73)*IF($I73&gt;=6,$AY$5:$AY$215,$AU$5:$AU$215)))&lt;=0,"",SUMPRODUCT(MAX(($C$5:$C$215=$C73)*($I$5:$I$215=$I73)*IF($I73&gt;=6,$AY$5:$AY$215,$AU$5:$AU$215)))/SUMPRODUCT(MAX(($C$5:$C$215=$C73)*($I$5:$I$215&gt;=1)*($I$5:$I$215&lt;$I73)*IF($I73&gt;=6,$AY$5:$AY$215,$AU$5:$AU$215)))-1))</f>
        <v/>
      </c>
      <c r="BD73" s="52">
        <f>IF(OR($I73&lt;1,IF($I73&gt;=6,AZ73,AV73)&lt;=0),"",IF(SUMPRODUCT(MAX(($C$5:$C$215=$C73)*($I$5:$I$215&gt;=1)*($I$5:$I$215&lt;$I73)*IF($I73&gt;=6,$AZ$5:$AZ$215,$AV$5:$AV$215)))&lt;=0,"",SUMPRODUCT(MAX(($C$5:$C$215=$C73)*($I$5:$I$215=$I73)*IF($I73&gt;=6,$AZ$5:$AZ$215,$AV$5:$AV$215)))/SUMPRODUCT(MAX(($C$5:$C$215=$C73)*($I$5:$I$215&gt;=1)*($I$5:$I$215&lt;$I73)*IF($I73&gt;=6,$AZ$5:$AZ$215,$AV$5:$AV$215)))-1))</f>
        <v/>
      </c>
      <c r="BE73" s="52">
        <f>IF(OR($I73&lt;1,IF($I73&gt;=6,BA73,AW73)&lt;=0),"",IF(SUMPRODUCT(MAX(($C$5:$C$215=$C73)*($I$5:$I$215&gt;=1)*($I$5:$I$215&lt;$I73)*IF($I73&gt;=6,$BA$5:$BA$215,$AW$5:$AW$215)))&lt;=0,"",SUMPRODUCT(MAX(($C$5:$C$215=$C73)*($I$5:$I$215=$I73)*IF($I73&gt;=6,$BA$5:$BA$215,$AW$5:$AW$215)))/SUMPRODUCT(MAX(($C$5:$C$215=$C73)*($I$5:$I$215&gt;=1)*($I$5:$I$215&lt;$I73)*IF($I73&gt;=6,$BA$5:$BA$215,$AW$5:$AW$215)))-1))</f>
        <v/>
      </c>
      <c r="BF73" s="19">
        <f>IF(AND(BB73="",BC73="",BD73="",BE73=""),"",IF(IF(AND(ISNUMBER(BB73),BB73&lt;'Item Budget'!$R$11),"W ","")&amp;IF(AND(ISNUMBER(BC73),BC73&lt;'Item Budget'!$R$11),"R ","")&amp;IF(AND(ISNUMBER(BD73),BD73&lt;'Item Budget'!$R$11),"M ","")&amp;IF(AND(ISNUMBER(BE73),BE73&lt;'Item Budget'!$R$11),"P ","")="","OK","Not above lower step: "&amp;IF(AND(ISNUMBER(BB73),BB73&lt;'Item Budget'!$R$11),"W ","")&amp;IF(AND(ISNUMBER(BC73),BC73&lt;'Item Budget'!$R$11),"R ","")&amp;IF(AND(ISNUMBER(BD73),BD73&lt;'Item Budget'!$R$11),"M ","")&amp;IF(AND(ISNUMBER(BE73),BE73&lt;'Item Budget'!$R$11),"P ","")))</f>
        <v/>
      </c>
    </row>
    <row r="74">
      <c r="A74" s="21" t="n">
        <v>373</v>
      </c>
      <c r="B74" s="21" t="inlineStr">
        <is>
          <t>Valiant Helmet</t>
        </is>
      </c>
      <c r="C74" s="21" t="inlineStr">
        <is>
          <t>Helmet</t>
        </is>
      </c>
      <c r="D74" s="21" t="inlineStr">
        <is>
          <t>Rogue/Warrior</t>
        </is>
      </c>
      <c r="E74" s="21" t="inlineStr">
        <is>
          <t>Rogue/Warrior</t>
        </is>
      </c>
      <c r="F74" s="21" t="inlineStr">
        <is>
          <t>Warrior plate</t>
        </is>
      </c>
      <c r="G74" s="21" t="inlineStr">
        <is>
          <t>drop: Nibbles II 5%</t>
        </is>
      </c>
      <c r="H74" s="37" t="n">
        <v>0</v>
      </c>
      <c r="I74" s="21" t="n">
        <v>5</v>
      </c>
      <c r="J74" s="3" t="inlineStr">
        <is>
          <t>Applied</t>
        </is>
      </c>
      <c r="K74" s="21" t="inlineStr">
        <is>
          <t>Rare boss drop</t>
        </is>
      </c>
      <c r="L74" s="31">
        <f>INDEX('Item Budget'!$F$5:$F$13,MATCH(K74,'Item Budget'!$E$5:$E$13,0))+IF(E74="All",0,'Item Budget'!$F$15)+LOOKUP(H74,'Item Budget'!$E$19:$E$23,'Item Budget'!$F$19:$F$23)</f>
        <v/>
      </c>
      <c r="M74" s="21" t="n">
        <v>50</v>
      </c>
      <c r="N74" s="21" t="n">
        <v>400</v>
      </c>
      <c r="O74" s="21" t="n">
        <v>100</v>
      </c>
      <c r="P74" s="21" t="n">
        <v>130</v>
      </c>
      <c r="Q74" s="21" t="n">
        <v>14</v>
      </c>
      <c r="R74" s="21" t="n">
        <v>7</v>
      </c>
      <c r="S74" s="21" t="n">
        <v>7</v>
      </c>
      <c r="T74" s="21" t="n">
        <v>0</v>
      </c>
      <c r="U74" s="21" t="n">
        <v>0</v>
      </c>
      <c r="V74" s="21" t="inlineStr">
        <is>
          <t>(none)</t>
        </is>
      </c>
      <c r="W74" s="61">
        <f>N74*'Item Budget'!$B$5+R74*'Item Budget'!$B$7+P74*'Item Budget'!$B$11+S74*'Item Budget'!$B$10+Q74*'Item Budget'!$B$9+IFERROR(INDEX('Item Budget'!$M$25:$M$95,MATCH(V74,'Item Budget'!$B$25:$B$95,0)),0)+IF($C74="Weapon",U74*'Item Budget'!$B$9,0)</f>
        <v/>
      </c>
      <c r="X74" s="61">
        <f>N74*'Item Budget'!$B$5+R74*'Item Budget'!$B$7+P74*'Item Budget'!$B$11+S74*'Item Budget'!$B$10+O74*'Item Budget'!$B$6+T74*'Item Budget'!$B$8+IFERROR(INDEX('Item Budget'!$N$25:$N$95,MATCH(V74,'Item Budget'!$B$25:$B$95,0)),0)</f>
        <v/>
      </c>
      <c r="Y74" s="61">
        <f>MAX('Item Budget'!$F$16,INDEX('Gear Budget'!$C$8:$C$14,MATCH($C74,'Gear Budget'!$A$8:$A$14,0))*MIN(M74,50))*$L74</f>
        <v/>
      </c>
      <c r="Z74" s="41">
        <f>IF($C74="Caster weapon",X74,MAX(W74,X74))/Y74</f>
        <v/>
      </c>
      <c r="AA74" s="61">
        <f>IF(OR($C74="Weapon",$C74="Caster weapon"),"",'Gear Budget'!$B$5*MAX(1,MIN(M74,50))*INDEX('Gear Budget'!$B$8:$B$14,MATCH($C74,'Gear Budget'!$A$8:$A$14,0))*IF($C74="Shield",IF(D74="Warrior",1,IF(OR(D74="Rogue",D74="All"),0.38/0.6,0.25/0.6)),IFERROR(INDEX('Gear Budget'!$B$18:$B$21,MATCH($F74,'Gear Budget'!$A$18:$A$21,0)),1)))</f>
        <v/>
      </c>
      <c r="AB74" s="41">
        <f>IF(AA74="","",P74/AA74)</f>
        <v/>
      </c>
      <c r="AC74" s="21" t="n">
        <v>50</v>
      </c>
      <c r="AD74" s="21" t="n">
        <v>400</v>
      </c>
      <c r="AE74" s="21" t="n">
        <v>100</v>
      </c>
      <c r="AF74" s="21" t="n">
        <v>130</v>
      </c>
      <c r="AG74" s="21" t="n">
        <v>14</v>
      </c>
      <c r="AH74" s="21" t="n">
        <v>7</v>
      </c>
      <c r="AI74" s="21" t="n">
        <v>7</v>
      </c>
      <c r="AJ74" s="21" t="n">
        <v>0</v>
      </c>
      <c r="AK74" s="21" t="n">
        <v>0</v>
      </c>
      <c r="AL74" s="21" t="inlineStr">
        <is>
          <t>(none)</t>
        </is>
      </c>
      <c r="AM74" s="61">
        <f>AD74*'Item Budget'!$B$5+AH74*'Item Budget'!$B$7+AF74*'Item Budget'!$B$11+AI74*'Item Budget'!$B$10+AG74*'Item Budget'!$B$9+IFERROR(INDEX('Item Budget'!$M$25:$M$95,MATCH(AL74,'Item Budget'!$B$25:$B$95,0)),0)+IF($C74="Weapon",AK74*'Item Budget'!$B$9,0)</f>
        <v/>
      </c>
      <c r="AN74" s="61">
        <f>AD74*'Item Budget'!$B$5+AH74*'Item Budget'!$B$7+AF74*'Item Budget'!$B$11+AI74*'Item Budget'!$B$10+AE74*'Item Budget'!$B$6+AJ74*'Item Budget'!$B$8+IFERROR(INDEX('Item Budget'!$N$25:$N$95,MATCH(AL74,'Item Budget'!$B$25:$B$95,0)),0)</f>
        <v/>
      </c>
      <c r="AO74" s="61">
        <f>MAX('Item Budget'!$F$16,INDEX('Gear Budget'!$C$8:$C$14,MATCH($C74,'Gear Budget'!$A$8:$A$14,0))*MIN(AC74,50))*$L74</f>
        <v/>
      </c>
      <c r="AP74" s="41">
        <f>IF($C74="Caster weapon",AN74,MAX(AM74,AN74))/AO74</f>
        <v/>
      </c>
      <c r="AQ74" s="61">
        <f>IF(OR($C74="Weapon",$C74="Caster weapon"),"",'Gear Budget'!$B$5*MAX(1,MIN(AC74,50))*INDEX('Gear Budget'!$B$8:$B$14,MATCH($C74,'Gear Budget'!$A$8:$A$14,0))*IF($C74="Shield",IF(E74="Warrior",1,IF(OR(E74="Rogue",E74="All"),0.38/0.6,0.25/0.6)),IFERROR(INDEX('Gear Budget'!$B$18:$B$21,MATCH($F74,'Gear Budget'!$A$18:$A$21,0)),1)))</f>
        <v/>
      </c>
      <c r="AR74" s="41">
        <f>IF(AQ74="","",AF74/AQ74)</f>
        <v/>
      </c>
      <c r="AS74" s="64" t="inlineStr">
        <is>
          <t>Pass 1 (applied): Nibbles II (step 4): HP 200 -&gt; 400, STR 10 -&gt; 14 to clear Devastators Helmet (step 3).</t>
        </is>
      </c>
      <c r="AT74" s="44">
        <f>IF(OR($E74="All",ISNUMBER(SEARCH("Warrior",$E74))),IF($C74="Caster weapon",(AN74+AF74*('Item Budget'!$AB$14-'Item Budget'!$B$11)),(AM74+AF74*('Item Budget'!$AB$14-'Item Budget'!$B$11))),0)</f>
        <v/>
      </c>
      <c r="AU74" s="44">
        <f>IF(OR($E74="All",ISNUMBER(SEARCH("Rogue",$E74))),IF($C74="Caster weapon",(AN74+AF74*('Item Budget'!$AB$15-'Item Budget'!$B$11)),(AM74+AF74*('Item Budget'!$AB$15-'Item Budget'!$B$11))),0)</f>
        <v/>
      </c>
      <c r="AV74" s="44">
        <f>IF(OR($E74="All",ISNUMBER(SEARCH("Magus",$E74))),(AN74+AF74*('Item Budget'!$AB$16-'Item Budget'!$B$11)),0)</f>
        <v/>
      </c>
      <c r="AW74" s="44">
        <f>IF(OR($E74="All",ISNUMBER(SEARCH("Priest",$E74))),(AN74+AF74*('Item Budget'!$AB$17-'Item Budget'!$B$11)),0)</f>
        <v/>
      </c>
      <c r="AX74" s="44">
        <f>IF(AND(OR($E74="All",ISNUMBER(SEARCH("Warrior",$E74))),AC74&gt;='Item Budget'!$R$10),'Item Budget'!$R$7*100*('Item Budget'!$R$14*(AD74+25*AH74)+'Item Budget'!$S$14*(AE74+25*AJ74))/'Item Budget'!$Z$14+'Item Budget'!$R$9*AF74+IFERROR(INDEX('Item Budget'!$O$25:$O$95,MATCH(AL74,'Item Budget'!$B$25:$B$95,0)),0),0)</f>
        <v/>
      </c>
      <c r="AY74" s="44">
        <f>IF(AND(OR($E74="All",ISNUMBER(SEARCH("Rogue",$E74))),AC74&gt;='Item Budget'!$R$10),'Item Budget'!$R$7*100*('Item Budget'!$R$15*(AD74+25*AH74)+'Item Budget'!$S$15*(AE74+25*AJ74))/'Item Budget'!$Z$15+'Item Budget'!$R$9*AF74+IFERROR(INDEX('Item Budget'!$O$25:$O$95,MATCH(AL74,'Item Budget'!$B$25:$B$95,0)),0),0)</f>
        <v/>
      </c>
      <c r="AZ74" s="44">
        <f>IF(AND(OR($E74="All",ISNUMBER(SEARCH("Magus",$E74))),AC74&gt;='Item Budget'!$R$10),'Item Budget'!$R$7*100*('Item Budget'!$R$16*(AD74+25*AH74)+'Item Budget'!$S$16*(AE74+25*AJ74))/'Item Budget'!$Z$16+'Item Budget'!$R$9*AF74+IFERROR(INDEX('Item Budget'!$O$25:$O$95,MATCH(AL74,'Item Budget'!$B$25:$B$95,0)),0),0)</f>
        <v/>
      </c>
      <c r="BA74" s="44">
        <f>IF(AND(OR($E74="All",ISNUMBER(SEARCH("Priest",$E74))),AC74&gt;='Item Budget'!$R$10),'Item Budget'!$R$7*100*('Item Budget'!$R$17*(AD74+25*AH74)+'Item Budget'!$S$17*(AE74+25*AJ74))/'Item Budget'!$Z$17+'Item Budget'!$R$9*AF74+IFERROR(INDEX('Item Budget'!$O$25:$O$95,MATCH(AL74,'Item Budget'!$B$25:$B$95,0)),0),0)</f>
        <v/>
      </c>
      <c r="BB74" s="52">
        <f>IF(OR($I74&lt;1,IF($I74&gt;=6,AX74,AT74)&lt;=0),"",IF(SUMPRODUCT(MAX(($C$5:$C$215=$C74)*($I$5:$I$215&gt;=1)*($I$5:$I$215&lt;$I74)*IF($I74&gt;=6,$AX$5:$AX$215,$AT$5:$AT$215)))&lt;=0,"",SUMPRODUCT(MAX(($C$5:$C$215=$C74)*($I$5:$I$215=$I74)*IF($I74&gt;=6,$AX$5:$AX$215,$AT$5:$AT$215)))/SUMPRODUCT(MAX(($C$5:$C$215=$C74)*($I$5:$I$215&gt;=1)*($I$5:$I$215&lt;$I74)*IF($I74&gt;=6,$AX$5:$AX$215,$AT$5:$AT$215)))-1))</f>
        <v/>
      </c>
      <c r="BC74" s="52">
        <f>IF(OR($I74&lt;1,IF($I74&gt;=6,AY74,AU74)&lt;=0),"",IF(SUMPRODUCT(MAX(($C$5:$C$215=$C74)*($I$5:$I$215&gt;=1)*($I$5:$I$215&lt;$I74)*IF($I74&gt;=6,$AY$5:$AY$215,$AU$5:$AU$215)))&lt;=0,"",SUMPRODUCT(MAX(($C$5:$C$215=$C74)*($I$5:$I$215=$I74)*IF($I74&gt;=6,$AY$5:$AY$215,$AU$5:$AU$215)))/SUMPRODUCT(MAX(($C$5:$C$215=$C74)*($I$5:$I$215&gt;=1)*($I$5:$I$215&lt;$I74)*IF($I74&gt;=6,$AY$5:$AY$215,$AU$5:$AU$215)))-1))</f>
        <v/>
      </c>
      <c r="BD74" s="52">
        <f>IF(OR($I74&lt;1,IF($I74&gt;=6,AZ74,AV74)&lt;=0),"",IF(SUMPRODUCT(MAX(($C$5:$C$215=$C74)*($I$5:$I$215&gt;=1)*($I$5:$I$215&lt;$I74)*IF($I74&gt;=6,$AZ$5:$AZ$215,$AV$5:$AV$215)))&lt;=0,"",SUMPRODUCT(MAX(($C$5:$C$215=$C74)*($I$5:$I$215=$I74)*IF($I74&gt;=6,$AZ$5:$AZ$215,$AV$5:$AV$215)))/SUMPRODUCT(MAX(($C$5:$C$215=$C74)*($I$5:$I$215&gt;=1)*($I$5:$I$215&lt;$I74)*IF($I74&gt;=6,$AZ$5:$AZ$215,$AV$5:$AV$215)))-1))</f>
        <v/>
      </c>
      <c r="BE74" s="52">
        <f>IF(OR($I74&lt;1,IF($I74&gt;=6,BA74,AW74)&lt;=0),"",IF(SUMPRODUCT(MAX(($C$5:$C$215=$C74)*($I$5:$I$215&gt;=1)*($I$5:$I$215&lt;$I74)*IF($I74&gt;=6,$BA$5:$BA$215,$AW$5:$AW$215)))&lt;=0,"",SUMPRODUCT(MAX(($C$5:$C$215=$C74)*($I$5:$I$215=$I74)*IF($I74&gt;=6,$BA$5:$BA$215,$AW$5:$AW$215)))/SUMPRODUCT(MAX(($C$5:$C$215=$C74)*($I$5:$I$215&gt;=1)*($I$5:$I$215&lt;$I74)*IF($I74&gt;=6,$BA$5:$BA$215,$AW$5:$AW$215)))-1))</f>
        <v/>
      </c>
      <c r="BF74" s="19">
        <f>IF(AND(BB74="",BC74="",BD74="",BE74=""),"",IF(IF(AND(ISNUMBER(BB74),BB74&lt;'Item Budget'!$R$11),"W ","")&amp;IF(AND(ISNUMBER(BC74),BC74&lt;'Item Budget'!$R$11),"R ","")&amp;IF(AND(ISNUMBER(BD74),BD74&lt;'Item Budget'!$R$11),"M ","")&amp;IF(AND(ISNUMBER(BE74),BE74&lt;'Item Budget'!$R$11),"P ","")="","OK","Not above lower step: "&amp;IF(AND(ISNUMBER(BB74),BB74&lt;'Item Budget'!$R$11),"W ","")&amp;IF(AND(ISNUMBER(BC74),BC74&lt;'Item Budget'!$R$11),"R ","")&amp;IF(AND(ISNUMBER(BD74),BD74&lt;'Item Budget'!$R$11),"M ","")&amp;IF(AND(ISNUMBER(BE74),BE74&lt;'Item Budget'!$R$11),"P ","")))</f>
        <v/>
      </c>
    </row>
    <row r="75">
      <c r="A75" s="21" t="n">
        <v>377</v>
      </c>
      <c r="B75" s="21" t="inlineStr">
        <is>
          <t>Valiant Cap</t>
        </is>
      </c>
      <c r="C75" s="21" t="inlineStr">
        <is>
          <t>Helmet</t>
        </is>
      </c>
      <c r="D75" s="21" t="inlineStr">
        <is>
          <t>Magus/Priest</t>
        </is>
      </c>
      <c r="E75" s="21" t="inlineStr">
        <is>
          <t>Magus/Priest</t>
        </is>
      </c>
      <c r="F75" s="21" t="inlineStr">
        <is>
          <t>Caster cloth</t>
        </is>
      </c>
      <c r="G75" s="21" t="inlineStr">
        <is>
          <t>drop: Nibbles II 5%</t>
        </is>
      </c>
      <c r="H75" s="37" t="n">
        <v>0</v>
      </c>
      <c r="I75" s="21" t="n">
        <v>5</v>
      </c>
      <c r="J75" s="19" t="inlineStr">
        <is>
          <t>Pass 2</t>
        </is>
      </c>
      <c r="K75" s="21" t="inlineStr">
        <is>
          <t>Rare boss drop</t>
        </is>
      </c>
      <c r="L75" s="31">
        <f>INDEX('Item Budget'!$F$5:$F$13,MATCH(K75,'Item Budget'!$E$5:$E$13,0))+IF(E75="All",0,'Item Budget'!$F$15)+LOOKUP(H75,'Item Budget'!$E$19:$E$23,'Item Budget'!$F$19:$F$23)</f>
        <v/>
      </c>
      <c r="M75" s="21" t="n">
        <v>50</v>
      </c>
      <c r="N75" s="21" t="n">
        <v>200</v>
      </c>
      <c r="O75" s="21" t="n">
        <v>100</v>
      </c>
      <c r="P75" s="21" t="n">
        <v>70</v>
      </c>
      <c r="Q75" s="21" t="n">
        <v>0</v>
      </c>
      <c r="R75" s="21" t="n">
        <v>8</v>
      </c>
      <c r="S75" s="21" t="n">
        <v>0</v>
      </c>
      <c r="T75" s="21" t="n">
        <v>18</v>
      </c>
      <c r="U75" s="21" t="n">
        <v>0</v>
      </c>
      <c r="V75" s="21" t="inlineStr">
        <is>
          <t>(none)</t>
        </is>
      </c>
      <c r="W75" s="61">
        <f>N75*'Item Budget'!$B$5+R75*'Item Budget'!$B$7+P75*'Item Budget'!$B$11+S75*'Item Budget'!$B$10+Q75*'Item Budget'!$B$9+IFERROR(INDEX('Item Budget'!$M$25:$M$95,MATCH(V75,'Item Budget'!$B$25:$B$95,0)),0)+IF($C75="Weapon",U75*'Item Budget'!$B$9,0)</f>
        <v/>
      </c>
      <c r="X75" s="61">
        <f>N75*'Item Budget'!$B$5+R75*'Item Budget'!$B$7+P75*'Item Budget'!$B$11+S75*'Item Budget'!$B$10+O75*'Item Budget'!$B$6+T75*'Item Budget'!$B$8+IFERROR(INDEX('Item Budget'!$N$25:$N$95,MATCH(V75,'Item Budget'!$B$25:$B$95,0)),0)</f>
        <v/>
      </c>
      <c r="Y75" s="61">
        <f>MAX('Item Budget'!$F$16,INDEX('Gear Budget'!$C$8:$C$14,MATCH($C75,'Gear Budget'!$A$8:$A$14,0))*MIN(M75,50))*$L75</f>
        <v/>
      </c>
      <c r="Z75" s="41">
        <f>IF($C75="Caster weapon",X75,MAX(W75,X75))/Y75</f>
        <v/>
      </c>
      <c r="AA75" s="61">
        <f>IF(OR($C75="Weapon",$C75="Caster weapon"),"",'Gear Budget'!$B$5*MAX(1,MIN(M75,50))*INDEX('Gear Budget'!$B$8:$B$14,MATCH($C75,'Gear Budget'!$A$8:$A$14,0))*IF($C75="Shield",IF(D75="Warrior",1,IF(OR(D75="Rogue",D75="All"),0.38/0.6,0.25/0.6)),IFERROR(INDEX('Gear Budget'!$B$18:$B$21,MATCH($F75,'Gear Budget'!$A$18:$A$21,0)),1)))</f>
        <v/>
      </c>
      <c r="AB75" s="41">
        <f>IF(AA75="","",P75/AA75)</f>
        <v/>
      </c>
      <c r="AC75" s="21" t="n">
        <v>50</v>
      </c>
      <c r="AD75" s="20" t="n">
        <v>300</v>
      </c>
      <c r="AE75" s="20" t="n">
        <v>145</v>
      </c>
      <c r="AF75" s="21" t="n">
        <v>70</v>
      </c>
      <c r="AG75" s="21" t="n">
        <v>0</v>
      </c>
      <c r="AH75" s="20" t="n">
        <v>12</v>
      </c>
      <c r="AI75" s="21" t="n">
        <v>0</v>
      </c>
      <c r="AJ75" s="20" t="n">
        <v>27</v>
      </c>
      <c r="AK75" s="21" t="n">
        <v>0</v>
      </c>
      <c r="AL75" s="21" t="inlineStr">
        <is>
          <t>(none)</t>
        </is>
      </c>
      <c r="AM75" s="61">
        <f>AD75*'Item Budget'!$B$5+AH75*'Item Budget'!$B$7+AF75*'Item Budget'!$B$11+AI75*'Item Budget'!$B$10+AG75*'Item Budget'!$B$9+IFERROR(INDEX('Item Budget'!$M$25:$M$95,MATCH(AL75,'Item Budget'!$B$25:$B$95,0)),0)+IF($C75="Weapon",AK75*'Item Budget'!$B$9,0)</f>
        <v/>
      </c>
      <c r="AN75" s="61">
        <f>AD75*'Item Budget'!$B$5+AH75*'Item Budget'!$B$7+AF75*'Item Budget'!$B$11+AI75*'Item Budget'!$B$10+AE75*'Item Budget'!$B$6+AJ75*'Item Budget'!$B$8+IFERROR(INDEX('Item Budget'!$N$25:$N$95,MATCH(AL75,'Item Budget'!$B$25:$B$95,0)),0)</f>
        <v/>
      </c>
      <c r="AO75" s="61">
        <f>MAX('Item Budget'!$F$16,INDEX('Gear Budget'!$C$8:$C$14,MATCH($C75,'Gear Budget'!$A$8:$A$14,0))*MIN(AC75,50))*$L75</f>
        <v/>
      </c>
      <c r="AP75" s="41">
        <f>IF($C75="Caster weapon",AN75,MAX(AM75,AN75))/AO75</f>
        <v/>
      </c>
      <c r="AQ75" s="61">
        <f>IF(OR($C75="Weapon",$C75="Caster weapon"),"",'Gear Budget'!$B$5*MAX(1,MIN(AC75,50))*INDEX('Gear Budget'!$B$8:$B$14,MATCH($C75,'Gear Budget'!$A$8:$A$14,0))*IF($C75="Shield",IF(E75="Warrior",1,IF(OR(E75="Rogue",E75="All"),0.38/0.6,0.25/0.6)),IFERROR(INDEX('Gear Budget'!$B$18:$B$21,MATCH($F75,'Gear Budget'!$A$18:$A$21,0)),1)))</f>
        <v/>
      </c>
      <c r="AR75" s="41">
        <f>IF(AQ75="","",AF75/AQ75)</f>
        <v/>
      </c>
      <c r="AS75" s="64" t="inlineStr">
        <is>
          <t>Raised so it is 10% over Whirling Hat for Magus (pass 2 class weights)</t>
        </is>
      </c>
      <c r="AT75" s="44">
        <f>IF(OR($E75="All",ISNUMBER(SEARCH("Warrior",$E75))),IF($C75="Caster weapon",(AN75+AF75*('Item Budget'!$AB$14-'Item Budget'!$B$11)),(AM75+AF75*('Item Budget'!$AB$14-'Item Budget'!$B$11))),0)</f>
        <v/>
      </c>
      <c r="AU75" s="44">
        <f>IF(OR($E75="All",ISNUMBER(SEARCH("Rogue",$E75))),IF($C75="Caster weapon",(AN75+AF75*('Item Budget'!$AB$15-'Item Budget'!$B$11)),(AM75+AF75*('Item Budget'!$AB$15-'Item Budget'!$B$11))),0)</f>
        <v/>
      </c>
      <c r="AV75" s="44">
        <f>IF(OR($E75="All",ISNUMBER(SEARCH("Magus",$E75))),(AN75+AF75*('Item Budget'!$AB$16-'Item Budget'!$B$11)),0)</f>
        <v/>
      </c>
      <c r="AW75" s="44">
        <f>IF(OR($E75="All",ISNUMBER(SEARCH("Priest",$E75))),(AN75+AF75*('Item Budget'!$AB$17-'Item Budget'!$B$11)),0)</f>
        <v/>
      </c>
      <c r="AX75" s="44">
        <f>IF(AND(OR($E75="All",ISNUMBER(SEARCH("Warrior",$E75))),AC75&gt;='Item Budget'!$R$10),'Item Budget'!$R$7*100*('Item Budget'!$R$14*(AD75+25*AH75)+'Item Budget'!$S$14*(AE75+25*AJ75))/'Item Budget'!$Z$14+'Item Budget'!$R$9*AF75+IFERROR(INDEX('Item Budget'!$O$25:$O$95,MATCH(AL75,'Item Budget'!$B$25:$B$95,0)),0),0)</f>
        <v/>
      </c>
      <c r="AY75" s="44">
        <f>IF(AND(OR($E75="All",ISNUMBER(SEARCH("Rogue",$E75))),AC75&gt;='Item Budget'!$R$10),'Item Budget'!$R$7*100*('Item Budget'!$R$15*(AD75+25*AH75)+'Item Budget'!$S$15*(AE75+25*AJ75))/'Item Budget'!$Z$15+'Item Budget'!$R$9*AF75+IFERROR(INDEX('Item Budget'!$O$25:$O$95,MATCH(AL75,'Item Budget'!$B$25:$B$95,0)),0),0)</f>
        <v/>
      </c>
      <c r="AZ75" s="44">
        <f>IF(AND(OR($E75="All",ISNUMBER(SEARCH("Magus",$E75))),AC75&gt;='Item Budget'!$R$10),'Item Budget'!$R$7*100*('Item Budget'!$R$16*(AD75+25*AH75)+'Item Budget'!$S$16*(AE75+25*AJ75))/'Item Budget'!$Z$16+'Item Budget'!$R$9*AF75+IFERROR(INDEX('Item Budget'!$O$25:$O$95,MATCH(AL75,'Item Budget'!$B$25:$B$95,0)),0),0)</f>
        <v/>
      </c>
      <c r="BA75" s="44">
        <f>IF(AND(OR($E75="All",ISNUMBER(SEARCH("Priest",$E75))),AC75&gt;='Item Budget'!$R$10),'Item Budget'!$R$7*100*('Item Budget'!$R$17*(AD75+25*AH75)+'Item Budget'!$S$17*(AE75+25*AJ75))/'Item Budget'!$Z$17+'Item Budget'!$R$9*AF75+IFERROR(INDEX('Item Budget'!$O$25:$O$95,MATCH(AL75,'Item Budget'!$B$25:$B$95,0)),0),0)</f>
        <v/>
      </c>
      <c r="BB75" s="52">
        <f>IF(OR($I75&lt;1,IF($I75&gt;=6,AX75,AT75)&lt;=0),"",IF(SUMPRODUCT(MAX(($C$5:$C$215=$C75)*($I$5:$I$215&gt;=1)*($I$5:$I$215&lt;$I75)*IF($I75&gt;=6,$AX$5:$AX$215,$AT$5:$AT$215)))&lt;=0,"",SUMPRODUCT(MAX(($C$5:$C$215=$C75)*($I$5:$I$215=$I75)*IF($I75&gt;=6,$AX$5:$AX$215,$AT$5:$AT$215)))/SUMPRODUCT(MAX(($C$5:$C$215=$C75)*($I$5:$I$215&gt;=1)*($I$5:$I$215&lt;$I75)*IF($I75&gt;=6,$AX$5:$AX$215,$AT$5:$AT$215)))-1))</f>
        <v/>
      </c>
      <c r="BC75" s="52">
        <f>IF(OR($I75&lt;1,IF($I75&gt;=6,AY75,AU75)&lt;=0),"",IF(SUMPRODUCT(MAX(($C$5:$C$215=$C75)*($I$5:$I$215&gt;=1)*($I$5:$I$215&lt;$I75)*IF($I75&gt;=6,$AY$5:$AY$215,$AU$5:$AU$215)))&lt;=0,"",SUMPRODUCT(MAX(($C$5:$C$215=$C75)*($I$5:$I$215=$I75)*IF($I75&gt;=6,$AY$5:$AY$215,$AU$5:$AU$215)))/SUMPRODUCT(MAX(($C$5:$C$215=$C75)*($I$5:$I$215&gt;=1)*($I$5:$I$215&lt;$I75)*IF($I75&gt;=6,$AY$5:$AY$215,$AU$5:$AU$215)))-1))</f>
        <v/>
      </c>
      <c r="BD75" s="52">
        <f>IF(OR($I75&lt;1,IF($I75&gt;=6,AZ75,AV75)&lt;=0),"",IF(SUMPRODUCT(MAX(($C$5:$C$215=$C75)*($I$5:$I$215&gt;=1)*($I$5:$I$215&lt;$I75)*IF($I75&gt;=6,$AZ$5:$AZ$215,$AV$5:$AV$215)))&lt;=0,"",SUMPRODUCT(MAX(($C$5:$C$215=$C75)*($I$5:$I$215=$I75)*IF($I75&gt;=6,$AZ$5:$AZ$215,$AV$5:$AV$215)))/SUMPRODUCT(MAX(($C$5:$C$215=$C75)*($I$5:$I$215&gt;=1)*($I$5:$I$215&lt;$I75)*IF($I75&gt;=6,$AZ$5:$AZ$215,$AV$5:$AV$215)))-1))</f>
        <v/>
      </c>
      <c r="BE75" s="52">
        <f>IF(OR($I75&lt;1,IF($I75&gt;=6,BA75,AW75)&lt;=0),"",IF(SUMPRODUCT(MAX(($C$5:$C$215=$C75)*($I$5:$I$215&gt;=1)*($I$5:$I$215&lt;$I75)*IF($I75&gt;=6,$BA$5:$BA$215,$AW$5:$AW$215)))&lt;=0,"",SUMPRODUCT(MAX(($C$5:$C$215=$C75)*($I$5:$I$215=$I75)*IF($I75&gt;=6,$BA$5:$BA$215,$AW$5:$AW$215)))/SUMPRODUCT(MAX(($C$5:$C$215=$C75)*($I$5:$I$215&gt;=1)*($I$5:$I$215&lt;$I75)*IF($I75&gt;=6,$BA$5:$BA$215,$AW$5:$AW$215)))-1))</f>
        <v/>
      </c>
      <c r="BF75" s="19">
        <f>IF(AND(BB75="",BC75="",BD75="",BE75=""),"",IF(IF(AND(ISNUMBER(BB75),BB75&lt;'Item Budget'!$R$11),"W ","")&amp;IF(AND(ISNUMBER(BC75),BC75&lt;'Item Budget'!$R$11),"R ","")&amp;IF(AND(ISNUMBER(BD75),BD75&lt;'Item Budget'!$R$11),"M ","")&amp;IF(AND(ISNUMBER(BE75),BE75&lt;'Item Budget'!$R$11),"P ","")="","OK","Not above lower step: "&amp;IF(AND(ISNUMBER(BB75),BB75&lt;'Item Budget'!$R$11),"W ","")&amp;IF(AND(ISNUMBER(BC75),BC75&lt;'Item Budget'!$R$11),"R ","")&amp;IF(AND(ISNUMBER(BD75),BD75&lt;'Item Budget'!$R$11),"M ","")&amp;IF(AND(ISNUMBER(BE75),BE75&lt;'Item Budget'!$R$11),"P ","")))</f>
        <v/>
      </c>
    </row>
    <row r="76">
      <c r="A76" s="21" t="n">
        <v>380</v>
      </c>
      <c r="B76" s="21" t="inlineStr">
        <is>
          <t>Valiant Stealth</t>
        </is>
      </c>
      <c r="C76" s="21" t="inlineStr">
        <is>
          <t>Helmet</t>
        </is>
      </c>
      <c r="D76" s="21" t="inlineStr">
        <is>
          <t>Rogue</t>
        </is>
      </c>
      <c r="E76" s="21" t="inlineStr">
        <is>
          <t>Rogue</t>
        </is>
      </c>
      <c r="F76" s="21" t="inlineStr">
        <is>
          <t>Rogue</t>
        </is>
      </c>
      <c r="G76" s="21" t="inlineStr">
        <is>
          <t>drop: Nibbles II 5%</t>
        </is>
      </c>
      <c r="H76" s="37" t="n">
        <v>0</v>
      </c>
      <c r="I76" s="21" t="n">
        <v>5</v>
      </c>
      <c r="J76" s="19" t="inlineStr">
        <is>
          <t>Leave</t>
        </is>
      </c>
      <c r="K76" s="21" t="inlineStr">
        <is>
          <t>Rare boss drop</t>
        </is>
      </c>
      <c r="L76" s="31">
        <f>INDEX('Item Budget'!$F$5:$F$13,MATCH(K76,'Item Budget'!$E$5:$E$13,0))+IF(E76="All",0,'Item Budget'!$F$15)+LOOKUP(H76,'Item Budget'!$E$19:$E$23,'Item Budget'!$F$19:$F$23)</f>
        <v/>
      </c>
      <c r="M76" s="21" t="n">
        <v>50</v>
      </c>
      <c r="N76" s="21" t="n">
        <v>150</v>
      </c>
      <c r="O76" s="21" t="n">
        <v>150</v>
      </c>
      <c r="P76" s="21" t="n">
        <v>120</v>
      </c>
      <c r="Q76" s="21" t="n">
        <v>20</v>
      </c>
      <c r="R76" s="21" t="n">
        <v>10</v>
      </c>
      <c r="S76" s="21" t="n">
        <v>20</v>
      </c>
      <c r="T76" s="21" t="n">
        <v>10</v>
      </c>
      <c r="U76" s="21" t="n">
        <v>0</v>
      </c>
      <c r="V76" s="21" t="inlineStr">
        <is>
          <t>(none)</t>
        </is>
      </c>
      <c r="W76" s="61">
        <f>N76*'Item Budget'!$B$5+R76*'Item Budget'!$B$7+P76*'Item Budget'!$B$11+S76*'Item Budget'!$B$10+Q76*'Item Budget'!$B$9+IFERROR(INDEX('Item Budget'!$M$25:$M$95,MATCH(V76,'Item Budget'!$B$25:$B$95,0)),0)+IF($C76="Weapon",U76*'Item Budget'!$B$9,0)</f>
        <v/>
      </c>
      <c r="X76" s="61">
        <f>N76*'Item Budget'!$B$5+R76*'Item Budget'!$B$7+P76*'Item Budget'!$B$11+S76*'Item Budget'!$B$10+O76*'Item Budget'!$B$6+T76*'Item Budget'!$B$8+IFERROR(INDEX('Item Budget'!$N$25:$N$95,MATCH(V76,'Item Budget'!$B$25:$B$95,0)),0)</f>
        <v/>
      </c>
      <c r="Y76" s="61">
        <f>MAX('Item Budget'!$F$16,INDEX('Gear Budget'!$C$8:$C$14,MATCH($C76,'Gear Budget'!$A$8:$A$14,0))*MIN(M76,50))*$L76</f>
        <v/>
      </c>
      <c r="Z76" s="41">
        <f>IF($C76="Caster weapon",X76,MAX(W76,X76))/Y76</f>
        <v/>
      </c>
      <c r="AA76" s="61">
        <f>IF(OR($C76="Weapon",$C76="Caster weapon"),"",'Gear Budget'!$B$5*MAX(1,MIN(M76,50))*INDEX('Gear Budget'!$B$8:$B$14,MATCH($C76,'Gear Budget'!$A$8:$A$14,0))*IF($C76="Shield",IF(D76="Warrior",1,IF(OR(D76="Rogue",D76="All"),0.38/0.6,0.25/0.6)),IFERROR(INDEX('Gear Budget'!$B$18:$B$21,MATCH($F76,'Gear Budget'!$A$18:$A$21,0)),1)))</f>
        <v/>
      </c>
      <c r="AB76" s="41">
        <f>IF(AA76="","",P76/AA76)</f>
        <v/>
      </c>
      <c r="AC76" s="21" t="n">
        <v>50</v>
      </c>
      <c r="AD76" s="21" t="n">
        <v>150</v>
      </c>
      <c r="AE76" s="21" t="n">
        <v>150</v>
      </c>
      <c r="AF76" s="21" t="n">
        <v>120</v>
      </c>
      <c r="AG76" s="21" t="n">
        <v>20</v>
      </c>
      <c r="AH76" s="21" t="n">
        <v>10</v>
      </c>
      <c r="AI76" s="21" t="n">
        <v>20</v>
      </c>
      <c r="AJ76" s="21" t="n">
        <v>10</v>
      </c>
      <c r="AK76" s="21" t="n">
        <v>0</v>
      </c>
      <c r="AL76" s="21" t="inlineStr">
        <is>
          <t>(none)</t>
        </is>
      </c>
      <c r="AM76" s="61">
        <f>AD76*'Item Budget'!$B$5+AH76*'Item Budget'!$B$7+AF76*'Item Budget'!$B$11+AI76*'Item Budget'!$B$10+AG76*'Item Budget'!$B$9+IFERROR(INDEX('Item Budget'!$M$25:$M$95,MATCH(AL76,'Item Budget'!$B$25:$B$95,0)),0)+IF($C76="Weapon",AK76*'Item Budget'!$B$9,0)</f>
        <v/>
      </c>
      <c r="AN76" s="61">
        <f>AD76*'Item Budget'!$B$5+AH76*'Item Budget'!$B$7+AF76*'Item Budget'!$B$11+AI76*'Item Budget'!$B$10+AE76*'Item Budget'!$B$6+AJ76*'Item Budget'!$B$8+IFERROR(INDEX('Item Budget'!$N$25:$N$95,MATCH(AL76,'Item Budget'!$B$25:$B$95,0)),0)</f>
        <v/>
      </c>
      <c r="AO76" s="61">
        <f>MAX('Item Budget'!$F$16,INDEX('Gear Budget'!$C$8:$C$14,MATCH($C76,'Gear Budget'!$A$8:$A$14,0))*MIN(AC76,50))*$L76</f>
        <v/>
      </c>
      <c r="AP76" s="41">
        <f>IF($C76="Caster weapon",AN76,MAX(AM76,AN76))/AO76</f>
        <v/>
      </c>
      <c r="AQ76" s="61">
        <f>IF(OR($C76="Weapon",$C76="Caster weapon"),"",'Gear Budget'!$B$5*MAX(1,MIN(AC76,50))*INDEX('Gear Budget'!$B$8:$B$14,MATCH($C76,'Gear Budget'!$A$8:$A$14,0))*IF($C76="Shield",IF(E76="Warrior",1,IF(OR(E76="Rogue",E76="All"),0.38/0.6,0.25/0.6)),IFERROR(INDEX('Gear Budget'!$B$18:$B$21,MATCH($F76,'Gear Budget'!$A$18:$A$21,0)),1)))</f>
        <v/>
      </c>
      <c r="AR76" s="41">
        <f>IF(AQ76="","",AF76/AQ76)</f>
        <v/>
      </c>
      <c r="AS76" s="64" t="n"/>
      <c r="AT76" s="44">
        <f>IF(OR($E76="All",ISNUMBER(SEARCH("Warrior",$E76))),IF($C76="Caster weapon",(AN76+AF76*('Item Budget'!$AB$14-'Item Budget'!$B$11)),(AM76+AF76*('Item Budget'!$AB$14-'Item Budget'!$B$11))),0)</f>
        <v/>
      </c>
      <c r="AU76" s="44">
        <f>IF(OR($E76="All",ISNUMBER(SEARCH("Rogue",$E76))),IF($C76="Caster weapon",(AN76+AF76*('Item Budget'!$AB$15-'Item Budget'!$B$11)),(AM76+AF76*('Item Budget'!$AB$15-'Item Budget'!$B$11))),0)</f>
        <v/>
      </c>
      <c r="AV76" s="44">
        <f>IF(OR($E76="All",ISNUMBER(SEARCH("Magus",$E76))),(AN76+AF76*('Item Budget'!$AB$16-'Item Budget'!$B$11)),0)</f>
        <v/>
      </c>
      <c r="AW76" s="44">
        <f>IF(OR($E76="All",ISNUMBER(SEARCH("Priest",$E76))),(AN76+AF76*('Item Budget'!$AB$17-'Item Budget'!$B$11)),0)</f>
        <v/>
      </c>
      <c r="AX76" s="44">
        <f>IF(AND(OR($E76="All",ISNUMBER(SEARCH("Warrior",$E76))),AC76&gt;='Item Budget'!$R$10),'Item Budget'!$R$7*100*('Item Budget'!$R$14*(AD76+25*AH76)+'Item Budget'!$S$14*(AE76+25*AJ76))/'Item Budget'!$Z$14+'Item Budget'!$R$9*AF76+IFERROR(INDEX('Item Budget'!$O$25:$O$95,MATCH(AL76,'Item Budget'!$B$25:$B$95,0)),0),0)</f>
        <v/>
      </c>
      <c r="AY76" s="44">
        <f>IF(AND(OR($E76="All",ISNUMBER(SEARCH("Rogue",$E76))),AC76&gt;='Item Budget'!$R$10),'Item Budget'!$R$7*100*('Item Budget'!$R$15*(AD76+25*AH76)+'Item Budget'!$S$15*(AE76+25*AJ76))/'Item Budget'!$Z$15+'Item Budget'!$R$9*AF76+IFERROR(INDEX('Item Budget'!$O$25:$O$95,MATCH(AL76,'Item Budget'!$B$25:$B$95,0)),0),0)</f>
        <v/>
      </c>
      <c r="AZ76" s="44">
        <f>IF(AND(OR($E76="All",ISNUMBER(SEARCH("Magus",$E76))),AC76&gt;='Item Budget'!$R$10),'Item Budget'!$R$7*100*('Item Budget'!$R$16*(AD76+25*AH76)+'Item Budget'!$S$16*(AE76+25*AJ76))/'Item Budget'!$Z$16+'Item Budget'!$R$9*AF76+IFERROR(INDEX('Item Budget'!$O$25:$O$95,MATCH(AL76,'Item Budget'!$B$25:$B$95,0)),0),0)</f>
        <v/>
      </c>
      <c r="BA76" s="44">
        <f>IF(AND(OR($E76="All",ISNUMBER(SEARCH("Priest",$E76))),AC76&gt;='Item Budget'!$R$10),'Item Budget'!$R$7*100*('Item Budget'!$R$17*(AD76+25*AH76)+'Item Budget'!$S$17*(AE76+25*AJ76))/'Item Budget'!$Z$17+'Item Budget'!$R$9*AF76+IFERROR(INDEX('Item Budget'!$O$25:$O$95,MATCH(AL76,'Item Budget'!$B$25:$B$95,0)),0),0)</f>
        <v/>
      </c>
      <c r="BB76" s="52">
        <f>IF(OR($I76&lt;1,IF($I76&gt;=6,AX76,AT76)&lt;=0),"",IF(SUMPRODUCT(MAX(($C$5:$C$215=$C76)*($I$5:$I$215&gt;=1)*($I$5:$I$215&lt;$I76)*IF($I76&gt;=6,$AX$5:$AX$215,$AT$5:$AT$215)))&lt;=0,"",SUMPRODUCT(MAX(($C$5:$C$215=$C76)*($I$5:$I$215=$I76)*IF($I76&gt;=6,$AX$5:$AX$215,$AT$5:$AT$215)))/SUMPRODUCT(MAX(($C$5:$C$215=$C76)*($I$5:$I$215&gt;=1)*($I$5:$I$215&lt;$I76)*IF($I76&gt;=6,$AX$5:$AX$215,$AT$5:$AT$215)))-1))</f>
        <v/>
      </c>
      <c r="BC76" s="52">
        <f>IF(OR($I76&lt;1,IF($I76&gt;=6,AY76,AU76)&lt;=0),"",IF(SUMPRODUCT(MAX(($C$5:$C$215=$C76)*($I$5:$I$215&gt;=1)*($I$5:$I$215&lt;$I76)*IF($I76&gt;=6,$AY$5:$AY$215,$AU$5:$AU$215)))&lt;=0,"",SUMPRODUCT(MAX(($C$5:$C$215=$C76)*($I$5:$I$215=$I76)*IF($I76&gt;=6,$AY$5:$AY$215,$AU$5:$AU$215)))/SUMPRODUCT(MAX(($C$5:$C$215=$C76)*($I$5:$I$215&gt;=1)*($I$5:$I$215&lt;$I76)*IF($I76&gt;=6,$AY$5:$AY$215,$AU$5:$AU$215)))-1))</f>
        <v/>
      </c>
      <c r="BD76" s="52">
        <f>IF(OR($I76&lt;1,IF($I76&gt;=6,AZ76,AV76)&lt;=0),"",IF(SUMPRODUCT(MAX(($C$5:$C$215=$C76)*($I$5:$I$215&gt;=1)*($I$5:$I$215&lt;$I76)*IF($I76&gt;=6,$AZ$5:$AZ$215,$AV$5:$AV$215)))&lt;=0,"",SUMPRODUCT(MAX(($C$5:$C$215=$C76)*($I$5:$I$215=$I76)*IF($I76&gt;=6,$AZ$5:$AZ$215,$AV$5:$AV$215)))/SUMPRODUCT(MAX(($C$5:$C$215=$C76)*($I$5:$I$215&gt;=1)*($I$5:$I$215&lt;$I76)*IF($I76&gt;=6,$AZ$5:$AZ$215,$AV$5:$AV$215)))-1))</f>
        <v/>
      </c>
      <c r="BE76" s="52">
        <f>IF(OR($I76&lt;1,IF($I76&gt;=6,BA76,AW76)&lt;=0),"",IF(SUMPRODUCT(MAX(($C$5:$C$215=$C76)*($I$5:$I$215&gt;=1)*($I$5:$I$215&lt;$I76)*IF($I76&gt;=6,$BA$5:$BA$215,$AW$5:$AW$215)))&lt;=0,"",SUMPRODUCT(MAX(($C$5:$C$215=$C76)*($I$5:$I$215=$I76)*IF($I76&gt;=6,$BA$5:$BA$215,$AW$5:$AW$215)))/SUMPRODUCT(MAX(($C$5:$C$215=$C76)*($I$5:$I$215&gt;=1)*($I$5:$I$215&lt;$I76)*IF($I76&gt;=6,$BA$5:$BA$215,$AW$5:$AW$215)))-1))</f>
        <v/>
      </c>
      <c r="BF76" s="19">
        <f>IF(AND(BB76="",BC76="",BD76="",BE76=""),"",IF(IF(AND(ISNUMBER(BB76),BB76&lt;'Item Budget'!$R$11),"W ","")&amp;IF(AND(ISNUMBER(BC76),BC76&lt;'Item Budget'!$R$11),"R ","")&amp;IF(AND(ISNUMBER(BD76),BD76&lt;'Item Budget'!$R$11),"M ","")&amp;IF(AND(ISNUMBER(BE76),BE76&lt;'Item Budget'!$R$11),"P ","")="","OK","Not above lower step: "&amp;IF(AND(ISNUMBER(BB76),BB76&lt;'Item Budget'!$R$11),"W ","")&amp;IF(AND(ISNUMBER(BC76),BC76&lt;'Item Budget'!$R$11),"R ","")&amp;IF(AND(ISNUMBER(BD76),BD76&lt;'Item Budget'!$R$11),"M ","")&amp;IF(AND(ISNUMBER(BE76),BE76&lt;'Item Budget'!$R$11),"P ","")))</f>
        <v/>
      </c>
    </row>
    <row r="77">
      <c r="A77" s="21" t="n">
        <v>285</v>
      </c>
      <c r="B77" s="21" t="inlineStr">
        <is>
          <t>Snake Tiara</t>
        </is>
      </c>
      <c r="C77" s="21" t="inlineStr">
        <is>
          <t>Helmet</t>
        </is>
      </c>
      <c r="D77" s="21" t="inlineStr">
        <is>
          <t>All</t>
        </is>
      </c>
      <c r="E77" s="21" t="inlineStr">
        <is>
          <t>All</t>
        </is>
      </c>
      <c r="F77" s="21" t="inlineStr">
        <is>
          <t>All classes</t>
        </is>
      </c>
      <c r="G77" s="21" t="inlineStr">
        <is>
          <t>drop: Lady Slither 10%</t>
        </is>
      </c>
      <c r="H77" s="37" t="n">
        <v>20000000</v>
      </c>
      <c r="I77" s="21" t="n">
        <v>6</v>
      </c>
      <c r="J77" s="19" t="inlineStr">
        <is>
          <t>Leave</t>
        </is>
      </c>
      <c r="K77" s="21" t="inlineStr">
        <is>
          <t>Rare boss drop</t>
        </is>
      </c>
      <c r="L77" s="31">
        <f>INDEX('Item Budget'!$F$5:$F$13,MATCH(K77,'Item Budget'!$E$5:$E$13,0))+IF(E77="All",0,'Item Budget'!$F$15)+LOOKUP(H77,'Item Budget'!$E$19:$E$23,'Item Budget'!$F$19:$F$23)</f>
        <v/>
      </c>
      <c r="M77" s="21" t="n">
        <v>50</v>
      </c>
      <c r="N77" s="21" t="n">
        <v>525</v>
      </c>
      <c r="O77" s="21" t="n">
        <v>375</v>
      </c>
      <c r="P77" s="21" t="n">
        <v>45</v>
      </c>
      <c r="Q77" s="21" t="n">
        <v>0</v>
      </c>
      <c r="R77" s="21" t="n">
        <v>8</v>
      </c>
      <c r="S77" s="21" t="n">
        <v>0</v>
      </c>
      <c r="T77" s="21" t="n">
        <v>10</v>
      </c>
      <c r="U77" s="21" t="n">
        <v>0</v>
      </c>
      <c r="V77" s="21" t="inlineStr">
        <is>
          <t>(none)</t>
        </is>
      </c>
      <c r="W77" s="61">
        <f>N77*'Item Budget'!$B$5+R77*'Item Budget'!$B$7+P77*'Item Budget'!$B$11+S77*'Item Budget'!$B$10+Q77*'Item Budget'!$B$9+IFERROR(INDEX('Item Budget'!$M$25:$M$95,MATCH(V77,'Item Budget'!$B$25:$B$95,0)),0)+IF($C77="Weapon",U77*'Item Budget'!$B$9,0)</f>
        <v/>
      </c>
      <c r="X77" s="61">
        <f>N77*'Item Budget'!$B$5+R77*'Item Budget'!$B$7+P77*'Item Budget'!$B$11+S77*'Item Budget'!$B$10+O77*'Item Budget'!$B$6+T77*'Item Budget'!$B$8+IFERROR(INDEX('Item Budget'!$N$25:$N$95,MATCH(V77,'Item Budget'!$B$25:$B$95,0)),0)</f>
        <v/>
      </c>
      <c r="Y77" s="61">
        <f>MAX('Item Budget'!$F$16,INDEX('Gear Budget'!$C$8:$C$14,MATCH($C77,'Gear Budget'!$A$8:$A$14,0))*MIN(M77,50))*$L77</f>
        <v/>
      </c>
      <c r="Z77" s="41">
        <f>IF($C77="Caster weapon",X77,MAX(W77,X77))/Y77</f>
        <v/>
      </c>
      <c r="AA77" s="61">
        <f>IF(OR($C77="Weapon",$C77="Caster weapon"),"",'Gear Budget'!$B$5*MAX(1,MIN(M77,50))*INDEX('Gear Budget'!$B$8:$B$14,MATCH($C77,'Gear Budget'!$A$8:$A$14,0))*IF($C77="Shield",IF(D77="Warrior",1,IF(OR(D77="Rogue",D77="All"),0.38/0.6,0.25/0.6)),IFERROR(INDEX('Gear Budget'!$B$18:$B$21,MATCH($F77,'Gear Budget'!$A$18:$A$21,0)),1)))</f>
        <v/>
      </c>
      <c r="AB77" s="41">
        <f>IF(AA77="","",P77/AA77)</f>
        <v/>
      </c>
      <c r="AC77" s="21" t="n">
        <v>50</v>
      </c>
      <c r="AD77" s="21" t="n">
        <v>525</v>
      </c>
      <c r="AE77" s="21" t="n">
        <v>375</v>
      </c>
      <c r="AF77" s="21" t="n">
        <v>45</v>
      </c>
      <c r="AG77" s="21" t="n">
        <v>0</v>
      </c>
      <c r="AH77" s="21" t="n">
        <v>8</v>
      </c>
      <c r="AI77" s="21" t="n">
        <v>0</v>
      </c>
      <c r="AJ77" s="21" t="n">
        <v>10</v>
      </c>
      <c r="AK77" s="21" t="n">
        <v>0</v>
      </c>
      <c r="AL77" s="21" t="inlineStr">
        <is>
          <t>(none)</t>
        </is>
      </c>
      <c r="AM77" s="61">
        <f>AD77*'Item Budget'!$B$5+AH77*'Item Budget'!$B$7+AF77*'Item Budget'!$B$11+AI77*'Item Budget'!$B$10+AG77*'Item Budget'!$B$9+IFERROR(INDEX('Item Budget'!$M$25:$M$95,MATCH(AL77,'Item Budget'!$B$25:$B$95,0)),0)+IF($C77="Weapon",AK77*'Item Budget'!$B$9,0)</f>
        <v/>
      </c>
      <c r="AN77" s="61">
        <f>AD77*'Item Budget'!$B$5+AH77*'Item Budget'!$B$7+AF77*'Item Budget'!$B$11+AI77*'Item Budget'!$B$10+AE77*'Item Budget'!$B$6+AJ77*'Item Budget'!$B$8+IFERROR(INDEX('Item Budget'!$N$25:$N$95,MATCH(AL77,'Item Budget'!$B$25:$B$95,0)),0)</f>
        <v/>
      </c>
      <c r="AO77" s="61">
        <f>MAX('Item Budget'!$F$16,INDEX('Gear Budget'!$C$8:$C$14,MATCH($C77,'Gear Budget'!$A$8:$A$14,0))*MIN(AC77,50))*$L77</f>
        <v/>
      </c>
      <c r="AP77" s="41">
        <f>IF($C77="Caster weapon",AN77,MAX(AM77,AN77))/AO77</f>
        <v/>
      </c>
      <c r="AQ77" s="61">
        <f>IF(OR($C77="Weapon",$C77="Caster weapon"),"",'Gear Budget'!$B$5*MAX(1,MIN(AC77,50))*INDEX('Gear Budget'!$B$8:$B$14,MATCH($C77,'Gear Budget'!$A$8:$A$14,0))*IF($C77="Shield",IF(E77="Warrior",1,IF(OR(E77="Rogue",E77="All"),0.38/0.6,0.25/0.6)),IFERROR(INDEX('Gear Budget'!$B$18:$B$21,MATCH($F77,'Gear Budget'!$A$18:$A$21,0)),1)))</f>
        <v/>
      </c>
      <c r="AR77" s="41">
        <f>IF(AQ77="","",AF77/AQ77)</f>
        <v/>
      </c>
      <c r="AS77" s="64" t="n"/>
      <c r="AT77" s="44">
        <f>IF(OR($E77="All",ISNUMBER(SEARCH("Warrior",$E77))),IF($C77="Caster weapon",(AN77+AF77*('Item Budget'!$AB$14-'Item Budget'!$B$11)),(AM77+AF77*('Item Budget'!$AB$14-'Item Budget'!$B$11))),0)</f>
        <v/>
      </c>
      <c r="AU77" s="44">
        <f>IF(OR($E77="All",ISNUMBER(SEARCH("Rogue",$E77))),IF($C77="Caster weapon",(AN77+AF77*('Item Budget'!$AB$15-'Item Budget'!$B$11)),(AM77+AF77*('Item Budget'!$AB$15-'Item Budget'!$B$11))),0)</f>
        <v/>
      </c>
      <c r="AV77" s="44">
        <f>IF(OR($E77="All",ISNUMBER(SEARCH("Magus",$E77))),(AN77+AF77*('Item Budget'!$AB$16-'Item Budget'!$B$11)),0)</f>
        <v/>
      </c>
      <c r="AW77" s="44">
        <f>IF(OR($E77="All",ISNUMBER(SEARCH("Priest",$E77))),(AN77+AF77*('Item Budget'!$AB$17-'Item Budget'!$B$11)),0)</f>
        <v/>
      </c>
      <c r="AX77" s="44">
        <f>IF(AND(OR($E77="All",ISNUMBER(SEARCH("Warrior",$E77))),AC77&gt;='Item Budget'!$R$10),'Item Budget'!$R$7*100*('Item Budget'!$R$14*(AD77+25*AH77)+'Item Budget'!$S$14*(AE77+25*AJ77))/'Item Budget'!$Z$14+'Item Budget'!$R$9*AF77+IFERROR(INDEX('Item Budget'!$O$25:$O$95,MATCH(AL77,'Item Budget'!$B$25:$B$95,0)),0),0)</f>
        <v/>
      </c>
      <c r="AY77" s="44">
        <f>IF(AND(OR($E77="All",ISNUMBER(SEARCH("Rogue",$E77))),AC77&gt;='Item Budget'!$R$10),'Item Budget'!$R$7*100*('Item Budget'!$R$15*(AD77+25*AH77)+'Item Budget'!$S$15*(AE77+25*AJ77))/'Item Budget'!$Z$15+'Item Budget'!$R$9*AF77+IFERROR(INDEX('Item Budget'!$O$25:$O$95,MATCH(AL77,'Item Budget'!$B$25:$B$95,0)),0),0)</f>
        <v/>
      </c>
      <c r="AZ77" s="44">
        <f>IF(AND(OR($E77="All",ISNUMBER(SEARCH("Magus",$E77))),AC77&gt;='Item Budget'!$R$10),'Item Budget'!$R$7*100*('Item Budget'!$R$16*(AD77+25*AH77)+'Item Budget'!$S$16*(AE77+25*AJ77))/'Item Budget'!$Z$16+'Item Budget'!$R$9*AF77+IFERROR(INDEX('Item Budget'!$O$25:$O$95,MATCH(AL77,'Item Budget'!$B$25:$B$95,0)),0),0)</f>
        <v/>
      </c>
      <c r="BA77" s="44">
        <f>IF(AND(OR($E77="All",ISNUMBER(SEARCH("Priest",$E77))),AC77&gt;='Item Budget'!$R$10),'Item Budget'!$R$7*100*('Item Budget'!$R$17*(AD77+25*AH77)+'Item Budget'!$S$17*(AE77+25*AJ77))/'Item Budget'!$Z$17+'Item Budget'!$R$9*AF77+IFERROR(INDEX('Item Budget'!$O$25:$O$95,MATCH(AL77,'Item Budget'!$B$25:$B$95,0)),0),0)</f>
        <v/>
      </c>
      <c r="BB77" s="52">
        <f>IF(OR($I77&lt;1,IF($I77&gt;=6,AX77,AT77)&lt;=0),"",IF(SUMPRODUCT(MAX(($C$5:$C$215=$C77)*($I$5:$I$215&gt;=1)*($I$5:$I$215&lt;$I77)*IF($I77&gt;=6,$AX$5:$AX$215,$AT$5:$AT$215)))&lt;=0,"",SUMPRODUCT(MAX(($C$5:$C$215=$C77)*($I$5:$I$215=$I77)*IF($I77&gt;=6,$AX$5:$AX$215,$AT$5:$AT$215)))/SUMPRODUCT(MAX(($C$5:$C$215=$C77)*($I$5:$I$215&gt;=1)*($I$5:$I$215&lt;$I77)*IF($I77&gt;=6,$AX$5:$AX$215,$AT$5:$AT$215)))-1))</f>
        <v/>
      </c>
      <c r="BC77" s="52">
        <f>IF(OR($I77&lt;1,IF($I77&gt;=6,AY77,AU77)&lt;=0),"",IF(SUMPRODUCT(MAX(($C$5:$C$215=$C77)*($I$5:$I$215&gt;=1)*($I$5:$I$215&lt;$I77)*IF($I77&gt;=6,$AY$5:$AY$215,$AU$5:$AU$215)))&lt;=0,"",SUMPRODUCT(MAX(($C$5:$C$215=$C77)*($I$5:$I$215=$I77)*IF($I77&gt;=6,$AY$5:$AY$215,$AU$5:$AU$215)))/SUMPRODUCT(MAX(($C$5:$C$215=$C77)*($I$5:$I$215&gt;=1)*($I$5:$I$215&lt;$I77)*IF($I77&gt;=6,$AY$5:$AY$215,$AU$5:$AU$215)))-1))</f>
        <v/>
      </c>
      <c r="BD77" s="52">
        <f>IF(OR($I77&lt;1,IF($I77&gt;=6,AZ77,AV77)&lt;=0),"",IF(SUMPRODUCT(MAX(($C$5:$C$215=$C77)*($I$5:$I$215&gt;=1)*($I$5:$I$215&lt;$I77)*IF($I77&gt;=6,$AZ$5:$AZ$215,$AV$5:$AV$215)))&lt;=0,"",SUMPRODUCT(MAX(($C$5:$C$215=$C77)*($I$5:$I$215=$I77)*IF($I77&gt;=6,$AZ$5:$AZ$215,$AV$5:$AV$215)))/SUMPRODUCT(MAX(($C$5:$C$215=$C77)*($I$5:$I$215&gt;=1)*($I$5:$I$215&lt;$I77)*IF($I77&gt;=6,$AZ$5:$AZ$215,$AV$5:$AV$215)))-1))</f>
        <v/>
      </c>
      <c r="BE77" s="52">
        <f>IF(OR($I77&lt;1,IF($I77&gt;=6,BA77,AW77)&lt;=0),"",IF(SUMPRODUCT(MAX(($C$5:$C$215=$C77)*($I$5:$I$215&gt;=1)*($I$5:$I$215&lt;$I77)*IF($I77&gt;=6,$BA$5:$BA$215,$AW$5:$AW$215)))&lt;=0,"",SUMPRODUCT(MAX(($C$5:$C$215=$C77)*($I$5:$I$215=$I77)*IF($I77&gt;=6,$BA$5:$BA$215,$AW$5:$AW$215)))/SUMPRODUCT(MAX(($C$5:$C$215=$C77)*($I$5:$I$215&gt;=1)*($I$5:$I$215&lt;$I77)*IF($I77&gt;=6,$BA$5:$BA$215,$AW$5:$AW$215)))-1))</f>
        <v/>
      </c>
      <c r="BF77" s="19">
        <f>IF(AND(BB77="",BC77="",BD77="",BE77=""),"",IF(IF(AND(ISNUMBER(BB77),BB77&lt;'Item Budget'!$R$11),"W ","")&amp;IF(AND(ISNUMBER(BC77),BC77&lt;'Item Budget'!$R$11),"R ","")&amp;IF(AND(ISNUMBER(BD77),BD77&lt;'Item Budget'!$R$11),"M ","")&amp;IF(AND(ISNUMBER(BE77),BE77&lt;'Item Budget'!$R$11),"P ","")="","OK","Not above lower step: "&amp;IF(AND(ISNUMBER(BB77),BB77&lt;'Item Budget'!$R$11),"W ","")&amp;IF(AND(ISNUMBER(BC77),BC77&lt;'Item Budget'!$R$11),"R ","")&amp;IF(AND(ISNUMBER(BD77),BD77&lt;'Item Budget'!$R$11),"M ","")&amp;IF(AND(ISNUMBER(BE77),BE77&lt;'Item Budget'!$R$11),"P ","")))</f>
        <v/>
      </c>
    </row>
    <row r="78">
      <c r="A78" s="21" t="n">
        <v>286</v>
      </c>
      <c r="B78" s="21" t="inlineStr">
        <is>
          <t>Snake Helm</t>
        </is>
      </c>
      <c r="C78" s="21" t="inlineStr">
        <is>
          <t>Helmet</t>
        </is>
      </c>
      <c r="D78" s="21" t="inlineStr">
        <is>
          <t>All</t>
        </is>
      </c>
      <c r="E78" s="21" t="inlineStr">
        <is>
          <t>All</t>
        </is>
      </c>
      <c r="F78" s="21" t="inlineStr">
        <is>
          <t>All classes</t>
        </is>
      </c>
      <c r="G78" s="21" t="inlineStr">
        <is>
          <t>drop: Sir Insidious 10%</t>
        </is>
      </c>
      <c r="H78" s="37" t="n">
        <v>20000000</v>
      </c>
      <c r="I78" s="21" t="n">
        <v>6</v>
      </c>
      <c r="J78" s="3" t="inlineStr">
        <is>
          <t>Pass 2</t>
        </is>
      </c>
      <c r="K78" s="21" t="inlineStr">
        <is>
          <t>Rare boss drop</t>
        </is>
      </c>
      <c r="L78" s="31">
        <f>INDEX('Item Budget'!$F$5:$F$13,MATCH(K78,'Item Budget'!$E$5:$E$13,0))+IF(E78="All",0,'Item Budget'!$F$15)+LOOKUP(H78,'Item Budget'!$E$19:$E$23,'Item Budget'!$F$19:$F$23)</f>
        <v/>
      </c>
      <c r="M78" s="21" t="n">
        <v>50</v>
      </c>
      <c r="N78" s="21" t="n">
        <v>1000</v>
      </c>
      <c r="O78" s="21" t="n">
        <v>375</v>
      </c>
      <c r="P78" s="21" t="n">
        <v>100</v>
      </c>
      <c r="Q78" s="21" t="n">
        <v>0</v>
      </c>
      <c r="R78" s="21" t="n">
        <v>8</v>
      </c>
      <c r="S78" s="21" t="n">
        <v>0</v>
      </c>
      <c r="T78" s="21" t="n">
        <v>10</v>
      </c>
      <c r="U78" s="21" t="n">
        <v>0</v>
      </c>
      <c r="V78" s="21" t="inlineStr">
        <is>
          <t>(none)</t>
        </is>
      </c>
      <c r="W78" s="61">
        <f>N78*'Item Budget'!$B$5+R78*'Item Budget'!$B$7+P78*'Item Budget'!$B$11+S78*'Item Budget'!$B$10+Q78*'Item Budget'!$B$9+IFERROR(INDEX('Item Budget'!$M$25:$M$95,MATCH(V78,'Item Budget'!$B$25:$B$95,0)),0)+IF($C78="Weapon",U78*'Item Budget'!$B$9,0)</f>
        <v/>
      </c>
      <c r="X78" s="61">
        <f>N78*'Item Budget'!$B$5+R78*'Item Budget'!$B$7+P78*'Item Budget'!$B$11+S78*'Item Budget'!$B$10+O78*'Item Budget'!$B$6+T78*'Item Budget'!$B$8+IFERROR(INDEX('Item Budget'!$N$25:$N$95,MATCH(V78,'Item Budget'!$B$25:$B$95,0)),0)</f>
        <v/>
      </c>
      <c r="Y78" s="61">
        <f>MAX('Item Budget'!$F$16,INDEX('Gear Budget'!$C$8:$C$14,MATCH($C78,'Gear Budget'!$A$8:$A$14,0))*MIN(M78,50))*$L78</f>
        <v/>
      </c>
      <c r="Z78" s="41">
        <f>IF($C78="Caster weapon",X78,MAX(W78,X78))/Y78</f>
        <v/>
      </c>
      <c r="AA78" s="61">
        <f>IF(OR($C78="Weapon",$C78="Caster weapon"),"",'Gear Budget'!$B$5*MAX(1,MIN(M78,50))*INDEX('Gear Budget'!$B$8:$B$14,MATCH($C78,'Gear Budget'!$A$8:$A$14,0))*IF($C78="Shield",IF(D78="Warrior",1,IF(OR(D78="Rogue",D78="All"),0.38/0.6,0.25/0.6)),IFERROR(INDEX('Gear Budget'!$B$18:$B$21,MATCH($F78,'Gear Budget'!$A$18:$A$21,0)),1)))</f>
        <v/>
      </c>
      <c r="AB78" s="41">
        <f>IF(AA78="","",P78/AA78)</f>
        <v/>
      </c>
      <c r="AC78" s="21" t="n">
        <v>50</v>
      </c>
      <c r="AD78" s="20" t="n">
        <v>1075</v>
      </c>
      <c r="AE78" s="20" t="n">
        <v>425</v>
      </c>
      <c r="AF78" s="21" t="n">
        <v>100</v>
      </c>
      <c r="AG78" s="21" t="n">
        <v>0</v>
      </c>
      <c r="AH78" s="20" t="n">
        <v>9</v>
      </c>
      <c r="AI78" s="21" t="n">
        <v>0</v>
      </c>
      <c r="AJ78" s="20" t="n">
        <v>11</v>
      </c>
      <c r="AK78" s="21" t="n">
        <v>0</v>
      </c>
      <c r="AL78" s="21" t="inlineStr">
        <is>
          <t>(none)</t>
        </is>
      </c>
      <c r="AM78" s="61">
        <f>AD78*'Item Budget'!$B$5+AH78*'Item Budget'!$B$7+AF78*'Item Budget'!$B$11+AI78*'Item Budget'!$B$10+AG78*'Item Budget'!$B$9+IFERROR(INDEX('Item Budget'!$M$25:$M$95,MATCH(AL78,'Item Budget'!$B$25:$B$95,0)),0)+IF($C78="Weapon",AK78*'Item Budget'!$B$9,0)</f>
        <v/>
      </c>
      <c r="AN78" s="61">
        <f>AD78*'Item Budget'!$B$5+AH78*'Item Budget'!$B$7+AF78*'Item Budget'!$B$11+AI78*'Item Budget'!$B$10+AE78*'Item Budget'!$B$6+AJ78*'Item Budget'!$B$8+IFERROR(INDEX('Item Budget'!$N$25:$N$95,MATCH(AL78,'Item Budget'!$B$25:$B$95,0)),0)</f>
        <v/>
      </c>
      <c r="AO78" s="61">
        <f>MAX('Item Budget'!$F$16,INDEX('Gear Budget'!$C$8:$C$14,MATCH($C78,'Gear Budget'!$A$8:$A$14,0))*MIN(AC78,50))*$L78</f>
        <v/>
      </c>
      <c r="AP78" s="41">
        <f>IF($C78="Caster weapon",AN78,MAX(AM78,AN78))/AO78</f>
        <v/>
      </c>
      <c r="AQ78" s="61">
        <f>IF(OR($C78="Weapon",$C78="Caster weapon"),"",'Gear Budget'!$B$5*MAX(1,MIN(AC78,50))*INDEX('Gear Budget'!$B$8:$B$14,MATCH($C78,'Gear Budget'!$A$8:$A$14,0))*IF($C78="Shield",IF(E78="Warrior",1,IF(OR(E78="Rogue",E78="All"),0.38/0.6,0.25/0.6)),IFERROR(INDEX('Gear Budget'!$B$18:$B$21,MATCH($F78,'Gear Budget'!$A$18:$A$21,0)),1)))</f>
        <v/>
      </c>
      <c r="AR78" s="41">
        <f>IF(AQ78="","",AF78/AQ78)</f>
        <v/>
      </c>
      <c r="AS78" s="64" t="inlineStr">
        <is>
          <t>Raised so it is 10% over Valiant Cap for Magus (pass 2 class weights)</t>
        </is>
      </c>
      <c r="AT78" s="44">
        <f>IF(OR($E78="All",ISNUMBER(SEARCH("Warrior",$E78))),IF($C78="Caster weapon",(AN78+AF78*('Item Budget'!$AB$14-'Item Budget'!$B$11)),(AM78+AF78*('Item Budget'!$AB$14-'Item Budget'!$B$11))),0)</f>
        <v/>
      </c>
      <c r="AU78" s="44">
        <f>IF(OR($E78="All",ISNUMBER(SEARCH("Rogue",$E78))),IF($C78="Caster weapon",(AN78+AF78*('Item Budget'!$AB$15-'Item Budget'!$B$11)),(AM78+AF78*('Item Budget'!$AB$15-'Item Budget'!$B$11))),0)</f>
        <v/>
      </c>
      <c r="AV78" s="44">
        <f>IF(OR($E78="All",ISNUMBER(SEARCH("Magus",$E78))),(AN78+AF78*('Item Budget'!$AB$16-'Item Budget'!$B$11)),0)</f>
        <v/>
      </c>
      <c r="AW78" s="44">
        <f>IF(OR($E78="All",ISNUMBER(SEARCH("Priest",$E78))),(AN78+AF78*('Item Budget'!$AB$17-'Item Budget'!$B$11)),0)</f>
        <v/>
      </c>
      <c r="AX78" s="44">
        <f>IF(AND(OR($E78="All",ISNUMBER(SEARCH("Warrior",$E78))),AC78&gt;='Item Budget'!$R$10),'Item Budget'!$R$7*100*('Item Budget'!$R$14*(AD78+25*AH78)+'Item Budget'!$S$14*(AE78+25*AJ78))/'Item Budget'!$Z$14+'Item Budget'!$R$9*AF78+IFERROR(INDEX('Item Budget'!$O$25:$O$95,MATCH(AL78,'Item Budget'!$B$25:$B$95,0)),0),0)</f>
        <v/>
      </c>
      <c r="AY78" s="44">
        <f>IF(AND(OR($E78="All",ISNUMBER(SEARCH("Rogue",$E78))),AC78&gt;='Item Budget'!$R$10),'Item Budget'!$R$7*100*('Item Budget'!$R$15*(AD78+25*AH78)+'Item Budget'!$S$15*(AE78+25*AJ78))/'Item Budget'!$Z$15+'Item Budget'!$R$9*AF78+IFERROR(INDEX('Item Budget'!$O$25:$O$95,MATCH(AL78,'Item Budget'!$B$25:$B$95,0)),0),0)</f>
        <v/>
      </c>
      <c r="AZ78" s="44">
        <f>IF(AND(OR($E78="All",ISNUMBER(SEARCH("Magus",$E78))),AC78&gt;='Item Budget'!$R$10),'Item Budget'!$R$7*100*('Item Budget'!$R$16*(AD78+25*AH78)+'Item Budget'!$S$16*(AE78+25*AJ78))/'Item Budget'!$Z$16+'Item Budget'!$R$9*AF78+IFERROR(INDEX('Item Budget'!$O$25:$O$95,MATCH(AL78,'Item Budget'!$B$25:$B$95,0)),0),0)</f>
        <v/>
      </c>
      <c r="BA78" s="44">
        <f>IF(AND(OR($E78="All",ISNUMBER(SEARCH("Priest",$E78))),AC78&gt;='Item Budget'!$R$10),'Item Budget'!$R$7*100*('Item Budget'!$R$17*(AD78+25*AH78)+'Item Budget'!$S$17*(AE78+25*AJ78))/'Item Budget'!$Z$17+'Item Budget'!$R$9*AF78+IFERROR(INDEX('Item Budget'!$O$25:$O$95,MATCH(AL78,'Item Budget'!$B$25:$B$95,0)),0),0)</f>
        <v/>
      </c>
      <c r="BB78" s="52">
        <f>IF(OR($I78&lt;1,IF($I78&gt;=6,AX78,AT78)&lt;=0),"",IF(SUMPRODUCT(MAX(($C$5:$C$215=$C78)*($I$5:$I$215&gt;=1)*($I$5:$I$215&lt;$I78)*IF($I78&gt;=6,$AX$5:$AX$215,$AT$5:$AT$215)))&lt;=0,"",SUMPRODUCT(MAX(($C$5:$C$215=$C78)*($I$5:$I$215=$I78)*IF($I78&gt;=6,$AX$5:$AX$215,$AT$5:$AT$215)))/SUMPRODUCT(MAX(($C$5:$C$215=$C78)*($I$5:$I$215&gt;=1)*($I$5:$I$215&lt;$I78)*IF($I78&gt;=6,$AX$5:$AX$215,$AT$5:$AT$215)))-1))</f>
        <v/>
      </c>
      <c r="BC78" s="52">
        <f>IF(OR($I78&lt;1,IF($I78&gt;=6,AY78,AU78)&lt;=0),"",IF(SUMPRODUCT(MAX(($C$5:$C$215=$C78)*($I$5:$I$215&gt;=1)*($I$5:$I$215&lt;$I78)*IF($I78&gt;=6,$AY$5:$AY$215,$AU$5:$AU$215)))&lt;=0,"",SUMPRODUCT(MAX(($C$5:$C$215=$C78)*($I$5:$I$215=$I78)*IF($I78&gt;=6,$AY$5:$AY$215,$AU$5:$AU$215)))/SUMPRODUCT(MAX(($C$5:$C$215=$C78)*($I$5:$I$215&gt;=1)*($I$5:$I$215&lt;$I78)*IF($I78&gt;=6,$AY$5:$AY$215,$AU$5:$AU$215)))-1))</f>
        <v/>
      </c>
      <c r="BD78" s="52">
        <f>IF(OR($I78&lt;1,IF($I78&gt;=6,AZ78,AV78)&lt;=0),"",IF(SUMPRODUCT(MAX(($C$5:$C$215=$C78)*($I$5:$I$215&gt;=1)*($I$5:$I$215&lt;$I78)*IF($I78&gt;=6,$AZ$5:$AZ$215,$AV$5:$AV$215)))&lt;=0,"",SUMPRODUCT(MAX(($C$5:$C$215=$C78)*($I$5:$I$215=$I78)*IF($I78&gt;=6,$AZ$5:$AZ$215,$AV$5:$AV$215)))/SUMPRODUCT(MAX(($C$5:$C$215=$C78)*($I$5:$I$215&gt;=1)*($I$5:$I$215&lt;$I78)*IF($I78&gt;=6,$AZ$5:$AZ$215,$AV$5:$AV$215)))-1))</f>
        <v/>
      </c>
      <c r="BE78" s="52">
        <f>IF(OR($I78&lt;1,IF($I78&gt;=6,BA78,AW78)&lt;=0),"",IF(SUMPRODUCT(MAX(($C$5:$C$215=$C78)*($I$5:$I$215&gt;=1)*($I$5:$I$215&lt;$I78)*IF($I78&gt;=6,$BA$5:$BA$215,$AW$5:$AW$215)))&lt;=0,"",SUMPRODUCT(MAX(($C$5:$C$215=$C78)*($I$5:$I$215=$I78)*IF($I78&gt;=6,$BA$5:$BA$215,$AW$5:$AW$215)))/SUMPRODUCT(MAX(($C$5:$C$215=$C78)*($I$5:$I$215&gt;=1)*($I$5:$I$215&lt;$I78)*IF($I78&gt;=6,$BA$5:$BA$215,$AW$5:$AW$215)))-1))</f>
        <v/>
      </c>
      <c r="BF78" s="19">
        <f>IF(AND(BB78="",BC78="",BD78="",BE78=""),"",IF(IF(AND(ISNUMBER(BB78),BB78&lt;'Item Budget'!$R$11),"W ","")&amp;IF(AND(ISNUMBER(BC78),BC78&lt;'Item Budget'!$R$11),"R ","")&amp;IF(AND(ISNUMBER(BD78),BD78&lt;'Item Budget'!$R$11),"M ","")&amp;IF(AND(ISNUMBER(BE78),BE78&lt;'Item Budget'!$R$11),"P ","")="","OK","Not above lower step: "&amp;IF(AND(ISNUMBER(BB78),BB78&lt;'Item Budget'!$R$11),"W ","")&amp;IF(AND(ISNUMBER(BC78),BC78&lt;'Item Budget'!$R$11),"R ","")&amp;IF(AND(ISNUMBER(BD78),BD78&lt;'Item Budget'!$R$11),"M ","")&amp;IF(AND(ISNUMBER(BE78),BE78&lt;'Item Budget'!$R$11),"P ","")))</f>
        <v/>
      </c>
    </row>
    <row r="79">
      <c r="A79" s="21" t="n">
        <v>405</v>
      </c>
      <c r="B79" s="21" t="inlineStr">
        <is>
          <t>Divine Helm</t>
        </is>
      </c>
      <c r="C79" s="21" t="inlineStr">
        <is>
          <t>Helmet</t>
        </is>
      </c>
      <c r="D79" s="21" t="inlineStr">
        <is>
          <t>Rogue</t>
        </is>
      </c>
      <c r="E79" s="21" t="inlineStr">
        <is>
          <t>Rogue</t>
        </is>
      </c>
      <c r="F79" s="21" t="inlineStr">
        <is>
          <t>Rogue</t>
        </is>
      </c>
      <c r="G79" s="21" t="inlineStr">
        <is>
          <t>craft</t>
        </is>
      </c>
      <c r="H79" s="37" t="n">
        <v>100000000</v>
      </c>
      <c r="I79" s="21" t="n">
        <v>7</v>
      </c>
      <c r="J79" s="19" t="inlineStr">
        <is>
          <t>Leave</t>
        </is>
      </c>
      <c r="K79" s="21" t="inlineStr">
        <is>
          <t>Crafted</t>
        </is>
      </c>
      <c r="L79" s="31">
        <f>INDEX('Item Budget'!$F$5:$F$13,MATCH(K79,'Item Budget'!$E$5:$E$13,0))+IF(E79="All",0,'Item Budget'!$F$15)+LOOKUP(H79,'Item Budget'!$E$19:$E$23,'Item Budget'!$F$19:$F$23)</f>
        <v/>
      </c>
      <c r="M79" s="21" t="n">
        <v>50</v>
      </c>
      <c r="N79" s="21" t="n">
        <v>1500</v>
      </c>
      <c r="O79" s="21" t="n">
        <v>1500</v>
      </c>
      <c r="P79" s="21" t="n">
        <v>150</v>
      </c>
      <c r="Q79" s="21" t="n">
        <v>0</v>
      </c>
      <c r="R79" s="21" t="n">
        <v>25</v>
      </c>
      <c r="S79" s="21" t="n">
        <v>0</v>
      </c>
      <c r="T79" s="21" t="n">
        <v>25</v>
      </c>
      <c r="U79" s="21" t="n">
        <v>0</v>
      </c>
      <c r="V79" s="21" t="inlineStr">
        <is>
          <t>HP MP Regeneration</t>
        </is>
      </c>
      <c r="W79" s="61">
        <f>N79*'Item Budget'!$B$5+R79*'Item Budget'!$B$7+P79*'Item Budget'!$B$11+S79*'Item Budget'!$B$10+Q79*'Item Budget'!$B$9+IFERROR(INDEX('Item Budget'!$M$25:$M$95,MATCH(V79,'Item Budget'!$B$25:$B$95,0)),0)+IF($C79="Weapon",U79*'Item Budget'!$B$9,0)</f>
        <v/>
      </c>
      <c r="X79" s="61">
        <f>N79*'Item Budget'!$B$5+R79*'Item Budget'!$B$7+P79*'Item Budget'!$B$11+S79*'Item Budget'!$B$10+O79*'Item Budget'!$B$6+T79*'Item Budget'!$B$8+IFERROR(INDEX('Item Budget'!$N$25:$N$95,MATCH(V79,'Item Budget'!$B$25:$B$95,0)),0)</f>
        <v/>
      </c>
      <c r="Y79" s="61">
        <f>MAX('Item Budget'!$F$16,INDEX('Gear Budget'!$C$8:$C$14,MATCH($C79,'Gear Budget'!$A$8:$A$14,0))*MIN(M79,50))*$L79</f>
        <v/>
      </c>
      <c r="Z79" s="41">
        <f>IF($C79="Caster weapon",X79,MAX(W79,X79))/Y79</f>
        <v/>
      </c>
      <c r="AA79" s="61">
        <f>IF(OR($C79="Weapon",$C79="Caster weapon"),"",'Gear Budget'!$B$5*MAX(1,MIN(M79,50))*INDEX('Gear Budget'!$B$8:$B$14,MATCH($C79,'Gear Budget'!$A$8:$A$14,0))*IF($C79="Shield",IF(D79="Warrior",1,IF(OR(D79="Rogue",D79="All"),0.38/0.6,0.25/0.6)),IFERROR(INDEX('Gear Budget'!$B$18:$B$21,MATCH($F79,'Gear Budget'!$A$18:$A$21,0)),1)))</f>
        <v/>
      </c>
      <c r="AB79" s="41">
        <f>IF(AA79="","",P79/AA79)</f>
        <v/>
      </c>
      <c r="AC79" s="21" t="n">
        <v>50</v>
      </c>
      <c r="AD79" s="21" t="n">
        <v>1500</v>
      </c>
      <c r="AE79" s="21" t="n">
        <v>1500</v>
      </c>
      <c r="AF79" s="21" t="n">
        <v>150</v>
      </c>
      <c r="AG79" s="21" t="n">
        <v>0</v>
      </c>
      <c r="AH79" s="21" t="n">
        <v>25</v>
      </c>
      <c r="AI79" s="21" t="n">
        <v>0</v>
      </c>
      <c r="AJ79" s="21" t="n">
        <v>25</v>
      </c>
      <c r="AK79" s="21" t="n">
        <v>0</v>
      </c>
      <c r="AL79" s="21" t="inlineStr">
        <is>
          <t>HP MP Regeneration</t>
        </is>
      </c>
      <c r="AM79" s="61">
        <f>AD79*'Item Budget'!$B$5+AH79*'Item Budget'!$B$7+AF79*'Item Budget'!$B$11+AI79*'Item Budget'!$B$10+AG79*'Item Budget'!$B$9+IFERROR(INDEX('Item Budget'!$M$25:$M$95,MATCH(AL79,'Item Budget'!$B$25:$B$95,0)),0)+IF($C79="Weapon",AK79*'Item Budget'!$B$9,0)</f>
        <v/>
      </c>
      <c r="AN79" s="61">
        <f>AD79*'Item Budget'!$B$5+AH79*'Item Budget'!$B$7+AF79*'Item Budget'!$B$11+AI79*'Item Budget'!$B$10+AE79*'Item Budget'!$B$6+AJ79*'Item Budget'!$B$8+IFERROR(INDEX('Item Budget'!$N$25:$N$95,MATCH(AL79,'Item Budget'!$B$25:$B$95,0)),0)</f>
        <v/>
      </c>
      <c r="AO79" s="61">
        <f>MAX('Item Budget'!$F$16,INDEX('Gear Budget'!$C$8:$C$14,MATCH($C79,'Gear Budget'!$A$8:$A$14,0))*MIN(AC79,50))*$L79</f>
        <v/>
      </c>
      <c r="AP79" s="41">
        <f>IF($C79="Caster weapon",AN79,MAX(AM79,AN79))/AO79</f>
        <v/>
      </c>
      <c r="AQ79" s="61">
        <f>IF(OR($C79="Weapon",$C79="Caster weapon"),"",'Gear Budget'!$B$5*MAX(1,MIN(AC79,50))*INDEX('Gear Budget'!$B$8:$B$14,MATCH($C79,'Gear Budget'!$A$8:$A$14,0))*IF($C79="Shield",IF(E79="Warrior",1,IF(OR(E79="Rogue",E79="All"),0.38/0.6,0.25/0.6)),IFERROR(INDEX('Gear Budget'!$B$18:$B$21,MATCH($F79,'Gear Budget'!$A$18:$A$21,0)),1)))</f>
        <v/>
      </c>
      <c r="AR79" s="41">
        <f>IF(AQ79="","",AF79/AQ79)</f>
        <v/>
      </c>
      <c r="AS79" s="64" t="n"/>
      <c r="AT79" s="44">
        <f>IF(OR($E79="All",ISNUMBER(SEARCH("Warrior",$E79))),IF($C79="Caster weapon",(AN79+AF79*('Item Budget'!$AB$14-'Item Budget'!$B$11)),(AM79+AF79*('Item Budget'!$AB$14-'Item Budget'!$B$11))),0)</f>
        <v/>
      </c>
      <c r="AU79" s="44">
        <f>IF(OR($E79="All",ISNUMBER(SEARCH("Rogue",$E79))),IF($C79="Caster weapon",(AN79+AF79*('Item Budget'!$AB$15-'Item Budget'!$B$11)),(AM79+AF79*('Item Budget'!$AB$15-'Item Budget'!$B$11))),0)</f>
        <v/>
      </c>
      <c r="AV79" s="44">
        <f>IF(OR($E79="All",ISNUMBER(SEARCH("Magus",$E79))),(AN79+AF79*('Item Budget'!$AB$16-'Item Budget'!$B$11)),0)</f>
        <v/>
      </c>
      <c r="AW79" s="44">
        <f>IF(OR($E79="All",ISNUMBER(SEARCH("Priest",$E79))),(AN79+AF79*('Item Budget'!$AB$17-'Item Budget'!$B$11)),0)</f>
        <v/>
      </c>
      <c r="AX79" s="44">
        <f>IF(AND(OR($E79="All",ISNUMBER(SEARCH("Warrior",$E79))),AC79&gt;='Item Budget'!$R$10),'Item Budget'!$R$7*100*('Item Budget'!$R$14*(AD79+25*AH79)+'Item Budget'!$S$14*(AE79+25*AJ79))/'Item Budget'!$Z$14+'Item Budget'!$R$9*AF79+IFERROR(INDEX('Item Budget'!$O$25:$O$95,MATCH(AL79,'Item Budget'!$B$25:$B$95,0)),0),0)</f>
        <v/>
      </c>
      <c r="AY79" s="44">
        <f>IF(AND(OR($E79="All",ISNUMBER(SEARCH("Rogue",$E79))),AC79&gt;='Item Budget'!$R$10),'Item Budget'!$R$7*100*('Item Budget'!$R$15*(AD79+25*AH79)+'Item Budget'!$S$15*(AE79+25*AJ79))/'Item Budget'!$Z$15+'Item Budget'!$R$9*AF79+IFERROR(INDEX('Item Budget'!$O$25:$O$95,MATCH(AL79,'Item Budget'!$B$25:$B$95,0)),0),0)</f>
        <v/>
      </c>
      <c r="AZ79" s="44">
        <f>IF(AND(OR($E79="All",ISNUMBER(SEARCH("Magus",$E79))),AC79&gt;='Item Budget'!$R$10),'Item Budget'!$R$7*100*('Item Budget'!$R$16*(AD79+25*AH79)+'Item Budget'!$S$16*(AE79+25*AJ79))/'Item Budget'!$Z$16+'Item Budget'!$R$9*AF79+IFERROR(INDEX('Item Budget'!$O$25:$O$95,MATCH(AL79,'Item Budget'!$B$25:$B$95,0)),0),0)</f>
        <v/>
      </c>
      <c r="BA79" s="44">
        <f>IF(AND(OR($E79="All",ISNUMBER(SEARCH("Priest",$E79))),AC79&gt;='Item Budget'!$R$10),'Item Budget'!$R$7*100*('Item Budget'!$R$17*(AD79+25*AH79)+'Item Budget'!$S$17*(AE79+25*AJ79))/'Item Budget'!$Z$17+'Item Budget'!$R$9*AF79+IFERROR(INDEX('Item Budget'!$O$25:$O$95,MATCH(AL79,'Item Budget'!$B$25:$B$95,0)),0),0)</f>
        <v/>
      </c>
      <c r="BB79" s="52">
        <f>IF(OR($I79&lt;1,IF($I79&gt;=6,AX79,AT79)&lt;=0),"",IF(SUMPRODUCT(MAX(($C$5:$C$215=$C79)*($I$5:$I$215&gt;=1)*($I$5:$I$215&lt;$I79)*IF($I79&gt;=6,$AX$5:$AX$215,$AT$5:$AT$215)))&lt;=0,"",SUMPRODUCT(MAX(($C$5:$C$215=$C79)*($I$5:$I$215=$I79)*IF($I79&gt;=6,$AX$5:$AX$215,$AT$5:$AT$215)))/SUMPRODUCT(MAX(($C$5:$C$215=$C79)*($I$5:$I$215&gt;=1)*($I$5:$I$215&lt;$I79)*IF($I79&gt;=6,$AX$5:$AX$215,$AT$5:$AT$215)))-1))</f>
        <v/>
      </c>
      <c r="BC79" s="52">
        <f>IF(OR($I79&lt;1,IF($I79&gt;=6,AY79,AU79)&lt;=0),"",IF(SUMPRODUCT(MAX(($C$5:$C$215=$C79)*($I$5:$I$215&gt;=1)*($I$5:$I$215&lt;$I79)*IF($I79&gt;=6,$AY$5:$AY$215,$AU$5:$AU$215)))&lt;=0,"",SUMPRODUCT(MAX(($C$5:$C$215=$C79)*($I$5:$I$215=$I79)*IF($I79&gt;=6,$AY$5:$AY$215,$AU$5:$AU$215)))/SUMPRODUCT(MAX(($C$5:$C$215=$C79)*($I$5:$I$215&gt;=1)*($I$5:$I$215&lt;$I79)*IF($I79&gt;=6,$AY$5:$AY$215,$AU$5:$AU$215)))-1))</f>
        <v/>
      </c>
      <c r="BD79" s="52">
        <f>IF(OR($I79&lt;1,IF($I79&gt;=6,AZ79,AV79)&lt;=0),"",IF(SUMPRODUCT(MAX(($C$5:$C$215=$C79)*($I$5:$I$215&gt;=1)*($I$5:$I$215&lt;$I79)*IF($I79&gt;=6,$AZ$5:$AZ$215,$AV$5:$AV$215)))&lt;=0,"",SUMPRODUCT(MAX(($C$5:$C$215=$C79)*($I$5:$I$215=$I79)*IF($I79&gt;=6,$AZ$5:$AZ$215,$AV$5:$AV$215)))/SUMPRODUCT(MAX(($C$5:$C$215=$C79)*($I$5:$I$215&gt;=1)*($I$5:$I$215&lt;$I79)*IF($I79&gt;=6,$AZ$5:$AZ$215,$AV$5:$AV$215)))-1))</f>
        <v/>
      </c>
      <c r="BE79" s="52">
        <f>IF(OR($I79&lt;1,IF($I79&gt;=6,BA79,AW79)&lt;=0),"",IF(SUMPRODUCT(MAX(($C$5:$C$215=$C79)*($I$5:$I$215&gt;=1)*($I$5:$I$215&lt;$I79)*IF($I79&gt;=6,$BA$5:$BA$215,$AW$5:$AW$215)))&lt;=0,"",SUMPRODUCT(MAX(($C$5:$C$215=$C79)*($I$5:$I$215=$I79)*IF($I79&gt;=6,$BA$5:$BA$215,$AW$5:$AW$215)))/SUMPRODUCT(MAX(($C$5:$C$215=$C79)*($I$5:$I$215&gt;=1)*($I$5:$I$215&lt;$I79)*IF($I79&gt;=6,$BA$5:$BA$215,$AW$5:$AW$215)))-1))</f>
        <v/>
      </c>
      <c r="BF79" s="19">
        <f>IF(AND(BB79="",BC79="",BD79="",BE79=""),"",IF(IF(AND(ISNUMBER(BB79),BB79&lt;'Item Budget'!$R$11),"W ","")&amp;IF(AND(ISNUMBER(BC79),BC79&lt;'Item Budget'!$R$11),"R ","")&amp;IF(AND(ISNUMBER(BD79),BD79&lt;'Item Budget'!$R$11),"M ","")&amp;IF(AND(ISNUMBER(BE79),BE79&lt;'Item Budget'!$R$11),"P ","")="","OK","Not above lower step: "&amp;IF(AND(ISNUMBER(BB79),BB79&lt;'Item Budget'!$R$11),"W ","")&amp;IF(AND(ISNUMBER(BC79),BC79&lt;'Item Budget'!$R$11),"R ","")&amp;IF(AND(ISNUMBER(BD79),BD79&lt;'Item Budget'!$R$11),"M ","")&amp;IF(AND(ISNUMBER(BE79),BE79&lt;'Item Budget'!$R$11),"P ","")))</f>
        <v/>
      </c>
    </row>
    <row r="80">
      <c r="A80" s="21" t="n">
        <v>406</v>
      </c>
      <c r="B80" s="21" t="inlineStr">
        <is>
          <t>Divine Helm</t>
        </is>
      </c>
      <c r="C80" s="21" t="inlineStr">
        <is>
          <t>Helmet</t>
        </is>
      </c>
      <c r="D80" s="21" t="inlineStr">
        <is>
          <t>Warrior</t>
        </is>
      </c>
      <c r="E80" s="21" t="inlineStr">
        <is>
          <t>Warrior</t>
        </is>
      </c>
      <c r="F80" s="21" t="inlineStr">
        <is>
          <t>Warrior plate</t>
        </is>
      </c>
      <c r="G80" s="21" t="inlineStr">
        <is>
          <t>craft</t>
        </is>
      </c>
      <c r="H80" s="37" t="n">
        <v>100000000</v>
      </c>
      <c r="I80" s="21" t="n">
        <v>7</v>
      </c>
      <c r="J80" s="19" t="inlineStr">
        <is>
          <t>Leave</t>
        </is>
      </c>
      <c r="K80" s="21" t="inlineStr">
        <is>
          <t>Crafted</t>
        </is>
      </c>
      <c r="L80" s="31">
        <f>INDEX('Item Budget'!$F$5:$F$13,MATCH(K80,'Item Budget'!$E$5:$E$13,0))+IF(E80="All",0,'Item Budget'!$F$15)+LOOKUP(H80,'Item Budget'!$E$19:$E$23,'Item Budget'!$F$19:$F$23)</f>
        <v/>
      </c>
      <c r="M80" s="21" t="n">
        <v>50</v>
      </c>
      <c r="N80" s="21" t="n">
        <v>3000</v>
      </c>
      <c r="O80" s="21" t="n">
        <v>0</v>
      </c>
      <c r="P80" s="21" t="n">
        <v>150</v>
      </c>
      <c r="Q80" s="21" t="n">
        <v>0</v>
      </c>
      <c r="R80" s="21" t="n">
        <v>50</v>
      </c>
      <c r="S80" s="21" t="n">
        <v>0</v>
      </c>
      <c r="T80" s="21" t="n">
        <v>0</v>
      </c>
      <c r="U80" s="21" t="n">
        <v>0</v>
      </c>
      <c r="V80" s="21" t="inlineStr">
        <is>
          <t>HP MP Regeneration</t>
        </is>
      </c>
      <c r="W80" s="61">
        <f>N80*'Item Budget'!$B$5+R80*'Item Budget'!$B$7+P80*'Item Budget'!$B$11+S80*'Item Budget'!$B$10+Q80*'Item Budget'!$B$9+IFERROR(INDEX('Item Budget'!$M$25:$M$95,MATCH(V80,'Item Budget'!$B$25:$B$95,0)),0)+IF($C80="Weapon",U80*'Item Budget'!$B$9,0)</f>
        <v/>
      </c>
      <c r="X80" s="61">
        <f>N80*'Item Budget'!$B$5+R80*'Item Budget'!$B$7+P80*'Item Budget'!$B$11+S80*'Item Budget'!$B$10+O80*'Item Budget'!$B$6+T80*'Item Budget'!$B$8+IFERROR(INDEX('Item Budget'!$N$25:$N$95,MATCH(V80,'Item Budget'!$B$25:$B$95,0)),0)</f>
        <v/>
      </c>
      <c r="Y80" s="61">
        <f>MAX('Item Budget'!$F$16,INDEX('Gear Budget'!$C$8:$C$14,MATCH($C80,'Gear Budget'!$A$8:$A$14,0))*MIN(M80,50))*$L80</f>
        <v/>
      </c>
      <c r="Z80" s="41">
        <f>IF($C80="Caster weapon",X80,MAX(W80,X80))/Y80</f>
        <v/>
      </c>
      <c r="AA80" s="61">
        <f>IF(OR($C80="Weapon",$C80="Caster weapon"),"",'Gear Budget'!$B$5*MAX(1,MIN(M80,50))*INDEX('Gear Budget'!$B$8:$B$14,MATCH($C80,'Gear Budget'!$A$8:$A$14,0))*IF($C80="Shield",IF(D80="Warrior",1,IF(OR(D80="Rogue",D80="All"),0.38/0.6,0.25/0.6)),IFERROR(INDEX('Gear Budget'!$B$18:$B$21,MATCH($F80,'Gear Budget'!$A$18:$A$21,0)),1)))</f>
        <v/>
      </c>
      <c r="AB80" s="41">
        <f>IF(AA80="","",P80/AA80)</f>
        <v/>
      </c>
      <c r="AC80" s="21" t="n">
        <v>50</v>
      </c>
      <c r="AD80" s="21" t="n">
        <v>3000</v>
      </c>
      <c r="AE80" s="21" t="n">
        <v>0</v>
      </c>
      <c r="AF80" s="21" t="n">
        <v>150</v>
      </c>
      <c r="AG80" s="21" t="n">
        <v>0</v>
      </c>
      <c r="AH80" s="21" t="n">
        <v>50</v>
      </c>
      <c r="AI80" s="21" t="n">
        <v>0</v>
      </c>
      <c r="AJ80" s="21" t="n">
        <v>0</v>
      </c>
      <c r="AK80" s="21" t="n">
        <v>0</v>
      </c>
      <c r="AL80" s="21" t="inlineStr">
        <is>
          <t>HP MP Regeneration</t>
        </is>
      </c>
      <c r="AM80" s="61">
        <f>AD80*'Item Budget'!$B$5+AH80*'Item Budget'!$B$7+AF80*'Item Budget'!$B$11+AI80*'Item Budget'!$B$10+AG80*'Item Budget'!$B$9+IFERROR(INDEX('Item Budget'!$M$25:$M$95,MATCH(AL80,'Item Budget'!$B$25:$B$95,0)),0)+IF($C80="Weapon",AK80*'Item Budget'!$B$9,0)</f>
        <v/>
      </c>
      <c r="AN80" s="61">
        <f>AD80*'Item Budget'!$B$5+AH80*'Item Budget'!$B$7+AF80*'Item Budget'!$B$11+AI80*'Item Budget'!$B$10+AE80*'Item Budget'!$B$6+AJ80*'Item Budget'!$B$8+IFERROR(INDEX('Item Budget'!$N$25:$N$95,MATCH(AL80,'Item Budget'!$B$25:$B$95,0)),0)</f>
        <v/>
      </c>
      <c r="AO80" s="61">
        <f>MAX('Item Budget'!$F$16,INDEX('Gear Budget'!$C$8:$C$14,MATCH($C80,'Gear Budget'!$A$8:$A$14,0))*MIN(AC80,50))*$L80</f>
        <v/>
      </c>
      <c r="AP80" s="41">
        <f>IF($C80="Caster weapon",AN80,MAX(AM80,AN80))/AO80</f>
        <v/>
      </c>
      <c r="AQ80" s="61">
        <f>IF(OR($C80="Weapon",$C80="Caster weapon"),"",'Gear Budget'!$B$5*MAX(1,MIN(AC80,50))*INDEX('Gear Budget'!$B$8:$B$14,MATCH($C80,'Gear Budget'!$A$8:$A$14,0))*IF($C80="Shield",IF(E80="Warrior",1,IF(OR(E80="Rogue",E80="All"),0.38/0.6,0.25/0.6)),IFERROR(INDEX('Gear Budget'!$B$18:$B$21,MATCH($F80,'Gear Budget'!$A$18:$A$21,0)),1)))</f>
        <v/>
      </c>
      <c r="AR80" s="41">
        <f>IF(AQ80="","",AF80/AQ80)</f>
        <v/>
      </c>
      <c r="AS80" s="64" t="n"/>
      <c r="AT80" s="44">
        <f>IF(OR($E80="All",ISNUMBER(SEARCH("Warrior",$E80))),IF($C80="Caster weapon",(AN80+AF80*('Item Budget'!$AB$14-'Item Budget'!$B$11)),(AM80+AF80*('Item Budget'!$AB$14-'Item Budget'!$B$11))),0)</f>
        <v/>
      </c>
      <c r="AU80" s="44">
        <f>IF(OR($E80="All",ISNUMBER(SEARCH("Rogue",$E80))),IF($C80="Caster weapon",(AN80+AF80*('Item Budget'!$AB$15-'Item Budget'!$B$11)),(AM80+AF80*('Item Budget'!$AB$15-'Item Budget'!$B$11))),0)</f>
        <v/>
      </c>
      <c r="AV80" s="44">
        <f>IF(OR($E80="All",ISNUMBER(SEARCH("Magus",$E80))),(AN80+AF80*('Item Budget'!$AB$16-'Item Budget'!$B$11)),0)</f>
        <v/>
      </c>
      <c r="AW80" s="44">
        <f>IF(OR($E80="All",ISNUMBER(SEARCH("Priest",$E80))),(AN80+AF80*('Item Budget'!$AB$17-'Item Budget'!$B$11)),0)</f>
        <v/>
      </c>
      <c r="AX80" s="44">
        <f>IF(AND(OR($E80="All",ISNUMBER(SEARCH("Warrior",$E80))),AC80&gt;='Item Budget'!$R$10),'Item Budget'!$R$7*100*('Item Budget'!$R$14*(AD80+25*AH80)+'Item Budget'!$S$14*(AE80+25*AJ80))/'Item Budget'!$Z$14+'Item Budget'!$R$9*AF80+IFERROR(INDEX('Item Budget'!$O$25:$O$95,MATCH(AL80,'Item Budget'!$B$25:$B$95,0)),0),0)</f>
        <v/>
      </c>
      <c r="AY80" s="44">
        <f>IF(AND(OR($E80="All",ISNUMBER(SEARCH("Rogue",$E80))),AC80&gt;='Item Budget'!$R$10),'Item Budget'!$R$7*100*('Item Budget'!$R$15*(AD80+25*AH80)+'Item Budget'!$S$15*(AE80+25*AJ80))/'Item Budget'!$Z$15+'Item Budget'!$R$9*AF80+IFERROR(INDEX('Item Budget'!$O$25:$O$95,MATCH(AL80,'Item Budget'!$B$25:$B$95,0)),0),0)</f>
        <v/>
      </c>
      <c r="AZ80" s="44">
        <f>IF(AND(OR($E80="All",ISNUMBER(SEARCH("Magus",$E80))),AC80&gt;='Item Budget'!$R$10),'Item Budget'!$R$7*100*('Item Budget'!$R$16*(AD80+25*AH80)+'Item Budget'!$S$16*(AE80+25*AJ80))/'Item Budget'!$Z$16+'Item Budget'!$R$9*AF80+IFERROR(INDEX('Item Budget'!$O$25:$O$95,MATCH(AL80,'Item Budget'!$B$25:$B$95,0)),0),0)</f>
        <v/>
      </c>
      <c r="BA80" s="44">
        <f>IF(AND(OR($E80="All",ISNUMBER(SEARCH("Priest",$E80))),AC80&gt;='Item Budget'!$R$10),'Item Budget'!$R$7*100*('Item Budget'!$R$17*(AD80+25*AH80)+'Item Budget'!$S$17*(AE80+25*AJ80))/'Item Budget'!$Z$17+'Item Budget'!$R$9*AF80+IFERROR(INDEX('Item Budget'!$O$25:$O$95,MATCH(AL80,'Item Budget'!$B$25:$B$95,0)),0),0)</f>
        <v/>
      </c>
      <c r="BB80" s="52">
        <f>IF(OR($I80&lt;1,IF($I80&gt;=6,AX80,AT80)&lt;=0),"",IF(SUMPRODUCT(MAX(($C$5:$C$215=$C80)*($I$5:$I$215&gt;=1)*($I$5:$I$215&lt;$I80)*IF($I80&gt;=6,$AX$5:$AX$215,$AT$5:$AT$215)))&lt;=0,"",SUMPRODUCT(MAX(($C$5:$C$215=$C80)*($I$5:$I$215=$I80)*IF($I80&gt;=6,$AX$5:$AX$215,$AT$5:$AT$215)))/SUMPRODUCT(MAX(($C$5:$C$215=$C80)*($I$5:$I$215&gt;=1)*($I$5:$I$215&lt;$I80)*IF($I80&gt;=6,$AX$5:$AX$215,$AT$5:$AT$215)))-1))</f>
        <v/>
      </c>
      <c r="BC80" s="52">
        <f>IF(OR($I80&lt;1,IF($I80&gt;=6,AY80,AU80)&lt;=0),"",IF(SUMPRODUCT(MAX(($C$5:$C$215=$C80)*($I$5:$I$215&gt;=1)*($I$5:$I$215&lt;$I80)*IF($I80&gt;=6,$AY$5:$AY$215,$AU$5:$AU$215)))&lt;=0,"",SUMPRODUCT(MAX(($C$5:$C$215=$C80)*($I$5:$I$215=$I80)*IF($I80&gt;=6,$AY$5:$AY$215,$AU$5:$AU$215)))/SUMPRODUCT(MAX(($C$5:$C$215=$C80)*($I$5:$I$215&gt;=1)*($I$5:$I$215&lt;$I80)*IF($I80&gt;=6,$AY$5:$AY$215,$AU$5:$AU$215)))-1))</f>
        <v/>
      </c>
      <c r="BD80" s="52">
        <f>IF(OR($I80&lt;1,IF($I80&gt;=6,AZ80,AV80)&lt;=0),"",IF(SUMPRODUCT(MAX(($C$5:$C$215=$C80)*($I$5:$I$215&gt;=1)*($I$5:$I$215&lt;$I80)*IF($I80&gt;=6,$AZ$5:$AZ$215,$AV$5:$AV$215)))&lt;=0,"",SUMPRODUCT(MAX(($C$5:$C$215=$C80)*($I$5:$I$215=$I80)*IF($I80&gt;=6,$AZ$5:$AZ$215,$AV$5:$AV$215)))/SUMPRODUCT(MAX(($C$5:$C$215=$C80)*($I$5:$I$215&gt;=1)*($I$5:$I$215&lt;$I80)*IF($I80&gt;=6,$AZ$5:$AZ$215,$AV$5:$AV$215)))-1))</f>
        <v/>
      </c>
      <c r="BE80" s="52">
        <f>IF(OR($I80&lt;1,IF($I80&gt;=6,BA80,AW80)&lt;=0),"",IF(SUMPRODUCT(MAX(($C$5:$C$215=$C80)*($I$5:$I$215&gt;=1)*($I$5:$I$215&lt;$I80)*IF($I80&gt;=6,$BA$5:$BA$215,$AW$5:$AW$215)))&lt;=0,"",SUMPRODUCT(MAX(($C$5:$C$215=$C80)*($I$5:$I$215=$I80)*IF($I80&gt;=6,$BA$5:$BA$215,$AW$5:$AW$215)))/SUMPRODUCT(MAX(($C$5:$C$215=$C80)*($I$5:$I$215&gt;=1)*($I$5:$I$215&lt;$I80)*IF($I80&gt;=6,$BA$5:$BA$215,$AW$5:$AW$215)))-1))</f>
        <v/>
      </c>
      <c r="BF80" s="19">
        <f>IF(AND(BB80="",BC80="",BD80="",BE80=""),"",IF(IF(AND(ISNUMBER(BB80),BB80&lt;'Item Budget'!$R$11),"W ","")&amp;IF(AND(ISNUMBER(BC80),BC80&lt;'Item Budget'!$R$11),"R ","")&amp;IF(AND(ISNUMBER(BD80),BD80&lt;'Item Budget'!$R$11),"M ","")&amp;IF(AND(ISNUMBER(BE80),BE80&lt;'Item Budget'!$R$11),"P ","")="","OK","Not above lower step: "&amp;IF(AND(ISNUMBER(BB80),BB80&lt;'Item Budget'!$R$11),"W ","")&amp;IF(AND(ISNUMBER(BC80),BC80&lt;'Item Budget'!$R$11),"R ","")&amp;IF(AND(ISNUMBER(BD80),BD80&lt;'Item Budget'!$R$11),"M ","")&amp;IF(AND(ISNUMBER(BE80),BE80&lt;'Item Budget'!$R$11),"P ","")))</f>
        <v/>
      </c>
    </row>
    <row r="81">
      <c r="A81" s="21" t="n">
        <v>407</v>
      </c>
      <c r="B81" s="21" t="inlineStr">
        <is>
          <t>Divine Crown</t>
        </is>
      </c>
      <c r="C81" s="21" t="inlineStr">
        <is>
          <t>Helmet</t>
        </is>
      </c>
      <c r="D81" s="21" t="inlineStr">
        <is>
          <t>Magus</t>
        </is>
      </c>
      <c r="E81" s="21" t="inlineStr">
        <is>
          <t>Magus</t>
        </is>
      </c>
      <c r="F81" s="21" t="inlineStr">
        <is>
          <t>Caster cloth</t>
        </is>
      </c>
      <c r="G81" s="21" t="inlineStr">
        <is>
          <t>craft</t>
        </is>
      </c>
      <c r="H81" s="37" t="n">
        <v>100000000</v>
      </c>
      <c r="I81" s="21" t="n">
        <v>7</v>
      </c>
      <c r="J81" s="19" t="inlineStr">
        <is>
          <t>Leave</t>
        </is>
      </c>
      <c r="K81" s="21" t="inlineStr">
        <is>
          <t>Crafted</t>
        </is>
      </c>
      <c r="L81" s="31">
        <f>INDEX('Item Budget'!$F$5:$F$13,MATCH(K81,'Item Budget'!$E$5:$E$13,0))+IF(E81="All",0,'Item Budget'!$F$15)+LOOKUP(H81,'Item Budget'!$E$19:$E$23,'Item Budget'!$F$19:$F$23)</f>
        <v/>
      </c>
      <c r="M81" s="21" t="n">
        <v>50</v>
      </c>
      <c r="N81" s="21" t="n">
        <v>0</v>
      </c>
      <c r="O81" s="21" t="n">
        <v>3000</v>
      </c>
      <c r="P81" s="21" t="n">
        <v>150</v>
      </c>
      <c r="Q81" s="21" t="n">
        <v>0</v>
      </c>
      <c r="R81" s="21" t="n">
        <v>0</v>
      </c>
      <c r="S81" s="21" t="n">
        <v>0</v>
      </c>
      <c r="T81" s="21" t="n">
        <v>50</v>
      </c>
      <c r="U81" s="21" t="n">
        <v>0</v>
      </c>
      <c r="V81" s="21" t="inlineStr">
        <is>
          <t>HP MP Regeneration</t>
        </is>
      </c>
      <c r="W81" s="61">
        <f>N81*'Item Budget'!$B$5+R81*'Item Budget'!$B$7+P81*'Item Budget'!$B$11+S81*'Item Budget'!$B$10+Q81*'Item Budget'!$B$9+IFERROR(INDEX('Item Budget'!$M$25:$M$95,MATCH(V81,'Item Budget'!$B$25:$B$95,0)),0)+IF($C81="Weapon",U81*'Item Budget'!$B$9,0)</f>
        <v/>
      </c>
      <c r="X81" s="61">
        <f>N81*'Item Budget'!$B$5+R81*'Item Budget'!$B$7+P81*'Item Budget'!$B$11+S81*'Item Budget'!$B$10+O81*'Item Budget'!$B$6+T81*'Item Budget'!$B$8+IFERROR(INDEX('Item Budget'!$N$25:$N$95,MATCH(V81,'Item Budget'!$B$25:$B$95,0)),0)</f>
        <v/>
      </c>
      <c r="Y81" s="61">
        <f>MAX('Item Budget'!$F$16,INDEX('Gear Budget'!$C$8:$C$14,MATCH($C81,'Gear Budget'!$A$8:$A$14,0))*MIN(M81,50))*$L81</f>
        <v/>
      </c>
      <c r="Z81" s="41">
        <f>IF($C81="Caster weapon",X81,MAX(W81,X81))/Y81</f>
        <v/>
      </c>
      <c r="AA81" s="61">
        <f>IF(OR($C81="Weapon",$C81="Caster weapon"),"",'Gear Budget'!$B$5*MAX(1,MIN(M81,50))*INDEX('Gear Budget'!$B$8:$B$14,MATCH($C81,'Gear Budget'!$A$8:$A$14,0))*IF($C81="Shield",IF(D81="Warrior",1,IF(OR(D81="Rogue",D81="All"),0.38/0.6,0.25/0.6)),IFERROR(INDEX('Gear Budget'!$B$18:$B$21,MATCH($F81,'Gear Budget'!$A$18:$A$21,0)),1)))</f>
        <v/>
      </c>
      <c r="AB81" s="41">
        <f>IF(AA81="","",P81/AA81)</f>
        <v/>
      </c>
      <c r="AC81" s="21" t="n">
        <v>50</v>
      </c>
      <c r="AD81" s="21" t="n">
        <v>0</v>
      </c>
      <c r="AE81" s="21" t="n">
        <v>3000</v>
      </c>
      <c r="AF81" s="21" t="n">
        <v>150</v>
      </c>
      <c r="AG81" s="21" t="n">
        <v>0</v>
      </c>
      <c r="AH81" s="21" t="n">
        <v>0</v>
      </c>
      <c r="AI81" s="21" t="n">
        <v>0</v>
      </c>
      <c r="AJ81" s="21" t="n">
        <v>50</v>
      </c>
      <c r="AK81" s="21" t="n">
        <v>0</v>
      </c>
      <c r="AL81" s="21" t="inlineStr">
        <is>
          <t>HP MP Regeneration</t>
        </is>
      </c>
      <c r="AM81" s="61">
        <f>AD81*'Item Budget'!$B$5+AH81*'Item Budget'!$B$7+AF81*'Item Budget'!$B$11+AI81*'Item Budget'!$B$10+AG81*'Item Budget'!$B$9+IFERROR(INDEX('Item Budget'!$M$25:$M$95,MATCH(AL81,'Item Budget'!$B$25:$B$95,0)),0)+IF($C81="Weapon",AK81*'Item Budget'!$B$9,0)</f>
        <v/>
      </c>
      <c r="AN81" s="61">
        <f>AD81*'Item Budget'!$B$5+AH81*'Item Budget'!$B$7+AF81*'Item Budget'!$B$11+AI81*'Item Budget'!$B$10+AE81*'Item Budget'!$B$6+AJ81*'Item Budget'!$B$8+IFERROR(INDEX('Item Budget'!$N$25:$N$95,MATCH(AL81,'Item Budget'!$B$25:$B$95,0)),0)</f>
        <v/>
      </c>
      <c r="AO81" s="61">
        <f>MAX('Item Budget'!$F$16,INDEX('Gear Budget'!$C$8:$C$14,MATCH($C81,'Gear Budget'!$A$8:$A$14,0))*MIN(AC81,50))*$L81</f>
        <v/>
      </c>
      <c r="AP81" s="41">
        <f>IF($C81="Caster weapon",AN81,MAX(AM81,AN81))/AO81</f>
        <v/>
      </c>
      <c r="AQ81" s="61">
        <f>IF(OR($C81="Weapon",$C81="Caster weapon"),"",'Gear Budget'!$B$5*MAX(1,MIN(AC81,50))*INDEX('Gear Budget'!$B$8:$B$14,MATCH($C81,'Gear Budget'!$A$8:$A$14,0))*IF($C81="Shield",IF(E81="Warrior",1,IF(OR(E81="Rogue",E81="All"),0.38/0.6,0.25/0.6)),IFERROR(INDEX('Gear Budget'!$B$18:$B$21,MATCH($F81,'Gear Budget'!$A$18:$A$21,0)),1)))</f>
        <v/>
      </c>
      <c r="AR81" s="41">
        <f>IF(AQ81="","",AF81/AQ81)</f>
        <v/>
      </c>
      <c r="AS81" s="64" t="n"/>
      <c r="AT81" s="44">
        <f>IF(OR($E81="All",ISNUMBER(SEARCH("Warrior",$E81))),IF($C81="Caster weapon",(AN81+AF81*('Item Budget'!$AB$14-'Item Budget'!$B$11)),(AM81+AF81*('Item Budget'!$AB$14-'Item Budget'!$B$11))),0)</f>
        <v/>
      </c>
      <c r="AU81" s="44">
        <f>IF(OR($E81="All",ISNUMBER(SEARCH("Rogue",$E81))),IF($C81="Caster weapon",(AN81+AF81*('Item Budget'!$AB$15-'Item Budget'!$B$11)),(AM81+AF81*('Item Budget'!$AB$15-'Item Budget'!$B$11))),0)</f>
        <v/>
      </c>
      <c r="AV81" s="44">
        <f>IF(OR($E81="All",ISNUMBER(SEARCH("Magus",$E81))),(AN81+AF81*('Item Budget'!$AB$16-'Item Budget'!$B$11)),0)</f>
        <v/>
      </c>
      <c r="AW81" s="44">
        <f>IF(OR($E81="All",ISNUMBER(SEARCH("Priest",$E81))),(AN81+AF81*('Item Budget'!$AB$17-'Item Budget'!$B$11)),0)</f>
        <v/>
      </c>
      <c r="AX81" s="44">
        <f>IF(AND(OR($E81="All",ISNUMBER(SEARCH("Warrior",$E81))),AC81&gt;='Item Budget'!$R$10),'Item Budget'!$R$7*100*('Item Budget'!$R$14*(AD81+25*AH81)+'Item Budget'!$S$14*(AE81+25*AJ81))/'Item Budget'!$Z$14+'Item Budget'!$R$9*AF81+IFERROR(INDEX('Item Budget'!$O$25:$O$95,MATCH(AL81,'Item Budget'!$B$25:$B$95,0)),0),0)</f>
        <v/>
      </c>
      <c r="AY81" s="44">
        <f>IF(AND(OR($E81="All",ISNUMBER(SEARCH("Rogue",$E81))),AC81&gt;='Item Budget'!$R$10),'Item Budget'!$R$7*100*('Item Budget'!$R$15*(AD81+25*AH81)+'Item Budget'!$S$15*(AE81+25*AJ81))/'Item Budget'!$Z$15+'Item Budget'!$R$9*AF81+IFERROR(INDEX('Item Budget'!$O$25:$O$95,MATCH(AL81,'Item Budget'!$B$25:$B$95,0)),0),0)</f>
        <v/>
      </c>
      <c r="AZ81" s="44">
        <f>IF(AND(OR($E81="All",ISNUMBER(SEARCH("Magus",$E81))),AC81&gt;='Item Budget'!$R$10),'Item Budget'!$R$7*100*('Item Budget'!$R$16*(AD81+25*AH81)+'Item Budget'!$S$16*(AE81+25*AJ81))/'Item Budget'!$Z$16+'Item Budget'!$R$9*AF81+IFERROR(INDEX('Item Budget'!$O$25:$O$95,MATCH(AL81,'Item Budget'!$B$25:$B$95,0)),0),0)</f>
        <v/>
      </c>
      <c r="BA81" s="44">
        <f>IF(AND(OR($E81="All",ISNUMBER(SEARCH("Priest",$E81))),AC81&gt;='Item Budget'!$R$10),'Item Budget'!$R$7*100*('Item Budget'!$R$17*(AD81+25*AH81)+'Item Budget'!$S$17*(AE81+25*AJ81))/'Item Budget'!$Z$17+'Item Budget'!$R$9*AF81+IFERROR(INDEX('Item Budget'!$O$25:$O$95,MATCH(AL81,'Item Budget'!$B$25:$B$95,0)),0),0)</f>
        <v/>
      </c>
      <c r="BB81" s="52">
        <f>IF(OR($I81&lt;1,IF($I81&gt;=6,AX81,AT81)&lt;=0),"",IF(SUMPRODUCT(MAX(($C$5:$C$215=$C81)*($I$5:$I$215&gt;=1)*($I$5:$I$215&lt;$I81)*IF($I81&gt;=6,$AX$5:$AX$215,$AT$5:$AT$215)))&lt;=0,"",SUMPRODUCT(MAX(($C$5:$C$215=$C81)*($I$5:$I$215=$I81)*IF($I81&gt;=6,$AX$5:$AX$215,$AT$5:$AT$215)))/SUMPRODUCT(MAX(($C$5:$C$215=$C81)*($I$5:$I$215&gt;=1)*($I$5:$I$215&lt;$I81)*IF($I81&gt;=6,$AX$5:$AX$215,$AT$5:$AT$215)))-1))</f>
        <v/>
      </c>
      <c r="BC81" s="52">
        <f>IF(OR($I81&lt;1,IF($I81&gt;=6,AY81,AU81)&lt;=0),"",IF(SUMPRODUCT(MAX(($C$5:$C$215=$C81)*($I$5:$I$215&gt;=1)*($I$5:$I$215&lt;$I81)*IF($I81&gt;=6,$AY$5:$AY$215,$AU$5:$AU$215)))&lt;=0,"",SUMPRODUCT(MAX(($C$5:$C$215=$C81)*($I$5:$I$215=$I81)*IF($I81&gt;=6,$AY$5:$AY$215,$AU$5:$AU$215)))/SUMPRODUCT(MAX(($C$5:$C$215=$C81)*($I$5:$I$215&gt;=1)*($I$5:$I$215&lt;$I81)*IF($I81&gt;=6,$AY$5:$AY$215,$AU$5:$AU$215)))-1))</f>
        <v/>
      </c>
      <c r="BD81" s="52">
        <f>IF(OR($I81&lt;1,IF($I81&gt;=6,AZ81,AV81)&lt;=0),"",IF(SUMPRODUCT(MAX(($C$5:$C$215=$C81)*($I$5:$I$215&gt;=1)*($I$5:$I$215&lt;$I81)*IF($I81&gt;=6,$AZ$5:$AZ$215,$AV$5:$AV$215)))&lt;=0,"",SUMPRODUCT(MAX(($C$5:$C$215=$C81)*($I$5:$I$215=$I81)*IF($I81&gt;=6,$AZ$5:$AZ$215,$AV$5:$AV$215)))/SUMPRODUCT(MAX(($C$5:$C$215=$C81)*($I$5:$I$215&gt;=1)*($I$5:$I$215&lt;$I81)*IF($I81&gt;=6,$AZ$5:$AZ$215,$AV$5:$AV$215)))-1))</f>
        <v/>
      </c>
      <c r="BE81" s="52">
        <f>IF(OR($I81&lt;1,IF($I81&gt;=6,BA81,AW81)&lt;=0),"",IF(SUMPRODUCT(MAX(($C$5:$C$215=$C81)*($I$5:$I$215&gt;=1)*($I$5:$I$215&lt;$I81)*IF($I81&gt;=6,$BA$5:$BA$215,$AW$5:$AW$215)))&lt;=0,"",SUMPRODUCT(MAX(($C$5:$C$215=$C81)*($I$5:$I$215=$I81)*IF($I81&gt;=6,$BA$5:$BA$215,$AW$5:$AW$215)))/SUMPRODUCT(MAX(($C$5:$C$215=$C81)*($I$5:$I$215&gt;=1)*($I$5:$I$215&lt;$I81)*IF($I81&gt;=6,$BA$5:$BA$215,$AW$5:$AW$215)))-1))</f>
        <v/>
      </c>
      <c r="BF81" s="19">
        <f>IF(AND(BB81="",BC81="",BD81="",BE81=""),"",IF(IF(AND(ISNUMBER(BB81),BB81&lt;'Item Budget'!$R$11),"W ","")&amp;IF(AND(ISNUMBER(BC81),BC81&lt;'Item Budget'!$R$11),"R ","")&amp;IF(AND(ISNUMBER(BD81),BD81&lt;'Item Budget'!$R$11),"M ","")&amp;IF(AND(ISNUMBER(BE81),BE81&lt;'Item Budget'!$R$11),"P ","")="","OK","Not above lower step: "&amp;IF(AND(ISNUMBER(BB81),BB81&lt;'Item Budget'!$R$11),"W ","")&amp;IF(AND(ISNUMBER(BC81),BC81&lt;'Item Budget'!$R$11),"R ","")&amp;IF(AND(ISNUMBER(BD81),BD81&lt;'Item Budget'!$R$11),"M ","")&amp;IF(AND(ISNUMBER(BE81),BE81&lt;'Item Budget'!$R$11),"P ","")))</f>
        <v/>
      </c>
    </row>
    <row r="82">
      <c r="A82" s="21" t="n">
        <v>408</v>
      </c>
      <c r="B82" s="21" t="inlineStr">
        <is>
          <t>Divine Crown</t>
        </is>
      </c>
      <c r="C82" s="21" t="inlineStr">
        <is>
          <t>Helmet</t>
        </is>
      </c>
      <c r="D82" s="21" t="inlineStr">
        <is>
          <t>Priest</t>
        </is>
      </c>
      <c r="E82" s="21" t="inlineStr">
        <is>
          <t>Priest</t>
        </is>
      </c>
      <c r="F82" s="21" t="inlineStr">
        <is>
          <t>Caster cloth</t>
        </is>
      </c>
      <c r="G82" s="21" t="inlineStr">
        <is>
          <t>craft</t>
        </is>
      </c>
      <c r="H82" s="37" t="n">
        <v>100000000</v>
      </c>
      <c r="I82" s="21" t="n">
        <v>7</v>
      </c>
      <c r="J82" s="19" t="inlineStr">
        <is>
          <t>Leave</t>
        </is>
      </c>
      <c r="K82" s="21" t="inlineStr">
        <is>
          <t>Crafted</t>
        </is>
      </c>
      <c r="L82" s="31">
        <f>INDEX('Item Budget'!$F$5:$F$13,MATCH(K82,'Item Budget'!$E$5:$E$13,0))+IF(E82="All",0,'Item Budget'!$F$15)+LOOKUP(H82,'Item Budget'!$E$19:$E$23,'Item Budget'!$F$19:$F$23)</f>
        <v/>
      </c>
      <c r="M82" s="21" t="n">
        <v>50</v>
      </c>
      <c r="N82" s="21" t="n">
        <v>1000</v>
      </c>
      <c r="O82" s="21" t="n">
        <v>2000</v>
      </c>
      <c r="P82" s="21" t="n">
        <v>150</v>
      </c>
      <c r="Q82" s="21" t="n">
        <v>0</v>
      </c>
      <c r="R82" s="21" t="n">
        <v>20</v>
      </c>
      <c r="S82" s="21" t="n">
        <v>0</v>
      </c>
      <c r="T82" s="21" t="n">
        <v>30</v>
      </c>
      <c r="U82" s="21" t="n">
        <v>0</v>
      </c>
      <c r="V82" s="21" t="inlineStr">
        <is>
          <t>HP MP Regeneration</t>
        </is>
      </c>
      <c r="W82" s="61">
        <f>N82*'Item Budget'!$B$5+R82*'Item Budget'!$B$7+P82*'Item Budget'!$B$11+S82*'Item Budget'!$B$10+Q82*'Item Budget'!$B$9+IFERROR(INDEX('Item Budget'!$M$25:$M$95,MATCH(V82,'Item Budget'!$B$25:$B$95,0)),0)+IF($C82="Weapon",U82*'Item Budget'!$B$9,0)</f>
        <v/>
      </c>
      <c r="X82" s="61">
        <f>N82*'Item Budget'!$B$5+R82*'Item Budget'!$B$7+P82*'Item Budget'!$B$11+S82*'Item Budget'!$B$10+O82*'Item Budget'!$B$6+T82*'Item Budget'!$B$8+IFERROR(INDEX('Item Budget'!$N$25:$N$95,MATCH(V82,'Item Budget'!$B$25:$B$95,0)),0)</f>
        <v/>
      </c>
      <c r="Y82" s="61">
        <f>MAX('Item Budget'!$F$16,INDEX('Gear Budget'!$C$8:$C$14,MATCH($C82,'Gear Budget'!$A$8:$A$14,0))*MIN(M82,50))*$L82</f>
        <v/>
      </c>
      <c r="Z82" s="41">
        <f>IF($C82="Caster weapon",X82,MAX(W82,X82))/Y82</f>
        <v/>
      </c>
      <c r="AA82" s="61">
        <f>IF(OR($C82="Weapon",$C82="Caster weapon"),"",'Gear Budget'!$B$5*MAX(1,MIN(M82,50))*INDEX('Gear Budget'!$B$8:$B$14,MATCH($C82,'Gear Budget'!$A$8:$A$14,0))*IF($C82="Shield",IF(D82="Warrior",1,IF(OR(D82="Rogue",D82="All"),0.38/0.6,0.25/0.6)),IFERROR(INDEX('Gear Budget'!$B$18:$B$21,MATCH($F82,'Gear Budget'!$A$18:$A$21,0)),1)))</f>
        <v/>
      </c>
      <c r="AB82" s="41">
        <f>IF(AA82="","",P82/AA82)</f>
        <v/>
      </c>
      <c r="AC82" s="21" t="n">
        <v>50</v>
      </c>
      <c r="AD82" s="21" t="n">
        <v>1000</v>
      </c>
      <c r="AE82" s="21" t="n">
        <v>2000</v>
      </c>
      <c r="AF82" s="21" t="n">
        <v>150</v>
      </c>
      <c r="AG82" s="21" t="n">
        <v>0</v>
      </c>
      <c r="AH82" s="21" t="n">
        <v>20</v>
      </c>
      <c r="AI82" s="21" t="n">
        <v>0</v>
      </c>
      <c r="AJ82" s="21" t="n">
        <v>30</v>
      </c>
      <c r="AK82" s="21" t="n">
        <v>0</v>
      </c>
      <c r="AL82" s="21" t="inlineStr">
        <is>
          <t>HP MP Regeneration</t>
        </is>
      </c>
      <c r="AM82" s="61">
        <f>AD82*'Item Budget'!$B$5+AH82*'Item Budget'!$B$7+AF82*'Item Budget'!$B$11+AI82*'Item Budget'!$B$10+AG82*'Item Budget'!$B$9+IFERROR(INDEX('Item Budget'!$M$25:$M$95,MATCH(AL82,'Item Budget'!$B$25:$B$95,0)),0)+IF($C82="Weapon",AK82*'Item Budget'!$B$9,0)</f>
        <v/>
      </c>
      <c r="AN82" s="61">
        <f>AD82*'Item Budget'!$B$5+AH82*'Item Budget'!$B$7+AF82*'Item Budget'!$B$11+AI82*'Item Budget'!$B$10+AE82*'Item Budget'!$B$6+AJ82*'Item Budget'!$B$8+IFERROR(INDEX('Item Budget'!$N$25:$N$95,MATCH(AL82,'Item Budget'!$B$25:$B$95,0)),0)</f>
        <v/>
      </c>
      <c r="AO82" s="61">
        <f>MAX('Item Budget'!$F$16,INDEX('Gear Budget'!$C$8:$C$14,MATCH($C82,'Gear Budget'!$A$8:$A$14,0))*MIN(AC82,50))*$L82</f>
        <v/>
      </c>
      <c r="AP82" s="41">
        <f>IF($C82="Caster weapon",AN82,MAX(AM82,AN82))/AO82</f>
        <v/>
      </c>
      <c r="AQ82" s="61">
        <f>IF(OR($C82="Weapon",$C82="Caster weapon"),"",'Gear Budget'!$B$5*MAX(1,MIN(AC82,50))*INDEX('Gear Budget'!$B$8:$B$14,MATCH($C82,'Gear Budget'!$A$8:$A$14,0))*IF($C82="Shield",IF(E82="Warrior",1,IF(OR(E82="Rogue",E82="All"),0.38/0.6,0.25/0.6)),IFERROR(INDEX('Gear Budget'!$B$18:$B$21,MATCH($F82,'Gear Budget'!$A$18:$A$21,0)),1)))</f>
        <v/>
      </c>
      <c r="AR82" s="41">
        <f>IF(AQ82="","",AF82/AQ82)</f>
        <v/>
      </c>
      <c r="AS82" s="64" t="n"/>
      <c r="AT82" s="44">
        <f>IF(OR($E82="All",ISNUMBER(SEARCH("Warrior",$E82))),IF($C82="Caster weapon",(AN82+AF82*('Item Budget'!$AB$14-'Item Budget'!$B$11)),(AM82+AF82*('Item Budget'!$AB$14-'Item Budget'!$B$11))),0)</f>
        <v/>
      </c>
      <c r="AU82" s="44">
        <f>IF(OR($E82="All",ISNUMBER(SEARCH("Rogue",$E82))),IF($C82="Caster weapon",(AN82+AF82*('Item Budget'!$AB$15-'Item Budget'!$B$11)),(AM82+AF82*('Item Budget'!$AB$15-'Item Budget'!$B$11))),0)</f>
        <v/>
      </c>
      <c r="AV82" s="44">
        <f>IF(OR($E82="All",ISNUMBER(SEARCH("Magus",$E82))),(AN82+AF82*('Item Budget'!$AB$16-'Item Budget'!$B$11)),0)</f>
        <v/>
      </c>
      <c r="AW82" s="44">
        <f>IF(OR($E82="All",ISNUMBER(SEARCH("Priest",$E82))),(AN82+AF82*('Item Budget'!$AB$17-'Item Budget'!$B$11)),0)</f>
        <v/>
      </c>
      <c r="AX82" s="44">
        <f>IF(AND(OR($E82="All",ISNUMBER(SEARCH("Warrior",$E82))),AC82&gt;='Item Budget'!$R$10),'Item Budget'!$R$7*100*('Item Budget'!$R$14*(AD82+25*AH82)+'Item Budget'!$S$14*(AE82+25*AJ82))/'Item Budget'!$Z$14+'Item Budget'!$R$9*AF82+IFERROR(INDEX('Item Budget'!$O$25:$O$95,MATCH(AL82,'Item Budget'!$B$25:$B$95,0)),0),0)</f>
        <v/>
      </c>
      <c r="AY82" s="44">
        <f>IF(AND(OR($E82="All",ISNUMBER(SEARCH("Rogue",$E82))),AC82&gt;='Item Budget'!$R$10),'Item Budget'!$R$7*100*('Item Budget'!$R$15*(AD82+25*AH82)+'Item Budget'!$S$15*(AE82+25*AJ82))/'Item Budget'!$Z$15+'Item Budget'!$R$9*AF82+IFERROR(INDEX('Item Budget'!$O$25:$O$95,MATCH(AL82,'Item Budget'!$B$25:$B$95,0)),0),0)</f>
        <v/>
      </c>
      <c r="AZ82" s="44">
        <f>IF(AND(OR($E82="All",ISNUMBER(SEARCH("Magus",$E82))),AC82&gt;='Item Budget'!$R$10),'Item Budget'!$R$7*100*('Item Budget'!$R$16*(AD82+25*AH82)+'Item Budget'!$S$16*(AE82+25*AJ82))/'Item Budget'!$Z$16+'Item Budget'!$R$9*AF82+IFERROR(INDEX('Item Budget'!$O$25:$O$95,MATCH(AL82,'Item Budget'!$B$25:$B$95,0)),0),0)</f>
        <v/>
      </c>
      <c r="BA82" s="44">
        <f>IF(AND(OR($E82="All",ISNUMBER(SEARCH("Priest",$E82))),AC82&gt;='Item Budget'!$R$10),'Item Budget'!$R$7*100*('Item Budget'!$R$17*(AD82+25*AH82)+'Item Budget'!$S$17*(AE82+25*AJ82))/'Item Budget'!$Z$17+'Item Budget'!$R$9*AF82+IFERROR(INDEX('Item Budget'!$O$25:$O$95,MATCH(AL82,'Item Budget'!$B$25:$B$95,0)),0),0)</f>
        <v/>
      </c>
      <c r="BB82" s="52">
        <f>IF(OR($I82&lt;1,IF($I82&gt;=6,AX82,AT82)&lt;=0),"",IF(SUMPRODUCT(MAX(($C$5:$C$215=$C82)*($I$5:$I$215&gt;=1)*($I$5:$I$215&lt;$I82)*IF($I82&gt;=6,$AX$5:$AX$215,$AT$5:$AT$215)))&lt;=0,"",SUMPRODUCT(MAX(($C$5:$C$215=$C82)*($I$5:$I$215=$I82)*IF($I82&gt;=6,$AX$5:$AX$215,$AT$5:$AT$215)))/SUMPRODUCT(MAX(($C$5:$C$215=$C82)*($I$5:$I$215&gt;=1)*($I$5:$I$215&lt;$I82)*IF($I82&gt;=6,$AX$5:$AX$215,$AT$5:$AT$215)))-1))</f>
        <v/>
      </c>
      <c r="BC82" s="52">
        <f>IF(OR($I82&lt;1,IF($I82&gt;=6,AY82,AU82)&lt;=0),"",IF(SUMPRODUCT(MAX(($C$5:$C$215=$C82)*($I$5:$I$215&gt;=1)*($I$5:$I$215&lt;$I82)*IF($I82&gt;=6,$AY$5:$AY$215,$AU$5:$AU$215)))&lt;=0,"",SUMPRODUCT(MAX(($C$5:$C$215=$C82)*($I$5:$I$215=$I82)*IF($I82&gt;=6,$AY$5:$AY$215,$AU$5:$AU$215)))/SUMPRODUCT(MAX(($C$5:$C$215=$C82)*($I$5:$I$215&gt;=1)*($I$5:$I$215&lt;$I82)*IF($I82&gt;=6,$AY$5:$AY$215,$AU$5:$AU$215)))-1))</f>
        <v/>
      </c>
      <c r="BD82" s="52">
        <f>IF(OR($I82&lt;1,IF($I82&gt;=6,AZ82,AV82)&lt;=0),"",IF(SUMPRODUCT(MAX(($C$5:$C$215=$C82)*($I$5:$I$215&gt;=1)*($I$5:$I$215&lt;$I82)*IF($I82&gt;=6,$AZ$5:$AZ$215,$AV$5:$AV$215)))&lt;=0,"",SUMPRODUCT(MAX(($C$5:$C$215=$C82)*($I$5:$I$215=$I82)*IF($I82&gt;=6,$AZ$5:$AZ$215,$AV$5:$AV$215)))/SUMPRODUCT(MAX(($C$5:$C$215=$C82)*($I$5:$I$215&gt;=1)*($I$5:$I$215&lt;$I82)*IF($I82&gt;=6,$AZ$5:$AZ$215,$AV$5:$AV$215)))-1))</f>
        <v/>
      </c>
      <c r="BE82" s="52">
        <f>IF(OR($I82&lt;1,IF($I82&gt;=6,BA82,AW82)&lt;=0),"",IF(SUMPRODUCT(MAX(($C$5:$C$215=$C82)*($I$5:$I$215&gt;=1)*($I$5:$I$215&lt;$I82)*IF($I82&gt;=6,$BA$5:$BA$215,$AW$5:$AW$215)))&lt;=0,"",SUMPRODUCT(MAX(($C$5:$C$215=$C82)*($I$5:$I$215=$I82)*IF($I82&gt;=6,$BA$5:$BA$215,$AW$5:$AW$215)))/SUMPRODUCT(MAX(($C$5:$C$215=$C82)*($I$5:$I$215&gt;=1)*($I$5:$I$215&lt;$I82)*IF($I82&gt;=6,$BA$5:$BA$215,$AW$5:$AW$215)))-1))</f>
        <v/>
      </c>
      <c r="BF82" s="19">
        <f>IF(AND(BB82="",BC82="",BD82="",BE82=""),"",IF(IF(AND(ISNUMBER(BB82),BB82&lt;'Item Budget'!$R$11),"W ","")&amp;IF(AND(ISNUMBER(BC82),BC82&lt;'Item Budget'!$R$11),"R ","")&amp;IF(AND(ISNUMBER(BD82),BD82&lt;'Item Budget'!$R$11),"M ","")&amp;IF(AND(ISNUMBER(BE82),BE82&lt;'Item Budget'!$R$11),"P ","")="","OK","Not above lower step: "&amp;IF(AND(ISNUMBER(BB82),BB82&lt;'Item Budget'!$R$11),"W ","")&amp;IF(AND(ISNUMBER(BC82),BC82&lt;'Item Budget'!$R$11),"R ","")&amp;IF(AND(ISNUMBER(BD82),BD82&lt;'Item Budget'!$R$11),"M ","")&amp;IF(AND(ISNUMBER(BE82),BE82&lt;'Item Budget'!$R$11),"P ","")))</f>
        <v/>
      </c>
    </row>
    <row r="83">
      <c r="A83" s="21" t="n">
        <v>417</v>
      </c>
      <c r="B83" s="21" t="inlineStr">
        <is>
          <t>Doom Helm</t>
        </is>
      </c>
      <c r="C83" s="21" t="inlineStr">
        <is>
          <t>Helmet</t>
        </is>
      </c>
      <c r="D83" s="21" t="inlineStr">
        <is>
          <t>All</t>
        </is>
      </c>
      <c r="E83" s="21" t="inlineStr">
        <is>
          <t>All</t>
        </is>
      </c>
      <c r="F83" s="21" t="inlineStr">
        <is>
          <t>All classes</t>
        </is>
      </c>
      <c r="G83" s="21" t="inlineStr">
        <is>
          <t>drop: Doom 8%</t>
        </is>
      </c>
      <c r="H83" s="37" t="n">
        <v>100000000</v>
      </c>
      <c r="I83" s="21" t="n">
        <v>7</v>
      </c>
      <c r="J83" s="19" t="inlineStr">
        <is>
          <t>Leave</t>
        </is>
      </c>
      <c r="K83" s="21" t="inlineStr">
        <is>
          <t>Rare boss drop</t>
        </is>
      </c>
      <c r="L83" s="31">
        <f>INDEX('Item Budget'!$F$5:$F$13,MATCH(K83,'Item Budget'!$E$5:$E$13,0))+IF(E83="All",0,'Item Budget'!$F$15)+LOOKUP(H83,'Item Budget'!$E$19:$E$23,'Item Budget'!$F$19:$F$23)</f>
        <v/>
      </c>
      <c r="M83" s="21" t="n">
        <v>50</v>
      </c>
      <c r="N83" s="21" t="n">
        <v>2000</v>
      </c>
      <c r="O83" s="21" t="n">
        <v>2000</v>
      </c>
      <c r="P83" s="21" t="n">
        <v>150</v>
      </c>
      <c r="Q83" s="21" t="n">
        <v>10</v>
      </c>
      <c r="R83" s="21" t="n">
        <v>10</v>
      </c>
      <c r="S83" s="21" t="n">
        <v>10</v>
      </c>
      <c r="T83" s="21" t="n">
        <v>10</v>
      </c>
      <c r="U83" s="21" t="n">
        <v>0</v>
      </c>
      <c r="V83" s="21" t="inlineStr">
        <is>
          <t>Hit Point Regeneration D</t>
        </is>
      </c>
      <c r="W83" s="61">
        <f>N83*'Item Budget'!$B$5+R83*'Item Budget'!$B$7+P83*'Item Budget'!$B$11+S83*'Item Budget'!$B$10+Q83*'Item Budget'!$B$9+IFERROR(INDEX('Item Budget'!$M$25:$M$95,MATCH(V83,'Item Budget'!$B$25:$B$95,0)),0)+IF($C83="Weapon",U83*'Item Budget'!$B$9,0)</f>
        <v/>
      </c>
      <c r="X83" s="61">
        <f>N83*'Item Budget'!$B$5+R83*'Item Budget'!$B$7+P83*'Item Budget'!$B$11+S83*'Item Budget'!$B$10+O83*'Item Budget'!$B$6+T83*'Item Budget'!$B$8+IFERROR(INDEX('Item Budget'!$N$25:$N$95,MATCH(V83,'Item Budget'!$B$25:$B$95,0)),0)</f>
        <v/>
      </c>
      <c r="Y83" s="61">
        <f>MAX('Item Budget'!$F$16,INDEX('Gear Budget'!$C$8:$C$14,MATCH($C83,'Gear Budget'!$A$8:$A$14,0))*MIN(M83,50))*$L83</f>
        <v/>
      </c>
      <c r="Z83" s="41">
        <f>IF($C83="Caster weapon",X83,MAX(W83,X83))/Y83</f>
        <v/>
      </c>
      <c r="AA83" s="61">
        <f>IF(OR($C83="Weapon",$C83="Caster weapon"),"",'Gear Budget'!$B$5*MAX(1,MIN(M83,50))*INDEX('Gear Budget'!$B$8:$B$14,MATCH($C83,'Gear Budget'!$A$8:$A$14,0))*IF($C83="Shield",IF(D83="Warrior",1,IF(OR(D83="Rogue",D83="All"),0.38/0.6,0.25/0.6)),IFERROR(INDEX('Gear Budget'!$B$18:$B$21,MATCH($F83,'Gear Budget'!$A$18:$A$21,0)),1)))</f>
        <v/>
      </c>
      <c r="AB83" s="41">
        <f>IF(AA83="","",P83/AA83)</f>
        <v/>
      </c>
      <c r="AC83" s="21" t="n">
        <v>50</v>
      </c>
      <c r="AD83" s="21" t="n">
        <v>2000</v>
      </c>
      <c r="AE83" s="21" t="n">
        <v>2000</v>
      </c>
      <c r="AF83" s="21" t="n">
        <v>150</v>
      </c>
      <c r="AG83" s="21" t="n">
        <v>10</v>
      </c>
      <c r="AH83" s="21" t="n">
        <v>10</v>
      </c>
      <c r="AI83" s="21" t="n">
        <v>10</v>
      </c>
      <c r="AJ83" s="21" t="n">
        <v>10</v>
      </c>
      <c r="AK83" s="21" t="n">
        <v>0</v>
      </c>
      <c r="AL83" s="21" t="inlineStr">
        <is>
          <t>Hit Point Regeneration D</t>
        </is>
      </c>
      <c r="AM83" s="61">
        <f>AD83*'Item Budget'!$B$5+AH83*'Item Budget'!$B$7+AF83*'Item Budget'!$B$11+AI83*'Item Budget'!$B$10+AG83*'Item Budget'!$B$9+IFERROR(INDEX('Item Budget'!$M$25:$M$95,MATCH(AL83,'Item Budget'!$B$25:$B$95,0)),0)+IF($C83="Weapon",AK83*'Item Budget'!$B$9,0)</f>
        <v/>
      </c>
      <c r="AN83" s="61">
        <f>AD83*'Item Budget'!$B$5+AH83*'Item Budget'!$B$7+AF83*'Item Budget'!$B$11+AI83*'Item Budget'!$B$10+AE83*'Item Budget'!$B$6+AJ83*'Item Budget'!$B$8+IFERROR(INDEX('Item Budget'!$N$25:$N$95,MATCH(AL83,'Item Budget'!$B$25:$B$95,0)),0)</f>
        <v/>
      </c>
      <c r="AO83" s="61">
        <f>MAX('Item Budget'!$F$16,INDEX('Gear Budget'!$C$8:$C$14,MATCH($C83,'Gear Budget'!$A$8:$A$14,0))*MIN(AC83,50))*$L83</f>
        <v/>
      </c>
      <c r="AP83" s="41">
        <f>IF($C83="Caster weapon",AN83,MAX(AM83,AN83))/AO83</f>
        <v/>
      </c>
      <c r="AQ83" s="61">
        <f>IF(OR($C83="Weapon",$C83="Caster weapon"),"",'Gear Budget'!$B$5*MAX(1,MIN(AC83,50))*INDEX('Gear Budget'!$B$8:$B$14,MATCH($C83,'Gear Budget'!$A$8:$A$14,0))*IF($C83="Shield",IF(E83="Warrior",1,IF(OR(E83="Rogue",E83="All"),0.38/0.6,0.25/0.6)),IFERROR(INDEX('Gear Budget'!$B$18:$B$21,MATCH($F83,'Gear Budget'!$A$18:$A$21,0)),1)))</f>
        <v/>
      </c>
      <c r="AR83" s="41">
        <f>IF(AQ83="","",AF83/AQ83)</f>
        <v/>
      </c>
      <c r="AS83" s="64" t="n"/>
      <c r="AT83" s="44">
        <f>IF(OR($E83="All",ISNUMBER(SEARCH("Warrior",$E83))),IF($C83="Caster weapon",(AN83+AF83*('Item Budget'!$AB$14-'Item Budget'!$B$11)),(AM83+AF83*('Item Budget'!$AB$14-'Item Budget'!$B$11))),0)</f>
        <v/>
      </c>
      <c r="AU83" s="44">
        <f>IF(OR($E83="All",ISNUMBER(SEARCH("Rogue",$E83))),IF($C83="Caster weapon",(AN83+AF83*('Item Budget'!$AB$15-'Item Budget'!$B$11)),(AM83+AF83*('Item Budget'!$AB$15-'Item Budget'!$B$11))),0)</f>
        <v/>
      </c>
      <c r="AV83" s="44">
        <f>IF(OR($E83="All",ISNUMBER(SEARCH("Magus",$E83))),(AN83+AF83*('Item Budget'!$AB$16-'Item Budget'!$B$11)),0)</f>
        <v/>
      </c>
      <c r="AW83" s="44">
        <f>IF(OR($E83="All",ISNUMBER(SEARCH("Priest",$E83))),(AN83+AF83*('Item Budget'!$AB$17-'Item Budget'!$B$11)),0)</f>
        <v/>
      </c>
      <c r="AX83" s="44">
        <f>IF(AND(OR($E83="All",ISNUMBER(SEARCH("Warrior",$E83))),AC83&gt;='Item Budget'!$R$10),'Item Budget'!$R$7*100*('Item Budget'!$R$14*(AD83+25*AH83)+'Item Budget'!$S$14*(AE83+25*AJ83))/'Item Budget'!$Z$14+'Item Budget'!$R$9*AF83+IFERROR(INDEX('Item Budget'!$O$25:$O$95,MATCH(AL83,'Item Budget'!$B$25:$B$95,0)),0),0)</f>
        <v/>
      </c>
      <c r="AY83" s="44">
        <f>IF(AND(OR($E83="All",ISNUMBER(SEARCH("Rogue",$E83))),AC83&gt;='Item Budget'!$R$10),'Item Budget'!$R$7*100*('Item Budget'!$R$15*(AD83+25*AH83)+'Item Budget'!$S$15*(AE83+25*AJ83))/'Item Budget'!$Z$15+'Item Budget'!$R$9*AF83+IFERROR(INDEX('Item Budget'!$O$25:$O$95,MATCH(AL83,'Item Budget'!$B$25:$B$95,0)),0),0)</f>
        <v/>
      </c>
      <c r="AZ83" s="44">
        <f>IF(AND(OR($E83="All",ISNUMBER(SEARCH("Magus",$E83))),AC83&gt;='Item Budget'!$R$10),'Item Budget'!$R$7*100*('Item Budget'!$R$16*(AD83+25*AH83)+'Item Budget'!$S$16*(AE83+25*AJ83))/'Item Budget'!$Z$16+'Item Budget'!$R$9*AF83+IFERROR(INDEX('Item Budget'!$O$25:$O$95,MATCH(AL83,'Item Budget'!$B$25:$B$95,0)),0),0)</f>
        <v/>
      </c>
      <c r="BA83" s="44">
        <f>IF(AND(OR($E83="All",ISNUMBER(SEARCH("Priest",$E83))),AC83&gt;='Item Budget'!$R$10),'Item Budget'!$R$7*100*('Item Budget'!$R$17*(AD83+25*AH83)+'Item Budget'!$S$17*(AE83+25*AJ83))/'Item Budget'!$Z$17+'Item Budget'!$R$9*AF83+IFERROR(INDEX('Item Budget'!$O$25:$O$95,MATCH(AL83,'Item Budget'!$B$25:$B$95,0)),0),0)</f>
        <v/>
      </c>
      <c r="BB83" s="52">
        <f>IF(OR($I83&lt;1,IF($I83&gt;=6,AX83,AT83)&lt;=0),"",IF(SUMPRODUCT(MAX(($C$5:$C$215=$C83)*($I$5:$I$215&gt;=1)*($I$5:$I$215&lt;$I83)*IF($I83&gt;=6,$AX$5:$AX$215,$AT$5:$AT$215)))&lt;=0,"",SUMPRODUCT(MAX(($C$5:$C$215=$C83)*($I$5:$I$215=$I83)*IF($I83&gt;=6,$AX$5:$AX$215,$AT$5:$AT$215)))/SUMPRODUCT(MAX(($C$5:$C$215=$C83)*($I$5:$I$215&gt;=1)*($I$5:$I$215&lt;$I83)*IF($I83&gt;=6,$AX$5:$AX$215,$AT$5:$AT$215)))-1))</f>
        <v/>
      </c>
      <c r="BC83" s="52">
        <f>IF(OR($I83&lt;1,IF($I83&gt;=6,AY83,AU83)&lt;=0),"",IF(SUMPRODUCT(MAX(($C$5:$C$215=$C83)*($I$5:$I$215&gt;=1)*($I$5:$I$215&lt;$I83)*IF($I83&gt;=6,$AY$5:$AY$215,$AU$5:$AU$215)))&lt;=0,"",SUMPRODUCT(MAX(($C$5:$C$215=$C83)*($I$5:$I$215=$I83)*IF($I83&gt;=6,$AY$5:$AY$215,$AU$5:$AU$215)))/SUMPRODUCT(MAX(($C$5:$C$215=$C83)*($I$5:$I$215&gt;=1)*($I$5:$I$215&lt;$I83)*IF($I83&gt;=6,$AY$5:$AY$215,$AU$5:$AU$215)))-1))</f>
        <v/>
      </c>
      <c r="BD83" s="52">
        <f>IF(OR($I83&lt;1,IF($I83&gt;=6,AZ83,AV83)&lt;=0),"",IF(SUMPRODUCT(MAX(($C$5:$C$215=$C83)*($I$5:$I$215&gt;=1)*($I$5:$I$215&lt;$I83)*IF($I83&gt;=6,$AZ$5:$AZ$215,$AV$5:$AV$215)))&lt;=0,"",SUMPRODUCT(MAX(($C$5:$C$215=$C83)*($I$5:$I$215=$I83)*IF($I83&gt;=6,$AZ$5:$AZ$215,$AV$5:$AV$215)))/SUMPRODUCT(MAX(($C$5:$C$215=$C83)*($I$5:$I$215&gt;=1)*($I$5:$I$215&lt;$I83)*IF($I83&gt;=6,$AZ$5:$AZ$215,$AV$5:$AV$215)))-1))</f>
        <v/>
      </c>
      <c r="BE83" s="52">
        <f>IF(OR($I83&lt;1,IF($I83&gt;=6,BA83,AW83)&lt;=0),"",IF(SUMPRODUCT(MAX(($C$5:$C$215=$C83)*($I$5:$I$215&gt;=1)*($I$5:$I$215&lt;$I83)*IF($I83&gt;=6,$BA$5:$BA$215,$AW$5:$AW$215)))&lt;=0,"",SUMPRODUCT(MAX(($C$5:$C$215=$C83)*($I$5:$I$215=$I83)*IF($I83&gt;=6,$BA$5:$BA$215,$AW$5:$AW$215)))/SUMPRODUCT(MAX(($C$5:$C$215=$C83)*($I$5:$I$215&gt;=1)*($I$5:$I$215&lt;$I83)*IF($I83&gt;=6,$BA$5:$BA$215,$AW$5:$AW$215)))-1))</f>
        <v/>
      </c>
      <c r="BF83" s="19">
        <f>IF(AND(BB83="",BC83="",BD83="",BE83=""),"",IF(IF(AND(ISNUMBER(BB83),BB83&lt;'Item Budget'!$R$11),"W ","")&amp;IF(AND(ISNUMBER(BC83),BC83&lt;'Item Budget'!$R$11),"R ","")&amp;IF(AND(ISNUMBER(BD83),BD83&lt;'Item Budget'!$R$11),"M ","")&amp;IF(AND(ISNUMBER(BE83),BE83&lt;'Item Budget'!$R$11),"P ","")="","OK","Not above lower step: "&amp;IF(AND(ISNUMBER(BB83),BB83&lt;'Item Budget'!$R$11),"W ","")&amp;IF(AND(ISNUMBER(BC83),BC83&lt;'Item Budget'!$R$11),"R ","")&amp;IF(AND(ISNUMBER(BD83),BD83&lt;'Item Budget'!$R$11),"M ","")&amp;IF(AND(ISNUMBER(BE83),BE83&lt;'Item Budget'!$R$11),"P ","")))</f>
        <v/>
      </c>
    </row>
    <row r="84">
      <c r="A84" s="21" t="n">
        <v>428</v>
      </c>
      <c r="B84" s="21" t="inlineStr">
        <is>
          <t>Mama Headband</t>
        </is>
      </c>
      <c r="C84" s="21" t="inlineStr">
        <is>
          <t>Helmet</t>
        </is>
      </c>
      <c r="D84" s="21" t="inlineStr">
        <is>
          <t>Rogue/Warrior</t>
        </is>
      </c>
      <c r="E84" s="21" t="inlineStr">
        <is>
          <t>Rogue/Warrior</t>
        </is>
      </c>
      <c r="F84" s="21" t="inlineStr">
        <is>
          <t>Warrior plate</t>
        </is>
      </c>
      <c r="G84" s="21" t="inlineStr">
        <is>
          <t>drop: Mama Bear 12%</t>
        </is>
      </c>
      <c r="H84" s="37" t="n">
        <v>200000000</v>
      </c>
      <c r="I84" s="21" t="n">
        <v>8</v>
      </c>
      <c r="J84" s="3" t="inlineStr">
        <is>
          <t>Applied</t>
        </is>
      </c>
      <c r="K84" s="21" t="inlineStr">
        <is>
          <t>Rare boss drop</t>
        </is>
      </c>
      <c r="L84" s="31">
        <f>INDEX('Item Budget'!$F$5:$F$13,MATCH(K84,'Item Budget'!$E$5:$E$13,0))+IF(E84="All",0,'Item Budget'!$F$15)+LOOKUP(H84,'Item Budget'!$E$19:$E$23,'Item Budget'!$F$19:$F$23)</f>
        <v/>
      </c>
      <c r="M84" s="21" t="n">
        <v>50</v>
      </c>
      <c r="N84" s="21" t="n">
        <v>3500</v>
      </c>
      <c r="O84" s="21" t="n">
        <v>1000</v>
      </c>
      <c r="P84" s="21" t="n">
        <v>150</v>
      </c>
      <c r="Q84" s="21" t="n">
        <v>0</v>
      </c>
      <c r="R84" s="21" t="n">
        <v>50</v>
      </c>
      <c r="S84" s="21" t="n">
        <v>0</v>
      </c>
      <c r="T84" s="21" t="n">
        <v>0</v>
      </c>
      <c r="U84" s="21" t="n">
        <v>0</v>
      </c>
      <c r="V84" s="21" t="inlineStr">
        <is>
          <t>Damage Reduction V</t>
        </is>
      </c>
      <c r="W84" s="61">
        <f>N84*'Item Budget'!$B$5+R84*'Item Budget'!$B$7+P84*'Item Budget'!$B$11+S84*'Item Budget'!$B$10+Q84*'Item Budget'!$B$9+IFERROR(INDEX('Item Budget'!$M$25:$M$95,MATCH(V84,'Item Budget'!$B$25:$B$95,0)),0)+IF($C84="Weapon",U84*'Item Budget'!$B$9,0)</f>
        <v/>
      </c>
      <c r="X84" s="61">
        <f>N84*'Item Budget'!$B$5+R84*'Item Budget'!$B$7+P84*'Item Budget'!$B$11+S84*'Item Budget'!$B$10+O84*'Item Budget'!$B$6+T84*'Item Budget'!$B$8+IFERROR(INDEX('Item Budget'!$N$25:$N$95,MATCH(V84,'Item Budget'!$B$25:$B$95,0)),0)</f>
        <v/>
      </c>
      <c r="Y84" s="61">
        <f>MAX('Item Budget'!$F$16,INDEX('Gear Budget'!$C$8:$C$14,MATCH($C84,'Gear Budget'!$A$8:$A$14,0))*MIN(M84,50))*$L84</f>
        <v/>
      </c>
      <c r="Z84" s="41">
        <f>IF($C84="Caster weapon",X84,MAX(W84,X84))/Y84</f>
        <v/>
      </c>
      <c r="AA84" s="61">
        <f>IF(OR($C84="Weapon",$C84="Caster weapon"),"",'Gear Budget'!$B$5*MAX(1,MIN(M84,50))*INDEX('Gear Budget'!$B$8:$B$14,MATCH($C84,'Gear Budget'!$A$8:$A$14,0))*IF($C84="Shield",IF(D84="Warrior",1,IF(OR(D84="Rogue",D84="All"),0.38/0.6,0.25/0.6)),IFERROR(INDEX('Gear Budget'!$B$18:$B$21,MATCH($F84,'Gear Budget'!$A$18:$A$21,0)),1)))</f>
        <v/>
      </c>
      <c r="AB84" s="41">
        <f>IF(AA84="","",P84/AA84)</f>
        <v/>
      </c>
      <c r="AC84" s="21" t="n">
        <v>50</v>
      </c>
      <c r="AD84" s="21" t="n">
        <v>3500</v>
      </c>
      <c r="AE84" s="21" t="n">
        <v>1000</v>
      </c>
      <c r="AF84" s="21" t="n">
        <v>150</v>
      </c>
      <c r="AG84" s="21" t="n">
        <v>0</v>
      </c>
      <c r="AH84" s="21" t="n">
        <v>50</v>
      </c>
      <c r="AI84" s="21" t="n">
        <v>0</v>
      </c>
      <c r="AJ84" s="21" t="n">
        <v>0</v>
      </c>
      <c r="AK84" s="21" t="n">
        <v>0</v>
      </c>
      <c r="AL84" s="21" t="inlineStr">
        <is>
          <t>Damage Reduction V</t>
        </is>
      </c>
      <c r="AM84" s="61">
        <f>AD84*'Item Budget'!$B$5+AH84*'Item Budget'!$B$7+AF84*'Item Budget'!$B$11+AI84*'Item Budget'!$B$10+AG84*'Item Budget'!$B$9+IFERROR(INDEX('Item Budget'!$M$25:$M$95,MATCH(AL84,'Item Budget'!$B$25:$B$95,0)),0)+IF($C84="Weapon",AK84*'Item Budget'!$B$9,0)</f>
        <v/>
      </c>
      <c r="AN84" s="61">
        <f>AD84*'Item Budget'!$B$5+AH84*'Item Budget'!$B$7+AF84*'Item Budget'!$B$11+AI84*'Item Budget'!$B$10+AE84*'Item Budget'!$B$6+AJ84*'Item Budget'!$B$8+IFERROR(INDEX('Item Budget'!$N$25:$N$95,MATCH(AL84,'Item Budget'!$B$25:$B$95,0)),0)</f>
        <v/>
      </c>
      <c r="AO84" s="61">
        <f>MAX('Item Budget'!$F$16,INDEX('Gear Budget'!$C$8:$C$14,MATCH($C84,'Gear Budget'!$A$8:$A$14,0))*MIN(AC84,50))*$L84</f>
        <v/>
      </c>
      <c r="AP84" s="41">
        <f>IF($C84="Caster weapon",AN84,MAX(AM84,AN84))/AO84</f>
        <v/>
      </c>
      <c r="AQ84" s="61">
        <f>IF(OR($C84="Weapon",$C84="Caster weapon"),"",'Gear Budget'!$B$5*MAX(1,MIN(AC84,50))*INDEX('Gear Budget'!$B$8:$B$14,MATCH($C84,'Gear Budget'!$A$8:$A$14,0))*IF($C84="Shield",IF(E84="Warrior",1,IF(OR(E84="Rogue",E84="All"),0.38/0.6,0.25/0.6)),IFERROR(INDEX('Gear Budget'!$B$18:$B$21,MATCH($F84,'Gear Budget'!$A$18:$A$21,0)),1)))</f>
        <v/>
      </c>
      <c r="AR84" s="41">
        <f>IF(AQ84="","",AF84/AQ84)</f>
        <v/>
      </c>
      <c r="AS84" s="64" t="inlineStr">
        <is>
          <t>Pass 1 (applied): 200M: was below Divine Helm (100M). HP/STA up, MP down (keeps it under the 400M Enchanted Divine Helm for Rogue), DR II -&gt; V.</t>
        </is>
      </c>
      <c r="AT84" s="44">
        <f>IF(OR($E84="All",ISNUMBER(SEARCH("Warrior",$E84))),IF($C84="Caster weapon",(AN84+AF84*('Item Budget'!$AB$14-'Item Budget'!$B$11)),(AM84+AF84*('Item Budget'!$AB$14-'Item Budget'!$B$11))),0)</f>
        <v/>
      </c>
      <c r="AU84" s="44">
        <f>IF(OR($E84="All",ISNUMBER(SEARCH("Rogue",$E84))),IF($C84="Caster weapon",(AN84+AF84*('Item Budget'!$AB$15-'Item Budget'!$B$11)),(AM84+AF84*('Item Budget'!$AB$15-'Item Budget'!$B$11))),0)</f>
        <v/>
      </c>
      <c r="AV84" s="44">
        <f>IF(OR($E84="All",ISNUMBER(SEARCH("Magus",$E84))),(AN84+AF84*('Item Budget'!$AB$16-'Item Budget'!$B$11)),0)</f>
        <v/>
      </c>
      <c r="AW84" s="44">
        <f>IF(OR($E84="All",ISNUMBER(SEARCH("Priest",$E84))),(AN84+AF84*('Item Budget'!$AB$17-'Item Budget'!$B$11)),0)</f>
        <v/>
      </c>
      <c r="AX84" s="44">
        <f>IF(AND(OR($E84="All",ISNUMBER(SEARCH("Warrior",$E84))),AC84&gt;='Item Budget'!$R$10),'Item Budget'!$R$7*100*('Item Budget'!$R$14*(AD84+25*AH84)+'Item Budget'!$S$14*(AE84+25*AJ84))/'Item Budget'!$Z$14+'Item Budget'!$R$9*AF84+IFERROR(INDEX('Item Budget'!$O$25:$O$95,MATCH(AL84,'Item Budget'!$B$25:$B$95,0)),0),0)</f>
        <v/>
      </c>
      <c r="AY84" s="44">
        <f>IF(AND(OR($E84="All",ISNUMBER(SEARCH("Rogue",$E84))),AC84&gt;='Item Budget'!$R$10),'Item Budget'!$R$7*100*('Item Budget'!$R$15*(AD84+25*AH84)+'Item Budget'!$S$15*(AE84+25*AJ84))/'Item Budget'!$Z$15+'Item Budget'!$R$9*AF84+IFERROR(INDEX('Item Budget'!$O$25:$O$95,MATCH(AL84,'Item Budget'!$B$25:$B$95,0)),0),0)</f>
        <v/>
      </c>
      <c r="AZ84" s="44">
        <f>IF(AND(OR($E84="All",ISNUMBER(SEARCH("Magus",$E84))),AC84&gt;='Item Budget'!$R$10),'Item Budget'!$R$7*100*('Item Budget'!$R$16*(AD84+25*AH84)+'Item Budget'!$S$16*(AE84+25*AJ84))/'Item Budget'!$Z$16+'Item Budget'!$R$9*AF84+IFERROR(INDEX('Item Budget'!$O$25:$O$95,MATCH(AL84,'Item Budget'!$B$25:$B$95,0)),0),0)</f>
        <v/>
      </c>
      <c r="BA84" s="44">
        <f>IF(AND(OR($E84="All",ISNUMBER(SEARCH("Priest",$E84))),AC84&gt;='Item Budget'!$R$10),'Item Budget'!$R$7*100*('Item Budget'!$R$17*(AD84+25*AH84)+'Item Budget'!$S$17*(AE84+25*AJ84))/'Item Budget'!$Z$17+'Item Budget'!$R$9*AF84+IFERROR(INDEX('Item Budget'!$O$25:$O$95,MATCH(AL84,'Item Budget'!$B$25:$B$95,0)),0),0)</f>
        <v/>
      </c>
      <c r="BB84" s="52">
        <f>IF(OR($I84&lt;1,IF($I84&gt;=6,AX84,AT84)&lt;=0),"",IF(SUMPRODUCT(MAX(($C$5:$C$215=$C84)*($I$5:$I$215&gt;=1)*($I$5:$I$215&lt;$I84)*IF($I84&gt;=6,$AX$5:$AX$215,$AT$5:$AT$215)))&lt;=0,"",SUMPRODUCT(MAX(($C$5:$C$215=$C84)*($I$5:$I$215=$I84)*IF($I84&gt;=6,$AX$5:$AX$215,$AT$5:$AT$215)))/SUMPRODUCT(MAX(($C$5:$C$215=$C84)*($I$5:$I$215&gt;=1)*($I$5:$I$215&lt;$I84)*IF($I84&gt;=6,$AX$5:$AX$215,$AT$5:$AT$215)))-1))</f>
        <v/>
      </c>
      <c r="BC84" s="52">
        <f>IF(OR($I84&lt;1,IF($I84&gt;=6,AY84,AU84)&lt;=0),"",IF(SUMPRODUCT(MAX(($C$5:$C$215=$C84)*($I$5:$I$215&gt;=1)*($I$5:$I$215&lt;$I84)*IF($I84&gt;=6,$AY$5:$AY$215,$AU$5:$AU$215)))&lt;=0,"",SUMPRODUCT(MAX(($C$5:$C$215=$C84)*($I$5:$I$215=$I84)*IF($I84&gt;=6,$AY$5:$AY$215,$AU$5:$AU$215)))/SUMPRODUCT(MAX(($C$5:$C$215=$C84)*($I$5:$I$215&gt;=1)*($I$5:$I$215&lt;$I84)*IF($I84&gt;=6,$AY$5:$AY$215,$AU$5:$AU$215)))-1))</f>
        <v/>
      </c>
      <c r="BD84" s="52">
        <f>IF(OR($I84&lt;1,IF($I84&gt;=6,AZ84,AV84)&lt;=0),"",IF(SUMPRODUCT(MAX(($C$5:$C$215=$C84)*($I$5:$I$215&gt;=1)*($I$5:$I$215&lt;$I84)*IF($I84&gt;=6,$AZ$5:$AZ$215,$AV$5:$AV$215)))&lt;=0,"",SUMPRODUCT(MAX(($C$5:$C$215=$C84)*($I$5:$I$215=$I84)*IF($I84&gt;=6,$AZ$5:$AZ$215,$AV$5:$AV$215)))/SUMPRODUCT(MAX(($C$5:$C$215=$C84)*($I$5:$I$215&gt;=1)*($I$5:$I$215&lt;$I84)*IF($I84&gt;=6,$AZ$5:$AZ$215,$AV$5:$AV$215)))-1))</f>
        <v/>
      </c>
      <c r="BE84" s="52">
        <f>IF(OR($I84&lt;1,IF($I84&gt;=6,BA84,AW84)&lt;=0),"",IF(SUMPRODUCT(MAX(($C$5:$C$215=$C84)*($I$5:$I$215&gt;=1)*($I$5:$I$215&lt;$I84)*IF($I84&gt;=6,$BA$5:$BA$215,$AW$5:$AW$215)))&lt;=0,"",SUMPRODUCT(MAX(($C$5:$C$215=$C84)*($I$5:$I$215=$I84)*IF($I84&gt;=6,$BA$5:$BA$215,$AW$5:$AW$215)))/SUMPRODUCT(MAX(($C$5:$C$215=$C84)*($I$5:$I$215&gt;=1)*($I$5:$I$215&lt;$I84)*IF($I84&gt;=6,$BA$5:$BA$215,$AW$5:$AW$215)))-1))</f>
        <v/>
      </c>
      <c r="BF84" s="19">
        <f>IF(AND(BB84="",BC84="",BD84="",BE84=""),"",IF(IF(AND(ISNUMBER(BB84),BB84&lt;'Item Budget'!$R$11),"W ","")&amp;IF(AND(ISNUMBER(BC84),BC84&lt;'Item Budget'!$R$11),"R ","")&amp;IF(AND(ISNUMBER(BD84),BD84&lt;'Item Budget'!$R$11),"M ","")&amp;IF(AND(ISNUMBER(BE84),BE84&lt;'Item Budget'!$R$11),"P ","")="","OK","Not above lower step: "&amp;IF(AND(ISNUMBER(BB84),BB84&lt;'Item Budget'!$R$11),"W ","")&amp;IF(AND(ISNUMBER(BC84),BC84&lt;'Item Budget'!$R$11),"R ","")&amp;IF(AND(ISNUMBER(BD84),BD84&lt;'Item Budget'!$R$11),"M ","")&amp;IF(AND(ISNUMBER(BE84),BE84&lt;'Item Budget'!$R$11),"P ","")))</f>
        <v/>
      </c>
    </row>
    <row r="85">
      <c r="A85" s="21" t="n">
        <v>587</v>
      </c>
      <c r="B85" s="21" t="inlineStr">
        <is>
          <t>Enchanted Divine Helm</t>
        </is>
      </c>
      <c r="C85" s="21" t="inlineStr">
        <is>
          <t>Helmet</t>
        </is>
      </c>
      <c r="D85" s="21" t="inlineStr">
        <is>
          <t>Rogue</t>
        </is>
      </c>
      <c r="E85" s="21" t="inlineStr">
        <is>
          <t>Rogue</t>
        </is>
      </c>
      <c r="F85" s="21" t="inlineStr">
        <is>
          <t>Rogue</t>
        </is>
      </c>
      <c r="G85" s="21" t="inlineStr">
        <is>
          <t>craft</t>
        </is>
      </c>
      <c r="H85" s="37" t="n">
        <v>400000000</v>
      </c>
      <c r="I85" s="21" t="n">
        <v>9</v>
      </c>
      <c r="J85" s="19" t="inlineStr">
        <is>
          <t>Leave</t>
        </is>
      </c>
      <c r="K85" s="21" t="inlineStr">
        <is>
          <t>Crafted</t>
        </is>
      </c>
      <c r="L85" s="31">
        <f>INDEX('Item Budget'!$F$5:$F$13,MATCH(K85,'Item Budget'!$E$5:$E$13,0))+IF(E85="All",0,'Item Budget'!$F$15)+LOOKUP(H85,'Item Budget'!$E$19:$E$23,'Item Budget'!$F$19:$F$23)</f>
        <v/>
      </c>
      <c r="M85" s="21" t="n">
        <v>50</v>
      </c>
      <c r="N85" s="21" t="n">
        <v>3000</v>
      </c>
      <c r="O85" s="21" t="n">
        <v>3000</v>
      </c>
      <c r="P85" s="21" t="n">
        <v>150</v>
      </c>
      <c r="Q85" s="21" t="n">
        <v>0</v>
      </c>
      <c r="R85" s="21" t="n">
        <v>25</v>
      </c>
      <c r="S85" s="21" t="n">
        <v>0</v>
      </c>
      <c r="T85" s="21" t="n">
        <v>25</v>
      </c>
      <c r="U85" s="21" t="n">
        <v>0</v>
      </c>
      <c r="V85" s="21" t="inlineStr">
        <is>
          <t>Spell Critical Damage III</t>
        </is>
      </c>
      <c r="W85" s="61">
        <f>N85*'Item Budget'!$B$5+R85*'Item Budget'!$B$7+P85*'Item Budget'!$B$11+S85*'Item Budget'!$B$10+Q85*'Item Budget'!$B$9+IFERROR(INDEX('Item Budget'!$M$25:$M$95,MATCH(V85,'Item Budget'!$B$25:$B$95,0)),0)+IF($C85="Weapon",U85*'Item Budget'!$B$9,0)</f>
        <v/>
      </c>
      <c r="X85" s="61">
        <f>N85*'Item Budget'!$B$5+R85*'Item Budget'!$B$7+P85*'Item Budget'!$B$11+S85*'Item Budget'!$B$10+O85*'Item Budget'!$B$6+T85*'Item Budget'!$B$8+IFERROR(INDEX('Item Budget'!$N$25:$N$95,MATCH(V85,'Item Budget'!$B$25:$B$95,0)),0)</f>
        <v/>
      </c>
      <c r="Y85" s="61">
        <f>MAX('Item Budget'!$F$16,INDEX('Gear Budget'!$C$8:$C$14,MATCH($C85,'Gear Budget'!$A$8:$A$14,0))*MIN(M85,50))*$L85</f>
        <v/>
      </c>
      <c r="Z85" s="41">
        <f>IF($C85="Caster weapon",X85,MAX(W85,X85))/Y85</f>
        <v/>
      </c>
      <c r="AA85" s="61">
        <f>IF(OR($C85="Weapon",$C85="Caster weapon"),"",'Gear Budget'!$B$5*MAX(1,MIN(M85,50))*INDEX('Gear Budget'!$B$8:$B$14,MATCH($C85,'Gear Budget'!$A$8:$A$14,0))*IF($C85="Shield",IF(D85="Warrior",1,IF(OR(D85="Rogue",D85="All"),0.38/0.6,0.25/0.6)),IFERROR(INDEX('Gear Budget'!$B$18:$B$21,MATCH($F85,'Gear Budget'!$A$18:$A$21,0)),1)))</f>
        <v/>
      </c>
      <c r="AB85" s="41">
        <f>IF(AA85="","",P85/AA85)</f>
        <v/>
      </c>
      <c r="AC85" s="21" t="n">
        <v>50</v>
      </c>
      <c r="AD85" s="21" t="n">
        <v>3000</v>
      </c>
      <c r="AE85" s="21" t="n">
        <v>3000</v>
      </c>
      <c r="AF85" s="21" t="n">
        <v>150</v>
      </c>
      <c r="AG85" s="21" t="n">
        <v>0</v>
      </c>
      <c r="AH85" s="21" t="n">
        <v>25</v>
      </c>
      <c r="AI85" s="21" t="n">
        <v>0</v>
      </c>
      <c r="AJ85" s="21" t="n">
        <v>25</v>
      </c>
      <c r="AK85" s="21" t="n">
        <v>0</v>
      </c>
      <c r="AL85" s="21" t="inlineStr">
        <is>
          <t>Spell Critical Damage III</t>
        </is>
      </c>
      <c r="AM85" s="61">
        <f>AD85*'Item Budget'!$B$5+AH85*'Item Budget'!$B$7+AF85*'Item Budget'!$B$11+AI85*'Item Budget'!$B$10+AG85*'Item Budget'!$B$9+IFERROR(INDEX('Item Budget'!$M$25:$M$95,MATCH(AL85,'Item Budget'!$B$25:$B$95,0)),0)+IF($C85="Weapon",AK85*'Item Budget'!$B$9,0)</f>
        <v/>
      </c>
      <c r="AN85" s="61">
        <f>AD85*'Item Budget'!$B$5+AH85*'Item Budget'!$B$7+AF85*'Item Budget'!$B$11+AI85*'Item Budget'!$B$10+AE85*'Item Budget'!$B$6+AJ85*'Item Budget'!$B$8+IFERROR(INDEX('Item Budget'!$N$25:$N$95,MATCH(AL85,'Item Budget'!$B$25:$B$95,0)),0)</f>
        <v/>
      </c>
      <c r="AO85" s="61">
        <f>MAX('Item Budget'!$F$16,INDEX('Gear Budget'!$C$8:$C$14,MATCH($C85,'Gear Budget'!$A$8:$A$14,0))*MIN(AC85,50))*$L85</f>
        <v/>
      </c>
      <c r="AP85" s="41">
        <f>IF($C85="Caster weapon",AN85,MAX(AM85,AN85))/AO85</f>
        <v/>
      </c>
      <c r="AQ85" s="61">
        <f>IF(OR($C85="Weapon",$C85="Caster weapon"),"",'Gear Budget'!$B$5*MAX(1,MIN(AC85,50))*INDEX('Gear Budget'!$B$8:$B$14,MATCH($C85,'Gear Budget'!$A$8:$A$14,0))*IF($C85="Shield",IF(E85="Warrior",1,IF(OR(E85="Rogue",E85="All"),0.38/0.6,0.25/0.6)),IFERROR(INDEX('Gear Budget'!$B$18:$B$21,MATCH($F85,'Gear Budget'!$A$18:$A$21,0)),1)))</f>
        <v/>
      </c>
      <c r="AR85" s="41">
        <f>IF(AQ85="","",AF85/AQ85)</f>
        <v/>
      </c>
      <c r="AS85" s="64" t="n"/>
      <c r="AT85" s="44">
        <f>IF(OR($E85="All",ISNUMBER(SEARCH("Warrior",$E85))),IF($C85="Caster weapon",(AN85+AF85*('Item Budget'!$AB$14-'Item Budget'!$B$11)),(AM85+AF85*('Item Budget'!$AB$14-'Item Budget'!$B$11))),0)</f>
        <v/>
      </c>
      <c r="AU85" s="44">
        <f>IF(OR($E85="All",ISNUMBER(SEARCH("Rogue",$E85))),IF($C85="Caster weapon",(AN85+AF85*('Item Budget'!$AB$15-'Item Budget'!$B$11)),(AM85+AF85*('Item Budget'!$AB$15-'Item Budget'!$B$11))),0)</f>
        <v/>
      </c>
      <c r="AV85" s="44">
        <f>IF(OR($E85="All",ISNUMBER(SEARCH("Magus",$E85))),(AN85+AF85*('Item Budget'!$AB$16-'Item Budget'!$B$11)),0)</f>
        <v/>
      </c>
      <c r="AW85" s="44">
        <f>IF(OR($E85="All",ISNUMBER(SEARCH("Priest",$E85))),(AN85+AF85*('Item Budget'!$AB$17-'Item Budget'!$B$11)),0)</f>
        <v/>
      </c>
      <c r="AX85" s="44">
        <f>IF(AND(OR($E85="All",ISNUMBER(SEARCH("Warrior",$E85))),AC85&gt;='Item Budget'!$R$10),'Item Budget'!$R$7*100*('Item Budget'!$R$14*(AD85+25*AH85)+'Item Budget'!$S$14*(AE85+25*AJ85))/'Item Budget'!$Z$14+'Item Budget'!$R$9*AF85+IFERROR(INDEX('Item Budget'!$O$25:$O$95,MATCH(AL85,'Item Budget'!$B$25:$B$95,0)),0),0)</f>
        <v/>
      </c>
      <c r="AY85" s="44">
        <f>IF(AND(OR($E85="All",ISNUMBER(SEARCH("Rogue",$E85))),AC85&gt;='Item Budget'!$R$10),'Item Budget'!$R$7*100*('Item Budget'!$R$15*(AD85+25*AH85)+'Item Budget'!$S$15*(AE85+25*AJ85))/'Item Budget'!$Z$15+'Item Budget'!$R$9*AF85+IFERROR(INDEX('Item Budget'!$O$25:$O$95,MATCH(AL85,'Item Budget'!$B$25:$B$95,0)),0),0)</f>
        <v/>
      </c>
      <c r="AZ85" s="44">
        <f>IF(AND(OR($E85="All",ISNUMBER(SEARCH("Magus",$E85))),AC85&gt;='Item Budget'!$R$10),'Item Budget'!$R$7*100*('Item Budget'!$R$16*(AD85+25*AH85)+'Item Budget'!$S$16*(AE85+25*AJ85))/'Item Budget'!$Z$16+'Item Budget'!$R$9*AF85+IFERROR(INDEX('Item Budget'!$O$25:$O$95,MATCH(AL85,'Item Budget'!$B$25:$B$95,0)),0),0)</f>
        <v/>
      </c>
      <c r="BA85" s="44">
        <f>IF(AND(OR($E85="All",ISNUMBER(SEARCH("Priest",$E85))),AC85&gt;='Item Budget'!$R$10),'Item Budget'!$R$7*100*('Item Budget'!$R$17*(AD85+25*AH85)+'Item Budget'!$S$17*(AE85+25*AJ85))/'Item Budget'!$Z$17+'Item Budget'!$R$9*AF85+IFERROR(INDEX('Item Budget'!$O$25:$O$95,MATCH(AL85,'Item Budget'!$B$25:$B$95,0)),0),0)</f>
        <v/>
      </c>
      <c r="BB85" s="52">
        <f>IF(OR($I85&lt;1,IF($I85&gt;=6,AX85,AT85)&lt;=0),"",IF(SUMPRODUCT(MAX(($C$5:$C$215=$C85)*($I$5:$I$215&gt;=1)*($I$5:$I$215&lt;$I85)*IF($I85&gt;=6,$AX$5:$AX$215,$AT$5:$AT$215)))&lt;=0,"",SUMPRODUCT(MAX(($C$5:$C$215=$C85)*($I$5:$I$215=$I85)*IF($I85&gt;=6,$AX$5:$AX$215,$AT$5:$AT$215)))/SUMPRODUCT(MAX(($C$5:$C$215=$C85)*($I$5:$I$215&gt;=1)*($I$5:$I$215&lt;$I85)*IF($I85&gt;=6,$AX$5:$AX$215,$AT$5:$AT$215)))-1))</f>
        <v/>
      </c>
      <c r="BC85" s="52">
        <f>IF(OR($I85&lt;1,IF($I85&gt;=6,AY85,AU85)&lt;=0),"",IF(SUMPRODUCT(MAX(($C$5:$C$215=$C85)*($I$5:$I$215&gt;=1)*($I$5:$I$215&lt;$I85)*IF($I85&gt;=6,$AY$5:$AY$215,$AU$5:$AU$215)))&lt;=0,"",SUMPRODUCT(MAX(($C$5:$C$215=$C85)*($I$5:$I$215=$I85)*IF($I85&gt;=6,$AY$5:$AY$215,$AU$5:$AU$215)))/SUMPRODUCT(MAX(($C$5:$C$215=$C85)*($I$5:$I$215&gt;=1)*($I$5:$I$215&lt;$I85)*IF($I85&gt;=6,$AY$5:$AY$215,$AU$5:$AU$215)))-1))</f>
        <v/>
      </c>
      <c r="BD85" s="52">
        <f>IF(OR($I85&lt;1,IF($I85&gt;=6,AZ85,AV85)&lt;=0),"",IF(SUMPRODUCT(MAX(($C$5:$C$215=$C85)*($I$5:$I$215&gt;=1)*($I$5:$I$215&lt;$I85)*IF($I85&gt;=6,$AZ$5:$AZ$215,$AV$5:$AV$215)))&lt;=0,"",SUMPRODUCT(MAX(($C$5:$C$215=$C85)*($I$5:$I$215=$I85)*IF($I85&gt;=6,$AZ$5:$AZ$215,$AV$5:$AV$215)))/SUMPRODUCT(MAX(($C$5:$C$215=$C85)*($I$5:$I$215&gt;=1)*($I$5:$I$215&lt;$I85)*IF($I85&gt;=6,$AZ$5:$AZ$215,$AV$5:$AV$215)))-1))</f>
        <v/>
      </c>
      <c r="BE85" s="52">
        <f>IF(OR($I85&lt;1,IF($I85&gt;=6,BA85,AW85)&lt;=0),"",IF(SUMPRODUCT(MAX(($C$5:$C$215=$C85)*($I$5:$I$215&gt;=1)*($I$5:$I$215&lt;$I85)*IF($I85&gt;=6,$BA$5:$BA$215,$AW$5:$AW$215)))&lt;=0,"",SUMPRODUCT(MAX(($C$5:$C$215=$C85)*($I$5:$I$215=$I85)*IF($I85&gt;=6,$BA$5:$BA$215,$AW$5:$AW$215)))/SUMPRODUCT(MAX(($C$5:$C$215=$C85)*($I$5:$I$215&gt;=1)*($I$5:$I$215&lt;$I85)*IF($I85&gt;=6,$BA$5:$BA$215,$AW$5:$AW$215)))-1))</f>
        <v/>
      </c>
      <c r="BF85" s="19">
        <f>IF(AND(BB85="",BC85="",BD85="",BE85=""),"",IF(IF(AND(ISNUMBER(BB85),BB85&lt;'Item Budget'!$R$11),"W ","")&amp;IF(AND(ISNUMBER(BC85),BC85&lt;'Item Budget'!$R$11),"R ","")&amp;IF(AND(ISNUMBER(BD85),BD85&lt;'Item Budget'!$R$11),"M ","")&amp;IF(AND(ISNUMBER(BE85),BE85&lt;'Item Budget'!$R$11),"P ","")="","OK","Not above lower step: "&amp;IF(AND(ISNUMBER(BB85),BB85&lt;'Item Budget'!$R$11),"W ","")&amp;IF(AND(ISNUMBER(BC85),BC85&lt;'Item Budget'!$R$11),"R ","")&amp;IF(AND(ISNUMBER(BD85),BD85&lt;'Item Budget'!$R$11),"M ","")&amp;IF(AND(ISNUMBER(BE85),BE85&lt;'Item Budget'!$R$11),"P ","")))</f>
        <v/>
      </c>
    </row>
    <row r="86">
      <c r="A86" s="21" t="n">
        <v>588</v>
      </c>
      <c r="B86" s="21" t="inlineStr">
        <is>
          <t>Enchanted Divine Helm</t>
        </is>
      </c>
      <c r="C86" s="21" t="inlineStr">
        <is>
          <t>Helmet</t>
        </is>
      </c>
      <c r="D86" s="21" t="inlineStr">
        <is>
          <t>Warrior</t>
        </is>
      </c>
      <c r="E86" s="21" t="inlineStr">
        <is>
          <t>Warrior</t>
        </is>
      </c>
      <c r="F86" s="21" t="inlineStr">
        <is>
          <t>Warrior plate</t>
        </is>
      </c>
      <c r="G86" s="21" t="inlineStr">
        <is>
          <t>craft</t>
        </is>
      </c>
      <c r="H86" s="37" t="n">
        <v>400000000</v>
      </c>
      <c r="I86" s="21" t="n">
        <v>9</v>
      </c>
      <c r="J86" s="19" t="inlineStr">
        <is>
          <t>Leave</t>
        </is>
      </c>
      <c r="K86" s="21" t="inlineStr">
        <is>
          <t>Crafted</t>
        </is>
      </c>
      <c r="L86" s="31">
        <f>INDEX('Item Budget'!$F$5:$F$13,MATCH(K86,'Item Budget'!$E$5:$E$13,0))+IF(E86="All",0,'Item Budget'!$F$15)+LOOKUP(H86,'Item Budget'!$E$19:$E$23,'Item Budget'!$F$19:$F$23)</f>
        <v/>
      </c>
      <c r="M86" s="21" t="n">
        <v>50</v>
      </c>
      <c r="N86" s="21" t="n">
        <v>6000</v>
      </c>
      <c r="O86" s="21" t="n">
        <v>0</v>
      </c>
      <c r="P86" s="21" t="n">
        <v>150</v>
      </c>
      <c r="Q86" s="21" t="n">
        <v>0</v>
      </c>
      <c r="R86" s="21" t="n">
        <v>50</v>
      </c>
      <c r="S86" s="21" t="n">
        <v>0</v>
      </c>
      <c r="T86" s="21" t="n">
        <v>0</v>
      </c>
      <c r="U86" s="21" t="n">
        <v>0</v>
      </c>
      <c r="V86" s="21" t="inlineStr">
        <is>
          <t>Damage Reduction IV</t>
        </is>
      </c>
      <c r="W86" s="61">
        <f>N86*'Item Budget'!$B$5+R86*'Item Budget'!$B$7+P86*'Item Budget'!$B$11+S86*'Item Budget'!$B$10+Q86*'Item Budget'!$B$9+IFERROR(INDEX('Item Budget'!$M$25:$M$95,MATCH(V86,'Item Budget'!$B$25:$B$95,0)),0)+IF($C86="Weapon",U86*'Item Budget'!$B$9,0)</f>
        <v/>
      </c>
      <c r="X86" s="61">
        <f>N86*'Item Budget'!$B$5+R86*'Item Budget'!$B$7+P86*'Item Budget'!$B$11+S86*'Item Budget'!$B$10+O86*'Item Budget'!$B$6+T86*'Item Budget'!$B$8+IFERROR(INDEX('Item Budget'!$N$25:$N$95,MATCH(V86,'Item Budget'!$B$25:$B$95,0)),0)</f>
        <v/>
      </c>
      <c r="Y86" s="61">
        <f>MAX('Item Budget'!$F$16,INDEX('Gear Budget'!$C$8:$C$14,MATCH($C86,'Gear Budget'!$A$8:$A$14,0))*MIN(M86,50))*$L86</f>
        <v/>
      </c>
      <c r="Z86" s="41">
        <f>IF($C86="Caster weapon",X86,MAX(W86,X86))/Y86</f>
        <v/>
      </c>
      <c r="AA86" s="61">
        <f>IF(OR($C86="Weapon",$C86="Caster weapon"),"",'Gear Budget'!$B$5*MAX(1,MIN(M86,50))*INDEX('Gear Budget'!$B$8:$B$14,MATCH($C86,'Gear Budget'!$A$8:$A$14,0))*IF($C86="Shield",IF(D86="Warrior",1,IF(OR(D86="Rogue",D86="All"),0.38/0.6,0.25/0.6)),IFERROR(INDEX('Gear Budget'!$B$18:$B$21,MATCH($F86,'Gear Budget'!$A$18:$A$21,0)),1)))</f>
        <v/>
      </c>
      <c r="AB86" s="41">
        <f>IF(AA86="","",P86/AA86)</f>
        <v/>
      </c>
      <c r="AC86" s="21" t="n">
        <v>50</v>
      </c>
      <c r="AD86" s="21" t="n">
        <v>6000</v>
      </c>
      <c r="AE86" s="21" t="n">
        <v>0</v>
      </c>
      <c r="AF86" s="21" t="n">
        <v>150</v>
      </c>
      <c r="AG86" s="21" t="n">
        <v>0</v>
      </c>
      <c r="AH86" s="21" t="n">
        <v>50</v>
      </c>
      <c r="AI86" s="21" t="n">
        <v>0</v>
      </c>
      <c r="AJ86" s="21" t="n">
        <v>0</v>
      </c>
      <c r="AK86" s="21" t="n">
        <v>0</v>
      </c>
      <c r="AL86" s="21" t="inlineStr">
        <is>
          <t>Damage Reduction IV</t>
        </is>
      </c>
      <c r="AM86" s="61">
        <f>AD86*'Item Budget'!$B$5+AH86*'Item Budget'!$B$7+AF86*'Item Budget'!$B$11+AI86*'Item Budget'!$B$10+AG86*'Item Budget'!$B$9+IFERROR(INDEX('Item Budget'!$M$25:$M$95,MATCH(AL86,'Item Budget'!$B$25:$B$95,0)),0)+IF($C86="Weapon",AK86*'Item Budget'!$B$9,0)</f>
        <v/>
      </c>
      <c r="AN86" s="61">
        <f>AD86*'Item Budget'!$B$5+AH86*'Item Budget'!$B$7+AF86*'Item Budget'!$B$11+AI86*'Item Budget'!$B$10+AE86*'Item Budget'!$B$6+AJ86*'Item Budget'!$B$8+IFERROR(INDEX('Item Budget'!$N$25:$N$95,MATCH(AL86,'Item Budget'!$B$25:$B$95,0)),0)</f>
        <v/>
      </c>
      <c r="AO86" s="61">
        <f>MAX('Item Budget'!$F$16,INDEX('Gear Budget'!$C$8:$C$14,MATCH($C86,'Gear Budget'!$A$8:$A$14,0))*MIN(AC86,50))*$L86</f>
        <v/>
      </c>
      <c r="AP86" s="41">
        <f>IF($C86="Caster weapon",AN86,MAX(AM86,AN86))/AO86</f>
        <v/>
      </c>
      <c r="AQ86" s="61">
        <f>IF(OR($C86="Weapon",$C86="Caster weapon"),"",'Gear Budget'!$B$5*MAX(1,MIN(AC86,50))*INDEX('Gear Budget'!$B$8:$B$14,MATCH($C86,'Gear Budget'!$A$8:$A$14,0))*IF($C86="Shield",IF(E86="Warrior",1,IF(OR(E86="Rogue",E86="All"),0.38/0.6,0.25/0.6)),IFERROR(INDEX('Gear Budget'!$B$18:$B$21,MATCH($F86,'Gear Budget'!$A$18:$A$21,0)),1)))</f>
        <v/>
      </c>
      <c r="AR86" s="41">
        <f>IF(AQ86="","",AF86/AQ86)</f>
        <v/>
      </c>
      <c r="AS86" s="64" t="n"/>
      <c r="AT86" s="44">
        <f>IF(OR($E86="All",ISNUMBER(SEARCH("Warrior",$E86))),IF($C86="Caster weapon",(AN86+AF86*('Item Budget'!$AB$14-'Item Budget'!$B$11)),(AM86+AF86*('Item Budget'!$AB$14-'Item Budget'!$B$11))),0)</f>
        <v/>
      </c>
      <c r="AU86" s="44">
        <f>IF(OR($E86="All",ISNUMBER(SEARCH("Rogue",$E86))),IF($C86="Caster weapon",(AN86+AF86*('Item Budget'!$AB$15-'Item Budget'!$B$11)),(AM86+AF86*('Item Budget'!$AB$15-'Item Budget'!$B$11))),0)</f>
        <v/>
      </c>
      <c r="AV86" s="44">
        <f>IF(OR($E86="All",ISNUMBER(SEARCH("Magus",$E86))),(AN86+AF86*('Item Budget'!$AB$16-'Item Budget'!$B$11)),0)</f>
        <v/>
      </c>
      <c r="AW86" s="44">
        <f>IF(OR($E86="All",ISNUMBER(SEARCH("Priest",$E86))),(AN86+AF86*('Item Budget'!$AB$17-'Item Budget'!$B$11)),0)</f>
        <v/>
      </c>
      <c r="AX86" s="44">
        <f>IF(AND(OR($E86="All",ISNUMBER(SEARCH("Warrior",$E86))),AC86&gt;='Item Budget'!$R$10),'Item Budget'!$R$7*100*('Item Budget'!$R$14*(AD86+25*AH86)+'Item Budget'!$S$14*(AE86+25*AJ86))/'Item Budget'!$Z$14+'Item Budget'!$R$9*AF86+IFERROR(INDEX('Item Budget'!$O$25:$O$95,MATCH(AL86,'Item Budget'!$B$25:$B$95,0)),0),0)</f>
        <v/>
      </c>
      <c r="AY86" s="44">
        <f>IF(AND(OR($E86="All",ISNUMBER(SEARCH("Rogue",$E86))),AC86&gt;='Item Budget'!$R$10),'Item Budget'!$R$7*100*('Item Budget'!$R$15*(AD86+25*AH86)+'Item Budget'!$S$15*(AE86+25*AJ86))/'Item Budget'!$Z$15+'Item Budget'!$R$9*AF86+IFERROR(INDEX('Item Budget'!$O$25:$O$95,MATCH(AL86,'Item Budget'!$B$25:$B$95,0)),0),0)</f>
        <v/>
      </c>
      <c r="AZ86" s="44">
        <f>IF(AND(OR($E86="All",ISNUMBER(SEARCH("Magus",$E86))),AC86&gt;='Item Budget'!$R$10),'Item Budget'!$R$7*100*('Item Budget'!$R$16*(AD86+25*AH86)+'Item Budget'!$S$16*(AE86+25*AJ86))/'Item Budget'!$Z$16+'Item Budget'!$R$9*AF86+IFERROR(INDEX('Item Budget'!$O$25:$O$95,MATCH(AL86,'Item Budget'!$B$25:$B$95,0)),0),0)</f>
        <v/>
      </c>
      <c r="BA86" s="44">
        <f>IF(AND(OR($E86="All",ISNUMBER(SEARCH("Priest",$E86))),AC86&gt;='Item Budget'!$R$10),'Item Budget'!$R$7*100*('Item Budget'!$R$17*(AD86+25*AH86)+'Item Budget'!$S$17*(AE86+25*AJ86))/'Item Budget'!$Z$17+'Item Budget'!$R$9*AF86+IFERROR(INDEX('Item Budget'!$O$25:$O$95,MATCH(AL86,'Item Budget'!$B$25:$B$95,0)),0),0)</f>
        <v/>
      </c>
      <c r="BB86" s="52">
        <f>IF(OR($I86&lt;1,IF($I86&gt;=6,AX86,AT86)&lt;=0),"",IF(SUMPRODUCT(MAX(($C$5:$C$215=$C86)*($I$5:$I$215&gt;=1)*($I$5:$I$215&lt;$I86)*IF($I86&gt;=6,$AX$5:$AX$215,$AT$5:$AT$215)))&lt;=0,"",SUMPRODUCT(MAX(($C$5:$C$215=$C86)*($I$5:$I$215=$I86)*IF($I86&gt;=6,$AX$5:$AX$215,$AT$5:$AT$215)))/SUMPRODUCT(MAX(($C$5:$C$215=$C86)*($I$5:$I$215&gt;=1)*($I$5:$I$215&lt;$I86)*IF($I86&gt;=6,$AX$5:$AX$215,$AT$5:$AT$215)))-1))</f>
        <v/>
      </c>
      <c r="BC86" s="52">
        <f>IF(OR($I86&lt;1,IF($I86&gt;=6,AY86,AU86)&lt;=0),"",IF(SUMPRODUCT(MAX(($C$5:$C$215=$C86)*($I$5:$I$215&gt;=1)*($I$5:$I$215&lt;$I86)*IF($I86&gt;=6,$AY$5:$AY$215,$AU$5:$AU$215)))&lt;=0,"",SUMPRODUCT(MAX(($C$5:$C$215=$C86)*($I$5:$I$215=$I86)*IF($I86&gt;=6,$AY$5:$AY$215,$AU$5:$AU$215)))/SUMPRODUCT(MAX(($C$5:$C$215=$C86)*($I$5:$I$215&gt;=1)*($I$5:$I$215&lt;$I86)*IF($I86&gt;=6,$AY$5:$AY$215,$AU$5:$AU$215)))-1))</f>
        <v/>
      </c>
      <c r="BD86" s="52">
        <f>IF(OR($I86&lt;1,IF($I86&gt;=6,AZ86,AV86)&lt;=0),"",IF(SUMPRODUCT(MAX(($C$5:$C$215=$C86)*($I$5:$I$215&gt;=1)*($I$5:$I$215&lt;$I86)*IF($I86&gt;=6,$AZ$5:$AZ$215,$AV$5:$AV$215)))&lt;=0,"",SUMPRODUCT(MAX(($C$5:$C$215=$C86)*($I$5:$I$215=$I86)*IF($I86&gt;=6,$AZ$5:$AZ$215,$AV$5:$AV$215)))/SUMPRODUCT(MAX(($C$5:$C$215=$C86)*($I$5:$I$215&gt;=1)*($I$5:$I$215&lt;$I86)*IF($I86&gt;=6,$AZ$5:$AZ$215,$AV$5:$AV$215)))-1))</f>
        <v/>
      </c>
      <c r="BE86" s="52">
        <f>IF(OR($I86&lt;1,IF($I86&gt;=6,BA86,AW86)&lt;=0),"",IF(SUMPRODUCT(MAX(($C$5:$C$215=$C86)*($I$5:$I$215&gt;=1)*($I$5:$I$215&lt;$I86)*IF($I86&gt;=6,$BA$5:$BA$215,$AW$5:$AW$215)))&lt;=0,"",SUMPRODUCT(MAX(($C$5:$C$215=$C86)*($I$5:$I$215=$I86)*IF($I86&gt;=6,$BA$5:$BA$215,$AW$5:$AW$215)))/SUMPRODUCT(MAX(($C$5:$C$215=$C86)*($I$5:$I$215&gt;=1)*($I$5:$I$215&lt;$I86)*IF($I86&gt;=6,$BA$5:$BA$215,$AW$5:$AW$215)))-1))</f>
        <v/>
      </c>
      <c r="BF86" s="19">
        <f>IF(AND(BB86="",BC86="",BD86="",BE86=""),"",IF(IF(AND(ISNUMBER(BB86),BB86&lt;'Item Budget'!$R$11),"W ","")&amp;IF(AND(ISNUMBER(BC86),BC86&lt;'Item Budget'!$R$11),"R ","")&amp;IF(AND(ISNUMBER(BD86),BD86&lt;'Item Budget'!$R$11),"M ","")&amp;IF(AND(ISNUMBER(BE86),BE86&lt;'Item Budget'!$R$11),"P ","")="","OK","Not above lower step: "&amp;IF(AND(ISNUMBER(BB86),BB86&lt;'Item Budget'!$R$11),"W ","")&amp;IF(AND(ISNUMBER(BC86),BC86&lt;'Item Budget'!$R$11),"R ","")&amp;IF(AND(ISNUMBER(BD86),BD86&lt;'Item Budget'!$R$11),"M ","")&amp;IF(AND(ISNUMBER(BE86),BE86&lt;'Item Budget'!$R$11),"P ","")))</f>
        <v/>
      </c>
    </row>
    <row r="87">
      <c r="A87" s="21" t="n">
        <v>589</v>
      </c>
      <c r="B87" s="21" t="inlineStr">
        <is>
          <t>Enchanted Divine Crown</t>
        </is>
      </c>
      <c r="C87" s="21" t="inlineStr">
        <is>
          <t>Helmet</t>
        </is>
      </c>
      <c r="D87" s="21" t="inlineStr">
        <is>
          <t>Magus</t>
        </is>
      </c>
      <c r="E87" s="21" t="inlineStr">
        <is>
          <t>Magus</t>
        </is>
      </c>
      <c r="F87" s="21" t="inlineStr">
        <is>
          <t>Caster cloth</t>
        </is>
      </c>
      <c r="G87" s="21" t="inlineStr">
        <is>
          <t>craft</t>
        </is>
      </c>
      <c r="H87" s="37" t="n">
        <v>400000000</v>
      </c>
      <c r="I87" s="21" t="n">
        <v>9</v>
      </c>
      <c r="J87" s="19" t="inlineStr">
        <is>
          <t>Leave</t>
        </is>
      </c>
      <c r="K87" s="21" t="inlineStr">
        <is>
          <t>Crafted</t>
        </is>
      </c>
      <c r="L87" s="31">
        <f>INDEX('Item Budget'!$F$5:$F$13,MATCH(K87,'Item Budget'!$E$5:$E$13,0))+IF(E87="All",0,'Item Budget'!$F$15)+LOOKUP(H87,'Item Budget'!$E$19:$E$23,'Item Budget'!$F$19:$F$23)</f>
        <v/>
      </c>
      <c r="M87" s="21" t="n">
        <v>50</v>
      </c>
      <c r="N87" s="21" t="n">
        <v>0</v>
      </c>
      <c r="O87" s="21" t="n">
        <v>6000</v>
      </c>
      <c r="P87" s="21" t="n">
        <v>150</v>
      </c>
      <c r="Q87" s="21" t="n">
        <v>0</v>
      </c>
      <c r="R87" s="21" t="n">
        <v>0</v>
      </c>
      <c r="S87" s="21" t="n">
        <v>0</v>
      </c>
      <c r="T87" s="21" t="n">
        <v>50</v>
      </c>
      <c r="U87" s="21" t="n">
        <v>0</v>
      </c>
      <c r="V87" s="21" t="inlineStr">
        <is>
          <t>Increased Spell Critical V</t>
        </is>
      </c>
      <c r="W87" s="61">
        <f>N87*'Item Budget'!$B$5+R87*'Item Budget'!$B$7+P87*'Item Budget'!$B$11+S87*'Item Budget'!$B$10+Q87*'Item Budget'!$B$9+IFERROR(INDEX('Item Budget'!$M$25:$M$95,MATCH(V87,'Item Budget'!$B$25:$B$95,0)),0)+IF($C87="Weapon",U87*'Item Budget'!$B$9,0)</f>
        <v/>
      </c>
      <c r="X87" s="61">
        <f>N87*'Item Budget'!$B$5+R87*'Item Budget'!$B$7+P87*'Item Budget'!$B$11+S87*'Item Budget'!$B$10+O87*'Item Budget'!$B$6+T87*'Item Budget'!$B$8+IFERROR(INDEX('Item Budget'!$N$25:$N$95,MATCH(V87,'Item Budget'!$B$25:$B$95,0)),0)</f>
        <v/>
      </c>
      <c r="Y87" s="61">
        <f>MAX('Item Budget'!$F$16,INDEX('Gear Budget'!$C$8:$C$14,MATCH($C87,'Gear Budget'!$A$8:$A$14,0))*MIN(M87,50))*$L87</f>
        <v/>
      </c>
      <c r="Z87" s="41">
        <f>IF($C87="Caster weapon",X87,MAX(W87,X87))/Y87</f>
        <v/>
      </c>
      <c r="AA87" s="61">
        <f>IF(OR($C87="Weapon",$C87="Caster weapon"),"",'Gear Budget'!$B$5*MAX(1,MIN(M87,50))*INDEX('Gear Budget'!$B$8:$B$14,MATCH($C87,'Gear Budget'!$A$8:$A$14,0))*IF($C87="Shield",IF(D87="Warrior",1,IF(OR(D87="Rogue",D87="All"),0.38/0.6,0.25/0.6)),IFERROR(INDEX('Gear Budget'!$B$18:$B$21,MATCH($F87,'Gear Budget'!$A$18:$A$21,0)),1)))</f>
        <v/>
      </c>
      <c r="AB87" s="41">
        <f>IF(AA87="","",P87/AA87)</f>
        <v/>
      </c>
      <c r="AC87" s="21" t="n">
        <v>50</v>
      </c>
      <c r="AD87" s="21" t="n">
        <v>0</v>
      </c>
      <c r="AE87" s="21" t="n">
        <v>6000</v>
      </c>
      <c r="AF87" s="21" t="n">
        <v>150</v>
      </c>
      <c r="AG87" s="21" t="n">
        <v>0</v>
      </c>
      <c r="AH87" s="21" t="n">
        <v>0</v>
      </c>
      <c r="AI87" s="21" t="n">
        <v>0</v>
      </c>
      <c r="AJ87" s="21" t="n">
        <v>50</v>
      </c>
      <c r="AK87" s="21" t="n">
        <v>0</v>
      </c>
      <c r="AL87" s="21" t="inlineStr">
        <is>
          <t>Increased Spell Critical V</t>
        </is>
      </c>
      <c r="AM87" s="61">
        <f>AD87*'Item Budget'!$B$5+AH87*'Item Budget'!$B$7+AF87*'Item Budget'!$B$11+AI87*'Item Budget'!$B$10+AG87*'Item Budget'!$B$9+IFERROR(INDEX('Item Budget'!$M$25:$M$95,MATCH(AL87,'Item Budget'!$B$25:$B$95,0)),0)+IF($C87="Weapon",AK87*'Item Budget'!$B$9,0)</f>
        <v/>
      </c>
      <c r="AN87" s="61">
        <f>AD87*'Item Budget'!$B$5+AH87*'Item Budget'!$B$7+AF87*'Item Budget'!$B$11+AI87*'Item Budget'!$B$10+AE87*'Item Budget'!$B$6+AJ87*'Item Budget'!$B$8+IFERROR(INDEX('Item Budget'!$N$25:$N$95,MATCH(AL87,'Item Budget'!$B$25:$B$95,0)),0)</f>
        <v/>
      </c>
      <c r="AO87" s="61">
        <f>MAX('Item Budget'!$F$16,INDEX('Gear Budget'!$C$8:$C$14,MATCH($C87,'Gear Budget'!$A$8:$A$14,0))*MIN(AC87,50))*$L87</f>
        <v/>
      </c>
      <c r="AP87" s="41">
        <f>IF($C87="Caster weapon",AN87,MAX(AM87,AN87))/AO87</f>
        <v/>
      </c>
      <c r="AQ87" s="61">
        <f>IF(OR($C87="Weapon",$C87="Caster weapon"),"",'Gear Budget'!$B$5*MAX(1,MIN(AC87,50))*INDEX('Gear Budget'!$B$8:$B$14,MATCH($C87,'Gear Budget'!$A$8:$A$14,0))*IF($C87="Shield",IF(E87="Warrior",1,IF(OR(E87="Rogue",E87="All"),0.38/0.6,0.25/0.6)),IFERROR(INDEX('Gear Budget'!$B$18:$B$21,MATCH($F87,'Gear Budget'!$A$18:$A$21,0)),1)))</f>
        <v/>
      </c>
      <c r="AR87" s="41">
        <f>IF(AQ87="","",AF87/AQ87)</f>
        <v/>
      </c>
      <c r="AS87" s="64" t="n"/>
      <c r="AT87" s="44">
        <f>IF(OR($E87="All",ISNUMBER(SEARCH("Warrior",$E87))),IF($C87="Caster weapon",(AN87+AF87*('Item Budget'!$AB$14-'Item Budget'!$B$11)),(AM87+AF87*('Item Budget'!$AB$14-'Item Budget'!$B$11))),0)</f>
        <v/>
      </c>
      <c r="AU87" s="44">
        <f>IF(OR($E87="All",ISNUMBER(SEARCH("Rogue",$E87))),IF($C87="Caster weapon",(AN87+AF87*('Item Budget'!$AB$15-'Item Budget'!$B$11)),(AM87+AF87*('Item Budget'!$AB$15-'Item Budget'!$B$11))),0)</f>
        <v/>
      </c>
      <c r="AV87" s="44">
        <f>IF(OR($E87="All",ISNUMBER(SEARCH("Magus",$E87))),(AN87+AF87*('Item Budget'!$AB$16-'Item Budget'!$B$11)),0)</f>
        <v/>
      </c>
      <c r="AW87" s="44">
        <f>IF(OR($E87="All",ISNUMBER(SEARCH("Priest",$E87))),(AN87+AF87*('Item Budget'!$AB$17-'Item Budget'!$B$11)),0)</f>
        <v/>
      </c>
      <c r="AX87" s="44">
        <f>IF(AND(OR($E87="All",ISNUMBER(SEARCH("Warrior",$E87))),AC87&gt;='Item Budget'!$R$10),'Item Budget'!$R$7*100*('Item Budget'!$R$14*(AD87+25*AH87)+'Item Budget'!$S$14*(AE87+25*AJ87))/'Item Budget'!$Z$14+'Item Budget'!$R$9*AF87+IFERROR(INDEX('Item Budget'!$O$25:$O$95,MATCH(AL87,'Item Budget'!$B$25:$B$95,0)),0),0)</f>
        <v/>
      </c>
      <c r="AY87" s="44">
        <f>IF(AND(OR($E87="All",ISNUMBER(SEARCH("Rogue",$E87))),AC87&gt;='Item Budget'!$R$10),'Item Budget'!$R$7*100*('Item Budget'!$R$15*(AD87+25*AH87)+'Item Budget'!$S$15*(AE87+25*AJ87))/'Item Budget'!$Z$15+'Item Budget'!$R$9*AF87+IFERROR(INDEX('Item Budget'!$O$25:$O$95,MATCH(AL87,'Item Budget'!$B$25:$B$95,0)),0),0)</f>
        <v/>
      </c>
      <c r="AZ87" s="44">
        <f>IF(AND(OR($E87="All",ISNUMBER(SEARCH("Magus",$E87))),AC87&gt;='Item Budget'!$R$10),'Item Budget'!$R$7*100*('Item Budget'!$R$16*(AD87+25*AH87)+'Item Budget'!$S$16*(AE87+25*AJ87))/'Item Budget'!$Z$16+'Item Budget'!$R$9*AF87+IFERROR(INDEX('Item Budget'!$O$25:$O$95,MATCH(AL87,'Item Budget'!$B$25:$B$95,0)),0),0)</f>
        <v/>
      </c>
      <c r="BA87" s="44">
        <f>IF(AND(OR($E87="All",ISNUMBER(SEARCH("Priest",$E87))),AC87&gt;='Item Budget'!$R$10),'Item Budget'!$R$7*100*('Item Budget'!$R$17*(AD87+25*AH87)+'Item Budget'!$S$17*(AE87+25*AJ87))/'Item Budget'!$Z$17+'Item Budget'!$R$9*AF87+IFERROR(INDEX('Item Budget'!$O$25:$O$95,MATCH(AL87,'Item Budget'!$B$25:$B$95,0)),0),0)</f>
        <v/>
      </c>
      <c r="BB87" s="52">
        <f>IF(OR($I87&lt;1,IF($I87&gt;=6,AX87,AT87)&lt;=0),"",IF(SUMPRODUCT(MAX(($C$5:$C$215=$C87)*($I$5:$I$215&gt;=1)*($I$5:$I$215&lt;$I87)*IF($I87&gt;=6,$AX$5:$AX$215,$AT$5:$AT$215)))&lt;=0,"",SUMPRODUCT(MAX(($C$5:$C$215=$C87)*($I$5:$I$215=$I87)*IF($I87&gt;=6,$AX$5:$AX$215,$AT$5:$AT$215)))/SUMPRODUCT(MAX(($C$5:$C$215=$C87)*($I$5:$I$215&gt;=1)*($I$5:$I$215&lt;$I87)*IF($I87&gt;=6,$AX$5:$AX$215,$AT$5:$AT$215)))-1))</f>
        <v/>
      </c>
      <c r="BC87" s="52">
        <f>IF(OR($I87&lt;1,IF($I87&gt;=6,AY87,AU87)&lt;=0),"",IF(SUMPRODUCT(MAX(($C$5:$C$215=$C87)*($I$5:$I$215&gt;=1)*($I$5:$I$215&lt;$I87)*IF($I87&gt;=6,$AY$5:$AY$215,$AU$5:$AU$215)))&lt;=0,"",SUMPRODUCT(MAX(($C$5:$C$215=$C87)*($I$5:$I$215=$I87)*IF($I87&gt;=6,$AY$5:$AY$215,$AU$5:$AU$215)))/SUMPRODUCT(MAX(($C$5:$C$215=$C87)*($I$5:$I$215&gt;=1)*($I$5:$I$215&lt;$I87)*IF($I87&gt;=6,$AY$5:$AY$215,$AU$5:$AU$215)))-1))</f>
        <v/>
      </c>
      <c r="BD87" s="52">
        <f>IF(OR($I87&lt;1,IF($I87&gt;=6,AZ87,AV87)&lt;=0),"",IF(SUMPRODUCT(MAX(($C$5:$C$215=$C87)*($I$5:$I$215&gt;=1)*($I$5:$I$215&lt;$I87)*IF($I87&gt;=6,$AZ$5:$AZ$215,$AV$5:$AV$215)))&lt;=0,"",SUMPRODUCT(MAX(($C$5:$C$215=$C87)*($I$5:$I$215=$I87)*IF($I87&gt;=6,$AZ$5:$AZ$215,$AV$5:$AV$215)))/SUMPRODUCT(MAX(($C$5:$C$215=$C87)*($I$5:$I$215&gt;=1)*($I$5:$I$215&lt;$I87)*IF($I87&gt;=6,$AZ$5:$AZ$215,$AV$5:$AV$215)))-1))</f>
        <v/>
      </c>
      <c r="BE87" s="52">
        <f>IF(OR($I87&lt;1,IF($I87&gt;=6,BA87,AW87)&lt;=0),"",IF(SUMPRODUCT(MAX(($C$5:$C$215=$C87)*($I$5:$I$215&gt;=1)*($I$5:$I$215&lt;$I87)*IF($I87&gt;=6,$BA$5:$BA$215,$AW$5:$AW$215)))&lt;=0,"",SUMPRODUCT(MAX(($C$5:$C$215=$C87)*($I$5:$I$215=$I87)*IF($I87&gt;=6,$BA$5:$BA$215,$AW$5:$AW$215)))/SUMPRODUCT(MAX(($C$5:$C$215=$C87)*($I$5:$I$215&gt;=1)*($I$5:$I$215&lt;$I87)*IF($I87&gt;=6,$BA$5:$BA$215,$AW$5:$AW$215)))-1))</f>
        <v/>
      </c>
      <c r="BF87" s="19">
        <f>IF(AND(BB87="",BC87="",BD87="",BE87=""),"",IF(IF(AND(ISNUMBER(BB87),BB87&lt;'Item Budget'!$R$11),"W ","")&amp;IF(AND(ISNUMBER(BC87),BC87&lt;'Item Budget'!$R$11),"R ","")&amp;IF(AND(ISNUMBER(BD87),BD87&lt;'Item Budget'!$R$11),"M ","")&amp;IF(AND(ISNUMBER(BE87),BE87&lt;'Item Budget'!$R$11),"P ","")="","OK","Not above lower step: "&amp;IF(AND(ISNUMBER(BB87),BB87&lt;'Item Budget'!$R$11),"W ","")&amp;IF(AND(ISNUMBER(BC87),BC87&lt;'Item Budget'!$R$11),"R ","")&amp;IF(AND(ISNUMBER(BD87),BD87&lt;'Item Budget'!$R$11),"M ","")&amp;IF(AND(ISNUMBER(BE87),BE87&lt;'Item Budget'!$R$11),"P ","")))</f>
        <v/>
      </c>
    </row>
    <row r="88">
      <c r="A88" s="21" t="n">
        <v>590</v>
      </c>
      <c r="B88" s="21" t="inlineStr">
        <is>
          <t>Enchanted Divine Crown</t>
        </is>
      </c>
      <c r="C88" s="21" t="inlineStr">
        <is>
          <t>Helmet</t>
        </is>
      </c>
      <c r="D88" s="21" t="inlineStr">
        <is>
          <t>Priest</t>
        </is>
      </c>
      <c r="E88" s="21" t="inlineStr">
        <is>
          <t>Priest</t>
        </is>
      </c>
      <c r="F88" s="21" t="inlineStr">
        <is>
          <t>Caster cloth</t>
        </is>
      </c>
      <c r="G88" s="21" t="inlineStr">
        <is>
          <t>craft</t>
        </is>
      </c>
      <c r="H88" s="37" t="n">
        <v>400000000</v>
      </c>
      <c r="I88" s="21" t="n">
        <v>9</v>
      </c>
      <c r="J88" s="19" t="inlineStr">
        <is>
          <t>Leave</t>
        </is>
      </c>
      <c r="K88" s="21" t="inlineStr">
        <is>
          <t>Crafted</t>
        </is>
      </c>
      <c r="L88" s="31">
        <f>INDEX('Item Budget'!$F$5:$F$13,MATCH(K88,'Item Budget'!$E$5:$E$13,0))+IF(E88="All",0,'Item Budget'!$F$15)+LOOKUP(H88,'Item Budget'!$E$19:$E$23,'Item Budget'!$F$19:$F$23)</f>
        <v/>
      </c>
      <c r="M88" s="21" t="n">
        <v>50</v>
      </c>
      <c r="N88" s="21" t="n">
        <v>2000</v>
      </c>
      <c r="O88" s="21" t="n">
        <v>4000</v>
      </c>
      <c r="P88" s="21" t="n">
        <v>150</v>
      </c>
      <c r="Q88" s="21" t="n">
        <v>0</v>
      </c>
      <c r="R88" s="21" t="n">
        <v>20</v>
      </c>
      <c r="S88" s="21" t="n">
        <v>0</v>
      </c>
      <c r="T88" s="21" t="n">
        <v>30</v>
      </c>
      <c r="U88" s="21" t="n">
        <v>0</v>
      </c>
      <c r="V88" s="21" t="inlineStr">
        <is>
          <t>Increased Spell Critical V</t>
        </is>
      </c>
      <c r="W88" s="61">
        <f>N88*'Item Budget'!$B$5+R88*'Item Budget'!$B$7+P88*'Item Budget'!$B$11+S88*'Item Budget'!$B$10+Q88*'Item Budget'!$B$9+IFERROR(INDEX('Item Budget'!$M$25:$M$95,MATCH(V88,'Item Budget'!$B$25:$B$95,0)),0)+IF($C88="Weapon",U88*'Item Budget'!$B$9,0)</f>
        <v/>
      </c>
      <c r="X88" s="61">
        <f>N88*'Item Budget'!$B$5+R88*'Item Budget'!$B$7+P88*'Item Budget'!$B$11+S88*'Item Budget'!$B$10+O88*'Item Budget'!$B$6+T88*'Item Budget'!$B$8+IFERROR(INDEX('Item Budget'!$N$25:$N$95,MATCH(V88,'Item Budget'!$B$25:$B$95,0)),0)</f>
        <v/>
      </c>
      <c r="Y88" s="61">
        <f>MAX('Item Budget'!$F$16,INDEX('Gear Budget'!$C$8:$C$14,MATCH($C88,'Gear Budget'!$A$8:$A$14,0))*MIN(M88,50))*$L88</f>
        <v/>
      </c>
      <c r="Z88" s="41">
        <f>IF($C88="Caster weapon",X88,MAX(W88,X88))/Y88</f>
        <v/>
      </c>
      <c r="AA88" s="61">
        <f>IF(OR($C88="Weapon",$C88="Caster weapon"),"",'Gear Budget'!$B$5*MAX(1,MIN(M88,50))*INDEX('Gear Budget'!$B$8:$B$14,MATCH($C88,'Gear Budget'!$A$8:$A$14,0))*IF($C88="Shield",IF(D88="Warrior",1,IF(OR(D88="Rogue",D88="All"),0.38/0.6,0.25/0.6)),IFERROR(INDEX('Gear Budget'!$B$18:$B$21,MATCH($F88,'Gear Budget'!$A$18:$A$21,0)),1)))</f>
        <v/>
      </c>
      <c r="AB88" s="41">
        <f>IF(AA88="","",P88/AA88)</f>
        <v/>
      </c>
      <c r="AC88" s="21" t="n">
        <v>50</v>
      </c>
      <c r="AD88" s="21" t="n">
        <v>2000</v>
      </c>
      <c r="AE88" s="21" t="n">
        <v>4000</v>
      </c>
      <c r="AF88" s="21" t="n">
        <v>150</v>
      </c>
      <c r="AG88" s="21" t="n">
        <v>0</v>
      </c>
      <c r="AH88" s="21" t="n">
        <v>20</v>
      </c>
      <c r="AI88" s="21" t="n">
        <v>0</v>
      </c>
      <c r="AJ88" s="21" t="n">
        <v>30</v>
      </c>
      <c r="AK88" s="21" t="n">
        <v>0</v>
      </c>
      <c r="AL88" s="21" t="inlineStr">
        <is>
          <t>Increased Spell Critical V</t>
        </is>
      </c>
      <c r="AM88" s="61">
        <f>AD88*'Item Budget'!$B$5+AH88*'Item Budget'!$B$7+AF88*'Item Budget'!$B$11+AI88*'Item Budget'!$B$10+AG88*'Item Budget'!$B$9+IFERROR(INDEX('Item Budget'!$M$25:$M$95,MATCH(AL88,'Item Budget'!$B$25:$B$95,0)),0)+IF($C88="Weapon",AK88*'Item Budget'!$B$9,0)</f>
        <v/>
      </c>
      <c r="AN88" s="61">
        <f>AD88*'Item Budget'!$B$5+AH88*'Item Budget'!$B$7+AF88*'Item Budget'!$B$11+AI88*'Item Budget'!$B$10+AE88*'Item Budget'!$B$6+AJ88*'Item Budget'!$B$8+IFERROR(INDEX('Item Budget'!$N$25:$N$95,MATCH(AL88,'Item Budget'!$B$25:$B$95,0)),0)</f>
        <v/>
      </c>
      <c r="AO88" s="61">
        <f>MAX('Item Budget'!$F$16,INDEX('Gear Budget'!$C$8:$C$14,MATCH($C88,'Gear Budget'!$A$8:$A$14,0))*MIN(AC88,50))*$L88</f>
        <v/>
      </c>
      <c r="AP88" s="41">
        <f>IF($C88="Caster weapon",AN88,MAX(AM88,AN88))/AO88</f>
        <v/>
      </c>
      <c r="AQ88" s="61">
        <f>IF(OR($C88="Weapon",$C88="Caster weapon"),"",'Gear Budget'!$B$5*MAX(1,MIN(AC88,50))*INDEX('Gear Budget'!$B$8:$B$14,MATCH($C88,'Gear Budget'!$A$8:$A$14,0))*IF($C88="Shield",IF(E88="Warrior",1,IF(OR(E88="Rogue",E88="All"),0.38/0.6,0.25/0.6)),IFERROR(INDEX('Gear Budget'!$B$18:$B$21,MATCH($F88,'Gear Budget'!$A$18:$A$21,0)),1)))</f>
        <v/>
      </c>
      <c r="AR88" s="41">
        <f>IF(AQ88="","",AF88/AQ88)</f>
        <v/>
      </c>
      <c r="AS88" s="64" t="n"/>
      <c r="AT88" s="44">
        <f>IF(OR($E88="All",ISNUMBER(SEARCH("Warrior",$E88))),IF($C88="Caster weapon",(AN88+AF88*('Item Budget'!$AB$14-'Item Budget'!$B$11)),(AM88+AF88*('Item Budget'!$AB$14-'Item Budget'!$B$11))),0)</f>
        <v/>
      </c>
      <c r="AU88" s="44">
        <f>IF(OR($E88="All",ISNUMBER(SEARCH("Rogue",$E88))),IF($C88="Caster weapon",(AN88+AF88*('Item Budget'!$AB$15-'Item Budget'!$B$11)),(AM88+AF88*('Item Budget'!$AB$15-'Item Budget'!$B$11))),0)</f>
        <v/>
      </c>
      <c r="AV88" s="44">
        <f>IF(OR($E88="All",ISNUMBER(SEARCH("Magus",$E88))),(AN88+AF88*('Item Budget'!$AB$16-'Item Budget'!$B$11)),0)</f>
        <v/>
      </c>
      <c r="AW88" s="44">
        <f>IF(OR($E88="All",ISNUMBER(SEARCH("Priest",$E88))),(AN88+AF88*('Item Budget'!$AB$17-'Item Budget'!$B$11)),0)</f>
        <v/>
      </c>
      <c r="AX88" s="44">
        <f>IF(AND(OR($E88="All",ISNUMBER(SEARCH("Warrior",$E88))),AC88&gt;='Item Budget'!$R$10),'Item Budget'!$R$7*100*('Item Budget'!$R$14*(AD88+25*AH88)+'Item Budget'!$S$14*(AE88+25*AJ88))/'Item Budget'!$Z$14+'Item Budget'!$R$9*AF88+IFERROR(INDEX('Item Budget'!$O$25:$O$95,MATCH(AL88,'Item Budget'!$B$25:$B$95,0)),0),0)</f>
        <v/>
      </c>
      <c r="AY88" s="44">
        <f>IF(AND(OR($E88="All",ISNUMBER(SEARCH("Rogue",$E88))),AC88&gt;='Item Budget'!$R$10),'Item Budget'!$R$7*100*('Item Budget'!$R$15*(AD88+25*AH88)+'Item Budget'!$S$15*(AE88+25*AJ88))/'Item Budget'!$Z$15+'Item Budget'!$R$9*AF88+IFERROR(INDEX('Item Budget'!$O$25:$O$95,MATCH(AL88,'Item Budget'!$B$25:$B$95,0)),0),0)</f>
        <v/>
      </c>
      <c r="AZ88" s="44">
        <f>IF(AND(OR($E88="All",ISNUMBER(SEARCH("Magus",$E88))),AC88&gt;='Item Budget'!$R$10),'Item Budget'!$R$7*100*('Item Budget'!$R$16*(AD88+25*AH88)+'Item Budget'!$S$16*(AE88+25*AJ88))/'Item Budget'!$Z$16+'Item Budget'!$R$9*AF88+IFERROR(INDEX('Item Budget'!$O$25:$O$95,MATCH(AL88,'Item Budget'!$B$25:$B$95,0)),0),0)</f>
        <v/>
      </c>
      <c r="BA88" s="44">
        <f>IF(AND(OR($E88="All",ISNUMBER(SEARCH("Priest",$E88))),AC88&gt;='Item Budget'!$R$10),'Item Budget'!$R$7*100*('Item Budget'!$R$17*(AD88+25*AH88)+'Item Budget'!$S$17*(AE88+25*AJ88))/'Item Budget'!$Z$17+'Item Budget'!$R$9*AF88+IFERROR(INDEX('Item Budget'!$O$25:$O$95,MATCH(AL88,'Item Budget'!$B$25:$B$95,0)),0),0)</f>
        <v/>
      </c>
      <c r="BB88" s="52">
        <f>IF(OR($I88&lt;1,IF($I88&gt;=6,AX88,AT88)&lt;=0),"",IF(SUMPRODUCT(MAX(($C$5:$C$215=$C88)*($I$5:$I$215&gt;=1)*($I$5:$I$215&lt;$I88)*IF($I88&gt;=6,$AX$5:$AX$215,$AT$5:$AT$215)))&lt;=0,"",SUMPRODUCT(MAX(($C$5:$C$215=$C88)*($I$5:$I$215=$I88)*IF($I88&gt;=6,$AX$5:$AX$215,$AT$5:$AT$215)))/SUMPRODUCT(MAX(($C$5:$C$215=$C88)*($I$5:$I$215&gt;=1)*($I$5:$I$215&lt;$I88)*IF($I88&gt;=6,$AX$5:$AX$215,$AT$5:$AT$215)))-1))</f>
        <v/>
      </c>
      <c r="BC88" s="52">
        <f>IF(OR($I88&lt;1,IF($I88&gt;=6,AY88,AU88)&lt;=0),"",IF(SUMPRODUCT(MAX(($C$5:$C$215=$C88)*($I$5:$I$215&gt;=1)*($I$5:$I$215&lt;$I88)*IF($I88&gt;=6,$AY$5:$AY$215,$AU$5:$AU$215)))&lt;=0,"",SUMPRODUCT(MAX(($C$5:$C$215=$C88)*($I$5:$I$215=$I88)*IF($I88&gt;=6,$AY$5:$AY$215,$AU$5:$AU$215)))/SUMPRODUCT(MAX(($C$5:$C$215=$C88)*($I$5:$I$215&gt;=1)*($I$5:$I$215&lt;$I88)*IF($I88&gt;=6,$AY$5:$AY$215,$AU$5:$AU$215)))-1))</f>
        <v/>
      </c>
      <c r="BD88" s="52">
        <f>IF(OR($I88&lt;1,IF($I88&gt;=6,AZ88,AV88)&lt;=0),"",IF(SUMPRODUCT(MAX(($C$5:$C$215=$C88)*($I$5:$I$215&gt;=1)*($I$5:$I$215&lt;$I88)*IF($I88&gt;=6,$AZ$5:$AZ$215,$AV$5:$AV$215)))&lt;=0,"",SUMPRODUCT(MAX(($C$5:$C$215=$C88)*($I$5:$I$215=$I88)*IF($I88&gt;=6,$AZ$5:$AZ$215,$AV$5:$AV$215)))/SUMPRODUCT(MAX(($C$5:$C$215=$C88)*($I$5:$I$215&gt;=1)*($I$5:$I$215&lt;$I88)*IF($I88&gt;=6,$AZ$5:$AZ$215,$AV$5:$AV$215)))-1))</f>
        <v/>
      </c>
      <c r="BE88" s="52">
        <f>IF(OR($I88&lt;1,IF($I88&gt;=6,BA88,AW88)&lt;=0),"",IF(SUMPRODUCT(MAX(($C$5:$C$215=$C88)*($I$5:$I$215&gt;=1)*($I$5:$I$215&lt;$I88)*IF($I88&gt;=6,$BA$5:$BA$215,$AW$5:$AW$215)))&lt;=0,"",SUMPRODUCT(MAX(($C$5:$C$215=$C88)*($I$5:$I$215=$I88)*IF($I88&gt;=6,$BA$5:$BA$215,$AW$5:$AW$215)))/SUMPRODUCT(MAX(($C$5:$C$215=$C88)*($I$5:$I$215&gt;=1)*($I$5:$I$215&lt;$I88)*IF($I88&gt;=6,$BA$5:$BA$215,$AW$5:$AW$215)))-1))</f>
        <v/>
      </c>
      <c r="BF88" s="19">
        <f>IF(AND(BB88="",BC88="",BD88="",BE88=""),"",IF(IF(AND(ISNUMBER(BB88),BB88&lt;'Item Budget'!$R$11),"W ","")&amp;IF(AND(ISNUMBER(BC88),BC88&lt;'Item Budget'!$R$11),"R ","")&amp;IF(AND(ISNUMBER(BD88),BD88&lt;'Item Budget'!$R$11),"M ","")&amp;IF(AND(ISNUMBER(BE88),BE88&lt;'Item Budget'!$R$11),"P ","")="","OK","Not above lower step: "&amp;IF(AND(ISNUMBER(BB88),BB88&lt;'Item Budget'!$R$11),"W ","")&amp;IF(AND(ISNUMBER(BC88),BC88&lt;'Item Budget'!$R$11),"R ","")&amp;IF(AND(ISNUMBER(BD88),BD88&lt;'Item Budget'!$R$11),"M ","")&amp;IF(AND(ISNUMBER(BE88),BE88&lt;'Item Budget'!$R$11),"P ","")))</f>
        <v/>
      </c>
    </row>
    <row r="89">
      <c r="A89" s="21" t="n">
        <v>108</v>
      </c>
      <c r="B89" s="21" t="inlineStr">
        <is>
          <t>Cloth Leggings</t>
        </is>
      </c>
      <c r="C89" s="21" t="inlineStr">
        <is>
          <t>Pants</t>
        </is>
      </c>
      <c r="D89" s="21" t="inlineStr">
        <is>
          <t>All</t>
        </is>
      </c>
      <c r="E89" s="21" t="inlineStr">
        <is>
          <t>All</t>
        </is>
      </c>
      <c r="F89" s="21" t="inlineStr">
        <is>
          <t>All classes</t>
        </is>
      </c>
      <c r="G89" s="21" t="inlineStr">
        <is>
          <t>vendor: Cloth Armor Guy</t>
        </is>
      </c>
      <c r="H89" s="37" t="n">
        <v>0</v>
      </c>
      <c r="I89" s="21" t="n">
        <v>0</v>
      </c>
      <c r="J89" s="3" t="inlineStr">
        <is>
          <t>Applied</t>
        </is>
      </c>
      <c r="K89" s="21" t="inlineStr">
        <is>
          <t>Vendor</t>
        </is>
      </c>
      <c r="L89" s="31">
        <f>INDEX('Item Budget'!$F$5:$F$13,MATCH(K89,'Item Budget'!$E$5:$E$13,0))+IF(E89="All",0,'Item Budget'!$F$15)+LOOKUP(H89,'Item Budget'!$E$19:$E$23,'Item Budget'!$F$19:$F$23)</f>
        <v/>
      </c>
      <c r="M89" s="21" t="n">
        <v>1</v>
      </c>
      <c r="N89" s="21" t="n">
        <v>5</v>
      </c>
      <c r="O89" s="21" t="n">
        <v>5</v>
      </c>
      <c r="P89" s="21" t="n">
        <v>7</v>
      </c>
      <c r="Q89" s="21" t="n">
        <v>0</v>
      </c>
      <c r="R89" s="21" t="n">
        <v>1</v>
      </c>
      <c r="S89" s="21" t="n">
        <v>0</v>
      </c>
      <c r="T89" s="21" t="n">
        <v>0</v>
      </c>
      <c r="U89" s="21" t="n">
        <v>0</v>
      </c>
      <c r="V89" s="21" t="inlineStr">
        <is>
          <t>(none)</t>
        </is>
      </c>
      <c r="W89" s="61">
        <f>N89*'Item Budget'!$B$5+R89*'Item Budget'!$B$7+P89*'Item Budget'!$B$11+S89*'Item Budget'!$B$10+Q89*'Item Budget'!$B$9+IFERROR(INDEX('Item Budget'!$M$25:$M$95,MATCH(V89,'Item Budget'!$B$25:$B$95,0)),0)+IF($C89="Weapon",U89*'Item Budget'!$B$9,0)</f>
        <v/>
      </c>
      <c r="X89" s="61">
        <f>N89*'Item Budget'!$B$5+R89*'Item Budget'!$B$7+P89*'Item Budget'!$B$11+S89*'Item Budget'!$B$10+O89*'Item Budget'!$B$6+T89*'Item Budget'!$B$8+IFERROR(INDEX('Item Budget'!$N$25:$N$95,MATCH(V89,'Item Budget'!$B$25:$B$95,0)),0)</f>
        <v/>
      </c>
      <c r="Y89" s="61">
        <f>MAX('Item Budget'!$F$16,INDEX('Gear Budget'!$C$8:$C$14,MATCH($C89,'Gear Budget'!$A$8:$A$14,0))*MIN(M89,50))*$L89</f>
        <v/>
      </c>
      <c r="Z89" s="41">
        <f>IF($C89="Caster weapon",X89,MAX(W89,X89))/Y89</f>
        <v/>
      </c>
      <c r="AA89" s="61">
        <f>IF(OR($C89="Weapon",$C89="Caster weapon"),"",'Gear Budget'!$B$5*MAX(1,MIN(M89,50))*INDEX('Gear Budget'!$B$8:$B$14,MATCH($C89,'Gear Budget'!$A$8:$A$14,0))*IF($C89="Shield",IF(D89="Warrior",1,IF(OR(D89="Rogue",D89="All"),0.38/0.6,0.25/0.6)),IFERROR(INDEX('Gear Budget'!$B$18:$B$21,MATCH($F89,'Gear Budget'!$A$18:$A$21,0)),1)))</f>
        <v/>
      </c>
      <c r="AB89" s="41">
        <f>IF(AA89="","",P89/AA89)</f>
        <v/>
      </c>
      <c r="AC89" s="21" t="n">
        <v>1</v>
      </c>
      <c r="AD89" s="21" t="n">
        <v>5</v>
      </c>
      <c r="AE89" s="21" t="n">
        <v>5</v>
      </c>
      <c r="AF89" s="21" t="n">
        <v>7</v>
      </c>
      <c r="AG89" s="21" t="n">
        <v>0</v>
      </c>
      <c r="AH89" s="21" t="n">
        <v>1</v>
      </c>
      <c r="AI89" s="21" t="n">
        <v>0</v>
      </c>
      <c r="AJ89" s="21" t="n">
        <v>0</v>
      </c>
      <c r="AK89" s="21" t="n">
        <v>0</v>
      </c>
      <c r="AL89" s="21" t="inlineStr">
        <is>
          <t>(none)</t>
        </is>
      </c>
      <c r="AM89" s="61">
        <f>AD89*'Item Budget'!$B$5+AH89*'Item Budget'!$B$7+AF89*'Item Budget'!$B$11+AI89*'Item Budget'!$B$10+AG89*'Item Budget'!$B$9+IFERROR(INDEX('Item Budget'!$M$25:$M$95,MATCH(AL89,'Item Budget'!$B$25:$B$95,0)),0)+IF($C89="Weapon",AK89*'Item Budget'!$B$9,0)</f>
        <v/>
      </c>
      <c r="AN89" s="61">
        <f>AD89*'Item Budget'!$B$5+AH89*'Item Budget'!$B$7+AF89*'Item Budget'!$B$11+AI89*'Item Budget'!$B$10+AE89*'Item Budget'!$B$6+AJ89*'Item Budget'!$B$8+IFERROR(INDEX('Item Budget'!$N$25:$N$95,MATCH(AL89,'Item Budget'!$B$25:$B$95,0)),0)</f>
        <v/>
      </c>
      <c r="AO89" s="61">
        <f>MAX('Item Budget'!$F$16,INDEX('Gear Budget'!$C$8:$C$14,MATCH($C89,'Gear Budget'!$A$8:$A$14,0))*MIN(AC89,50))*$L89</f>
        <v/>
      </c>
      <c r="AP89" s="41">
        <f>IF($C89="Caster weapon",AN89,MAX(AM89,AN89))/AO89</f>
        <v/>
      </c>
      <c r="AQ89" s="61">
        <f>IF(OR($C89="Weapon",$C89="Caster weapon"),"",'Gear Budget'!$B$5*MAX(1,MIN(AC89,50))*INDEX('Gear Budget'!$B$8:$B$14,MATCH($C89,'Gear Budget'!$A$8:$A$14,0))*IF($C89="Shield",IF(E89="Warrior",1,IF(OR(E89="Rogue",E89="All"),0.38/0.6,0.25/0.6)),IFERROR(INDEX('Gear Budget'!$B$18:$B$21,MATCH($F89,'Gear Budget'!$A$18:$A$21,0)),1)))</f>
        <v/>
      </c>
      <c r="AR89" s="41">
        <f>IF(AQ89="","",AF89/AQ89)</f>
        <v/>
      </c>
      <c r="AS89" s="64" t="inlineStr">
        <is>
          <t>Pass 1 (applied): Token stats.</t>
        </is>
      </c>
      <c r="AT89" s="44">
        <f>IF(OR($E89="All",ISNUMBER(SEARCH("Warrior",$E89))),IF($C89="Caster weapon",(AN89+AF89*('Item Budget'!$AB$14-'Item Budget'!$B$11)),(AM89+AF89*('Item Budget'!$AB$14-'Item Budget'!$B$11))),0)</f>
        <v/>
      </c>
      <c r="AU89" s="44">
        <f>IF(OR($E89="All",ISNUMBER(SEARCH("Rogue",$E89))),IF($C89="Caster weapon",(AN89+AF89*('Item Budget'!$AB$15-'Item Budget'!$B$11)),(AM89+AF89*('Item Budget'!$AB$15-'Item Budget'!$B$11))),0)</f>
        <v/>
      </c>
      <c r="AV89" s="44">
        <f>IF(OR($E89="All",ISNUMBER(SEARCH("Magus",$E89))),(AN89+AF89*('Item Budget'!$AB$16-'Item Budget'!$B$11)),0)</f>
        <v/>
      </c>
      <c r="AW89" s="44">
        <f>IF(OR($E89="All",ISNUMBER(SEARCH("Priest",$E89))),(AN89+AF89*('Item Budget'!$AB$17-'Item Budget'!$B$11)),0)</f>
        <v/>
      </c>
      <c r="AX89" s="44">
        <f>IF(AND(OR($E89="All",ISNUMBER(SEARCH("Warrior",$E89))),AC89&gt;='Item Budget'!$R$10),'Item Budget'!$R$7*100*('Item Budget'!$R$14*(AD89+25*AH89)+'Item Budget'!$S$14*(AE89+25*AJ89))/'Item Budget'!$Z$14+'Item Budget'!$R$9*AF89+IFERROR(INDEX('Item Budget'!$O$25:$O$95,MATCH(AL89,'Item Budget'!$B$25:$B$95,0)),0),0)</f>
        <v/>
      </c>
      <c r="AY89" s="44">
        <f>IF(AND(OR($E89="All",ISNUMBER(SEARCH("Rogue",$E89))),AC89&gt;='Item Budget'!$R$10),'Item Budget'!$R$7*100*('Item Budget'!$R$15*(AD89+25*AH89)+'Item Budget'!$S$15*(AE89+25*AJ89))/'Item Budget'!$Z$15+'Item Budget'!$R$9*AF89+IFERROR(INDEX('Item Budget'!$O$25:$O$95,MATCH(AL89,'Item Budget'!$B$25:$B$95,0)),0),0)</f>
        <v/>
      </c>
      <c r="AZ89" s="44">
        <f>IF(AND(OR($E89="All",ISNUMBER(SEARCH("Magus",$E89))),AC89&gt;='Item Budget'!$R$10),'Item Budget'!$R$7*100*('Item Budget'!$R$16*(AD89+25*AH89)+'Item Budget'!$S$16*(AE89+25*AJ89))/'Item Budget'!$Z$16+'Item Budget'!$R$9*AF89+IFERROR(INDEX('Item Budget'!$O$25:$O$95,MATCH(AL89,'Item Budget'!$B$25:$B$95,0)),0),0)</f>
        <v/>
      </c>
      <c r="BA89" s="44">
        <f>IF(AND(OR($E89="All",ISNUMBER(SEARCH("Priest",$E89))),AC89&gt;='Item Budget'!$R$10),'Item Budget'!$R$7*100*('Item Budget'!$R$17*(AD89+25*AH89)+'Item Budget'!$S$17*(AE89+25*AJ89))/'Item Budget'!$Z$17+'Item Budget'!$R$9*AF89+IFERROR(INDEX('Item Budget'!$O$25:$O$95,MATCH(AL89,'Item Budget'!$B$25:$B$95,0)),0),0)</f>
        <v/>
      </c>
      <c r="BB89" s="52">
        <f>IF(OR($I89&lt;1,IF($I89&gt;=6,AX89,AT89)&lt;=0),"",IF(SUMPRODUCT(MAX(($C$5:$C$215=$C89)*($I$5:$I$215&gt;=1)*($I$5:$I$215&lt;$I89)*IF($I89&gt;=6,$AX$5:$AX$215,$AT$5:$AT$215)))&lt;=0,"",SUMPRODUCT(MAX(($C$5:$C$215=$C89)*($I$5:$I$215=$I89)*IF($I89&gt;=6,$AX$5:$AX$215,$AT$5:$AT$215)))/SUMPRODUCT(MAX(($C$5:$C$215=$C89)*($I$5:$I$215&gt;=1)*($I$5:$I$215&lt;$I89)*IF($I89&gt;=6,$AX$5:$AX$215,$AT$5:$AT$215)))-1))</f>
        <v/>
      </c>
      <c r="BC89" s="52">
        <f>IF(OR($I89&lt;1,IF($I89&gt;=6,AY89,AU89)&lt;=0),"",IF(SUMPRODUCT(MAX(($C$5:$C$215=$C89)*($I$5:$I$215&gt;=1)*($I$5:$I$215&lt;$I89)*IF($I89&gt;=6,$AY$5:$AY$215,$AU$5:$AU$215)))&lt;=0,"",SUMPRODUCT(MAX(($C$5:$C$215=$C89)*($I$5:$I$215=$I89)*IF($I89&gt;=6,$AY$5:$AY$215,$AU$5:$AU$215)))/SUMPRODUCT(MAX(($C$5:$C$215=$C89)*($I$5:$I$215&gt;=1)*($I$5:$I$215&lt;$I89)*IF($I89&gt;=6,$AY$5:$AY$215,$AU$5:$AU$215)))-1))</f>
        <v/>
      </c>
      <c r="BD89" s="52">
        <f>IF(OR($I89&lt;1,IF($I89&gt;=6,AZ89,AV89)&lt;=0),"",IF(SUMPRODUCT(MAX(($C$5:$C$215=$C89)*($I$5:$I$215&gt;=1)*($I$5:$I$215&lt;$I89)*IF($I89&gt;=6,$AZ$5:$AZ$215,$AV$5:$AV$215)))&lt;=0,"",SUMPRODUCT(MAX(($C$5:$C$215=$C89)*($I$5:$I$215=$I89)*IF($I89&gt;=6,$AZ$5:$AZ$215,$AV$5:$AV$215)))/SUMPRODUCT(MAX(($C$5:$C$215=$C89)*($I$5:$I$215&gt;=1)*($I$5:$I$215&lt;$I89)*IF($I89&gt;=6,$AZ$5:$AZ$215,$AV$5:$AV$215)))-1))</f>
        <v/>
      </c>
      <c r="BE89" s="52">
        <f>IF(OR($I89&lt;1,IF($I89&gt;=6,BA89,AW89)&lt;=0),"",IF(SUMPRODUCT(MAX(($C$5:$C$215=$C89)*($I$5:$I$215&gt;=1)*($I$5:$I$215&lt;$I89)*IF($I89&gt;=6,$BA$5:$BA$215,$AW$5:$AW$215)))&lt;=0,"",SUMPRODUCT(MAX(($C$5:$C$215=$C89)*($I$5:$I$215=$I89)*IF($I89&gt;=6,$BA$5:$BA$215,$AW$5:$AW$215)))/SUMPRODUCT(MAX(($C$5:$C$215=$C89)*($I$5:$I$215&gt;=1)*($I$5:$I$215&lt;$I89)*IF($I89&gt;=6,$BA$5:$BA$215,$AW$5:$AW$215)))-1))</f>
        <v/>
      </c>
      <c r="BF89" s="19">
        <f>IF(AND(BB89="",BC89="",BD89="",BE89=""),"",IF(IF(AND(ISNUMBER(BB89),BB89&lt;'Item Budget'!$R$11),"W ","")&amp;IF(AND(ISNUMBER(BC89),BC89&lt;'Item Budget'!$R$11),"R ","")&amp;IF(AND(ISNUMBER(BD89),BD89&lt;'Item Budget'!$R$11),"M ","")&amp;IF(AND(ISNUMBER(BE89),BE89&lt;'Item Budget'!$R$11),"P ","")="","OK","Not above lower step: "&amp;IF(AND(ISNUMBER(BB89),BB89&lt;'Item Budget'!$R$11),"W ","")&amp;IF(AND(ISNUMBER(BC89),BC89&lt;'Item Budget'!$R$11),"R ","")&amp;IF(AND(ISNUMBER(BD89),BD89&lt;'Item Budget'!$R$11),"M ","")&amp;IF(AND(ISNUMBER(BE89),BE89&lt;'Item Budget'!$R$11),"P ","")))</f>
        <v/>
      </c>
    </row>
    <row r="90">
      <c r="A90" s="21" t="n">
        <v>650</v>
      </c>
      <c r="B90" s="21" t="inlineStr">
        <is>
          <t>Rabbit Fur Pants</t>
        </is>
      </c>
      <c r="C90" s="21" t="inlineStr">
        <is>
          <t>Pants</t>
        </is>
      </c>
      <c r="D90" s="21" t="inlineStr">
        <is>
          <t>All</t>
        </is>
      </c>
      <c r="E90" s="21" t="inlineStr">
        <is>
          <t>All</t>
        </is>
      </c>
      <c r="F90" s="21" t="inlineStr">
        <is>
          <t>All classes</t>
        </is>
      </c>
      <c r="G90" s="21" t="inlineStr">
        <is>
          <t>quest</t>
        </is>
      </c>
      <c r="H90" s="37" t="n">
        <v>0</v>
      </c>
      <c r="I90" s="21" t="n">
        <v>0</v>
      </c>
      <c r="J90" s="19" t="inlineStr">
        <is>
          <t>Leave</t>
        </is>
      </c>
      <c r="K90" s="21" t="inlineStr">
        <is>
          <t>Common drop</t>
        </is>
      </c>
      <c r="L90" s="31">
        <f>INDEX('Item Budget'!$F$5:$F$13,MATCH(K90,'Item Budget'!$E$5:$E$13,0))+IF(E90="All",0,'Item Budget'!$F$15)+LOOKUP(H90,'Item Budget'!$E$19:$E$23,'Item Budget'!$F$19:$F$23)</f>
        <v/>
      </c>
      <c r="M90" s="21" t="n">
        <v>1</v>
      </c>
      <c r="N90" s="21" t="n">
        <v>10</v>
      </c>
      <c r="O90" s="21" t="n">
        <v>10</v>
      </c>
      <c r="P90" s="21" t="n">
        <v>10</v>
      </c>
      <c r="Q90" s="21" t="n">
        <v>2</v>
      </c>
      <c r="R90" s="21" t="n">
        <v>0</v>
      </c>
      <c r="S90" s="21" t="n">
        <v>0</v>
      </c>
      <c r="T90" s="21" t="n">
        <v>0</v>
      </c>
      <c r="U90" s="21" t="n">
        <v>0</v>
      </c>
      <c r="V90" s="21" t="inlineStr">
        <is>
          <t>(none)</t>
        </is>
      </c>
      <c r="W90" s="61">
        <f>N90*'Item Budget'!$B$5+R90*'Item Budget'!$B$7+P90*'Item Budget'!$B$11+S90*'Item Budget'!$B$10+Q90*'Item Budget'!$B$9+IFERROR(INDEX('Item Budget'!$M$25:$M$95,MATCH(V90,'Item Budget'!$B$25:$B$95,0)),0)+IF($C90="Weapon",U90*'Item Budget'!$B$9,0)</f>
        <v/>
      </c>
      <c r="X90" s="61">
        <f>N90*'Item Budget'!$B$5+R90*'Item Budget'!$B$7+P90*'Item Budget'!$B$11+S90*'Item Budget'!$B$10+O90*'Item Budget'!$B$6+T90*'Item Budget'!$B$8+IFERROR(INDEX('Item Budget'!$N$25:$N$95,MATCH(V90,'Item Budget'!$B$25:$B$95,0)),0)</f>
        <v/>
      </c>
      <c r="Y90" s="61">
        <f>MAX('Item Budget'!$F$16,INDEX('Gear Budget'!$C$8:$C$14,MATCH($C90,'Gear Budget'!$A$8:$A$14,0))*MIN(M90,50))*$L90</f>
        <v/>
      </c>
      <c r="Z90" s="41">
        <f>IF($C90="Caster weapon",X90,MAX(W90,X90))/Y90</f>
        <v/>
      </c>
      <c r="AA90" s="61">
        <f>IF(OR($C90="Weapon",$C90="Caster weapon"),"",'Gear Budget'!$B$5*MAX(1,MIN(M90,50))*INDEX('Gear Budget'!$B$8:$B$14,MATCH($C90,'Gear Budget'!$A$8:$A$14,0))*IF($C90="Shield",IF(D90="Warrior",1,IF(OR(D90="Rogue",D90="All"),0.38/0.6,0.25/0.6)),IFERROR(INDEX('Gear Budget'!$B$18:$B$21,MATCH($F90,'Gear Budget'!$A$18:$A$21,0)),1)))</f>
        <v/>
      </c>
      <c r="AB90" s="41">
        <f>IF(AA90="","",P90/AA90)</f>
        <v/>
      </c>
      <c r="AC90" s="21" t="n">
        <v>1</v>
      </c>
      <c r="AD90" s="21" t="n">
        <v>10</v>
      </c>
      <c r="AE90" s="21" t="n">
        <v>10</v>
      </c>
      <c r="AF90" s="21" t="n">
        <v>10</v>
      </c>
      <c r="AG90" s="21" t="n">
        <v>2</v>
      </c>
      <c r="AH90" s="21" t="n">
        <v>0</v>
      </c>
      <c r="AI90" s="21" t="n">
        <v>0</v>
      </c>
      <c r="AJ90" s="21" t="n">
        <v>0</v>
      </c>
      <c r="AK90" s="21" t="n">
        <v>0</v>
      </c>
      <c r="AL90" s="21" t="inlineStr">
        <is>
          <t>(none)</t>
        </is>
      </c>
      <c r="AM90" s="61">
        <f>AD90*'Item Budget'!$B$5+AH90*'Item Budget'!$B$7+AF90*'Item Budget'!$B$11+AI90*'Item Budget'!$B$10+AG90*'Item Budget'!$B$9+IFERROR(INDEX('Item Budget'!$M$25:$M$95,MATCH(AL90,'Item Budget'!$B$25:$B$95,0)),0)+IF($C90="Weapon",AK90*'Item Budget'!$B$9,0)</f>
        <v/>
      </c>
      <c r="AN90" s="61">
        <f>AD90*'Item Budget'!$B$5+AH90*'Item Budget'!$B$7+AF90*'Item Budget'!$B$11+AI90*'Item Budget'!$B$10+AE90*'Item Budget'!$B$6+AJ90*'Item Budget'!$B$8+IFERROR(INDEX('Item Budget'!$N$25:$N$95,MATCH(AL90,'Item Budget'!$B$25:$B$95,0)),0)</f>
        <v/>
      </c>
      <c r="AO90" s="61">
        <f>MAX('Item Budget'!$F$16,INDEX('Gear Budget'!$C$8:$C$14,MATCH($C90,'Gear Budget'!$A$8:$A$14,0))*MIN(AC90,50))*$L90</f>
        <v/>
      </c>
      <c r="AP90" s="41">
        <f>IF($C90="Caster weapon",AN90,MAX(AM90,AN90))/AO90</f>
        <v/>
      </c>
      <c r="AQ90" s="61">
        <f>IF(OR($C90="Weapon",$C90="Caster weapon"),"",'Gear Budget'!$B$5*MAX(1,MIN(AC90,50))*INDEX('Gear Budget'!$B$8:$B$14,MATCH($C90,'Gear Budget'!$A$8:$A$14,0))*IF($C90="Shield",IF(E90="Warrior",1,IF(OR(E90="Rogue",E90="All"),0.38/0.6,0.25/0.6)),IFERROR(INDEX('Gear Budget'!$B$18:$B$21,MATCH($F90,'Gear Budget'!$A$18:$A$21,0)),1)))</f>
        <v/>
      </c>
      <c r="AR90" s="41">
        <f>IF(AQ90="","",AF90/AQ90)</f>
        <v/>
      </c>
      <c r="AS90" s="64" t="inlineStr">
        <is>
          <t>Pass 1 (applied): Quest reward.</t>
        </is>
      </c>
      <c r="AT90" s="44">
        <f>IF(OR($E90="All",ISNUMBER(SEARCH("Warrior",$E90))),IF($C90="Caster weapon",(AN90+AF90*('Item Budget'!$AB$14-'Item Budget'!$B$11)),(AM90+AF90*('Item Budget'!$AB$14-'Item Budget'!$B$11))),0)</f>
        <v/>
      </c>
      <c r="AU90" s="44">
        <f>IF(OR($E90="All",ISNUMBER(SEARCH("Rogue",$E90))),IF($C90="Caster weapon",(AN90+AF90*('Item Budget'!$AB$15-'Item Budget'!$B$11)),(AM90+AF90*('Item Budget'!$AB$15-'Item Budget'!$B$11))),0)</f>
        <v/>
      </c>
      <c r="AV90" s="44">
        <f>IF(OR($E90="All",ISNUMBER(SEARCH("Magus",$E90))),(AN90+AF90*('Item Budget'!$AB$16-'Item Budget'!$B$11)),0)</f>
        <v/>
      </c>
      <c r="AW90" s="44">
        <f>IF(OR($E90="All",ISNUMBER(SEARCH("Priest",$E90))),(AN90+AF90*('Item Budget'!$AB$17-'Item Budget'!$B$11)),0)</f>
        <v/>
      </c>
      <c r="AX90" s="44">
        <f>IF(AND(OR($E90="All",ISNUMBER(SEARCH("Warrior",$E90))),AC90&gt;='Item Budget'!$R$10),'Item Budget'!$R$7*100*('Item Budget'!$R$14*(AD90+25*AH90)+'Item Budget'!$S$14*(AE90+25*AJ90))/'Item Budget'!$Z$14+'Item Budget'!$R$9*AF90+IFERROR(INDEX('Item Budget'!$O$25:$O$95,MATCH(AL90,'Item Budget'!$B$25:$B$95,0)),0),0)</f>
        <v/>
      </c>
      <c r="AY90" s="44">
        <f>IF(AND(OR($E90="All",ISNUMBER(SEARCH("Rogue",$E90))),AC90&gt;='Item Budget'!$R$10),'Item Budget'!$R$7*100*('Item Budget'!$R$15*(AD90+25*AH90)+'Item Budget'!$S$15*(AE90+25*AJ90))/'Item Budget'!$Z$15+'Item Budget'!$R$9*AF90+IFERROR(INDEX('Item Budget'!$O$25:$O$95,MATCH(AL90,'Item Budget'!$B$25:$B$95,0)),0),0)</f>
        <v/>
      </c>
      <c r="AZ90" s="44">
        <f>IF(AND(OR($E90="All",ISNUMBER(SEARCH("Magus",$E90))),AC90&gt;='Item Budget'!$R$10),'Item Budget'!$R$7*100*('Item Budget'!$R$16*(AD90+25*AH90)+'Item Budget'!$S$16*(AE90+25*AJ90))/'Item Budget'!$Z$16+'Item Budget'!$R$9*AF90+IFERROR(INDEX('Item Budget'!$O$25:$O$95,MATCH(AL90,'Item Budget'!$B$25:$B$95,0)),0),0)</f>
        <v/>
      </c>
      <c r="BA90" s="44">
        <f>IF(AND(OR($E90="All",ISNUMBER(SEARCH("Priest",$E90))),AC90&gt;='Item Budget'!$R$10),'Item Budget'!$R$7*100*('Item Budget'!$R$17*(AD90+25*AH90)+'Item Budget'!$S$17*(AE90+25*AJ90))/'Item Budget'!$Z$17+'Item Budget'!$R$9*AF90+IFERROR(INDEX('Item Budget'!$O$25:$O$95,MATCH(AL90,'Item Budget'!$B$25:$B$95,0)),0),0)</f>
        <v/>
      </c>
      <c r="BB90" s="52">
        <f>IF(OR($I90&lt;1,IF($I90&gt;=6,AX90,AT90)&lt;=0),"",IF(SUMPRODUCT(MAX(($C$5:$C$215=$C90)*($I$5:$I$215&gt;=1)*($I$5:$I$215&lt;$I90)*IF($I90&gt;=6,$AX$5:$AX$215,$AT$5:$AT$215)))&lt;=0,"",SUMPRODUCT(MAX(($C$5:$C$215=$C90)*($I$5:$I$215=$I90)*IF($I90&gt;=6,$AX$5:$AX$215,$AT$5:$AT$215)))/SUMPRODUCT(MAX(($C$5:$C$215=$C90)*($I$5:$I$215&gt;=1)*($I$5:$I$215&lt;$I90)*IF($I90&gt;=6,$AX$5:$AX$215,$AT$5:$AT$215)))-1))</f>
        <v/>
      </c>
      <c r="BC90" s="52">
        <f>IF(OR($I90&lt;1,IF($I90&gt;=6,AY90,AU90)&lt;=0),"",IF(SUMPRODUCT(MAX(($C$5:$C$215=$C90)*($I$5:$I$215&gt;=1)*($I$5:$I$215&lt;$I90)*IF($I90&gt;=6,$AY$5:$AY$215,$AU$5:$AU$215)))&lt;=0,"",SUMPRODUCT(MAX(($C$5:$C$215=$C90)*($I$5:$I$215=$I90)*IF($I90&gt;=6,$AY$5:$AY$215,$AU$5:$AU$215)))/SUMPRODUCT(MAX(($C$5:$C$215=$C90)*($I$5:$I$215&gt;=1)*($I$5:$I$215&lt;$I90)*IF($I90&gt;=6,$AY$5:$AY$215,$AU$5:$AU$215)))-1))</f>
        <v/>
      </c>
      <c r="BD90" s="52">
        <f>IF(OR($I90&lt;1,IF($I90&gt;=6,AZ90,AV90)&lt;=0),"",IF(SUMPRODUCT(MAX(($C$5:$C$215=$C90)*($I$5:$I$215&gt;=1)*($I$5:$I$215&lt;$I90)*IF($I90&gt;=6,$AZ$5:$AZ$215,$AV$5:$AV$215)))&lt;=0,"",SUMPRODUCT(MAX(($C$5:$C$215=$C90)*($I$5:$I$215=$I90)*IF($I90&gt;=6,$AZ$5:$AZ$215,$AV$5:$AV$215)))/SUMPRODUCT(MAX(($C$5:$C$215=$C90)*($I$5:$I$215&gt;=1)*($I$5:$I$215&lt;$I90)*IF($I90&gt;=6,$AZ$5:$AZ$215,$AV$5:$AV$215)))-1))</f>
        <v/>
      </c>
      <c r="BE90" s="52">
        <f>IF(OR($I90&lt;1,IF($I90&gt;=6,BA90,AW90)&lt;=0),"",IF(SUMPRODUCT(MAX(($C$5:$C$215=$C90)*($I$5:$I$215&gt;=1)*($I$5:$I$215&lt;$I90)*IF($I90&gt;=6,$BA$5:$BA$215,$AW$5:$AW$215)))&lt;=0,"",SUMPRODUCT(MAX(($C$5:$C$215=$C90)*($I$5:$I$215=$I90)*IF($I90&gt;=6,$BA$5:$BA$215,$AW$5:$AW$215)))/SUMPRODUCT(MAX(($C$5:$C$215=$C90)*($I$5:$I$215&gt;=1)*($I$5:$I$215&lt;$I90)*IF($I90&gt;=6,$BA$5:$BA$215,$AW$5:$AW$215)))-1))</f>
        <v/>
      </c>
      <c r="BF90" s="19">
        <f>IF(AND(BB90="",BC90="",BD90="",BE90=""),"",IF(IF(AND(ISNUMBER(BB90),BB90&lt;'Item Budget'!$R$11),"W ","")&amp;IF(AND(ISNUMBER(BC90),BC90&lt;'Item Budget'!$R$11),"R ","")&amp;IF(AND(ISNUMBER(BD90),BD90&lt;'Item Budget'!$R$11),"M ","")&amp;IF(AND(ISNUMBER(BE90),BE90&lt;'Item Budget'!$R$11),"P ","")="","OK","Not above lower step: "&amp;IF(AND(ISNUMBER(BB90),BB90&lt;'Item Budget'!$R$11),"W ","")&amp;IF(AND(ISNUMBER(BC90),BC90&lt;'Item Budget'!$R$11),"R ","")&amp;IF(AND(ISNUMBER(BD90),BD90&lt;'Item Budget'!$R$11),"M ","")&amp;IF(AND(ISNUMBER(BE90),BE90&lt;'Item Budget'!$R$11),"P ","")))</f>
        <v/>
      </c>
    </row>
    <row r="91">
      <c r="A91" s="21" t="n">
        <v>111</v>
      </c>
      <c r="B91" s="21" t="inlineStr">
        <is>
          <t>Leather Leggings</t>
        </is>
      </c>
      <c r="C91" s="21" t="inlineStr">
        <is>
          <t>Pants</t>
        </is>
      </c>
      <c r="D91" s="21" t="inlineStr">
        <is>
          <t>All</t>
        </is>
      </c>
      <c r="E91" s="21" t="inlineStr">
        <is>
          <t>All</t>
        </is>
      </c>
      <c r="F91" s="21" t="inlineStr">
        <is>
          <t>Warrior plate</t>
        </is>
      </c>
      <c r="G91" s="21" t="inlineStr">
        <is>
          <t>vendor: Leather Armor Guy</t>
        </is>
      </c>
      <c r="H91" s="37" t="n">
        <v>0</v>
      </c>
      <c r="I91" s="21" t="n">
        <v>0</v>
      </c>
      <c r="J91" s="3" t="inlineStr">
        <is>
          <t>Applied</t>
        </is>
      </c>
      <c r="K91" s="21" t="inlineStr">
        <is>
          <t>Vendor</t>
        </is>
      </c>
      <c r="L91" s="31">
        <f>INDEX('Item Budget'!$F$5:$F$13,MATCH(K91,'Item Budget'!$E$5:$E$13,0))+IF(E91="All",0,'Item Budget'!$F$15)+LOOKUP(H91,'Item Budget'!$E$19:$E$23,'Item Budget'!$F$19:$F$23)</f>
        <v/>
      </c>
      <c r="M91" s="21" t="n">
        <v>10</v>
      </c>
      <c r="N91" s="21" t="n">
        <v>25</v>
      </c>
      <c r="O91" s="21" t="n">
        <v>10</v>
      </c>
      <c r="P91" s="21" t="n">
        <v>12</v>
      </c>
      <c r="Q91" s="21" t="n">
        <v>1</v>
      </c>
      <c r="R91" s="21" t="n">
        <v>2</v>
      </c>
      <c r="S91" s="21" t="n">
        <v>0</v>
      </c>
      <c r="T91" s="21" t="n">
        <v>1</v>
      </c>
      <c r="U91" s="21" t="n">
        <v>0</v>
      </c>
      <c r="V91" s="21" t="inlineStr">
        <is>
          <t>(none)</t>
        </is>
      </c>
      <c r="W91" s="61">
        <f>N91*'Item Budget'!$B$5+R91*'Item Budget'!$B$7+P91*'Item Budget'!$B$11+S91*'Item Budget'!$B$10+Q91*'Item Budget'!$B$9+IFERROR(INDEX('Item Budget'!$M$25:$M$95,MATCH(V91,'Item Budget'!$B$25:$B$95,0)),0)+IF($C91="Weapon",U91*'Item Budget'!$B$9,0)</f>
        <v/>
      </c>
      <c r="X91" s="61">
        <f>N91*'Item Budget'!$B$5+R91*'Item Budget'!$B$7+P91*'Item Budget'!$B$11+S91*'Item Budget'!$B$10+O91*'Item Budget'!$B$6+T91*'Item Budget'!$B$8+IFERROR(INDEX('Item Budget'!$N$25:$N$95,MATCH(V91,'Item Budget'!$B$25:$B$95,0)),0)</f>
        <v/>
      </c>
      <c r="Y91" s="61">
        <f>MAX('Item Budget'!$F$16,INDEX('Gear Budget'!$C$8:$C$14,MATCH($C91,'Gear Budget'!$A$8:$A$14,0))*MIN(M91,50))*$L91</f>
        <v/>
      </c>
      <c r="Z91" s="41">
        <f>IF($C91="Caster weapon",X91,MAX(W91,X91))/Y91</f>
        <v/>
      </c>
      <c r="AA91" s="61">
        <f>IF(OR($C91="Weapon",$C91="Caster weapon"),"",'Gear Budget'!$B$5*MAX(1,MIN(M91,50))*INDEX('Gear Budget'!$B$8:$B$14,MATCH($C91,'Gear Budget'!$A$8:$A$14,0))*IF($C91="Shield",IF(D91="Warrior",1,IF(OR(D91="Rogue",D91="All"),0.38/0.6,0.25/0.6)),IFERROR(INDEX('Gear Budget'!$B$18:$B$21,MATCH($F91,'Gear Budget'!$A$18:$A$21,0)),1)))</f>
        <v/>
      </c>
      <c r="AB91" s="41">
        <f>IF(AA91="","",P91/AA91)</f>
        <v/>
      </c>
      <c r="AC91" s="21" t="n">
        <v>10</v>
      </c>
      <c r="AD91" s="21" t="n">
        <v>25</v>
      </c>
      <c r="AE91" s="21" t="n">
        <v>10</v>
      </c>
      <c r="AF91" s="21" t="n">
        <v>12</v>
      </c>
      <c r="AG91" s="21" t="n">
        <v>1</v>
      </c>
      <c r="AH91" s="21" t="n">
        <v>2</v>
      </c>
      <c r="AI91" s="21" t="n">
        <v>0</v>
      </c>
      <c r="AJ91" s="21" t="n">
        <v>1</v>
      </c>
      <c r="AK91" s="21" t="n">
        <v>0</v>
      </c>
      <c r="AL91" s="21" t="inlineStr">
        <is>
          <t>(none)</t>
        </is>
      </c>
      <c r="AM91" s="61">
        <f>AD91*'Item Budget'!$B$5+AH91*'Item Budget'!$B$7+AF91*'Item Budget'!$B$11+AI91*'Item Budget'!$B$10+AG91*'Item Budget'!$B$9+IFERROR(INDEX('Item Budget'!$M$25:$M$95,MATCH(AL91,'Item Budget'!$B$25:$B$95,0)),0)+IF($C91="Weapon",AK91*'Item Budget'!$B$9,0)</f>
        <v/>
      </c>
      <c r="AN91" s="61">
        <f>AD91*'Item Budget'!$B$5+AH91*'Item Budget'!$B$7+AF91*'Item Budget'!$B$11+AI91*'Item Budget'!$B$10+AE91*'Item Budget'!$B$6+AJ91*'Item Budget'!$B$8+IFERROR(INDEX('Item Budget'!$N$25:$N$95,MATCH(AL91,'Item Budget'!$B$25:$B$95,0)),0)</f>
        <v/>
      </c>
      <c r="AO91" s="61">
        <f>MAX('Item Budget'!$F$16,INDEX('Gear Budget'!$C$8:$C$14,MATCH($C91,'Gear Budget'!$A$8:$A$14,0))*MIN(AC91,50))*$L91</f>
        <v/>
      </c>
      <c r="AP91" s="41">
        <f>IF($C91="Caster weapon",AN91,MAX(AM91,AN91))/AO91</f>
        <v/>
      </c>
      <c r="AQ91" s="61">
        <f>IF(OR($C91="Weapon",$C91="Caster weapon"),"",'Gear Budget'!$B$5*MAX(1,MIN(AC91,50))*INDEX('Gear Budget'!$B$8:$B$14,MATCH($C91,'Gear Budget'!$A$8:$A$14,0))*IF($C91="Shield",IF(E91="Warrior",1,IF(OR(E91="Rogue",E91="All"),0.38/0.6,0.25/0.6)),IFERROR(INDEX('Gear Budget'!$B$18:$B$21,MATCH($F91,'Gear Budget'!$A$18:$A$21,0)),1)))</f>
        <v/>
      </c>
      <c r="AR91" s="41">
        <f>IF(AQ91="","",AF91/AQ91)</f>
        <v/>
      </c>
      <c r="AS91" s="64" t="inlineStr">
        <is>
          <t>Pass 1 (applied): All classes. AC 9 -&gt; 12 (legs share of the set).</t>
        </is>
      </c>
      <c r="AT91" s="44">
        <f>IF(OR($E91="All",ISNUMBER(SEARCH("Warrior",$E91))),IF($C91="Caster weapon",(AN91+AF91*('Item Budget'!$AB$14-'Item Budget'!$B$11)),(AM91+AF91*('Item Budget'!$AB$14-'Item Budget'!$B$11))),0)</f>
        <v/>
      </c>
      <c r="AU91" s="44">
        <f>IF(OR($E91="All",ISNUMBER(SEARCH("Rogue",$E91))),IF($C91="Caster weapon",(AN91+AF91*('Item Budget'!$AB$15-'Item Budget'!$B$11)),(AM91+AF91*('Item Budget'!$AB$15-'Item Budget'!$B$11))),0)</f>
        <v/>
      </c>
      <c r="AV91" s="44">
        <f>IF(OR($E91="All",ISNUMBER(SEARCH("Magus",$E91))),(AN91+AF91*('Item Budget'!$AB$16-'Item Budget'!$B$11)),0)</f>
        <v/>
      </c>
      <c r="AW91" s="44">
        <f>IF(OR($E91="All",ISNUMBER(SEARCH("Priest",$E91))),(AN91+AF91*('Item Budget'!$AB$17-'Item Budget'!$B$11)),0)</f>
        <v/>
      </c>
      <c r="AX91" s="44">
        <f>IF(AND(OR($E91="All",ISNUMBER(SEARCH("Warrior",$E91))),AC91&gt;='Item Budget'!$R$10),'Item Budget'!$R$7*100*('Item Budget'!$R$14*(AD91+25*AH91)+'Item Budget'!$S$14*(AE91+25*AJ91))/'Item Budget'!$Z$14+'Item Budget'!$R$9*AF91+IFERROR(INDEX('Item Budget'!$O$25:$O$95,MATCH(AL91,'Item Budget'!$B$25:$B$95,0)),0),0)</f>
        <v/>
      </c>
      <c r="AY91" s="44">
        <f>IF(AND(OR($E91="All",ISNUMBER(SEARCH("Rogue",$E91))),AC91&gt;='Item Budget'!$R$10),'Item Budget'!$R$7*100*('Item Budget'!$R$15*(AD91+25*AH91)+'Item Budget'!$S$15*(AE91+25*AJ91))/'Item Budget'!$Z$15+'Item Budget'!$R$9*AF91+IFERROR(INDEX('Item Budget'!$O$25:$O$95,MATCH(AL91,'Item Budget'!$B$25:$B$95,0)),0),0)</f>
        <v/>
      </c>
      <c r="AZ91" s="44">
        <f>IF(AND(OR($E91="All",ISNUMBER(SEARCH("Magus",$E91))),AC91&gt;='Item Budget'!$R$10),'Item Budget'!$R$7*100*('Item Budget'!$R$16*(AD91+25*AH91)+'Item Budget'!$S$16*(AE91+25*AJ91))/'Item Budget'!$Z$16+'Item Budget'!$R$9*AF91+IFERROR(INDEX('Item Budget'!$O$25:$O$95,MATCH(AL91,'Item Budget'!$B$25:$B$95,0)),0),0)</f>
        <v/>
      </c>
      <c r="BA91" s="44">
        <f>IF(AND(OR($E91="All",ISNUMBER(SEARCH("Priest",$E91))),AC91&gt;='Item Budget'!$R$10),'Item Budget'!$R$7*100*('Item Budget'!$R$17*(AD91+25*AH91)+'Item Budget'!$S$17*(AE91+25*AJ91))/'Item Budget'!$Z$17+'Item Budget'!$R$9*AF91+IFERROR(INDEX('Item Budget'!$O$25:$O$95,MATCH(AL91,'Item Budget'!$B$25:$B$95,0)),0),0)</f>
        <v/>
      </c>
      <c r="BB91" s="52">
        <f>IF(OR($I91&lt;1,IF($I91&gt;=6,AX91,AT91)&lt;=0),"",IF(SUMPRODUCT(MAX(($C$5:$C$215=$C91)*($I$5:$I$215&gt;=1)*($I$5:$I$215&lt;$I91)*IF($I91&gt;=6,$AX$5:$AX$215,$AT$5:$AT$215)))&lt;=0,"",SUMPRODUCT(MAX(($C$5:$C$215=$C91)*($I$5:$I$215=$I91)*IF($I91&gt;=6,$AX$5:$AX$215,$AT$5:$AT$215)))/SUMPRODUCT(MAX(($C$5:$C$215=$C91)*($I$5:$I$215&gt;=1)*($I$5:$I$215&lt;$I91)*IF($I91&gt;=6,$AX$5:$AX$215,$AT$5:$AT$215)))-1))</f>
        <v/>
      </c>
      <c r="BC91" s="52">
        <f>IF(OR($I91&lt;1,IF($I91&gt;=6,AY91,AU91)&lt;=0),"",IF(SUMPRODUCT(MAX(($C$5:$C$215=$C91)*($I$5:$I$215&gt;=1)*($I$5:$I$215&lt;$I91)*IF($I91&gt;=6,$AY$5:$AY$215,$AU$5:$AU$215)))&lt;=0,"",SUMPRODUCT(MAX(($C$5:$C$215=$C91)*($I$5:$I$215=$I91)*IF($I91&gt;=6,$AY$5:$AY$215,$AU$5:$AU$215)))/SUMPRODUCT(MAX(($C$5:$C$215=$C91)*($I$5:$I$215&gt;=1)*($I$5:$I$215&lt;$I91)*IF($I91&gt;=6,$AY$5:$AY$215,$AU$5:$AU$215)))-1))</f>
        <v/>
      </c>
      <c r="BD91" s="52">
        <f>IF(OR($I91&lt;1,IF($I91&gt;=6,AZ91,AV91)&lt;=0),"",IF(SUMPRODUCT(MAX(($C$5:$C$215=$C91)*($I$5:$I$215&gt;=1)*($I$5:$I$215&lt;$I91)*IF($I91&gt;=6,$AZ$5:$AZ$215,$AV$5:$AV$215)))&lt;=0,"",SUMPRODUCT(MAX(($C$5:$C$215=$C91)*($I$5:$I$215=$I91)*IF($I91&gt;=6,$AZ$5:$AZ$215,$AV$5:$AV$215)))/SUMPRODUCT(MAX(($C$5:$C$215=$C91)*($I$5:$I$215&gt;=1)*($I$5:$I$215&lt;$I91)*IF($I91&gt;=6,$AZ$5:$AZ$215,$AV$5:$AV$215)))-1))</f>
        <v/>
      </c>
      <c r="BE91" s="52">
        <f>IF(OR($I91&lt;1,IF($I91&gt;=6,BA91,AW91)&lt;=0),"",IF(SUMPRODUCT(MAX(($C$5:$C$215=$C91)*($I$5:$I$215&gt;=1)*($I$5:$I$215&lt;$I91)*IF($I91&gt;=6,$BA$5:$BA$215,$AW$5:$AW$215)))&lt;=0,"",SUMPRODUCT(MAX(($C$5:$C$215=$C91)*($I$5:$I$215=$I91)*IF($I91&gt;=6,$BA$5:$BA$215,$AW$5:$AW$215)))/SUMPRODUCT(MAX(($C$5:$C$215=$C91)*($I$5:$I$215&gt;=1)*($I$5:$I$215&lt;$I91)*IF($I91&gt;=6,$BA$5:$BA$215,$AW$5:$AW$215)))-1))</f>
        <v/>
      </c>
      <c r="BF91" s="19">
        <f>IF(AND(BB91="",BC91="",BD91="",BE91=""),"",IF(IF(AND(ISNUMBER(BB91),BB91&lt;'Item Budget'!$R$11),"W ","")&amp;IF(AND(ISNUMBER(BC91),BC91&lt;'Item Budget'!$R$11),"R ","")&amp;IF(AND(ISNUMBER(BD91),BD91&lt;'Item Budget'!$R$11),"M ","")&amp;IF(AND(ISNUMBER(BE91),BE91&lt;'Item Budget'!$R$11),"P ","")="","OK","Not above lower step: "&amp;IF(AND(ISNUMBER(BB91),BB91&lt;'Item Budget'!$R$11),"W ","")&amp;IF(AND(ISNUMBER(BC91),BC91&lt;'Item Budget'!$R$11),"R ","")&amp;IF(AND(ISNUMBER(BD91),BD91&lt;'Item Budget'!$R$11),"M ","")&amp;IF(AND(ISNUMBER(BE91),BE91&lt;'Item Budget'!$R$11),"P ","")))</f>
        <v/>
      </c>
    </row>
    <row r="92">
      <c r="A92" s="21" t="n">
        <v>106</v>
      </c>
      <c r="B92" s="21" t="inlineStr">
        <is>
          <t>Bronze Legplates</t>
        </is>
      </c>
      <c r="C92" s="21" t="inlineStr">
        <is>
          <t>Pants</t>
        </is>
      </c>
      <c r="D92" s="21" t="inlineStr">
        <is>
          <t>Rogue/Warrior</t>
        </is>
      </c>
      <c r="E92" s="21" t="inlineStr">
        <is>
          <t>Rogue/Warrior</t>
        </is>
      </c>
      <c r="F92" s="21" t="inlineStr">
        <is>
          <t>Warrior plate</t>
        </is>
      </c>
      <c r="G92" s="21" t="inlineStr">
        <is>
          <t>vendor: Bronze Armor Guy</t>
        </is>
      </c>
      <c r="H92" s="37" t="n">
        <v>0</v>
      </c>
      <c r="I92" s="21" t="n">
        <v>0</v>
      </c>
      <c r="J92" s="3" t="inlineStr">
        <is>
          <t>Applied</t>
        </is>
      </c>
      <c r="K92" s="21" t="inlineStr">
        <is>
          <t>Vendor</t>
        </is>
      </c>
      <c r="L92" s="31">
        <f>INDEX('Item Budget'!$F$5:$F$13,MATCH(K92,'Item Budget'!$E$5:$E$13,0))+IF(E92="All",0,'Item Budget'!$F$15)+LOOKUP(H92,'Item Budget'!$E$19:$E$23,'Item Budget'!$F$19:$F$23)</f>
        <v/>
      </c>
      <c r="M92" s="21" t="n">
        <v>20</v>
      </c>
      <c r="N92" s="21" t="n">
        <v>25</v>
      </c>
      <c r="O92" s="21" t="n">
        <v>0</v>
      </c>
      <c r="P92" s="21" t="n">
        <v>22</v>
      </c>
      <c r="Q92" s="21" t="n">
        <v>3</v>
      </c>
      <c r="R92" s="21" t="n">
        <v>3</v>
      </c>
      <c r="S92" s="21" t="n">
        <v>0</v>
      </c>
      <c r="T92" s="21" t="n">
        <v>0</v>
      </c>
      <c r="U92" s="21" t="n">
        <v>0</v>
      </c>
      <c r="V92" s="21" t="inlineStr">
        <is>
          <t>(none)</t>
        </is>
      </c>
      <c r="W92" s="61">
        <f>N92*'Item Budget'!$B$5+R92*'Item Budget'!$B$7+P92*'Item Budget'!$B$11+S92*'Item Budget'!$B$10+Q92*'Item Budget'!$B$9+IFERROR(INDEX('Item Budget'!$M$25:$M$95,MATCH(V92,'Item Budget'!$B$25:$B$95,0)),0)+IF($C92="Weapon",U92*'Item Budget'!$B$9,0)</f>
        <v/>
      </c>
      <c r="X92" s="61">
        <f>N92*'Item Budget'!$B$5+R92*'Item Budget'!$B$7+P92*'Item Budget'!$B$11+S92*'Item Budget'!$B$10+O92*'Item Budget'!$B$6+T92*'Item Budget'!$B$8+IFERROR(INDEX('Item Budget'!$N$25:$N$95,MATCH(V92,'Item Budget'!$B$25:$B$95,0)),0)</f>
        <v/>
      </c>
      <c r="Y92" s="61">
        <f>MAX('Item Budget'!$F$16,INDEX('Gear Budget'!$C$8:$C$14,MATCH($C92,'Gear Budget'!$A$8:$A$14,0))*MIN(M92,50))*$L92</f>
        <v/>
      </c>
      <c r="Z92" s="41">
        <f>IF($C92="Caster weapon",X92,MAX(W92,X92))/Y92</f>
        <v/>
      </c>
      <c r="AA92" s="61">
        <f>IF(OR($C92="Weapon",$C92="Caster weapon"),"",'Gear Budget'!$B$5*MAX(1,MIN(M92,50))*INDEX('Gear Budget'!$B$8:$B$14,MATCH($C92,'Gear Budget'!$A$8:$A$14,0))*IF($C92="Shield",IF(D92="Warrior",1,IF(OR(D92="Rogue",D92="All"),0.38/0.6,0.25/0.6)),IFERROR(INDEX('Gear Budget'!$B$18:$B$21,MATCH($F92,'Gear Budget'!$A$18:$A$21,0)),1)))</f>
        <v/>
      </c>
      <c r="AB92" s="41">
        <f>IF(AA92="","",P92/AA92)</f>
        <v/>
      </c>
      <c r="AC92" s="21" t="n">
        <v>20</v>
      </c>
      <c r="AD92" s="21" t="n">
        <v>25</v>
      </c>
      <c r="AE92" s="21" t="n">
        <v>0</v>
      </c>
      <c r="AF92" s="21" t="n">
        <v>22</v>
      </c>
      <c r="AG92" s="21" t="n">
        <v>3</v>
      </c>
      <c r="AH92" s="21" t="n">
        <v>3</v>
      </c>
      <c r="AI92" s="21" t="n">
        <v>0</v>
      </c>
      <c r="AJ92" s="21" t="n">
        <v>0</v>
      </c>
      <c r="AK92" s="21" t="n">
        <v>0</v>
      </c>
      <c r="AL92" s="21" t="inlineStr">
        <is>
          <t>(none)</t>
        </is>
      </c>
      <c r="AM92" s="61">
        <f>AD92*'Item Budget'!$B$5+AH92*'Item Budget'!$B$7+AF92*'Item Budget'!$B$11+AI92*'Item Budget'!$B$10+AG92*'Item Budget'!$B$9+IFERROR(INDEX('Item Budget'!$M$25:$M$95,MATCH(AL92,'Item Budget'!$B$25:$B$95,0)),0)+IF($C92="Weapon",AK92*'Item Budget'!$B$9,0)</f>
        <v/>
      </c>
      <c r="AN92" s="61">
        <f>AD92*'Item Budget'!$B$5+AH92*'Item Budget'!$B$7+AF92*'Item Budget'!$B$11+AI92*'Item Budget'!$B$10+AE92*'Item Budget'!$B$6+AJ92*'Item Budget'!$B$8+IFERROR(INDEX('Item Budget'!$N$25:$N$95,MATCH(AL92,'Item Budget'!$B$25:$B$95,0)),0)</f>
        <v/>
      </c>
      <c r="AO92" s="61">
        <f>MAX('Item Budget'!$F$16,INDEX('Gear Budget'!$C$8:$C$14,MATCH($C92,'Gear Budget'!$A$8:$A$14,0))*MIN(AC92,50))*$L92</f>
        <v/>
      </c>
      <c r="AP92" s="41">
        <f>IF($C92="Caster weapon",AN92,MAX(AM92,AN92))/AO92</f>
        <v/>
      </c>
      <c r="AQ92" s="61">
        <f>IF(OR($C92="Weapon",$C92="Caster weapon"),"",'Gear Budget'!$B$5*MAX(1,MIN(AC92,50))*INDEX('Gear Budget'!$B$8:$B$14,MATCH($C92,'Gear Budget'!$A$8:$A$14,0))*IF($C92="Shield",IF(E92="Warrior",1,IF(OR(E92="Rogue",E92="All"),0.38/0.6,0.25/0.6)),IFERROR(INDEX('Gear Budget'!$B$18:$B$21,MATCH($F92,'Gear Budget'!$A$18:$A$21,0)),1)))</f>
        <v/>
      </c>
      <c r="AR92" s="41">
        <f>IF(AQ92="","",AF92/AQ92)</f>
        <v/>
      </c>
      <c r="AS92" s="64" t="inlineStr">
        <is>
          <t>Pass 1 (applied): Moved to L20.</t>
        </is>
      </c>
      <c r="AT92" s="44">
        <f>IF(OR($E92="All",ISNUMBER(SEARCH("Warrior",$E92))),IF($C92="Caster weapon",(AN92+AF92*('Item Budget'!$AB$14-'Item Budget'!$B$11)),(AM92+AF92*('Item Budget'!$AB$14-'Item Budget'!$B$11))),0)</f>
        <v/>
      </c>
      <c r="AU92" s="44">
        <f>IF(OR($E92="All",ISNUMBER(SEARCH("Rogue",$E92))),IF($C92="Caster weapon",(AN92+AF92*('Item Budget'!$AB$15-'Item Budget'!$B$11)),(AM92+AF92*('Item Budget'!$AB$15-'Item Budget'!$B$11))),0)</f>
        <v/>
      </c>
      <c r="AV92" s="44">
        <f>IF(OR($E92="All",ISNUMBER(SEARCH("Magus",$E92))),(AN92+AF92*('Item Budget'!$AB$16-'Item Budget'!$B$11)),0)</f>
        <v/>
      </c>
      <c r="AW92" s="44">
        <f>IF(OR($E92="All",ISNUMBER(SEARCH("Priest",$E92))),(AN92+AF92*('Item Budget'!$AB$17-'Item Budget'!$B$11)),0)</f>
        <v/>
      </c>
      <c r="AX92" s="44">
        <f>IF(AND(OR($E92="All",ISNUMBER(SEARCH("Warrior",$E92))),AC92&gt;='Item Budget'!$R$10),'Item Budget'!$R$7*100*('Item Budget'!$R$14*(AD92+25*AH92)+'Item Budget'!$S$14*(AE92+25*AJ92))/'Item Budget'!$Z$14+'Item Budget'!$R$9*AF92+IFERROR(INDEX('Item Budget'!$O$25:$O$95,MATCH(AL92,'Item Budget'!$B$25:$B$95,0)),0),0)</f>
        <v/>
      </c>
      <c r="AY92" s="44">
        <f>IF(AND(OR($E92="All",ISNUMBER(SEARCH("Rogue",$E92))),AC92&gt;='Item Budget'!$R$10),'Item Budget'!$R$7*100*('Item Budget'!$R$15*(AD92+25*AH92)+'Item Budget'!$S$15*(AE92+25*AJ92))/'Item Budget'!$Z$15+'Item Budget'!$R$9*AF92+IFERROR(INDEX('Item Budget'!$O$25:$O$95,MATCH(AL92,'Item Budget'!$B$25:$B$95,0)),0),0)</f>
        <v/>
      </c>
      <c r="AZ92" s="44">
        <f>IF(AND(OR($E92="All",ISNUMBER(SEARCH("Magus",$E92))),AC92&gt;='Item Budget'!$R$10),'Item Budget'!$R$7*100*('Item Budget'!$R$16*(AD92+25*AH92)+'Item Budget'!$S$16*(AE92+25*AJ92))/'Item Budget'!$Z$16+'Item Budget'!$R$9*AF92+IFERROR(INDEX('Item Budget'!$O$25:$O$95,MATCH(AL92,'Item Budget'!$B$25:$B$95,0)),0),0)</f>
        <v/>
      </c>
      <c r="BA92" s="44">
        <f>IF(AND(OR($E92="All",ISNUMBER(SEARCH("Priest",$E92))),AC92&gt;='Item Budget'!$R$10),'Item Budget'!$R$7*100*('Item Budget'!$R$17*(AD92+25*AH92)+'Item Budget'!$S$17*(AE92+25*AJ92))/'Item Budget'!$Z$17+'Item Budget'!$R$9*AF92+IFERROR(INDEX('Item Budget'!$O$25:$O$95,MATCH(AL92,'Item Budget'!$B$25:$B$95,0)),0),0)</f>
        <v/>
      </c>
      <c r="BB92" s="52">
        <f>IF(OR($I92&lt;1,IF($I92&gt;=6,AX92,AT92)&lt;=0),"",IF(SUMPRODUCT(MAX(($C$5:$C$215=$C92)*($I$5:$I$215&gt;=1)*($I$5:$I$215&lt;$I92)*IF($I92&gt;=6,$AX$5:$AX$215,$AT$5:$AT$215)))&lt;=0,"",SUMPRODUCT(MAX(($C$5:$C$215=$C92)*($I$5:$I$215=$I92)*IF($I92&gt;=6,$AX$5:$AX$215,$AT$5:$AT$215)))/SUMPRODUCT(MAX(($C$5:$C$215=$C92)*($I$5:$I$215&gt;=1)*($I$5:$I$215&lt;$I92)*IF($I92&gt;=6,$AX$5:$AX$215,$AT$5:$AT$215)))-1))</f>
        <v/>
      </c>
      <c r="BC92" s="52">
        <f>IF(OR($I92&lt;1,IF($I92&gt;=6,AY92,AU92)&lt;=0),"",IF(SUMPRODUCT(MAX(($C$5:$C$215=$C92)*($I$5:$I$215&gt;=1)*($I$5:$I$215&lt;$I92)*IF($I92&gt;=6,$AY$5:$AY$215,$AU$5:$AU$215)))&lt;=0,"",SUMPRODUCT(MAX(($C$5:$C$215=$C92)*($I$5:$I$215=$I92)*IF($I92&gt;=6,$AY$5:$AY$215,$AU$5:$AU$215)))/SUMPRODUCT(MAX(($C$5:$C$215=$C92)*($I$5:$I$215&gt;=1)*($I$5:$I$215&lt;$I92)*IF($I92&gt;=6,$AY$5:$AY$215,$AU$5:$AU$215)))-1))</f>
        <v/>
      </c>
      <c r="BD92" s="52">
        <f>IF(OR($I92&lt;1,IF($I92&gt;=6,AZ92,AV92)&lt;=0),"",IF(SUMPRODUCT(MAX(($C$5:$C$215=$C92)*($I$5:$I$215&gt;=1)*($I$5:$I$215&lt;$I92)*IF($I92&gt;=6,$AZ$5:$AZ$215,$AV$5:$AV$215)))&lt;=0,"",SUMPRODUCT(MAX(($C$5:$C$215=$C92)*($I$5:$I$215=$I92)*IF($I92&gt;=6,$AZ$5:$AZ$215,$AV$5:$AV$215)))/SUMPRODUCT(MAX(($C$5:$C$215=$C92)*($I$5:$I$215&gt;=1)*($I$5:$I$215&lt;$I92)*IF($I92&gt;=6,$AZ$5:$AZ$215,$AV$5:$AV$215)))-1))</f>
        <v/>
      </c>
      <c r="BE92" s="52">
        <f>IF(OR($I92&lt;1,IF($I92&gt;=6,BA92,AW92)&lt;=0),"",IF(SUMPRODUCT(MAX(($C$5:$C$215=$C92)*($I$5:$I$215&gt;=1)*($I$5:$I$215&lt;$I92)*IF($I92&gt;=6,$BA$5:$BA$215,$AW$5:$AW$215)))&lt;=0,"",SUMPRODUCT(MAX(($C$5:$C$215=$C92)*($I$5:$I$215=$I92)*IF($I92&gt;=6,$BA$5:$BA$215,$AW$5:$AW$215)))/SUMPRODUCT(MAX(($C$5:$C$215=$C92)*($I$5:$I$215&gt;=1)*($I$5:$I$215&lt;$I92)*IF($I92&gt;=6,$BA$5:$BA$215,$AW$5:$AW$215)))-1))</f>
        <v/>
      </c>
      <c r="BF92" s="19">
        <f>IF(AND(BB92="",BC92="",BD92="",BE92=""),"",IF(IF(AND(ISNUMBER(BB92),BB92&lt;'Item Budget'!$R$11),"W ","")&amp;IF(AND(ISNUMBER(BC92),BC92&lt;'Item Budget'!$R$11),"R ","")&amp;IF(AND(ISNUMBER(BD92),BD92&lt;'Item Budget'!$R$11),"M ","")&amp;IF(AND(ISNUMBER(BE92),BE92&lt;'Item Budget'!$R$11),"P ","")="","OK","Not above lower step: "&amp;IF(AND(ISNUMBER(BB92),BB92&lt;'Item Budget'!$R$11),"W ","")&amp;IF(AND(ISNUMBER(BC92),BC92&lt;'Item Budget'!$R$11),"R ","")&amp;IF(AND(ISNUMBER(BD92),BD92&lt;'Item Budget'!$R$11),"M ","")&amp;IF(AND(ISNUMBER(BE92),BE92&lt;'Item Budget'!$R$11),"P ","")))</f>
        <v/>
      </c>
    </row>
    <row r="93">
      <c r="A93" s="21" t="n">
        <v>113</v>
      </c>
      <c r="B93" s="21" t="inlineStr">
        <is>
          <t>Silk Leggings</t>
        </is>
      </c>
      <c r="C93" s="21" t="inlineStr">
        <is>
          <t>Pants</t>
        </is>
      </c>
      <c r="D93" s="21" t="inlineStr">
        <is>
          <t>Magus/Priest</t>
        </is>
      </c>
      <c r="E93" s="21" t="inlineStr">
        <is>
          <t>Magus/Priest</t>
        </is>
      </c>
      <c r="F93" s="21" t="inlineStr">
        <is>
          <t>Caster cloth</t>
        </is>
      </c>
      <c r="G93" s="21" t="inlineStr">
        <is>
          <t>vendor: Silk Armor Guy</t>
        </is>
      </c>
      <c r="H93" s="37" t="n">
        <v>0</v>
      </c>
      <c r="I93" s="21" t="n">
        <v>0</v>
      </c>
      <c r="J93" s="3" t="inlineStr">
        <is>
          <t>Applied</t>
        </is>
      </c>
      <c r="K93" s="21" t="inlineStr">
        <is>
          <t>Vendor</t>
        </is>
      </c>
      <c r="L93" s="31">
        <f>INDEX('Item Budget'!$F$5:$F$13,MATCH(K93,'Item Budget'!$E$5:$E$13,0))+IF(E93="All",0,'Item Budget'!$F$15)+LOOKUP(H93,'Item Budget'!$E$19:$E$23,'Item Budget'!$F$19:$F$23)</f>
        <v/>
      </c>
      <c r="M93" s="21" t="n">
        <v>20</v>
      </c>
      <c r="N93" s="21" t="n">
        <v>25</v>
      </c>
      <c r="O93" s="21" t="n">
        <v>75</v>
      </c>
      <c r="P93" s="21" t="n">
        <v>15</v>
      </c>
      <c r="Q93" s="21" t="n">
        <v>0</v>
      </c>
      <c r="R93" s="21" t="n">
        <v>4</v>
      </c>
      <c r="S93" s="21" t="n">
        <v>0</v>
      </c>
      <c r="T93" s="21" t="n">
        <v>6</v>
      </c>
      <c r="U93" s="21" t="n">
        <v>0</v>
      </c>
      <c r="V93" s="21" t="inlineStr">
        <is>
          <t>(none)</t>
        </is>
      </c>
      <c r="W93" s="61">
        <f>N93*'Item Budget'!$B$5+R93*'Item Budget'!$B$7+P93*'Item Budget'!$B$11+S93*'Item Budget'!$B$10+Q93*'Item Budget'!$B$9+IFERROR(INDEX('Item Budget'!$M$25:$M$95,MATCH(V93,'Item Budget'!$B$25:$B$95,0)),0)+IF($C93="Weapon",U93*'Item Budget'!$B$9,0)</f>
        <v/>
      </c>
      <c r="X93" s="61">
        <f>N93*'Item Budget'!$B$5+R93*'Item Budget'!$B$7+P93*'Item Budget'!$B$11+S93*'Item Budget'!$B$10+O93*'Item Budget'!$B$6+T93*'Item Budget'!$B$8+IFERROR(INDEX('Item Budget'!$N$25:$N$95,MATCH(V93,'Item Budget'!$B$25:$B$95,0)),0)</f>
        <v/>
      </c>
      <c r="Y93" s="61">
        <f>MAX('Item Budget'!$F$16,INDEX('Gear Budget'!$C$8:$C$14,MATCH($C93,'Gear Budget'!$A$8:$A$14,0))*MIN(M93,50))*$L93</f>
        <v/>
      </c>
      <c r="Z93" s="41">
        <f>IF($C93="Caster weapon",X93,MAX(W93,X93))/Y93</f>
        <v/>
      </c>
      <c r="AA93" s="61">
        <f>IF(OR($C93="Weapon",$C93="Caster weapon"),"",'Gear Budget'!$B$5*MAX(1,MIN(M93,50))*INDEX('Gear Budget'!$B$8:$B$14,MATCH($C93,'Gear Budget'!$A$8:$A$14,0))*IF($C93="Shield",IF(D93="Warrior",1,IF(OR(D93="Rogue",D93="All"),0.38/0.6,0.25/0.6)),IFERROR(INDEX('Gear Budget'!$B$18:$B$21,MATCH($F93,'Gear Budget'!$A$18:$A$21,0)),1)))</f>
        <v/>
      </c>
      <c r="AB93" s="41">
        <f>IF(AA93="","",P93/AA93)</f>
        <v/>
      </c>
      <c r="AC93" s="21" t="n">
        <v>20</v>
      </c>
      <c r="AD93" s="21" t="n">
        <v>25</v>
      </c>
      <c r="AE93" s="21" t="n">
        <v>75</v>
      </c>
      <c r="AF93" s="21" t="n">
        <v>15</v>
      </c>
      <c r="AG93" s="21" t="n">
        <v>0</v>
      </c>
      <c r="AH93" s="21" t="n">
        <v>4</v>
      </c>
      <c r="AI93" s="21" t="n">
        <v>0</v>
      </c>
      <c r="AJ93" s="21" t="n">
        <v>6</v>
      </c>
      <c r="AK93" s="21" t="n">
        <v>0</v>
      </c>
      <c r="AL93" s="21" t="inlineStr">
        <is>
          <t>(none)</t>
        </is>
      </c>
      <c r="AM93" s="61">
        <f>AD93*'Item Budget'!$B$5+AH93*'Item Budget'!$B$7+AF93*'Item Budget'!$B$11+AI93*'Item Budget'!$B$10+AG93*'Item Budget'!$B$9+IFERROR(INDEX('Item Budget'!$M$25:$M$95,MATCH(AL93,'Item Budget'!$B$25:$B$95,0)),0)+IF($C93="Weapon",AK93*'Item Budget'!$B$9,0)</f>
        <v/>
      </c>
      <c r="AN93" s="61">
        <f>AD93*'Item Budget'!$B$5+AH93*'Item Budget'!$B$7+AF93*'Item Budget'!$B$11+AI93*'Item Budget'!$B$10+AE93*'Item Budget'!$B$6+AJ93*'Item Budget'!$B$8+IFERROR(INDEX('Item Budget'!$N$25:$N$95,MATCH(AL93,'Item Budget'!$B$25:$B$95,0)),0)</f>
        <v/>
      </c>
      <c r="AO93" s="61">
        <f>MAX('Item Budget'!$F$16,INDEX('Gear Budget'!$C$8:$C$14,MATCH($C93,'Gear Budget'!$A$8:$A$14,0))*MIN(AC93,50))*$L93</f>
        <v/>
      </c>
      <c r="AP93" s="41">
        <f>IF($C93="Caster weapon",AN93,MAX(AM93,AN93))/AO93</f>
        <v/>
      </c>
      <c r="AQ93" s="61">
        <f>IF(OR($C93="Weapon",$C93="Caster weapon"),"",'Gear Budget'!$B$5*MAX(1,MIN(AC93,50))*INDEX('Gear Budget'!$B$8:$B$14,MATCH($C93,'Gear Budget'!$A$8:$A$14,0))*IF($C93="Shield",IF(E93="Warrior",1,IF(OR(E93="Rogue",E93="All"),0.38/0.6,0.25/0.6)),IFERROR(INDEX('Gear Budget'!$B$18:$B$21,MATCH($F93,'Gear Budget'!$A$18:$A$21,0)),1)))</f>
        <v/>
      </c>
      <c r="AR93" s="41">
        <f>IF(AQ93="","",AF93/AQ93)</f>
        <v/>
      </c>
      <c r="AS93" s="64" t="inlineStr">
        <is>
          <t>Pass 1 (applied): Caster L20 set.</t>
        </is>
      </c>
      <c r="AT93" s="44">
        <f>IF(OR($E93="All",ISNUMBER(SEARCH("Warrior",$E93))),IF($C93="Caster weapon",(AN93+AF93*('Item Budget'!$AB$14-'Item Budget'!$B$11)),(AM93+AF93*('Item Budget'!$AB$14-'Item Budget'!$B$11))),0)</f>
        <v/>
      </c>
      <c r="AU93" s="44">
        <f>IF(OR($E93="All",ISNUMBER(SEARCH("Rogue",$E93))),IF($C93="Caster weapon",(AN93+AF93*('Item Budget'!$AB$15-'Item Budget'!$B$11)),(AM93+AF93*('Item Budget'!$AB$15-'Item Budget'!$B$11))),0)</f>
        <v/>
      </c>
      <c r="AV93" s="44">
        <f>IF(OR($E93="All",ISNUMBER(SEARCH("Magus",$E93))),(AN93+AF93*('Item Budget'!$AB$16-'Item Budget'!$B$11)),0)</f>
        <v/>
      </c>
      <c r="AW93" s="44">
        <f>IF(OR($E93="All",ISNUMBER(SEARCH("Priest",$E93))),(AN93+AF93*('Item Budget'!$AB$17-'Item Budget'!$B$11)),0)</f>
        <v/>
      </c>
      <c r="AX93" s="44">
        <f>IF(AND(OR($E93="All",ISNUMBER(SEARCH("Warrior",$E93))),AC93&gt;='Item Budget'!$R$10),'Item Budget'!$R$7*100*('Item Budget'!$R$14*(AD93+25*AH93)+'Item Budget'!$S$14*(AE93+25*AJ93))/'Item Budget'!$Z$14+'Item Budget'!$R$9*AF93+IFERROR(INDEX('Item Budget'!$O$25:$O$95,MATCH(AL93,'Item Budget'!$B$25:$B$95,0)),0),0)</f>
        <v/>
      </c>
      <c r="AY93" s="44">
        <f>IF(AND(OR($E93="All",ISNUMBER(SEARCH("Rogue",$E93))),AC93&gt;='Item Budget'!$R$10),'Item Budget'!$R$7*100*('Item Budget'!$R$15*(AD93+25*AH93)+'Item Budget'!$S$15*(AE93+25*AJ93))/'Item Budget'!$Z$15+'Item Budget'!$R$9*AF93+IFERROR(INDEX('Item Budget'!$O$25:$O$95,MATCH(AL93,'Item Budget'!$B$25:$B$95,0)),0),0)</f>
        <v/>
      </c>
      <c r="AZ93" s="44">
        <f>IF(AND(OR($E93="All",ISNUMBER(SEARCH("Magus",$E93))),AC93&gt;='Item Budget'!$R$10),'Item Budget'!$R$7*100*('Item Budget'!$R$16*(AD93+25*AH93)+'Item Budget'!$S$16*(AE93+25*AJ93))/'Item Budget'!$Z$16+'Item Budget'!$R$9*AF93+IFERROR(INDEX('Item Budget'!$O$25:$O$95,MATCH(AL93,'Item Budget'!$B$25:$B$95,0)),0),0)</f>
        <v/>
      </c>
      <c r="BA93" s="44">
        <f>IF(AND(OR($E93="All",ISNUMBER(SEARCH("Priest",$E93))),AC93&gt;='Item Budget'!$R$10),'Item Budget'!$R$7*100*('Item Budget'!$R$17*(AD93+25*AH93)+'Item Budget'!$S$17*(AE93+25*AJ93))/'Item Budget'!$Z$17+'Item Budget'!$R$9*AF93+IFERROR(INDEX('Item Budget'!$O$25:$O$95,MATCH(AL93,'Item Budget'!$B$25:$B$95,0)),0),0)</f>
        <v/>
      </c>
      <c r="BB93" s="52">
        <f>IF(OR($I93&lt;1,IF($I93&gt;=6,AX93,AT93)&lt;=0),"",IF(SUMPRODUCT(MAX(($C$5:$C$215=$C93)*($I$5:$I$215&gt;=1)*($I$5:$I$215&lt;$I93)*IF($I93&gt;=6,$AX$5:$AX$215,$AT$5:$AT$215)))&lt;=0,"",SUMPRODUCT(MAX(($C$5:$C$215=$C93)*($I$5:$I$215=$I93)*IF($I93&gt;=6,$AX$5:$AX$215,$AT$5:$AT$215)))/SUMPRODUCT(MAX(($C$5:$C$215=$C93)*($I$5:$I$215&gt;=1)*($I$5:$I$215&lt;$I93)*IF($I93&gt;=6,$AX$5:$AX$215,$AT$5:$AT$215)))-1))</f>
        <v/>
      </c>
      <c r="BC93" s="52">
        <f>IF(OR($I93&lt;1,IF($I93&gt;=6,AY93,AU93)&lt;=0),"",IF(SUMPRODUCT(MAX(($C$5:$C$215=$C93)*($I$5:$I$215&gt;=1)*($I$5:$I$215&lt;$I93)*IF($I93&gt;=6,$AY$5:$AY$215,$AU$5:$AU$215)))&lt;=0,"",SUMPRODUCT(MAX(($C$5:$C$215=$C93)*($I$5:$I$215=$I93)*IF($I93&gt;=6,$AY$5:$AY$215,$AU$5:$AU$215)))/SUMPRODUCT(MAX(($C$5:$C$215=$C93)*($I$5:$I$215&gt;=1)*($I$5:$I$215&lt;$I93)*IF($I93&gt;=6,$AY$5:$AY$215,$AU$5:$AU$215)))-1))</f>
        <v/>
      </c>
      <c r="BD93" s="52">
        <f>IF(OR($I93&lt;1,IF($I93&gt;=6,AZ93,AV93)&lt;=0),"",IF(SUMPRODUCT(MAX(($C$5:$C$215=$C93)*($I$5:$I$215&gt;=1)*($I$5:$I$215&lt;$I93)*IF($I93&gt;=6,$AZ$5:$AZ$215,$AV$5:$AV$215)))&lt;=0,"",SUMPRODUCT(MAX(($C$5:$C$215=$C93)*($I$5:$I$215=$I93)*IF($I93&gt;=6,$AZ$5:$AZ$215,$AV$5:$AV$215)))/SUMPRODUCT(MAX(($C$5:$C$215=$C93)*($I$5:$I$215&gt;=1)*($I$5:$I$215&lt;$I93)*IF($I93&gt;=6,$AZ$5:$AZ$215,$AV$5:$AV$215)))-1))</f>
        <v/>
      </c>
      <c r="BE93" s="52">
        <f>IF(OR($I93&lt;1,IF($I93&gt;=6,BA93,AW93)&lt;=0),"",IF(SUMPRODUCT(MAX(($C$5:$C$215=$C93)*($I$5:$I$215&gt;=1)*($I$5:$I$215&lt;$I93)*IF($I93&gt;=6,$BA$5:$BA$215,$AW$5:$AW$215)))&lt;=0,"",SUMPRODUCT(MAX(($C$5:$C$215=$C93)*($I$5:$I$215=$I93)*IF($I93&gt;=6,$BA$5:$BA$215,$AW$5:$AW$215)))/SUMPRODUCT(MAX(($C$5:$C$215=$C93)*($I$5:$I$215&gt;=1)*($I$5:$I$215&lt;$I93)*IF($I93&gt;=6,$BA$5:$BA$215,$AW$5:$AW$215)))-1))</f>
        <v/>
      </c>
      <c r="BF93" s="19">
        <f>IF(AND(BB93="",BC93="",BD93="",BE93=""),"",IF(IF(AND(ISNUMBER(BB93),BB93&lt;'Item Budget'!$R$11),"W ","")&amp;IF(AND(ISNUMBER(BC93),BC93&lt;'Item Budget'!$R$11),"R ","")&amp;IF(AND(ISNUMBER(BD93),BD93&lt;'Item Budget'!$R$11),"M ","")&amp;IF(AND(ISNUMBER(BE93),BE93&lt;'Item Budget'!$R$11),"P ","")="","OK","Not above lower step: "&amp;IF(AND(ISNUMBER(BB93),BB93&lt;'Item Budget'!$R$11),"W ","")&amp;IF(AND(ISNUMBER(BC93),BC93&lt;'Item Budget'!$R$11),"R ","")&amp;IF(AND(ISNUMBER(BD93),BD93&lt;'Item Budget'!$R$11),"M ","")&amp;IF(AND(ISNUMBER(BE93),BE93&lt;'Item Budget'!$R$11),"P ","")))</f>
        <v/>
      </c>
    </row>
    <row r="94">
      <c r="A94" s="21" t="n">
        <v>163</v>
      </c>
      <c r="B94" s="21" t="inlineStr">
        <is>
          <t>Leggings of the Poo Flinger</t>
        </is>
      </c>
      <c r="C94" s="21" t="inlineStr">
        <is>
          <t>Pants</t>
        </is>
      </c>
      <c r="D94" s="21" t="inlineStr">
        <is>
          <t>All</t>
        </is>
      </c>
      <c r="E94" s="21" t="inlineStr">
        <is>
          <t>All</t>
        </is>
      </c>
      <c r="F94" s="21" t="inlineStr">
        <is>
          <t>All classes</t>
        </is>
      </c>
      <c r="G94" s="21" t="inlineStr">
        <is>
          <t>drop: Frantic Monkey 8%</t>
        </is>
      </c>
      <c r="H94" s="37" t="n">
        <v>0</v>
      </c>
      <c r="I94" s="21" t="n">
        <v>0</v>
      </c>
      <c r="J94" s="19" t="inlineStr">
        <is>
          <t>Leave</t>
        </is>
      </c>
      <c r="K94" s="21" t="inlineStr">
        <is>
          <t>Rare boss drop</t>
        </is>
      </c>
      <c r="L94" s="31">
        <f>INDEX('Item Budget'!$F$5:$F$13,MATCH(K94,'Item Budget'!$E$5:$E$13,0))+IF(E94="All",0,'Item Budget'!$F$15)+LOOKUP(H94,'Item Budget'!$E$19:$E$23,'Item Budget'!$F$19:$F$23)</f>
        <v/>
      </c>
      <c r="M94" s="21" t="n">
        <v>25</v>
      </c>
      <c r="N94" s="21" t="n">
        <v>150</v>
      </c>
      <c r="O94" s="21" t="n">
        <v>150</v>
      </c>
      <c r="P94" s="21" t="n">
        <v>75</v>
      </c>
      <c r="Q94" s="21" t="n">
        <v>15</v>
      </c>
      <c r="R94" s="21" t="n">
        <v>15</v>
      </c>
      <c r="S94" s="21" t="n">
        <v>15</v>
      </c>
      <c r="T94" s="21" t="n">
        <v>15</v>
      </c>
      <c r="U94" s="21" t="n">
        <v>0</v>
      </c>
      <c r="V94" s="21" t="inlineStr">
        <is>
          <t>(none)</t>
        </is>
      </c>
      <c r="W94" s="61">
        <f>N94*'Item Budget'!$B$5+R94*'Item Budget'!$B$7+P94*'Item Budget'!$B$11+S94*'Item Budget'!$B$10+Q94*'Item Budget'!$B$9+IFERROR(INDEX('Item Budget'!$M$25:$M$95,MATCH(V94,'Item Budget'!$B$25:$B$95,0)),0)+IF($C94="Weapon",U94*'Item Budget'!$B$9,0)</f>
        <v/>
      </c>
      <c r="X94" s="61">
        <f>N94*'Item Budget'!$B$5+R94*'Item Budget'!$B$7+P94*'Item Budget'!$B$11+S94*'Item Budget'!$B$10+O94*'Item Budget'!$B$6+T94*'Item Budget'!$B$8+IFERROR(INDEX('Item Budget'!$N$25:$N$95,MATCH(V94,'Item Budget'!$B$25:$B$95,0)),0)</f>
        <v/>
      </c>
      <c r="Y94" s="61">
        <f>MAX('Item Budget'!$F$16,INDEX('Gear Budget'!$C$8:$C$14,MATCH($C94,'Gear Budget'!$A$8:$A$14,0))*MIN(M94,50))*$L94</f>
        <v/>
      </c>
      <c r="Z94" s="41">
        <f>IF($C94="Caster weapon",X94,MAX(W94,X94))/Y94</f>
        <v/>
      </c>
      <c r="AA94" s="61">
        <f>IF(OR($C94="Weapon",$C94="Caster weapon"),"",'Gear Budget'!$B$5*MAX(1,MIN(M94,50))*INDEX('Gear Budget'!$B$8:$B$14,MATCH($C94,'Gear Budget'!$A$8:$A$14,0))*IF($C94="Shield",IF(D94="Warrior",1,IF(OR(D94="Rogue",D94="All"),0.38/0.6,0.25/0.6)),IFERROR(INDEX('Gear Budget'!$B$18:$B$21,MATCH($F94,'Gear Budget'!$A$18:$A$21,0)),1)))</f>
        <v/>
      </c>
      <c r="AB94" s="41">
        <f>IF(AA94="","",P94/AA94)</f>
        <v/>
      </c>
      <c r="AC94" s="21" t="n">
        <v>25</v>
      </c>
      <c r="AD94" s="21" t="n">
        <v>150</v>
      </c>
      <c r="AE94" s="21" t="n">
        <v>150</v>
      </c>
      <c r="AF94" s="21" t="n">
        <v>75</v>
      </c>
      <c r="AG94" s="21" t="n">
        <v>15</v>
      </c>
      <c r="AH94" s="21" t="n">
        <v>15</v>
      </c>
      <c r="AI94" s="21" t="n">
        <v>15</v>
      </c>
      <c r="AJ94" s="21" t="n">
        <v>15</v>
      </c>
      <c r="AK94" s="21" t="n">
        <v>0</v>
      </c>
      <c r="AL94" s="21" t="inlineStr">
        <is>
          <t>(none)</t>
        </is>
      </c>
      <c r="AM94" s="61">
        <f>AD94*'Item Budget'!$B$5+AH94*'Item Budget'!$B$7+AF94*'Item Budget'!$B$11+AI94*'Item Budget'!$B$10+AG94*'Item Budget'!$B$9+IFERROR(INDEX('Item Budget'!$M$25:$M$95,MATCH(AL94,'Item Budget'!$B$25:$B$95,0)),0)+IF($C94="Weapon",AK94*'Item Budget'!$B$9,0)</f>
        <v/>
      </c>
      <c r="AN94" s="61">
        <f>AD94*'Item Budget'!$B$5+AH94*'Item Budget'!$B$7+AF94*'Item Budget'!$B$11+AI94*'Item Budget'!$B$10+AE94*'Item Budget'!$B$6+AJ94*'Item Budget'!$B$8+IFERROR(INDEX('Item Budget'!$N$25:$N$95,MATCH(AL94,'Item Budget'!$B$25:$B$95,0)),0)</f>
        <v/>
      </c>
      <c r="AO94" s="61">
        <f>MAX('Item Budget'!$F$16,INDEX('Gear Budget'!$C$8:$C$14,MATCH($C94,'Gear Budget'!$A$8:$A$14,0))*MIN(AC94,50))*$L94</f>
        <v/>
      </c>
      <c r="AP94" s="41">
        <f>IF($C94="Caster weapon",AN94,MAX(AM94,AN94))/AO94</f>
        <v/>
      </c>
      <c r="AQ94" s="61">
        <f>IF(OR($C94="Weapon",$C94="Caster weapon"),"",'Gear Budget'!$B$5*MAX(1,MIN(AC94,50))*INDEX('Gear Budget'!$B$8:$B$14,MATCH($C94,'Gear Budget'!$A$8:$A$14,0))*IF($C94="Shield",IF(E94="Warrior",1,IF(OR(E94="Rogue",E94="All"),0.38/0.6,0.25/0.6)),IFERROR(INDEX('Gear Budget'!$B$18:$B$21,MATCH($F94,'Gear Budget'!$A$18:$A$21,0)),1)))</f>
        <v/>
      </c>
      <c r="AR94" s="41">
        <f>IF(AQ94="","",AF94/AQ94)</f>
        <v/>
      </c>
      <c r="AS94" s="64" t="inlineStr">
        <is>
          <t>Pass 1 (applied): Poo Flinger: ignored for comparison.</t>
        </is>
      </c>
      <c r="AT94" s="44">
        <f>IF(OR($E94="All",ISNUMBER(SEARCH("Warrior",$E94))),IF($C94="Caster weapon",(AN94+AF94*('Item Budget'!$AB$14-'Item Budget'!$B$11)),(AM94+AF94*('Item Budget'!$AB$14-'Item Budget'!$B$11))),0)</f>
        <v/>
      </c>
      <c r="AU94" s="44">
        <f>IF(OR($E94="All",ISNUMBER(SEARCH("Rogue",$E94))),IF($C94="Caster weapon",(AN94+AF94*('Item Budget'!$AB$15-'Item Budget'!$B$11)),(AM94+AF94*('Item Budget'!$AB$15-'Item Budget'!$B$11))),0)</f>
        <v/>
      </c>
      <c r="AV94" s="44">
        <f>IF(OR($E94="All",ISNUMBER(SEARCH("Magus",$E94))),(AN94+AF94*('Item Budget'!$AB$16-'Item Budget'!$B$11)),0)</f>
        <v/>
      </c>
      <c r="AW94" s="44">
        <f>IF(OR($E94="All",ISNUMBER(SEARCH("Priest",$E94))),(AN94+AF94*('Item Budget'!$AB$17-'Item Budget'!$B$11)),0)</f>
        <v/>
      </c>
      <c r="AX94" s="44">
        <f>IF(AND(OR($E94="All",ISNUMBER(SEARCH("Warrior",$E94))),AC94&gt;='Item Budget'!$R$10),'Item Budget'!$R$7*100*('Item Budget'!$R$14*(AD94+25*AH94)+'Item Budget'!$S$14*(AE94+25*AJ94))/'Item Budget'!$Z$14+'Item Budget'!$R$9*AF94+IFERROR(INDEX('Item Budget'!$O$25:$O$95,MATCH(AL94,'Item Budget'!$B$25:$B$95,0)),0),0)</f>
        <v/>
      </c>
      <c r="AY94" s="44">
        <f>IF(AND(OR($E94="All",ISNUMBER(SEARCH("Rogue",$E94))),AC94&gt;='Item Budget'!$R$10),'Item Budget'!$R$7*100*('Item Budget'!$R$15*(AD94+25*AH94)+'Item Budget'!$S$15*(AE94+25*AJ94))/'Item Budget'!$Z$15+'Item Budget'!$R$9*AF94+IFERROR(INDEX('Item Budget'!$O$25:$O$95,MATCH(AL94,'Item Budget'!$B$25:$B$95,0)),0),0)</f>
        <v/>
      </c>
      <c r="AZ94" s="44">
        <f>IF(AND(OR($E94="All",ISNUMBER(SEARCH("Magus",$E94))),AC94&gt;='Item Budget'!$R$10),'Item Budget'!$R$7*100*('Item Budget'!$R$16*(AD94+25*AH94)+'Item Budget'!$S$16*(AE94+25*AJ94))/'Item Budget'!$Z$16+'Item Budget'!$R$9*AF94+IFERROR(INDEX('Item Budget'!$O$25:$O$95,MATCH(AL94,'Item Budget'!$B$25:$B$95,0)),0),0)</f>
        <v/>
      </c>
      <c r="BA94" s="44">
        <f>IF(AND(OR($E94="All",ISNUMBER(SEARCH("Priest",$E94))),AC94&gt;='Item Budget'!$R$10),'Item Budget'!$R$7*100*('Item Budget'!$R$17*(AD94+25*AH94)+'Item Budget'!$S$17*(AE94+25*AJ94))/'Item Budget'!$Z$17+'Item Budget'!$R$9*AF94+IFERROR(INDEX('Item Budget'!$O$25:$O$95,MATCH(AL94,'Item Budget'!$B$25:$B$95,0)),0),0)</f>
        <v/>
      </c>
      <c r="BB94" s="52">
        <f>IF(OR($I94&lt;1,IF($I94&gt;=6,AX94,AT94)&lt;=0),"",IF(SUMPRODUCT(MAX(($C$5:$C$215=$C94)*($I$5:$I$215&gt;=1)*($I$5:$I$215&lt;$I94)*IF($I94&gt;=6,$AX$5:$AX$215,$AT$5:$AT$215)))&lt;=0,"",SUMPRODUCT(MAX(($C$5:$C$215=$C94)*($I$5:$I$215=$I94)*IF($I94&gt;=6,$AX$5:$AX$215,$AT$5:$AT$215)))/SUMPRODUCT(MAX(($C$5:$C$215=$C94)*($I$5:$I$215&gt;=1)*($I$5:$I$215&lt;$I94)*IF($I94&gt;=6,$AX$5:$AX$215,$AT$5:$AT$215)))-1))</f>
        <v/>
      </c>
      <c r="BC94" s="52">
        <f>IF(OR($I94&lt;1,IF($I94&gt;=6,AY94,AU94)&lt;=0),"",IF(SUMPRODUCT(MAX(($C$5:$C$215=$C94)*($I$5:$I$215&gt;=1)*($I$5:$I$215&lt;$I94)*IF($I94&gt;=6,$AY$5:$AY$215,$AU$5:$AU$215)))&lt;=0,"",SUMPRODUCT(MAX(($C$5:$C$215=$C94)*($I$5:$I$215=$I94)*IF($I94&gt;=6,$AY$5:$AY$215,$AU$5:$AU$215)))/SUMPRODUCT(MAX(($C$5:$C$215=$C94)*($I$5:$I$215&gt;=1)*($I$5:$I$215&lt;$I94)*IF($I94&gt;=6,$AY$5:$AY$215,$AU$5:$AU$215)))-1))</f>
        <v/>
      </c>
      <c r="BD94" s="52">
        <f>IF(OR($I94&lt;1,IF($I94&gt;=6,AZ94,AV94)&lt;=0),"",IF(SUMPRODUCT(MAX(($C$5:$C$215=$C94)*($I$5:$I$215&gt;=1)*($I$5:$I$215&lt;$I94)*IF($I94&gt;=6,$AZ$5:$AZ$215,$AV$5:$AV$215)))&lt;=0,"",SUMPRODUCT(MAX(($C$5:$C$215=$C94)*($I$5:$I$215=$I94)*IF($I94&gt;=6,$AZ$5:$AZ$215,$AV$5:$AV$215)))/SUMPRODUCT(MAX(($C$5:$C$215=$C94)*($I$5:$I$215&gt;=1)*($I$5:$I$215&lt;$I94)*IF($I94&gt;=6,$AZ$5:$AZ$215,$AV$5:$AV$215)))-1))</f>
        <v/>
      </c>
      <c r="BE94" s="52">
        <f>IF(OR($I94&lt;1,IF($I94&gt;=6,BA94,AW94)&lt;=0),"",IF(SUMPRODUCT(MAX(($C$5:$C$215=$C94)*($I$5:$I$215&gt;=1)*($I$5:$I$215&lt;$I94)*IF($I94&gt;=6,$BA$5:$BA$215,$AW$5:$AW$215)))&lt;=0,"",SUMPRODUCT(MAX(($C$5:$C$215=$C94)*($I$5:$I$215=$I94)*IF($I94&gt;=6,$BA$5:$BA$215,$AW$5:$AW$215)))/SUMPRODUCT(MAX(($C$5:$C$215=$C94)*($I$5:$I$215&gt;=1)*($I$5:$I$215&lt;$I94)*IF($I94&gt;=6,$BA$5:$BA$215,$AW$5:$AW$215)))-1))</f>
        <v/>
      </c>
      <c r="BF94" s="19">
        <f>IF(AND(BB94="",BC94="",BD94="",BE94=""),"",IF(IF(AND(ISNUMBER(BB94),BB94&lt;'Item Budget'!$R$11),"W ","")&amp;IF(AND(ISNUMBER(BC94),BC94&lt;'Item Budget'!$R$11),"R ","")&amp;IF(AND(ISNUMBER(BD94),BD94&lt;'Item Budget'!$R$11),"M ","")&amp;IF(AND(ISNUMBER(BE94),BE94&lt;'Item Budget'!$R$11),"P ","")="","OK","Not above lower step: "&amp;IF(AND(ISNUMBER(BB94),BB94&lt;'Item Budget'!$R$11),"W ","")&amp;IF(AND(ISNUMBER(BC94),BC94&lt;'Item Budget'!$R$11),"R ","")&amp;IF(AND(ISNUMBER(BD94),BD94&lt;'Item Budget'!$R$11),"M ","")&amp;IF(AND(ISNUMBER(BE94),BE94&lt;'Item Budget'!$R$11),"P ","")))</f>
        <v/>
      </c>
    </row>
    <row r="95">
      <c r="A95" s="21" t="n">
        <v>411</v>
      </c>
      <c r="B95" s="21" t="inlineStr">
        <is>
          <t>Frilly Skirt</t>
        </is>
      </c>
      <c r="C95" s="21" t="inlineStr">
        <is>
          <t>Pants</t>
        </is>
      </c>
      <c r="D95" s="21" t="inlineStr">
        <is>
          <t>All</t>
        </is>
      </c>
      <c r="E95" s="21" t="inlineStr">
        <is>
          <t>All</t>
        </is>
      </c>
      <c r="F95" s="21" t="inlineStr">
        <is>
          <t>All classes</t>
        </is>
      </c>
      <c r="G95" s="21" t="inlineStr">
        <is>
          <t>drop: Disciple Von Chief 20%</t>
        </is>
      </c>
      <c r="H95" s="37" t="n">
        <v>100000000</v>
      </c>
      <c r="I95" s="21" t="n">
        <v>7</v>
      </c>
      <c r="J95" s="19" t="inlineStr">
        <is>
          <t>Leave</t>
        </is>
      </c>
      <c r="K95" s="21" t="inlineStr">
        <is>
          <t>Rare boss drop</t>
        </is>
      </c>
      <c r="L95" s="31">
        <f>INDEX('Item Budget'!$F$5:$F$13,MATCH(K95,'Item Budget'!$E$5:$E$13,0))+IF(E95="All",0,'Item Budget'!$F$15)+LOOKUP(H95,'Item Budget'!$E$19:$E$23,'Item Budget'!$F$19:$F$23)</f>
        <v/>
      </c>
      <c r="M95" s="21" t="n">
        <v>25</v>
      </c>
      <c r="N95" s="21" t="n">
        <v>200</v>
      </c>
      <c r="O95" s="21" t="n">
        <v>200</v>
      </c>
      <c r="P95" s="21" t="n">
        <v>50</v>
      </c>
      <c r="Q95" s="21" t="n">
        <v>20</v>
      </c>
      <c r="R95" s="21" t="n">
        <v>20</v>
      </c>
      <c r="S95" s="21" t="n">
        <v>20</v>
      </c>
      <c r="T95" s="21" t="n">
        <v>20</v>
      </c>
      <c r="U95" s="21" t="n">
        <v>0</v>
      </c>
      <c r="V95" s="21" t="inlineStr">
        <is>
          <t>(none)</t>
        </is>
      </c>
      <c r="W95" s="61">
        <f>N95*'Item Budget'!$B$5+R95*'Item Budget'!$B$7+P95*'Item Budget'!$B$11+S95*'Item Budget'!$B$10+Q95*'Item Budget'!$B$9+IFERROR(INDEX('Item Budget'!$M$25:$M$95,MATCH(V95,'Item Budget'!$B$25:$B$95,0)),0)+IF($C95="Weapon",U95*'Item Budget'!$B$9,0)</f>
        <v/>
      </c>
      <c r="X95" s="61">
        <f>N95*'Item Budget'!$B$5+R95*'Item Budget'!$B$7+P95*'Item Budget'!$B$11+S95*'Item Budget'!$B$10+O95*'Item Budget'!$B$6+T95*'Item Budget'!$B$8+IFERROR(INDEX('Item Budget'!$N$25:$N$95,MATCH(V95,'Item Budget'!$B$25:$B$95,0)),0)</f>
        <v/>
      </c>
      <c r="Y95" s="61">
        <f>MAX('Item Budget'!$F$16,INDEX('Gear Budget'!$C$8:$C$14,MATCH($C95,'Gear Budget'!$A$8:$A$14,0))*MIN(M95,50))*$L95</f>
        <v/>
      </c>
      <c r="Z95" s="41">
        <f>IF($C95="Caster weapon",X95,MAX(W95,X95))/Y95</f>
        <v/>
      </c>
      <c r="AA95" s="61">
        <f>IF(OR($C95="Weapon",$C95="Caster weapon"),"",'Gear Budget'!$B$5*MAX(1,MIN(M95,50))*INDEX('Gear Budget'!$B$8:$B$14,MATCH($C95,'Gear Budget'!$A$8:$A$14,0))*IF($C95="Shield",IF(D95="Warrior",1,IF(OR(D95="Rogue",D95="All"),0.38/0.6,0.25/0.6)),IFERROR(INDEX('Gear Budget'!$B$18:$B$21,MATCH($F95,'Gear Budget'!$A$18:$A$21,0)),1)))</f>
        <v/>
      </c>
      <c r="AB95" s="41">
        <f>IF(AA95="","",P95/AA95)</f>
        <v/>
      </c>
      <c r="AC95" s="21" t="n">
        <v>25</v>
      </c>
      <c r="AD95" s="21" t="n">
        <v>200</v>
      </c>
      <c r="AE95" s="21" t="n">
        <v>200</v>
      </c>
      <c r="AF95" s="21" t="n">
        <v>50</v>
      </c>
      <c r="AG95" s="21" t="n">
        <v>20</v>
      </c>
      <c r="AH95" s="21" t="n">
        <v>20</v>
      </c>
      <c r="AI95" s="21" t="n">
        <v>20</v>
      </c>
      <c r="AJ95" s="21" t="n">
        <v>20</v>
      </c>
      <c r="AK95" s="21" t="n">
        <v>0</v>
      </c>
      <c r="AL95" s="21" t="inlineStr">
        <is>
          <t>(none)</t>
        </is>
      </c>
      <c r="AM95" s="61">
        <f>AD95*'Item Budget'!$B$5+AH95*'Item Budget'!$B$7+AF95*'Item Budget'!$B$11+AI95*'Item Budget'!$B$10+AG95*'Item Budget'!$B$9+IFERROR(INDEX('Item Budget'!$M$25:$M$95,MATCH(AL95,'Item Budget'!$B$25:$B$95,0)),0)+IF($C95="Weapon",AK95*'Item Budget'!$B$9,0)</f>
        <v/>
      </c>
      <c r="AN95" s="61">
        <f>AD95*'Item Budget'!$B$5+AH95*'Item Budget'!$B$7+AF95*'Item Budget'!$B$11+AI95*'Item Budget'!$B$10+AE95*'Item Budget'!$B$6+AJ95*'Item Budget'!$B$8+IFERROR(INDEX('Item Budget'!$N$25:$N$95,MATCH(AL95,'Item Budget'!$B$25:$B$95,0)),0)</f>
        <v/>
      </c>
      <c r="AO95" s="61">
        <f>MAX('Item Budget'!$F$16,INDEX('Gear Budget'!$C$8:$C$14,MATCH($C95,'Gear Budget'!$A$8:$A$14,0))*MIN(AC95,50))*$L95</f>
        <v/>
      </c>
      <c r="AP95" s="41">
        <f>IF($C95="Caster weapon",AN95,MAX(AM95,AN95))/AO95</f>
        <v/>
      </c>
      <c r="AQ95" s="61">
        <f>IF(OR($C95="Weapon",$C95="Caster weapon"),"",'Gear Budget'!$B$5*MAX(1,MIN(AC95,50))*INDEX('Gear Budget'!$B$8:$B$14,MATCH($C95,'Gear Budget'!$A$8:$A$14,0))*IF($C95="Shield",IF(E95="Warrior",1,IF(OR(E95="Rogue",E95="All"),0.38/0.6,0.25/0.6)),IFERROR(INDEX('Gear Budget'!$B$18:$B$21,MATCH($F95,'Gear Budget'!$A$18:$A$21,0)),1)))</f>
        <v/>
      </c>
      <c r="AR95" s="41">
        <f>IF(AQ95="","",AF95/AQ95)</f>
        <v/>
      </c>
      <c r="AS95" s="64" t="n"/>
      <c r="AT95" s="44">
        <f>IF(OR($E95="All",ISNUMBER(SEARCH("Warrior",$E95))),IF($C95="Caster weapon",(AN95+AF95*('Item Budget'!$AB$14-'Item Budget'!$B$11)),(AM95+AF95*('Item Budget'!$AB$14-'Item Budget'!$B$11))),0)</f>
        <v/>
      </c>
      <c r="AU95" s="44">
        <f>IF(OR($E95="All",ISNUMBER(SEARCH("Rogue",$E95))),IF($C95="Caster weapon",(AN95+AF95*('Item Budget'!$AB$15-'Item Budget'!$B$11)),(AM95+AF95*('Item Budget'!$AB$15-'Item Budget'!$B$11))),0)</f>
        <v/>
      </c>
      <c r="AV95" s="44">
        <f>IF(OR($E95="All",ISNUMBER(SEARCH("Magus",$E95))),(AN95+AF95*('Item Budget'!$AB$16-'Item Budget'!$B$11)),0)</f>
        <v/>
      </c>
      <c r="AW95" s="44">
        <f>IF(OR($E95="All",ISNUMBER(SEARCH("Priest",$E95))),(AN95+AF95*('Item Budget'!$AB$17-'Item Budget'!$B$11)),0)</f>
        <v/>
      </c>
      <c r="AX95" s="44">
        <f>IF(AND(OR($E95="All",ISNUMBER(SEARCH("Warrior",$E95))),AC95&gt;='Item Budget'!$R$10),'Item Budget'!$R$7*100*('Item Budget'!$R$14*(AD95+25*AH95)+'Item Budget'!$S$14*(AE95+25*AJ95))/'Item Budget'!$Z$14+'Item Budget'!$R$9*AF95+IFERROR(INDEX('Item Budget'!$O$25:$O$95,MATCH(AL95,'Item Budget'!$B$25:$B$95,0)),0),0)</f>
        <v/>
      </c>
      <c r="AY95" s="44">
        <f>IF(AND(OR($E95="All",ISNUMBER(SEARCH("Rogue",$E95))),AC95&gt;='Item Budget'!$R$10),'Item Budget'!$R$7*100*('Item Budget'!$R$15*(AD95+25*AH95)+'Item Budget'!$S$15*(AE95+25*AJ95))/'Item Budget'!$Z$15+'Item Budget'!$R$9*AF95+IFERROR(INDEX('Item Budget'!$O$25:$O$95,MATCH(AL95,'Item Budget'!$B$25:$B$95,0)),0),0)</f>
        <v/>
      </c>
      <c r="AZ95" s="44">
        <f>IF(AND(OR($E95="All",ISNUMBER(SEARCH("Magus",$E95))),AC95&gt;='Item Budget'!$R$10),'Item Budget'!$R$7*100*('Item Budget'!$R$16*(AD95+25*AH95)+'Item Budget'!$S$16*(AE95+25*AJ95))/'Item Budget'!$Z$16+'Item Budget'!$R$9*AF95+IFERROR(INDEX('Item Budget'!$O$25:$O$95,MATCH(AL95,'Item Budget'!$B$25:$B$95,0)),0),0)</f>
        <v/>
      </c>
      <c r="BA95" s="44">
        <f>IF(AND(OR($E95="All",ISNUMBER(SEARCH("Priest",$E95))),AC95&gt;='Item Budget'!$R$10),'Item Budget'!$R$7*100*('Item Budget'!$R$17*(AD95+25*AH95)+'Item Budget'!$S$17*(AE95+25*AJ95))/'Item Budget'!$Z$17+'Item Budget'!$R$9*AF95+IFERROR(INDEX('Item Budget'!$O$25:$O$95,MATCH(AL95,'Item Budget'!$B$25:$B$95,0)),0),0)</f>
        <v/>
      </c>
      <c r="BB95" s="52">
        <f>IF(OR($I95&lt;1,IF($I95&gt;=6,AX95,AT95)&lt;=0),"",IF(SUMPRODUCT(MAX(($C$5:$C$215=$C95)*($I$5:$I$215&gt;=1)*($I$5:$I$215&lt;$I95)*IF($I95&gt;=6,$AX$5:$AX$215,$AT$5:$AT$215)))&lt;=0,"",SUMPRODUCT(MAX(($C$5:$C$215=$C95)*($I$5:$I$215=$I95)*IF($I95&gt;=6,$AX$5:$AX$215,$AT$5:$AT$215)))/SUMPRODUCT(MAX(($C$5:$C$215=$C95)*($I$5:$I$215&gt;=1)*($I$5:$I$215&lt;$I95)*IF($I95&gt;=6,$AX$5:$AX$215,$AT$5:$AT$215)))-1))</f>
        <v/>
      </c>
      <c r="BC95" s="52">
        <f>IF(OR($I95&lt;1,IF($I95&gt;=6,AY95,AU95)&lt;=0),"",IF(SUMPRODUCT(MAX(($C$5:$C$215=$C95)*($I$5:$I$215&gt;=1)*($I$5:$I$215&lt;$I95)*IF($I95&gt;=6,$AY$5:$AY$215,$AU$5:$AU$215)))&lt;=0,"",SUMPRODUCT(MAX(($C$5:$C$215=$C95)*($I$5:$I$215=$I95)*IF($I95&gt;=6,$AY$5:$AY$215,$AU$5:$AU$215)))/SUMPRODUCT(MAX(($C$5:$C$215=$C95)*($I$5:$I$215&gt;=1)*($I$5:$I$215&lt;$I95)*IF($I95&gt;=6,$AY$5:$AY$215,$AU$5:$AU$215)))-1))</f>
        <v/>
      </c>
      <c r="BD95" s="52">
        <f>IF(OR($I95&lt;1,IF($I95&gt;=6,AZ95,AV95)&lt;=0),"",IF(SUMPRODUCT(MAX(($C$5:$C$215=$C95)*($I$5:$I$215&gt;=1)*($I$5:$I$215&lt;$I95)*IF($I95&gt;=6,$AZ$5:$AZ$215,$AV$5:$AV$215)))&lt;=0,"",SUMPRODUCT(MAX(($C$5:$C$215=$C95)*($I$5:$I$215=$I95)*IF($I95&gt;=6,$AZ$5:$AZ$215,$AV$5:$AV$215)))/SUMPRODUCT(MAX(($C$5:$C$215=$C95)*($I$5:$I$215&gt;=1)*($I$5:$I$215&lt;$I95)*IF($I95&gt;=6,$AZ$5:$AZ$215,$AV$5:$AV$215)))-1))</f>
        <v/>
      </c>
      <c r="BE95" s="52">
        <f>IF(OR($I95&lt;1,IF($I95&gt;=6,BA95,AW95)&lt;=0),"",IF(SUMPRODUCT(MAX(($C$5:$C$215=$C95)*($I$5:$I$215&gt;=1)*($I$5:$I$215&lt;$I95)*IF($I95&gt;=6,$BA$5:$BA$215,$AW$5:$AW$215)))&lt;=0,"",SUMPRODUCT(MAX(($C$5:$C$215=$C95)*($I$5:$I$215=$I95)*IF($I95&gt;=6,$BA$5:$BA$215,$AW$5:$AW$215)))/SUMPRODUCT(MAX(($C$5:$C$215=$C95)*($I$5:$I$215&gt;=1)*($I$5:$I$215&lt;$I95)*IF($I95&gt;=6,$BA$5:$BA$215,$AW$5:$AW$215)))-1))</f>
        <v/>
      </c>
      <c r="BF95" s="19">
        <f>IF(AND(BB95="",BC95="",BD95="",BE95=""),"",IF(IF(AND(ISNUMBER(BB95),BB95&lt;'Item Budget'!$R$11),"W ","")&amp;IF(AND(ISNUMBER(BC95),BC95&lt;'Item Budget'!$R$11),"R ","")&amp;IF(AND(ISNUMBER(BD95),BD95&lt;'Item Budget'!$R$11),"M ","")&amp;IF(AND(ISNUMBER(BE95),BE95&lt;'Item Budget'!$R$11),"P ","")="","OK","Not above lower step: "&amp;IF(AND(ISNUMBER(BB95),BB95&lt;'Item Budget'!$R$11),"W ","")&amp;IF(AND(ISNUMBER(BC95),BC95&lt;'Item Budget'!$R$11),"R ","")&amp;IF(AND(ISNUMBER(BD95),BD95&lt;'Item Budget'!$R$11),"M ","")&amp;IF(AND(ISNUMBER(BE95),BE95&lt;'Item Budget'!$R$11),"P ","")))</f>
        <v/>
      </c>
    </row>
    <row r="96">
      <c r="A96" s="21" t="n">
        <v>110</v>
      </c>
      <c r="B96" s="21" t="inlineStr">
        <is>
          <t>Iron Legplates</t>
        </is>
      </c>
      <c r="C96" s="21" t="inlineStr">
        <is>
          <t>Pants</t>
        </is>
      </c>
      <c r="D96" s="21" t="inlineStr">
        <is>
          <t>Rogue</t>
        </is>
      </c>
      <c r="E96" s="21" t="inlineStr">
        <is>
          <t>Rogue</t>
        </is>
      </c>
      <c r="F96" s="21" t="inlineStr">
        <is>
          <t>Rogue</t>
        </is>
      </c>
      <c r="G96" s="21" t="inlineStr">
        <is>
          <t>vendor: Iron Armor Guy</t>
        </is>
      </c>
      <c r="H96" s="37" t="n">
        <v>0</v>
      </c>
      <c r="I96" s="21" t="n">
        <v>0</v>
      </c>
      <c r="J96" s="3" t="inlineStr">
        <is>
          <t>Pass 2</t>
        </is>
      </c>
      <c r="K96" s="21" t="inlineStr">
        <is>
          <t>Vendor</t>
        </is>
      </c>
      <c r="L96" s="31">
        <f>INDEX('Item Budget'!$F$5:$F$13,MATCH(K96,'Item Budget'!$E$5:$E$13,0))+IF(E96="All",0,'Item Budget'!$F$15)+LOOKUP(H96,'Item Budget'!$E$19:$E$23,'Item Budget'!$F$19:$F$23)</f>
        <v/>
      </c>
      <c r="M96" s="21" t="n">
        <v>30</v>
      </c>
      <c r="N96" s="21" t="n">
        <v>50</v>
      </c>
      <c r="O96" s="21" t="n">
        <v>0</v>
      </c>
      <c r="P96" s="21" t="n">
        <v>29</v>
      </c>
      <c r="Q96" s="21" t="n">
        <v>4</v>
      </c>
      <c r="R96" s="21" t="n">
        <v>4</v>
      </c>
      <c r="S96" s="21" t="n">
        <v>10</v>
      </c>
      <c r="T96" s="21" t="n">
        <v>0</v>
      </c>
      <c r="U96" s="21" t="n">
        <v>0</v>
      </c>
      <c r="V96" s="21" t="inlineStr">
        <is>
          <t>(none)</t>
        </is>
      </c>
      <c r="W96" s="61">
        <f>N96*'Item Budget'!$B$5+R96*'Item Budget'!$B$7+P96*'Item Budget'!$B$11+S96*'Item Budget'!$B$10+Q96*'Item Budget'!$B$9+IFERROR(INDEX('Item Budget'!$M$25:$M$95,MATCH(V96,'Item Budget'!$B$25:$B$95,0)),0)+IF($C96="Weapon",U96*'Item Budget'!$B$9,0)</f>
        <v/>
      </c>
      <c r="X96" s="61">
        <f>N96*'Item Budget'!$B$5+R96*'Item Budget'!$B$7+P96*'Item Budget'!$B$11+S96*'Item Budget'!$B$10+O96*'Item Budget'!$B$6+T96*'Item Budget'!$B$8+IFERROR(INDEX('Item Budget'!$N$25:$N$95,MATCH(V96,'Item Budget'!$B$25:$B$95,0)),0)</f>
        <v/>
      </c>
      <c r="Y96" s="61">
        <f>MAX('Item Budget'!$F$16,INDEX('Gear Budget'!$C$8:$C$14,MATCH($C96,'Gear Budget'!$A$8:$A$14,0))*MIN(M96,50))*$L96</f>
        <v/>
      </c>
      <c r="Z96" s="41">
        <f>IF($C96="Caster weapon",X96,MAX(W96,X96))/Y96</f>
        <v/>
      </c>
      <c r="AA96" s="61">
        <f>IF(OR($C96="Weapon",$C96="Caster weapon"),"",'Gear Budget'!$B$5*MAX(1,MIN(M96,50))*INDEX('Gear Budget'!$B$8:$B$14,MATCH($C96,'Gear Budget'!$A$8:$A$14,0))*IF($C96="Shield",IF(D96="Warrior",1,IF(OR(D96="Rogue",D96="All"),0.38/0.6,0.25/0.6)),IFERROR(INDEX('Gear Budget'!$B$18:$B$21,MATCH($F96,'Gear Budget'!$A$18:$A$21,0)),1)))</f>
        <v/>
      </c>
      <c r="AB96" s="41">
        <f>IF(AA96="","",P96/AA96)</f>
        <v/>
      </c>
      <c r="AC96" s="21" t="n">
        <v>30</v>
      </c>
      <c r="AD96" s="20" t="n">
        <v>60</v>
      </c>
      <c r="AE96" s="21" t="n">
        <v>0</v>
      </c>
      <c r="AF96" s="20" t="n">
        <v>36</v>
      </c>
      <c r="AG96" s="20" t="n">
        <v>5</v>
      </c>
      <c r="AH96" s="20" t="n">
        <v>5</v>
      </c>
      <c r="AI96" s="20" t="n">
        <v>12</v>
      </c>
      <c r="AJ96" s="21" t="n">
        <v>0</v>
      </c>
      <c r="AK96" s="21" t="n">
        <v>0</v>
      </c>
      <c r="AL96" s="21" t="inlineStr">
        <is>
          <t>(none)</t>
        </is>
      </c>
      <c r="AM96" s="61">
        <f>AD96*'Item Budget'!$B$5+AH96*'Item Budget'!$B$7+AF96*'Item Budget'!$B$11+AI96*'Item Budget'!$B$10+AG96*'Item Budget'!$B$9+IFERROR(INDEX('Item Budget'!$M$25:$M$95,MATCH(AL96,'Item Budget'!$B$25:$B$95,0)),0)+IF($C96="Weapon",AK96*'Item Budget'!$B$9,0)</f>
        <v/>
      </c>
      <c r="AN96" s="61">
        <f>AD96*'Item Budget'!$B$5+AH96*'Item Budget'!$B$7+AF96*'Item Budget'!$B$11+AI96*'Item Budget'!$B$10+AE96*'Item Budget'!$B$6+AJ96*'Item Budget'!$B$8+IFERROR(INDEX('Item Budget'!$N$25:$N$95,MATCH(AL96,'Item Budget'!$B$25:$B$95,0)),0)</f>
        <v/>
      </c>
      <c r="AO96" s="61">
        <f>MAX('Item Budget'!$F$16,INDEX('Gear Budget'!$C$8:$C$14,MATCH($C96,'Gear Budget'!$A$8:$A$14,0))*MIN(AC96,50))*$L96</f>
        <v/>
      </c>
      <c r="AP96" s="41">
        <f>IF($C96="Caster weapon",AN96,MAX(AM96,AN96))/AO96</f>
        <v/>
      </c>
      <c r="AQ96" s="61">
        <f>IF(OR($C96="Weapon",$C96="Caster weapon"),"",'Gear Budget'!$B$5*MAX(1,MIN(AC96,50))*INDEX('Gear Budget'!$B$8:$B$14,MATCH($C96,'Gear Budget'!$A$8:$A$14,0))*IF($C96="Shield",IF(E96="Warrior",1,IF(OR(E96="Rogue",E96="All"),0.38/0.6,0.25/0.6)),IFERROR(INDEX('Gear Budget'!$B$18:$B$21,MATCH($F96,'Gear Budget'!$A$18:$A$21,0)),1)))</f>
        <v/>
      </c>
      <c r="AR96" s="41">
        <f>IF(AQ96="","",AF96/AQ96)</f>
        <v/>
      </c>
      <c r="AS96" s="64" t="inlineStr">
        <is>
          <t>L30 vendor: 1.85x the matching L20 vendor piece (Bronze Legplates) so it is a clear upgrade</t>
        </is>
      </c>
      <c r="AT96" s="44">
        <f>IF(OR($E96="All",ISNUMBER(SEARCH("Warrior",$E96))),IF($C96="Caster weapon",(AN96+AF96*('Item Budget'!$AB$14-'Item Budget'!$B$11)),(AM96+AF96*('Item Budget'!$AB$14-'Item Budget'!$B$11))),0)</f>
        <v/>
      </c>
      <c r="AU96" s="44">
        <f>IF(OR($E96="All",ISNUMBER(SEARCH("Rogue",$E96))),IF($C96="Caster weapon",(AN96+AF96*('Item Budget'!$AB$15-'Item Budget'!$B$11)),(AM96+AF96*('Item Budget'!$AB$15-'Item Budget'!$B$11))),0)</f>
        <v/>
      </c>
      <c r="AV96" s="44">
        <f>IF(OR($E96="All",ISNUMBER(SEARCH("Magus",$E96))),(AN96+AF96*('Item Budget'!$AB$16-'Item Budget'!$B$11)),0)</f>
        <v/>
      </c>
      <c r="AW96" s="44">
        <f>IF(OR($E96="All",ISNUMBER(SEARCH("Priest",$E96))),(AN96+AF96*('Item Budget'!$AB$17-'Item Budget'!$B$11)),0)</f>
        <v/>
      </c>
      <c r="AX96" s="44">
        <f>IF(AND(OR($E96="All",ISNUMBER(SEARCH("Warrior",$E96))),AC96&gt;='Item Budget'!$R$10),'Item Budget'!$R$7*100*('Item Budget'!$R$14*(AD96+25*AH96)+'Item Budget'!$S$14*(AE96+25*AJ96))/'Item Budget'!$Z$14+'Item Budget'!$R$9*AF96+IFERROR(INDEX('Item Budget'!$O$25:$O$95,MATCH(AL96,'Item Budget'!$B$25:$B$95,0)),0),0)</f>
        <v/>
      </c>
      <c r="AY96" s="44">
        <f>IF(AND(OR($E96="All",ISNUMBER(SEARCH("Rogue",$E96))),AC96&gt;='Item Budget'!$R$10),'Item Budget'!$R$7*100*('Item Budget'!$R$15*(AD96+25*AH96)+'Item Budget'!$S$15*(AE96+25*AJ96))/'Item Budget'!$Z$15+'Item Budget'!$R$9*AF96+IFERROR(INDEX('Item Budget'!$O$25:$O$95,MATCH(AL96,'Item Budget'!$B$25:$B$95,0)),0),0)</f>
        <v/>
      </c>
      <c r="AZ96" s="44">
        <f>IF(AND(OR($E96="All",ISNUMBER(SEARCH("Magus",$E96))),AC96&gt;='Item Budget'!$R$10),'Item Budget'!$R$7*100*('Item Budget'!$R$16*(AD96+25*AH96)+'Item Budget'!$S$16*(AE96+25*AJ96))/'Item Budget'!$Z$16+'Item Budget'!$R$9*AF96+IFERROR(INDEX('Item Budget'!$O$25:$O$95,MATCH(AL96,'Item Budget'!$B$25:$B$95,0)),0),0)</f>
        <v/>
      </c>
      <c r="BA96" s="44">
        <f>IF(AND(OR($E96="All",ISNUMBER(SEARCH("Priest",$E96))),AC96&gt;='Item Budget'!$R$10),'Item Budget'!$R$7*100*('Item Budget'!$R$17*(AD96+25*AH96)+'Item Budget'!$S$17*(AE96+25*AJ96))/'Item Budget'!$Z$17+'Item Budget'!$R$9*AF96+IFERROR(INDEX('Item Budget'!$O$25:$O$95,MATCH(AL96,'Item Budget'!$B$25:$B$95,0)),0),0)</f>
        <v/>
      </c>
      <c r="BB96" s="52">
        <f>IF(OR($I96&lt;1,IF($I96&gt;=6,AX96,AT96)&lt;=0),"",IF(SUMPRODUCT(MAX(($C$5:$C$215=$C96)*($I$5:$I$215&gt;=1)*($I$5:$I$215&lt;$I96)*IF($I96&gt;=6,$AX$5:$AX$215,$AT$5:$AT$215)))&lt;=0,"",SUMPRODUCT(MAX(($C$5:$C$215=$C96)*($I$5:$I$215=$I96)*IF($I96&gt;=6,$AX$5:$AX$215,$AT$5:$AT$215)))/SUMPRODUCT(MAX(($C$5:$C$215=$C96)*($I$5:$I$215&gt;=1)*($I$5:$I$215&lt;$I96)*IF($I96&gt;=6,$AX$5:$AX$215,$AT$5:$AT$215)))-1))</f>
        <v/>
      </c>
      <c r="BC96" s="52">
        <f>IF(OR($I96&lt;1,IF($I96&gt;=6,AY96,AU96)&lt;=0),"",IF(SUMPRODUCT(MAX(($C$5:$C$215=$C96)*($I$5:$I$215&gt;=1)*($I$5:$I$215&lt;$I96)*IF($I96&gt;=6,$AY$5:$AY$215,$AU$5:$AU$215)))&lt;=0,"",SUMPRODUCT(MAX(($C$5:$C$215=$C96)*($I$5:$I$215=$I96)*IF($I96&gt;=6,$AY$5:$AY$215,$AU$5:$AU$215)))/SUMPRODUCT(MAX(($C$5:$C$215=$C96)*($I$5:$I$215&gt;=1)*($I$5:$I$215&lt;$I96)*IF($I96&gt;=6,$AY$5:$AY$215,$AU$5:$AU$215)))-1))</f>
        <v/>
      </c>
      <c r="BD96" s="52">
        <f>IF(OR($I96&lt;1,IF($I96&gt;=6,AZ96,AV96)&lt;=0),"",IF(SUMPRODUCT(MAX(($C$5:$C$215=$C96)*($I$5:$I$215&gt;=1)*($I$5:$I$215&lt;$I96)*IF($I96&gt;=6,$AZ$5:$AZ$215,$AV$5:$AV$215)))&lt;=0,"",SUMPRODUCT(MAX(($C$5:$C$215=$C96)*($I$5:$I$215=$I96)*IF($I96&gt;=6,$AZ$5:$AZ$215,$AV$5:$AV$215)))/SUMPRODUCT(MAX(($C$5:$C$215=$C96)*($I$5:$I$215&gt;=1)*($I$5:$I$215&lt;$I96)*IF($I96&gt;=6,$AZ$5:$AZ$215,$AV$5:$AV$215)))-1))</f>
        <v/>
      </c>
      <c r="BE96" s="52">
        <f>IF(OR($I96&lt;1,IF($I96&gt;=6,BA96,AW96)&lt;=0),"",IF(SUMPRODUCT(MAX(($C$5:$C$215=$C96)*($I$5:$I$215&gt;=1)*($I$5:$I$215&lt;$I96)*IF($I96&gt;=6,$BA$5:$BA$215,$AW$5:$AW$215)))&lt;=0,"",SUMPRODUCT(MAX(($C$5:$C$215=$C96)*($I$5:$I$215=$I96)*IF($I96&gt;=6,$BA$5:$BA$215,$AW$5:$AW$215)))/SUMPRODUCT(MAX(($C$5:$C$215=$C96)*($I$5:$I$215&gt;=1)*($I$5:$I$215&lt;$I96)*IF($I96&gt;=6,$BA$5:$BA$215,$AW$5:$AW$215)))-1))</f>
        <v/>
      </c>
      <c r="BF96" s="19">
        <f>IF(AND(BB96="",BC96="",BD96="",BE96=""),"",IF(IF(AND(ISNUMBER(BB96),BB96&lt;'Item Budget'!$R$11),"W ","")&amp;IF(AND(ISNUMBER(BC96),BC96&lt;'Item Budget'!$R$11),"R ","")&amp;IF(AND(ISNUMBER(BD96),BD96&lt;'Item Budget'!$R$11),"M ","")&amp;IF(AND(ISNUMBER(BE96),BE96&lt;'Item Budget'!$R$11),"P ","")="","OK","Not above lower step: "&amp;IF(AND(ISNUMBER(BB96),BB96&lt;'Item Budget'!$R$11),"W ","")&amp;IF(AND(ISNUMBER(BC96),BC96&lt;'Item Budget'!$R$11),"R ","")&amp;IF(AND(ISNUMBER(BD96),BD96&lt;'Item Budget'!$R$11),"M ","")&amp;IF(AND(ISNUMBER(BE96),BE96&lt;'Item Budget'!$R$11),"P ","")))</f>
        <v/>
      </c>
    </row>
    <row r="97">
      <c r="A97" s="21" t="n">
        <v>114</v>
      </c>
      <c r="B97" s="21" t="inlineStr">
        <is>
          <t>Steel Legplates</t>
        </is>
      </c>
      <c r="C97" s="21" t="inlineStr">
        <is>
          <t>Pants</t>
        </is>
      </c>
      <c r="D97" s="21" t="inlineStr">
        <is>
          <t>Warrior</t>
        </is>
      </c>
      <c r="E97" s="21" t="inlineStr">
        <is>
          <t>Warrior</t>
        </is>
      </c>
      <c r="F97" s="21" t="inlineStr">
        <is>
          <t>Warrior plate</t>
        </is>
      </c>
      <c r="G97" s="21" t="inlineStr">
        <is>
          <t>vendor: Steel Armor Guy</t>
        </is>
      </c>
      <c r="H97" s="37" t="n">
        <v>0</v>
      </c>
      <c r="I97" s="21" t="n">
        <v>0</v>
      </c>
      <c r="J97" s="3" t="inlineStr">
        <is>
          <t>Pass 2</t>
        </is>
      </c>
      <c r="K97" s="21" t="inlineStr">
        <is>
          <t>Vendor</t>
        </is>
      </c>
      <c r="L97" s="31">
        <f>INDEX('Item Budget'!$F$5:$F$13,MATCH(K97,'Item Budget'!$E$5:$E$13,0))+IF(E97="All",0,'Item Budget'!$F$15)+LOOKUP(H97,'Item Budget'!$E$19:$E$23,'Item Budget'!$F$19:$F$23)</f>
        <v/>
      </c>
      <c r="M97" s="21" t="n">
        <v>30</v>
      </c>
      <c r="N97" s="21" t="n">
        <v>50</v>
      </c>
      <c r="O97" s="21" t="n">
        <v>0</v>
      </c>
      <c r="P97" s="21" t="n">
        <v>40</v>
      </c>
      <c r="Q97" s="21" t="n">
        <v>3</v>
      </c>
      <c r="R97" s="21" t="n">
        <v>6</v>
      </c>
      <c r="S97" s="21" t="n">
        <v>0</v>
      </c>
      <c r="T97" s="21" t="n">
        <v>0</v>
      </c>
      <c r="U97" s="21" t="n">
        <v>0</v>
      </c>
      <c r="V97" s="21" t="inlineStr">
        <is>
          <t>(none)</t>
        </is>
      </c>
      <c r="W97" s="61">
        <f>N97*'Item Budget'!$B$5+R97*'Item Budget'!$B$7+P97*'Item Budget'!$B$11+S97*'Item Budget'!$B$10+Q97*'Item Budget'!$B$9+IFERROR(INDEX('Item Budget'!$M$25:$M$95,MATCH(V97,'Item Budget'!$B$25:$B$95,0)),0)+IF($C97="Weapon",U97*'Item Budget'!$B$9,0)</f>
        <v/>
      </c>
      <c r="X97" s="61">
        <f>N97*'Item Budget'!$B$5+R97*'Item Budget'!$B$7+P97*'Item Budget'!$B$11+S97*'Item Budget'!$B$10+O97*'Item Budget'!$B$6+T97*'Item Budget'!$B$8+IFERROR(INDEX('Item Budget'!$N$25:$N$95,MATCH(V97,'Item Budget'!$B$25:$B$95,0)),0)</f>
        <v/>
      </c>
      <c r="Y97" s="61">
        <f>MAX('Item Budget'!$F$16,INDEX('Gear Budget'!$C$8:$C$14,MATCH($C97,'Gear Budget'!$A$8:$A$14,0))*MIN(M97,50))*$L97</f>
        <v/>
      </c>
      <c r="Z97" s="41">
        <f>IF($C97="Caster weapon",X97,MAX(W97,X97))/Y97</f>
        <v/>
      </c>
      <c r="AA97" s="61">
        <f>IF(OR($C97="Weapon",$C97="Caster weapon"),"",'Gear Budget'!$B$5*MAX(1,MIN(M97,50))*INDEX('Gear Budget'!$B$8:$B$14,MATCH($C97,'Gear Budget'!$A$8:$A$14,0))*IF($C97="Shield",IF(D97="Warrior",1,IF(OR(D97="Rogue",D97="All"),0.38/0.6,0.25/0.6)),IFERROR(INDEX('Gear Budget'!$B$18:$B$21,MATCH($F97,'Gear Budget'!$A$18:$A$21,0)),1)))</f>
        <v/>
      </c>
      <c r="AB97" s="41">
        <f>IF(AA97="","",P97/AA97)</f>
        <v/>
      </c>
      <c r="AC97" s="21" t="n">
        <v>30</v>
      </c>
      <c r="AD97" s="20" t="n">
        <v>60</v>
      </c>
      <c r="AE97" s="21" t="n">
        <v>0</v>
      </c>
      <c r="AF97" s="20" t="n">
        <v>47</v>
      </c>
      <c r="AG97" s="20" t="n">
        <v>4</v>
      </c>
      <c r="AH97" s="20" t="n">
        <v>7</v>
      </c>
      <c r="AI97" s="21" t="n">
        <v>0</v>
      </c>
      <c r="AJ97" s="21" t="n">
        <v>0</v>
      </c>
      <c r="AK97" s="21" t="n">
        <v>0</v>
      </c>
      <c r="AL97" s="21" t="inlineStr">
        <is>
          <t>(none)</t>
        </is>
      </c>
      <c r="AM97" s="61">
        <f>AD97*'Item Budget'!$B$5+AH97*'Item Budget'!$B$7+AF97*'Item Budget'!$B$11+AI97*'Item Budget'!$B$10+AG97*'Item Budget'!$B$9+IFERROR(INDEX('Item Budget'!$M$25:$M$95,MATCH(AL97,'Item Budget'!$B$25:$B$95,0)),0)+IF($C97="Weapon",AK97*'Item Budget'!$B$9,0)</f>
        <v/>
      </c>
      <c r="AN97" s="61">
        <f>AD97*'Item Budget'!$B$5+AH97*'Item Budget'!$B$7+AF97*'Item Budget'!$B$11+AI97*'Item Budget'!$B$10+AE97*'Item Budget'!$B$6+AJ97*'Item Budget'!$B$8+IFERROR(INDEX('Item Budget'!$N$25:$N$95,MATCH(AL97,'Item Budget'!$B$25:$B$95,0)),0)</f>
        <v/>
      </c>
      <c r="AO97" s="61">
        <f>MAX('Item Budget'!$F$16,INDEX('Gear Budget'!$C$8:$C$14,MATCH($C97,'Gear Budget'!$A$8:$A$14,0))*MIN(AC97,50))*$L97</f>
        <v/>
      </c>
      <c r="AP97" s="41">
        <f>IF($C97="Caster weapon",AN97,MAX(AM97,AN97))/AO97</f>
        <v/>
      </c>
      <c r="AQ97" s="61">
        <f>IF(OR($C97="Weapon",$C97="Caster weapon"),"",'Gear Budget'!$B$5*MAX(1,MIN(AC97,50))*INDEX('Gear Budget'!$B$8:$B$14,MATCH($C97,'Gear Budget'!$A$8:$A$14,0))*IF($C97="Shield",IF(E97="Warrior",1,IF(OR(E97="Rogue",E97="All"),0.38/0.6,0.25/0.6)),IFERROR(INDEX('Gear Budget'!$B$18:$B$21,MATCH($F97,'Gear Budget'!$A$18:$A$21,0)),1)))</f>
        <v/>
      </c>
      <c r="AR97" s="41">
        <f>IF(AQ97="","",AF97/AQ97)</f>
        <v/>
      </c>
      <c r="AS97" s="64" t="inlineStr">
        <is>
          <t>L30 vendor: 1.85x the matching L20 vendor piece (Bronze Legplates) so it is a clear upgrade</t>
        </is>
      </c>
      <c r="AT97" s="44">
        <f>IF(OR($E97="All",ISNUMBER(SEARCH("Warrior",$E97))),IF($C97="Caster weapon",(AN97+AF97*('Item Budget'!$AB$14-'Item Budget'!$B$11)),(AM97+AF97*('Item Budget'!$AB$14-'Item Budget'!$B$11))),0)</f>
        <v/>
      </c>
      <c r="AU97" s="44">
        <f>IF(OR($E97="All",ISNUMBER(SEARCH("Rogue",$E97))),IF($C97="Caster weapon",(AN97+AF97*('Item Budget'!$AB$15-'Item Budget'!$B$11)),(AM97+AF97*('Item Budget'!$AB$15-'Item Budget'!$B$11))),0)</f>
        <v/>
      </c>
      <c r="AV97" s="44">
        <f>IF(OR($E97="All",ISNUMBER(SEARCH("Magus",$E97))),(AN97+AF97*('Item Budget'!$AB$16-'Item Budget'!$B$11)),0)</f>
        <v/>
      </c>
      <c r="AW97" s="44">
        <f>IF(OR($E97="All",ISNUMBER(SEARCH("Priest",$E97))),(AN97+AF97*('Item Budget'!$AB$17-'Item Budget'!$B$11)),0)</f>
        <v/>
      </c>
      <c r="AX97" s="44">
        <f>IF(AND(OR($E97="All",ISNUMBER(SEARCH("Warrior",$E97))),AC97&gt;='Item Budget'!$R$10),'Item Budget'!$R$7*100*('Item Budget'!$R$14*(AD97+25*AH97)+'Item Budget'!$S$14*(AE97+25*AJ97))/'Item Budget'!$Z$14+'Item Budget'!$R$9*AF97+IFERROR(INDEX('Item Budget'!$O$25:$O$95,MATCH(AL97,'Item Budget'!$B$25:$B$95,0)),0),0)</f>
        <v/>
      </c>
      <c r="AY97" s="44">
        <f>IF(AND(OR($E97="All",ISNUMBER(SEARCH("Rogue",$E97))),AC97&gt;='Item Budget'!$R$10),'Item Budget'!$R$7*100*('Item Budget'!$R$15*(AD97+25*AH97)+'Item Budget'!$S$15*(AE97+25*AJ97))/'Item Budget'!$Z$15+'Item Budget'!$R$9*AF97+IFERROR(INDEX('Item Budget'!$O$25:$O$95,MATCH(AL97,'Item Budget'!$B$25:$B$95,0)),0),0)</f>
        <v/>
      </c>
      <c r="AZ97" s="44">
        <f>IF(AND(OR($E97="All",ISNUMBER(SEARCH("Magus",$E97))),AC97&gt;='Item Budget'!$R$10),'Item Budget'!$R$7*100*('Item Budget'!$R$16*(AD97+25*AH97)+'Item Budget'!$S$16*(AE97+25*AJ97))/'Item Budget'!$Z$16+'Item Budget'!$R$9*AF97+IFERROR(INDEX('Item Budget'!$O$25:$O$95,MATCH(AL97,'Item Budget'!$B$25:$B$95,0)),0),0)</f>
        <v/>
      </c>
      <c r="BA97" s="44">
        <f>IF(AND(OR($E97="All",ISNUMBER(SEARCH("Priest",$E97))),AC97&gt;='Item Budget'!$R$10),'Item Budget'!$R$7*100*('Item Budget'!$R$17*(AD97+25*AH97)+'Item Budget'!$S$17*(AE97+25*AJ97))/'Item Budget'!$Z$17+'Item Budget'!$R$9*AF97+IFERROR(INDEX('Item Budget'!$O$25:$O$95,MATCH(AL97,'Item Budget'!$B$25:$B$95,0)),0),0)</f>
        <v/>
      </c>
      <c r="BB97" s="52">
        <f>IF(OR($I97&lt;1,IF($I97&gt;=6,AX97,AT97)&lt;=0),"",IF(SUMPRODUCT(MAX(($C$5:$C$215=$C97)*($I$5:$I$215&gt;=1)*($I$5:$I$215&lt;$I97)*IF($I97&gt;=6,$AX$5:$AX$215,$AT$5:$AT$215)))&lt;=0,"",SUMPRODUCT(MAX(($C$5:$C$215=$C97)*($I$5:$I$215=$I97)*IF($I97&gt;=6,$AX$5:$AX$215,$AT$5:$AT$215)))/SUMPRODUCT(MAX(($C$5:$C$215=$C97)*($I$5:$I$215&gt;=1)*($I$5:$I$215&lt;$I97)*IF($I97&gt;=6,$AX$5:$AX$215,$AT$5:$AT$215)))-1))</f>
        <v/>
      </c>
      <c r="BC97" s="52">
        <f>IF(OR($I97&lt;1,IF($I97&gt;=6,AY97,AU97)&lt;=0),"",IF(SUMPRODUCT(MAX(($C$5:$C$215=$C97)*($I$5:$I$215&gt;=1)*($I$5:$I$215&lt;$I97)*IF($I97&gt;=6,$AY$5:$AY$215,$AU$5:$AU$215)))&lt;=0,"",SUMPRODUCT(MAX(($C$5:$C$215=$C97)*($I$5:$I$215=$I97)*IF($I97&gt;=6,$AY$5:$AY$215,$AU$5:$AU$215)))/SUMPRODUCT(MAX(($C$5:$C$215=$C97)*($I$5:$I$215&gt;=1)*($I$5:$I$215&lt;$I97)*IF($I97&gt;=6,$AY$5:$AY$215,$AU$5:$AU$215)))-1))</f>
        <v/>
      </c>
      <c r="BD97" s="52">
        <f>IF(OR($I97&lt;1,IF($I97&gt;=6,AZ97,AV97)&lt;=0),"",IF(SUMPRODUCT(MAX(($C$5:$C$215=$C97)*($I$5:$I$215&gt;=1)*($I$5:$I$215&lt;$I97)*IF($I97&gt;=6,$AZ$5:$AZ$215,$AV$5:$AV$215)))&lt;=0,"",SUMPRODUCT(MAX(($C$5:$C$215=$C97)*($I$5:$I$215=$I97)*IF($I97&gt;=6,$AZ$5:$AZ$215,$AV$5:$AV$215)))/SUMPRODUCT(MAX(($C$5:$C$215=$C97)*($I$5:$I$215&gt;=1)*($I$5:$I$215&lt;$I97)*IF($I97&gt;=6,$AZ$5:$AZ$215,$AV$5:$AV$215)))-1))</f>
        <v/>
      </c>
      <c r="BE97" s="52">
        <f>IF(OR($I97&lt;1,IF($I97&gt;=6,BA97,AW97)&lt;=0),"",IF(SUMPRODUCT(MAX(($C$5:$C$215=$C97)*($I$5:$I$215&gt;=1)*($I$5:$I$215&lt;$I97)*IF($I97&gt;=6,$BA$5:$BA$215,$AW$5:$AW$215)))&lt;=0,"",SUMPRODUCT(MAX(($C$5:$C$215=$C97)*($I$5:$I$215=$I97)*IF($I97&gt;=6,$BA$5:$BA$215,$AW$5:$AW$215)))/SUMPRODUCT(MAX(($C$5:$C$215=$C97)*($I$5:$I$215&gt;=1)*($I$5:$I$215&lt;$I97)*IF($I97&gt;=6,$BA$5:$BA$215,$AW$5:$AW$215)))-1))</f>
        <v/>
      </c>
      <c r="BF97" s="19">
        <f>IF(AND(BB97="",BC97="",BD97="",BE97=""),"",IF(IF(AND(ISNUMBER(BB97),BB97&lt;'Item Budget'!$R$11),"W ","")&amp;IF(AND(ISNUMBER(BC97),BC97&lt;'Item Budget'!$R$11),"R ","")&amp;IF(AND(ISNUMBER(BD97),BD97&lt;'Item Budget'!$R$11),"M ","")&amp;IF(AND(ISNUMBER(BE97),BE97&lt;'Item Budget'!$R$11),"P ","")="","OK","Not above lower step: "&amp;IF(AND(ISNUMBER(BB97),BB97&lt;'Item Budget'!$R$11),"W ","")&amp;IF(AND(ISNUMBER(BC97),BC97&lt;'Item Budget'!$R$11),"R ","")&amp;IF(AND(ISNUMBER(BD97),BD97&lt;'Item Budget'!$R$11),"M ","")&amp;IF(AND(ISNUMBER(BE97),BE97&lt;'Item Budget'!$R$11),"P ","")))</f>
        <v/>
      </c>
    </row>
    <row r="98">
      <c r="A98" s="53" t="n">
        <v>702</v>
      </c>
      <c r="B98" s="53" t="inlineStr">
        <is>
          <t>Woven Silk Leggings</t>
        </is>
      </c>
      <c r="C98" s="53" t="inlineStr">
        <is>
          <t>Pants</t>
        </is>
      </c>
      <c r="D98" s="53" t="inlineStr">
        <is>
          <t>Magus/Priest</t>
        </is>
      </c>
      <c r="E98" s="21" t="inlineStr">
        <is>
          <t>Magus/Priest</t>
        </is>
      </c>
      <c r="F98" s="53" t="inlineStr">
        <is>
          <t>Caster cloth</t>
        </is>
      </c>
      <c r="G98" s="53" t="inlineStr">
        <is>
          <t>vendor: Silk Armor Guy</t>
        </is>
      </c>
      <c r="H98" s="54" t="n">
        <v>0</v>
      </c>
      <c r="I98" s="53" t="n">
        <v>0</v>
      </c>
      <c r="J98" s="55" t="inlineStr">
        <is>
          <t>Pass 2</t>
        </is>
      </c>
      <c r="K98" s="53" t="inlineStr">
        <is>
          <t>Vendor</t>
        </is>
      </c>
      <c r="L98" s="56">
        <f>INDEX('Item Budget'!$F$5:$F$13,MATCH(K98,'Item Budget'!$E$5:$E$13,0))+IF(E98="All",0,'Item Budget'!$F$15)+LOOKUP(H98,'Item Budget'!$E$19:$E$23,'Item Budget'!$F$19:$F$23)</f>
        <v/>
      </c>
      <c r="M98" s="21" t="n">
        <v>30</v>
      </c>
      <c r="N98" s="21" t="n">
        <v>50</v>
      </c>
      <c r="O98" s="21" t="n">
        <v>100</v>
      </c>
      <c r="P98" s="21" t="n">
        <v>19</v>
      </c>
      <c r="Q98" s="21" t="n">
        <v>0</v>
      </c>
      <c r="R98" s="21" t="n">
        <v>5</v>
      </c>
      <c r="S98" s="21" t="n">
        <v>0</v>
      </c>
      <c r="T98" s="21" t="n">
        <v>10</v>
      </c>
      <c r="U98" s="21" t="n">
        <v>0</v>
      </c>
      <c r="V98" s="21" t="inlineStr">
        <is>
          <t>(none)</t>
        </is>
      </c>
      <c r="W98" s="61">
        <f>N98*'Item Budget'!$B$5+R98*'Item Budget'!$B$7+P98*'Item Budget'!$B$11+S98*'Item Budget'!$B$10+Q98*'Item Budget'!$B$9+IFERROR(INDEX('Item Budget'!$M$25:$M$95,MATCH(V98,'Item Budget'!$B$25:$B$95,0)),0)+IF($C98="Weapon",U98*'Item Budget'!$B$9,0)</f>
        <v/>
      </c>
      <c r="X98" s="61">
        <f>N98*'Item Budget'!$B$5+R98*'Item Budget'!$B$7+P98*'Item Budget'!$B$11+S98*'Item Budget'!$B$10+O98*'Item Budget'!$B$6+T98*'Item Budget'!$B$8+IFERROR(INDEX('Item Budget'!$N$25:$N$95,MATCH(V98,'Item Budget'!$B$25:$B$95,0)),0)</f>
        <v/>
      </c>
      <c r="Y98" s="61">
        <f>MAX('Item Budget'!$F$16,INDEX('Gear Budget'!$C$8:$C$14,MATCH($C98,'Gear Budget'!$A$8:$A$14,0))*MIN(M98,50))*$L98</f>
        <v/>
      </c>
      <c r="Z98" s="41">
        <f>IF($C98="Caster weapon",X98,MAX(W98,X98))/Y98</f>
        <v/>
      </c>
      <c r="AA98" s="61">
        <f>IF(OR($C98="Weapon",$C98="Caster weapon"),"",'Gear Budget'!$B$5*MAX(1,MIN(M98,50))*INDEX('Gear Budget'!$B$8:$B$14,MATCH($C98,'Gear Budget'!$A$8:$A$14,0))*IF($C98="Shield",IF(D98="Warrior",1,IF(OR(D98="Rogue",D98="All"),0.38/0.6,0.25/0.6)),IFERROR(INDEX('Gear Budget'!$B$18:$B$21,MATCH($F98,'Gear Budget'!$A$18:$A$21,0)),1)))</f>
        <v/>
      </c>
      <c r="AB98" s="41">
        <f>IF(AA98="","",P98/AA98)</f>
        <v/>
      </c>
      <c r="AC98" s="21" t="n">
        <v>30</v>
      </c>
      <c r="AD98" s="20" t="n">
        <v>65</v>
      </c>
      <c r="AE98" s="20" t="n">
        <v>130</v>
      </c>
      <c r="AF98" s="20" t="n">
        <v>24</v>
      </c>
      <c r="AG98" s="21" t="n">
        <v>0</v>
      </c>
      <c r="AH98" s="20" t="n">
        <v>6</v>
      </c>
      <c r="AI98" s="21" t="n">
        <v>0</v>
      </c>
      <c r="AJ98" s="20" t="n">
        <v>13</v>
      </c>
      <c r="AK98" s="21" t="n">
        <v>0</v>
      </c>
      <c r="AL98" s="21" t="inlineStr">
        <is>
          <t>(none)</t>
        </is>
      </c>
      <c r="AM98" s="61">
        <f>AD98*'Item Budget'!$B$5+AH98*'Item Budget'!$B$7+AF98*'Item Budget'!$B$11+AI98*'Item Budget'!$B$10+AG98*'Item Budget'!$B$9+IFERROR(INDEX('Item Budget'!$M$25:$M$95,MATCH(AL98,'Item Budget'!$B$25:$B$95,0)),0)+IF($C98="Weapon",AK98*'Item Budget'!$B$9,0)</f>
        <v/>
      </c>
      <c r="AN98" s="61">
        <f>AD98*'Item Budget'!$B$5+AH98*'Item Budget'!$B$7+AF98*'Item Budget'!$B$11+AI98*'Item Budget'!$B$10+AE98*'Item Budget'!$B$6+AJ98*'Item Budget'!$B$8+IFERROR(INDEX('Item Budget'!$N$25:$N$95,MATCH(AL98,'Item Budget'!$B$25:$B$95,0)),0)</f>
        <v/>
      </c>
      <c r="AO98" s="61">
        <f>MAX('Item Budget'!$F$16,INDEX('Gear Budget'!$C$8:$C$14,MATCH($C98,'Gear Budget'!$A$8:$A$14,0))*MIN(AC98,50))*$L98</f>
        <v/>
      </c>
      <c r="AP98" s="41">
        <f>IF($C98="Caster weapon",AN98,MAX(AM98,AN98))/AO98</f>
        <v/>
      </c>
      <c r="AQ98" s="61">
        <f>IF(OR($C98="Weapon",$C98="Caster weapon"),"",'Gear Budget'!$B$5*MAX(1,MIN(AC98,50))*INDEX('Gear Budget'!$B$8:$B$14,MATCH($C98,'Gear Budget'!$A$8:$A$14,0))*IF($C98="Shield",IF(E98="Warrior",1,IF(OR(E98="Rogue",E98="All"),0.38/0.6,0.25/0.6)),IFERROR(INDEX('Gear Budget'!$B$18:$B$21,MATCH($F98,'Gear Budget'!$A$18:$A$21,0)),1)))</f>
        <v/>
      </c>
      <c r="AR98" s="41">
        <f>IF(AQ98="","",AF98/AQ98)</f>
        <v/>
      </c>
      <c r="AS98" s="64" t="inlineStr">
        <is>
          <t>L30 vendor: 1.85x the matching L20 vendor piece (Silk Leggings) so it is a clear upgrade</t>
        </is>
      </c>
      <c r="AT98" s="44">
        <f>IF(OR($E98="All",ISNUMBER(SEARCH("Warrior",$E98))),IF($C98="Caster weapon",(AN98+AF98*('Item Budget'!$AB$14-'Item Budget'!$B$11)),(AM98+AF98*('Item Budget'!$AB$14-'Item Budget'!$B$11))),0)</f>
        <v/>
      </c>
      <c r="AU98" s="44">
        <f>IF(OR($E98="All",ISNUMBER(SEARCH("Rogue",$E98))),IF($C98="Caster weapon",(AN98+AF98*('Item Budget'!$AB$15-'Item Budget'!$B$11)),(AM98+AF98*('Item Budget'!$AB$15-'Item Budget'!$B$11))),0)</f>
        <v/>
      </c>
      <c r="AV98" s="44">
        <f>IF(OR($E98="All",ISNUMBER(SEARCH("Magus",$E98))),(AN98+AF98*('Item Budget'!$AB$16-'Item Budget'!$B$11)),0)</f>
        <v/>
      </c>
      <c r="AW98" s="44">
        <f>IF(OR($E98="All",ISNUMBER(SEARCH("Priest",$E98))),(AN98+AF98*('Item Budget'!$AB$17-'Item Budget'!$B$11)),0)</f>
        <v/>
      </c>
      <c r="AX98" s="44">
        <f>IF(AND(OR($E98="All",ISNUMBER(SEARCH("Warrior",$E98))),AC98&gt;='Item Budget'!$R$10),'Item Budget'!$R$7*100*('Item Budget'!$R$14*(AD98+25*AH98)+'Item Budget'!$S$14*(AE98+25*AJ98))/'Item Budget'!$Z$14+'Item Budget'!$R$9*AF98+IFERROR(INDEX('Item Budget'!$O$25:$O$95,MATCH(AL98,'Item Budget'!$B$25:$B$95,0)),0),0)</f>
        <v/>
      </c>
      <c r="AY98" s="44">
        <f>IF(AND(OR($E98="All",ISNUMBER(SEARCH("Rogue",$E98))),AC98&gt;='Item Budget'!$R$10),'Item Budget'!$R$7*100*('Item Budget'!$R$15*(AD98+25*AH98)+'Item Budget'!$S$15*(AE98+25*AJ98))/'Item Budget'!$Z$15+'Item Budget'!$R$9*AF98+IFERROR(INDEX('Item Budget'!$O$25:$O$95,MATCH(AL98,'Item Budget'!$B$25:$B$95,0)),0),0)</f>
        <v/>
      </c>
      <c r="AZ98" s="44">
        <f>IF(AND(OR($E98="All",ISNUMBER(SEARCH("Magus",$E98))),AC98&gt;='Item Budget'!$R$10),'Item Budget'!$R$7*100*('Item Budget'!$R$16*(AD98+25*AH98)+'Item Budget'!$S$16*(AE98+25*AJ98))/'Item Budget'!$Z$16+'Item Budget'!$R$9*AF98+IFERROR(INDEX('Item Budget'!$O$25:$O$95,MATCH(AL98,'Item Budget'!$B$25:$B$95,0)),0),0)</f>
        <v/>
      </c>
      <c r="BA98" s="44">
        <f>IF(AND(OR($E98="All",ISNUMBER(SEARCH("Priest",$E98))),AC98&gt;='Item Budget'!$R$10),'Item Budget'!$R$7*100*('Item Budget'!$R$17*(AD98+25*AH98)+'Item Budget'!$S$17*(AE98+25*AJ98))/'Item Budget'!$Z$17+'Item Budget'!$R$9*AF98+IFERROR(INDEX('Item Budget'!$O$25:$O$95,MATCH(AL98,'Item Budget'!$B$25:$B$95,0)),0),0)</f>
        <v/>
      </c>
      <c r="BB98" s="52">
        <f>IF(OR($I98&lt;1,IF($I98&gt;=6,AX98,AT98)&lt;=0),"",IF(SUMPRODUCT(MAX(($C$5:$C$215=$C98)*($I$5:$I$215&gt;=1)*($I$5:$I$215&lt;$I98)*IF($I98&gt;=6,$AX$5:$AX$215,$AT$5:$AT$215)))&lt;=0,"",SUMPRODUCT(MAX(($C$5:$C$215=$C98)*($I$5:$I$215=$I98)*IF($I98&gt;=6,$AX$5:$AX$215,$AT$5:$AT$215)))/SUMPRODUCT(MAX(($C$5:$C$215=$C98)*($I$5:$I$215&gt;=1)*($I$5:$I$215&lt;$I98)*IF($I98&gt;=6,$AX$5:$AX$215,$AT$5:$AT$215)))-1))</f>
        <v/>
      </c>
      <c r="BC98" s="52">
        <f>IF(OR($I98&lt;1,IF($I98&gt;=6,AY98,AU98)&lt;=0),"",IF(SUMPRODUCT(MAX(($C$5:$C$215=$C98)*($I$5:$I$215&gt;=1)*($I$5:$I$215&lt;$I98)*IF($I98&gt;=6,$AY$5:$AY$215,$AU$5:$AU$215)))&lt;=0,"",SUMPRODUCT(MAX(($C$5:$C$215=$C98)*($I$5:$I$215=$I98)*IF($I98&gt;=6,$AY$5:$AY$215,$AU$5:$AU$215)))/SUMPRODUCT(MAX(($C$5:$C$215=$C98)*($I$5:$I$215&gt;=1)*($I$5:$I$215&lt;$I98)*IF($I98&gt;=6,$AY$5:$AY$215,$AU$5:$AU$215)))-1))</f>
        <v/>
      </c>
      <c r="BD98" s="52">
        <f>IF(OR($I98&lt;1,IF($I98&gt;=6,AZ98,AV98)&lt;=0),"",IF(SUMPRODUCT(MAX(($C$5:$C$215=$C98)*($I$5:$I$215&gt;=1)*($I$5:$I$215&lt;$I98)*IF($I98&gt;=6,$AZ$5:$AZ$215,$AV$5:$AV$215)))&lt;=0,"",SUMPRODUCT(MAX(($C$5:$C$215=$C98)*($I$5:$I$215=$I98)*IF($I98&gt;=6,$AZ$5:$AZ$215,$AV$5:$AV$215)))/SUMPRODUCT(MAX(($C$5:$C$215=$C98)*($I$5:$I$215&gt;=1)*($I$5:$I$215&lt;$I98)*IF($I98&gt;=6,$AZ$5:$AZ$215,$AV$5:$AV$215)))-1))</f>
        <v/>
      </c>
      <c r="BE98" s="52">
        <f>IF(OR($I98&lt;1,IF($I98&gt;=6,BA98,AW98)&lt;=0),"",IF(SUMPRODUCT(MAX(($C$5:$C$215=$C98)*($I$5:$I$215&gt;=1)*($I$5:$I$215&lt;$I98)*IF($I98&gt;=6,$BA$5:$BA$215,$AW$5:$AW$215)))&lt;=0,"",SUMPRODUCT(MAX(($C$5:$C$215=$C98)*($I$5:$I$215=$I98)*IF($I98&gt;=6,$BA$5:$BA$215,$AW$5:$AW$215)))/SUMPRODUCT(MAX(($C$5:$C$215=$C98)*($I$5:$I$215&gt;=1)*($I$5:$I$215&lt;$I98)*IF($I98&gt;=6,$BA$5:$BA$215,$AW$5:$AW$215)))-1))</f>
        <v/>
      </c>
      <c r="BF98" s="19">
        <f>IF(AND(BB98="",BC98="",BD98="",BE98=""),"",IF(IF(AND(ISNUMBER(BB98),BB98&lt;'Item Budget'!$R$11),"W ","")&amp;IF(AND(ISNUMBER(BC98),BC98&lt;'Item Budget'!$R$11),"R ","")&amp;IF(AND(ISNUMBER(BD98),BD98&lt;'Item Budget'!$R$11),"M ","")&amp;IF(AND(ISNUMBER(BE98),BE98&lt;'Item Budget'!$R$11),"P ","")="","OK","Not above lower step: "&amp;IF(AND(ISNUMBER(BB98),BB98&lt;'Item Budget'!$R$11),"W ","")&amp;IF(AND(ISNUMBER(BC98),BC98&lt;'Item Budget'!$R$11),"R ","")&amp;IF(AND(ISNUMBER(BD98),BD98&lt;'Item Budget'!$R$11),"M ","")&amp;IF(AND(ISNUMBER(BE98),BE98&lt;'Item Budget'!$R$11),"P ","")))</f>
        <v/>
      </c>
    </row>
    <row r="99">
      <c r="A99" s="21" t="n">
        <v>224</v>
      </c>
      <c r="B99" s="21" t="inlineStr">
        <is>
          <t>Priests Leggings</t>
        </is>
      </c>
      <c r="C99" s="21" t="inlineStr">
        <is>
          <t>Pants</t>
        </is>
      </c>
      <c r="D99" s="21" t="inlineStr">
        <is>
          <t>Priest</t>
        </is>
      </c>
      <c r="E99" s="21" t="inlineStr">
        <is>
          <t>Priest</t>
        </is>
      </c>
      <c r="F99" s="21" t="inlineStr">
        <is>
          <t>Caster cloth</t>
        </is>
      </c>
      <c r="G99" s="21" t="inlineStr">
        <is>
          <t>drop: Record Keeper 7%</t>
        </is>
      </c>
      <c r="H99" s="37" t="n">
        <v>0</v>
      </c>
      <c r="I99" s="21" t="n">
        <v>0</v>
      </c>
      <c r="J99" s="3" t="inlineStr">
        <is>
          <t>Pass 2</t>
        </is>
      </c>
      <c r="K99" s="21" t="inlineStr">
        <is>
          <t>Rare boss drop</t>
        </is>
      </c>
      <c r="L99" s="31">
        <f>INDEX('Item Budget'!$F$5:$F$13,MATCH(K99,'Item Budget'!$E$5:$E$13,0))+IF(E99="All",0,'Item Budget'!$F$15)+LOOKUP(H99,'Item Budget'!$E$19:$E$23,'Item Budget'!$F$19:$F$23)</f>
        <v/>
      </c>
      <c r="M99" s="21" t="n">
        <v>40</v>
      </c>
      <c r="N99" s="21" t="n">
        <v>150</v>
      </c>
      <c r="O99" s="21" t="n">
        <v>250</v>
      </c>
      <c r="P99" s="21" t="n">
        <v>28</v>
      </c>
      <c r="Q99" s="21" t="n">
        <v>0</v>
      </c>
      <c r="R99" s="21" t="n">
        <v>10</v>
      </c>
      <c r="S99" s="21" t="n">
        <v>0</v>
      </c>
      <c r="T99" s="21" t="n">
        <v>17</v>
      </c>
      <c r="U99" s="21" t="n">
        <v>0</v>
      </c>
      <c r="V99" s="21" t="inlineStr">
        <is>
          <t>(none)</t>
        </is>
      </c>
      <c r="W99" s="61">
        <f>N99*'Item Budget'!$B$5+R99*'Item Budget'!$B$7+P99*'Item Budget'!$B$11+S99*'Item Budget'!$B$10+Q99*'Item Budget'!$B$9+IFERROR(INDEX('Item Budget'!$M$25:$M$95,MATCH(V99,'Item Budget'!$B$25:$B$95,0)),0)+IF($C99="Weapon",U99*'Item Budget'!$B$9,0)</f>
        <v/>
      </c>
      <c r="X99" s="61">
        <f>N99*'Item Budget'!$B$5+R99*'Item Budget'!$B$7+P99*'Item Budget'!$B$11+S99*'Item Budget'!$B$10+O99*'Item Budget'!$B$6+T99*'Item Budget'!$B$8+IFERROR(INDEX('Item Budget'!$N$25:$N$95,MATCH(V99,'Item Budget'!$B$25:$B$95,0)),0)</f>
        <v/>
      </c>
      <c r="Y99" s="61">
        <f>MAX('Item Budget'!$F$16,INDEX('Gear Budget'!$C$8:$C$14,MATCH($C99,'Gear Budget'!$A$8:$A$14,0))*MIN(M99,50))*$L99</f>
        <v/>
      </c>
      <c r="Z99" s="41">
        <f>IF($C99="Caster weapon",X99,MAX(W99,X99))/Y99</f>
        <v/>
      </c>
      <c r="AA99" s="61">
        <f>IF(OR($C99="Weapon",$C99="Caster weapon"),"",'Gear Budget'!$B$5*MAX(1,MIN(M99,50))*INDEX('Gear Budget'!$B$8:$B$14,MATCH($C99,'Gear Budget'!$A$8:$A$14,0))*IF($C99="Shield",IF(D99="Warrior",1,IF(OR(D99="Rogue",D99="All"),0.38/0.6,0.25/0.6)),IFERROR(INDEX('Gear Budget'!$B$18:$B$21,MATCH($F99,'Gear Budget'!$A$18:$A$21,0)),1)))</f>
        <v/>
      </c>
      <c r="AB99" s="41">
        <f>IF(AA99="","",P99/AA99)</f>
        <v/>
      </c>
      <c r="AC99" s="21" t="n">
        <v>40</v>
      </c>
      <c r="AD99" s="20" t="n">
        <v>140</v>
      </c>
      <c r="AE99" s="20" t="n">
        <v>225</v>
      </c>
      <c r="AF99" s="20" t="n">
        <v>26</v>
      </c>
      <c r="AG99" s="21" t="n">
        <v>0</v>
      </c>
      <c r="AH99" s="20" t="n">
        <v>9</v>
      </c>
      <c r="AI99" s="21" t="n">
        <v>0</v>
      </c>
      <c r="AJ99" s="20" t="n">
        <v>16</v>
      </c>
      <c r="AK99" s="21" t="n">
        <v>0</v>
      </c>
      <c r="AL99" s="21" t="inlineStr">
        <is>
          <t>(none)</t>
        </is>
      </c>
      <c r="AM99" s="61">
        <f>AD99*'Item Budget'!$B$5+AH99*'Item Budget'!$B$7+AF99*'Item Budget'!$B$11+AI99*'Item Budget'!$B$10+AG99*'Item Budget'!$B$9+IFERROR(INDEX('Item Budget'!$M$25:$M$95,MATCH(AL99,'Item Budget'!$B$25:$B$95,0)),0)+IF($C99="Weapon",AK99*'Item Budget'!$B$9,0)</f>
        <v/>
      </c>
      <c r="AN99" s="61">
        <f>AD99*'Item Budget'!$B$5+AH99*'Item Budget'!$B$7+AF99*'Item Budget'!$B$11+AI99*'Item Budget'!$B$10+AE99*'Item Budget'!$B$6+AJ99*'Item Budget'!$B$8+IFERROR(INDEX('Item Budget'!$N$25:$N$95,MATCH(AL99,'Item Budget'!$B$25:$B$95,0)),0)</f>
        <v/>
      </c>
      <c r="AO99" s="61">
        <f>MAX('Item Budget'!$F$16,INDEX('Gear Budget'!$C$8:$C$14,MATCH($C99,'Gear Budget'!$A$8:$A$14,0))*MIN(AC99,50))*$L99</f>
        <v/>
      </c>
      <c r="AP99" s="41">
        <f>IF($C99="Caster weapon",AN99,MAX(AM99,AN99))/AO99</f>
        <v/>
      </c>
      <c r="AQ99" s="61">
        <f>IF(OR($C99="Weapon",$C99="Caster weapon"),"",'Gear Budget'!$B$5*MAX(1,MIN(AC99,50))*INDEX('Gear Budget'!$B$8:$B$14,MATCH($C99,'Gear Budget'!$A$8:$A$14,0))*IF($C99="Shield",IF(E99="Warrior",1,IF(OR(E99="Rogue",E99="All"),0.38/0.6,0.25/0.6)),IFERROR(INDEX('Gear Budget'!$B$18:$B$21,MATCH($F99,'Gear Budget'!$A$18:$A$21,0)),1)))</f>
        <v/>
      </c>
      <c r="AR99" s="41">
        <f>IF(AQ99="","",AF99/AQ99)</f>
        <v/>
      </c>
      <c r="AS99" s="64" t="inlineStr">
        <is>
          <t>L40 boss set: lowered so Punchy is a clear (+25%) upgrade</t>
        </is>
      </c>
      <c r="AT99" s="44">
        <f>IF(OR($E99="All",ISNUMBER(SEARCH("Warrior",$E99))),IF($C99="Caster weapon",(AN99+AF99*('Item Budget'!$AB$14-'Item Budget'!$B$11)),(AM99+AF99*('Item Budget'!$AB$14-'Item Budget'!$B$11))),0)</f>
        <v/>
      </c>
      <c r="AU99" s="44">
        <f>IF(OR($E99="All",ISNUMBER(SEARCH("Rogue",$E99))),IF($C99="Caster weapon",(AN99+AF99*('Item Budget'!$AB$15-'Item Budget'!$B$11)),(AM99+AF99*('Item Budget'!$AB$15-'Item Budget'!$B$11))),0)</f>
        <v/>
      </c>
      <c r="AV99" s="44">
        <f>IF(OR($E99="All",ISNUMBER(SEARCH("Magus",$E99))),(AN99+AF99*('Item Budget'!$AB$16-'Item Budget'!$B$11)),0)</f>
        <v/>
      </c>
      <c r="AW99" s="44">
        <f>IF(OR($E99="All",ISNUMBER(SEARCH("Priest",$E99))),(AN99+AF99*('Item Budget'!$AB$17-'Item Budget'!$B$11)),0)</f>
        <v/>
      </c>
      <c r="AX99" s="44">
        <f>IF(AND(OR($E99="All",ISNUMBER(SEARCH("Warrior",$E99))),AC99&gt;='Item Budget'!$R$10),'Item Budget'!$R$7*100*('Item Budget'!$R$14*(AD99+25*AH99)+'Item Budget'!$S$14*(AE99+25*AJ99))/'Item Budget'!$Z$14+'Item Budget'!$R$9*AF99+IFERROR(INDEX('Item Budget'!$O$25:$O$95,MATCH(AL99,'Item Budget'!$B$25:$B$95,0)),0),0)</f>
        <v/>
      </c>
      <c r="AY99" s="44">
        <f>IF(AND(OR($E99="All",ISNUMBER(SEARCH("Rogue",$E99))),AC99&gt;='Item Budget'!$R$10),'Item Budget'!$R$7*100*('Item Budget'!$R$15*(AD99+25*AH99)+'Item Budget'!$S$15*(AE99+25*AJ99))/'Item Budget'!$Z$15+'Item Budget'!$R$9*AF99+IFERROR(INDEX('Item Budget'!$O$25:$O$95,MATCH(AL99,'Item Budget'!$B$25:$B$95,0)),0),0)</f>
        <v/>
      </c>
      <c r="AZ99" s="44">
        <f>IF(AND(OR($E99="All",ISNUMBER(SEARCH("Magus",$E99))),AC99&gt;='Item Budget'!$R$10),'Item Budget'!$R$7*100*('Item Budget'!$R$16*(AD99+25*AH99)+'Item Budget'!$S$16*(AE99+25*AJ99))/'Item Budget'!$Z$16+'Item Budget'!$R$9*AF99+IFERROR(INDEX('Item Budget'!$O$25:$O$95,MATCH(AL99,'Item Budget'!$B$25:$B$95,0)),0),0)</f>
        <v/>
      </c>
      <c r="BA99" s="44">
        <f>IF(AND(OR($E99="All",ISNUMBER(SEARCH("Priest",$E99))),AC99&gt;='Item Budget'!$R$10),'Item Budget'!$R$7*100*('Item Budget'!$R$17*(AD99+25*AH99)+'Item Budget'!$S$17*(AE99+25*AJ99))/'Item Budget'!$Z$17+'Item Budget'!$R$9*AF99+IFERROR(INDEX('Item Budget'!$O$25:$O$95,MATCH(AL99,'Item Budget'!$B$25:$B$95,0)),0),0)</f>
        <v/>
      </c>
      <c r="BB99" s="52">
        <f>IF(OR($I99&lt;1,IF($I99&gt;=6,AX99,AT99)&lt;=0),"",IF(SUMPRODUCT(MAX(($C$5:$C$215=$C99)*($I$5:$I$215&gt;=1)*($I$5:$I$215&lt;$I99)*IF($I99&gt;=6,$AX$5:$AX$215,$AT$5:$AT$215)))&lt;=0,"",SUMPRODUCT(MAX(($C$5:$C$215=$C99)*($I$5:$I$215=$I99)*IF($I99&gt;=6,$AX$5:$AX$215,$AT$5:$AT$215)))/SUMPRODUCT(MAX(($C$5:$C$215=$C99)*($I$5:$I$215&gt;=1)*($I$5:$I$215&lt;$I99)*IF($I99&gt;=6,$AX$5:$AX$215,$AT$5:$AT$215)))-1))</f>
        <v/>
      </c>
      <c r="BC99" s="52">
        <f>IF(OR($I99&lt;1,IF($I99&gt;=6,AY99,AU99)&lt;=0),"",IF(SUMPRODUCT(MAX(($C$5:$C$215=$C99)*($I$5:$I$215&gt;=1)*($I$5:$I$215&lt;$I99)*IF($I99&gt;=6,$AY$5:$AY$215,$AU$5:$AU$215)))&lt;=0,"",SUMPRODUCT(MAX(($C$5:$C$215=$C99)*($I$5:$I$215=$I99)*IF($I99&gt;=6,$AY$5:$AY$215,$AU$5:$AU$215)))/SUMPRODUCT(MAX(($C$5:$C$215=$C99)*($I$5:$I$215&gt;=1)*($I$5:$I$215&lt;$I99)*IF($I99&gt;=6,$AY$5:$AY$215,$AU$5:$AU$215)))-1))</f>
        <v/>
      </c>
      <c r="BD99" s="52">
        <f>IF(OR($I99&lt;1,IF($I99&gt;=6,AZ99,AV99)&lt;=0),"",IF(SUMPRODUCT(MAX(($C$5:$C$215=$C99)*($I$5:$I$215&gt;=1)*($I$5:$I$215&lt;$I99)*IF($I99&gt;=6,$AZ$5:$AZ$215,$AV$5:$AV$215)))&lt;=0,"",SUMPRODUCT(MAX(($C$5:$C$215=$C99)*($I$5:$I$215=$I99)*IF($I99&gt;=6,$AZ$5:$AZ$215,$AV$5:$AV$215)))/SUMPRODUCT(MAX(($C$5:$C$215=$C99)*($I$5:$I$215&gt;=1)*($I$5:$I$215&lt;$I99)*IF($I99&gt;=6,$AZ$5:$AZ$215,$AV$5:$AV$215)))-1))</f>
        <v/>
      </c>
      <c r="BE99" s="52">
        <f>IF(OR($I99&lt;1,IF($I99&gt;=6,BA99,AW99)&lt;=0),"",IF(SUMPRODUCT(MAX(($C$5:$C$215=$C99)*($I$5:$I$215&gt;=1)*($I$5:$I$215&lt;$I99)*IF($I99&gt;=6,$BA$5:$BA$215,$AW$5:$AW$215)))&lt;=0,"",SUMPRODUCT(MAX(($C$5:$C$215=$C99)*($I$5:$I$215=$I99)*IF($I99&gt;=6,$BA$5:$BA$215,$AW$5:$AW$215)))/SUMPRODUCT(MAX(($C$5:$C$215=$C99)*($I$5:$I$215&gt;=1)*($I$5:$I$215&lt;$I99)*IF($I99&gt;=6,$BA$5:$BA$215,$AW$5:$AW$215)))-1))</f>
        <v/>
      </c>
      <c r="BF99" s="19">
        <f>IF(AND(BB99="",BC99="",BD99="",BE99=""),"",IF(IF(AND(ISNUMBER(BB99),BB99&lt;'Item Budget'!$R$11),"W ","")&amp;IF(AND(ISNUMBER(BC99),BC99&lt;'Item Budget'!$R$11),"R ","")&amp;IF(AND(ISNUMBER(BD99),BD99&lt;'Item Budget'!$R$11),"M ","")&amp;IF(AND(ISNUMBER(BE99),BE99&lt;'Item Budget'!$R$11),"P ","")="","OK","Not above lower step: "&amp;IF(AND(ISNUMBER(BB99),BB99&lt;'Item Budget'!$R$11),"W ","")&amp;IF(AND(ISNUMBER(BC99),BC99&lt;'Item Budget'!$R$11),"R ","")&amp;IF(AND(ISNUMBER(BD99),BD99&lt;'Item Budget'!$R$11),"M ","")&amp;IF(AND(ISNUMBER(BE99),BE99&lt;'Item Budget'!$R$11),"P ","")))</f>
        <v/>
      </c>
    </row>
    <row r="100">
      <c r="A100" s="21" t="n">
        <v>227</v>
      </c>
      <c r="B100" s="21" t="inlineStr">
        <is>
          <t>Magus Leggings</t>
        </is>
      </c>
      <c r="C100" s="21" t="inlineStr">
        <is>
          <t>Pants</t>
        </is>
      </c>
      <c r="D100" s="21" t="inlineStr">
        <is>
          <t>Magus</t>
        </is>
      </c>
      <c r="E100" s="21" t="inlineStr">
        <is>
          <t>Magus</t>
        </is>
      </c>
      <c r="F100" s="21" t="inlineStr">
        <is>
          <t>Caster cloth</t>
        </is>
      </c>
      <c r="G100" s="21" t="inlineStr">
        <is>
          <t>drop: Record Keeper 7%</t>
        </is>
      </c>
      <c r="H100" s="37" t="n">
        <v>0</v>
      </c>
      <c r="I100" s="21" t="n">
        <v>0</v>
      </c>
      <c r="J100" s="3" t="inlineStr">
        <is>
          <t>Pass 2</t>
        </is>
      </c>
      <c r="K100" s="21" t="inlineStr">
        <is>
          <t>Rare boss drop</t>
        </is>
      </c>
      <c r="L100" s="31">
        <f>INDEX('Item Budget'!$F$5:$F$13,MATCH(K100,'Item Budget'!$E$5:$E$13,0))+IF(E100="All",0,'Item Budget'!$F$15)+LOOKUP(H100,'Item Budget'!$E$19:$E$23,'Item Budget'!$F$19:$F$23)</f>
        <v/>
      </c>
      <c r="M100" s="21" t="n">
        <v>40</v>
      </c>
      <c r="N100" s="21" t="n">
        <v>50</v>
      </c>
      <c r="O100" s="21" t="n">
        <v>350</v>
      </c>
      <c r="P100" s="21" t="n">
        <v>28</v>
      </c>
      <c r="Q100" s="21" t="n">
        <v>0</v>
      </c>
      <c r="R100" s="21" t="n">
        <v>6</v>
      </c>
      <c r="S100" s="21" t="n">
        <v>0</v>
      </c>
      <c r="T100" s="21" t="n">
        <v>20</v>
      </c>
      <c r="U100" s="21" t="n">
        <v>0</v>
      </c>
      <c r="V100" s="21" t="inlineStr">
        <is>
          <t>(none)</t>
        </is>
      </c>
      <c r="W100" s="61">
        <f>N100*'Item Budget'!$B$5+R100*'Item Budget'!$B$7+P100*'Item Budget'!$B$11+S100*'Item Budget'!$B$10+Q100*'Item Budget'!$B$9+IFERROR(INDEX('Item Budget'!$M$25:$M$95,MATCH(V100,'Item Budget'!$B$25:$B$95,0)),0)+IF($C100="Weapon",U100*'Item Budget'!$B$9,0)</f>
        <v/>
      </c>
      <c r="X100" s="61">
        <f>N100*'Item Budget'!$B$5+R100*'Item Budget'!$B$7+P100*'Item Budget'!$B$11+S100*'Item Budget'!$B$10+O100*'Item Budget'!$B$6+T100*'Item Budget'!$B$8+IFERROR(INDEX('Item Budget'!$N$25:$N$95,MATCH(V100,'Item Budget'!$B$25:$B$95,0)),0)</f>
        <v/>
      </c>
      <c r="Y100" s="61">
        <f>MAX('Item Budget'!$F$16,INDEX('Gear Budget'!$C$8:$C$14,MATCH($C100,'Gear Budget'!$A$8:$A$14,0))*MIN(M100,50))*$L100</f>
        <v/>
      </c>
      <c r="Z100" s="41">
        <f>IF($C100="Caster weapon",X100,MAX(W100,X100))/Y100</f>
        <v/>
      </c>
      <c r="AA100" s="61">
        <f>IF(OR($C100="Weapon",$C100="Caster weapon"),"",'Gear Budget'!$B$5*MAX(1,MIN(M100,50))*INDEX('Gear Budget'!$B$8:$B$14,MATCH($C100,'Gear Budget'!$A$8:$A$14,0))*IF($C100="Shield",IF(D100="Warrior",1,IF(OR(D100="Rogue",D100="All"),0.38/0.6,0.25/0.6)),IFERROR(INDEX('Gear Budget'!$B$18:$B$21,MATCH($F100,'Gear Budget'!$A$18:$A$21,0)),1)))</f>
        <v/>
      </c>
      <c r="AB100" s="41">
        <f>IF(AA100="","",P100/AA100)</f>
        <v/>
      </c>
      <c r="AC100" s="21" t="n">
        <v>40</v>
      </c>
      <c r="AD100" s="20" t="n">
        <v>45</v>
      </c>
      <c r="AE100" s="20" t="n">
        <v>325</v>
      </c>
      <c r="AF100" s="20" t="n">
        <v>26</v>
      </c>
      <c r="AG100" s="21" t="n">
        <v>0</v>
      </c>
      <c r="AH100" s="21" t="n">
        <v>6</v>
      </c>
      <c r="AI100" s="21" t="n">
        <v>0</v>
      </c>
      <c r="AJ100" s="20" t="n">
        <v>19</v>
      </c>
      <c r="AK100" s="21" t="n">
        <v>0</v>
      </c>
      <c r="AL100" s="21" t="inlineStr">
        <is>
          <t>(none)</t>
        </is>
      </c>
      <c r="AM100" s="61">
        <f>AD100*'Item Budget'!$B$5+AH100*'Item Budget'!$B$7+AF100*'Item Budget'!$B$11+AI100*'Item Budget'!$B$10+AG100*'Item Budget'!$B$9+IFERROR(INDEX('Item Budget'!$M$25:$M$95,MATCH(AL100,'Item Budget'!$B$25:$B$95,0)),0)+IF($C100="Weapon",AK100*'Item Budget'!$B$9,0)</f>
        <v/>
      </c>
      <c r="AN100" s="61">
        <f>AD100*'Item Budget'!$B$5+AH100*'Item Budget'!$B$7+AF100*'Item Budget'!$B$11+AI100*'Item Budget'!$B$10+AE100*'Item Budget'!$B$6+AJ100*'Item Budget'!$B$8+IFERROR(INDEX('Item Budget'!$N$25:$N$95,MATCH(AL100,'Item Budget'!$B$25:$B$95,0)),0)</f>
        <v/>
      </c>
      <c r="AO100" s="61">
        <f>MAX('Item Budget'!$F$16,INDEX('Gear Budget'!$C$8:$C$14,MATCH($C100,'Gear Budget'!$A$8:$A$14,0))*MIN(AC100,50))*$L100</f>
        <v/>
      </c>
      <c r="AP100" s="41">
        <f>IF($C100="Caster weapon",AN100,MAX(AM100,AN100))/AO100</f>
        <v/>
      </c>
      <c r="AQ100" s="61">
        <f>IF(OR($C100="Weapon",$C100="Caster weapon"),"",'Gear Budget'!$B$5*MAX(1,MIN(AC100,50))*INDEX('Gear Budget'!$B$8:$B$14,MATCH($C100,'Gear Budget'!$A$8:$A$14,0))*IF($C100="Shield",IF(E100="Warrior",1,IF(OR(E100="Rogue",E100="All"),0.38/0.6,0.25/0.6)),IFERROR(INDEX('Gear Budget'!$B$18:$B$21,MATCH($F100,'Gear Budget'!$A$18:$A$21,0)),1)))</f>
        <v/>
      </c>
      <c r="AR100" s="41">
        <f>IF(AQ100="","",AF100/AQ100)</f>
        <v/>
      </c>
      <c r="AS100" s="64" t="inlineStr">
        <is>
          <t>L40 boss set: lowered so Punchy is a clear (+25%) upgrade</t>
        </is>
      </c>
      <c r="AT100" s="44">
        <f>IF(OR($E100="All",ISNUMBER(SEARCH("Warrior",$E100))),IF($C100="Caster weapon",(AN100+AF100*('Item Budget'!$AB$14-'Item Budget'!$B$11)),(AM100+AF100*('Item Budget'!$AB$14-'Item Budget'!$B$11))),0)</f>
        <v/>
      </c>
      <c r="AU100" s="44">
        <f>IF(OR($E100="All",ISNUMBER(SEARCH("Rogue",$E100))),IF($C100="Caster weapon",(AN100+AF100*('Item Budget'!$AB$15-'Item Budget'!$B$11)),(AM100+AF100*('Item Budget'!$AB$15-'Item Budget'!$B$11))),0)</f>
        <v/>
      </c>
      <c r="AV100" s="44">
        <f>IF(OR($E100="All",ISNUMBER(SEARCH("Magus",$E100))),(AN100+AF100*('Item Budget'!$AB$16-'Item Budget'!$B$11)),0)</f>
        <v/>
      </c>
      <c r="AW100" s="44">
        <f>IF(OR($E100="All",ISNUMBER(SEARCH("Priest",$E100))),(AN100+AF100*('Item Budget'!$AB$17-'Item Budget'!$B$11)),0)</f>
        <v/>
      </c>
      <c r="AX100" s="44">
        <f>IF(AND(OR($E100="All",ISNUMBER(SEARCH("Warrior",$E100))),AC100&gt;='Item Budget'!$R$10),'Item Budget'!$R$7*100*('Item Budget'!$R$14*(AD100+25*AH100)+'Item Budget'!$S$14*(AE100+25*AJ100))/'Item Budget'!$Z$14+'Item Budget'!$R$9*AF100+IFERROR(INDEX('Item Budget'!$O$25:$O$95,MATCH(AL100,'Item Budget'!$B$25:$B$95,0)),0),0)</f>
        <v/>
      </c>
      <c r="AY100" s="44">
        <f>IF(AND(OR($E100="All",ISNUMBER(SEARCH("Rogue",$E100))),AC100&gt;='Item Budget'!$R$10),'Item Budget'!$R$7*100*('Item Budget'!$R$15*(AD100+25*AH100)+'Item Budget'!$S$15*(AE100+25*AJ100))/'Item Budget'!$Z$15+'Item Budget'!$R$9*AF100+IFERROR(INDEX('Item Budget'!$O$25:$O$95,MATCH(AL100,'Item Budget'!$B$25:$B$95,0)),0),0)</f>
        <v/>
      </c>
      <c r="AZ100" s="44">
        <f>IF(AND(OR($E100="All",ISNUMBER(SEARCH("Magus",$E100))),AC100&gt;='Item Budget'!$R$10),'Item Budget'!$R$7*100*('Item Budget'!$R$16*(AD100+25*AH100)+'Item Budget'!$S$16*(AE100+25*AJ100))/'Item Budget'!$Z$16+'Item Budget'!$R$9*AF100+IFERROR(INDEX('Item Budget'!$O$25:$O$95,MATCH(AL100,'Item Budget'!$B$25:$B$95,0)),0),0)</f>
        <v/>
      </c>
      <c r="BA100" s="44">
        <f>IF(AND(OR($E100="All",ISNUMBER(SEARCH("Priest",$E100))),AC100&gt;='Item Budget'!$R$10),'Item Budget'!$R$7*100*('Item Budget'!$R$17*(AD100+25*AH100)+'Item Budget'!$S$17*(AE100+25*AJ100))/'Item Budget'!$Z$17+'Item Budget'!$R$9*AF100+IFERROR(INDEX('Item Budget'!$O$25:$O$95,MATCH(AL100,'Item Budget'!$B$25:$B$95,0)),0),0)</f>
        <v/>
      </c>
      <c r="BB100" s="52">
        <f>IF(OR($I100&lt;1,IF($I100&gt;=6,AX100,AT100)&lt;=0),"",IF(SUMPRODUCT(MAX(($C$5:$C$215=$C100)*($I$5:$I$215&gt;=1)*($I$5:$I$215&lt;$I100)*IF($I100&gt;=6,$AX$5:$AX$215,$AT$5:$AT$215)))&lt;=0,"",SUMPRODUCT(MAX(($C$5:$C$215=$C100)*($I$5:$I$215=$I100)*IF($I100&gt;=6,$AX$5:$AX$215,$AT$5:$AT$215)))/SUMPRODUCT(MAX(($C$5:$C$215=$C100)*($I$5:$I$215&gt;=1)*($I$5:$I$215&lt;$I100)*IF($I100&gt;=6,$AX$5:$AX$215,$AT$5:$AT$215)))-1))</f>
        <v/>
      </c>
      <c r="BC100" s="52">
        <f>IF(OR($I100&lt;1,IF($I100&gt;=6,AY100,AU100)&lt;=0),"",IF(SUMPRODUCT(MAX(($C$5:$C$215=$C100)*($I$5:$I$215&gt;=1)*($I$5:$I$215&lt;$I100)*IF($I100&gt;=6,$AY$5:$AY$215,$AU$5:$AU$215)))&lt;=0,"",SUMPRODUCT(MAX(($C$5:$C$215=$C100)*($I$5:$I$215=$I100)*IF($I100&gt;=6,$AY$5:$AY$215,$AU$5:$AU$215)))/SUMPRODUCT(MAX(($C$5:$C$215=$C100)*($I$5:$I$215&gt;=1)*($I$5:$I$215&lt;$I100)*IF($I100&gt;=6,$AY$5:$AY$215,$AU$5:$AU$215)))-1))</f>
        <v/>
      </c>
      <c r="BD100" s="52">
        <f>IF(OR($I100&lt;1,IF($I100&gt;=6,AZ100,AV100)&lt;=0),"",IF(SUMPRODUCT(MAX(($C$5:$C$215=$C100)*($I$5:$I$215&gt;=1)*($I$5:$I$215&lt;$I100)*IF($I100&gt;=6,$AZ$5:$AZ$215,$AV$5:$AV$215)))&lt;=0,"",SUMPRODUCT(MAX(($C$5:$C$215=$C100)*($I$5:$I$215=$I100)*IF($I100&gt;=6,$AZ$5:$AZ$215,$AV$5:$AV$215)))/SUMPRODUCT(MAX(($C$5:$C$215=$C100)*($I$5:$I$215&gt;=1)*($I$5:$I$215&lt;$I100)*IF($I100&gt;=6,$AZ$5:$AZ$215,$AV$5:$AV$215)))-1))</f>
        <v/>
      </c>
      <c r="BE100" s="52">
        <f>IF(OR($I100&lt;1,IF($I100&gt;=6,BA100,AW100)&lt;=0),"",IF(SUMPRODUCT(MAX(($C$5:$C$215=$C100)*($I$5:$I$215&gt;=1)*($I$5:$I$215&lt;$I100)*IF($I100&gt;=6,$BA$5:$BA$215,$AW$5:$AW$215)))&lt;=0,"",SUMPRODUCT(MAX(($C$5:$C$215=$C100)*($I$5:$I$215=$I100)*IF($I100&gt;=6,$BA$5:$BA$215,$AW$5:$AW$215)))/SUMPRODUCT(MAX(($C$5:$C$215=$C100)*($I$5:$I$215&gt;=1)*($I$5:$I$215&lt;$I100)*IF($I100&gt;=6,$BA$5:$BA$215,$AW$5:$AW$215)))-1))</f>
        <v/>
      </c>
      <c r="BF100" s="19">
        <f>IF(AND(BB100="",BC100="",BD100="",BE100=""),"",IF(IF(AND(ISNUMBER(BB100),BB100&lt;'Item Budget'!$R$11),"W ","")&amp;IF(AND(ISNUMBER(BC100),BC100&lt;'Item Budget'!$R$11),"R ","")&amp;IF(AND(ISNUMBER(BD100),BD100&lt;'Item Budget'!$R$11),"M ","")&amp;IF(AND(ISNUMBER(BE100),BE100&lt;'Item Budget'!$R$11),"P ","")="","OK","Not above lower step: "&amp;IF(AND(ISNUMBER(BB100),BB100&lt;'Item Budget'!$R$11),"W ","")&amp;IF(AND(ISNUMBER(BC100),BC100&lt;'Item Budget'!$R$11),"R ","")&amp;IF(AND(ISNUMBER(BD100),BD100&lt;'Item Budget'!$R$11),"M ","")&amp;IF(AND(ISNUMBER(BE100),BE100&lt;'Item Budget'!$R$11),"P ","")))</f>
        <v/>
      </c>
    </row>
    <row r="101">
      <c r="A101" s="21" t="n">
        <v>232</v>
      </c>
      <c r="B101" s="21" t="inlineStr">
        <is>
          <t>Warriors Legplates</t>
        </is>
      </c>
      <c r="C101" s="21" t="inlineStr">
        <is>
          <t>Pants</t>
        </is>
      </c>
      <c r="D101" s="21" t="inlineStr">
        <is>
          <t>Warrior</t>
        </is>
      </c>
      <c r="E101" s="21" t="inlineStr">
        <is>
          <t>Warrior</t>
        </is>
      </c>
      <c r="F101" s="21" t="inlineStr">
        <is>
          <t>Warrior plate</t>
        </is>
      </c>
      <c r="G101" s="21" t="inlineStr">
        <is>
          <t>drop: Record Keeper 7%</t>
        </is>
      </c>
      <c r="H101" s="37" t="n">
        <v>0</v>
      </c>
      <c r="I101" s="21" t="n">
        <v>0</v>
      </c>
      <c r="J101" s="3" t="inlineStr">
        <is>
          <t>Pass 2</t>
        </is>
      </c>
      <c r="K101" s="21" t="inlineStr">
        <is>
          <t>Rare boss drop</t>
        </is>
      </c>
      <c r="L101" s="31">
        <f>INDEX('Item Budget'!$F$5:$F$13,MATCH(K101,'Item Budget'!$E$5:$E$13,0))+IF(E101="All",0,'Item Budget'!$F$15)+LOOKUP(H101,'Item Budget'!$E$19:$E$23,'Item Budget'!$F$19:$F$23)</f>
        <v/>
      </c>
      <c r="M101" s="21" t="n">
        <v>40</v>
      </c>
      <c r="N101" s="21" t="n">
        <v>150</v>
      </c>
      <c r="O101" s="21" t="n">
        <v>0</v>
      </c>
      <c r="P101" s="21" t="n">
        <v>55</v>
      </c>
      <c r="Q101" s="21" t="n">
        <v>8</v>
      </c>
      <c r="R101" s="21" t="n">
        <v>12</v>
      </c>
      <c r="S101" s="21" t="n">
        <v>3</v>
      </c>
      <c r="T101" s="21" t="n">
        <v>3</v>
      </c>
      <c r="U101" s="21" t="n">
        <v>0</v>
      </c>
      <c r="V101" s="21" t="inlineStr">
        <is>
          <t>(none)</t>
        </is>
      </c>
      <c r="W101" s="61">
        <f>N101*'Item Budget'!$B$5+R101*'Item Budget'!$B$7+P101*'Item Budget'!$B$11+S101*'Item Budget'!$B$10+Q101*'Item Budget'!$B$9+IFERROR(INDEX('Item Budget'!$M$25:$M$95,MATCH(V101,'Item Budget'!$B$25:$B$95,0)),0)+IF($C101="Weapon",U101*'Item Budget'!$B$9,0)</f>
        <v/>
      </c>
      <c r="X101" s="61">
        <f>N101*'Item Budget'!$B$5+R101*'Item Budget'!$B$7+P101*'Item Budget'!$B$11+S101*'Item Budget'!$B$10+O101*'Item Budget'!$B$6+T101*'Item Budget'!$B$8+IFERROR(INDEX('Item Budget'!$N$25:$N$95,MATCH(V101,'Item Budget'!$B$25:$B$95,0)),0)</f>
        <v/>
      </c>
      <c r="Y101" s="61">
        <f>MAX('Item Budget'!$F$16,INDEX('Gear Budget'!$C$8:$C$14,MATCH($C101,'Gear Budget'!$A$8:$A$14,0))*MIN(M101,50))*$L101</f>
        <v/>
      </c>
      <c r="Z101" s="41">
        <f>IF($C101="Caster weapon",X101,MAX(W101,X101))/Y101</f>
        <v/>
      </c>
      <c r="AA101" s="61">
        <f>IF(OR($C101="Weapon",$C101="Caster weapon"),"",'Gear Budget'!$B$5*MAX(1,MIN(M101,50))*INDEX('Gear Budget'!$B$8:$B$14,MATCH($C101,'Gear Budget'!$A$8:$A$14,0))*IF($C101="Shield",IF(D101="Warrior",1,IF(OR(D101="Rogue",D101="All"),0.38/0.6,0.25/0.6)),IFERROR(INDEX('Gear Budget'!$B$18:$B$21,MATCH($F101,'Gear Budget'!$A$18:$A$21,0)),1)))</f>
        <v/>
      </c>
      <c r="AB101" s="41">
        <f>IF(AA101="","",P101/AA101)</f>
        <v/>
      </c>
      <c r="AC101" s="21" t="n">
        <v>40</v>
      </c>
      <c r="AD101" s="20" t="n">
        <v>140</v>
      </c>
      <c r="AE101" s="21" t="n">
        <v>0</v>
      </c>
      <c r="AF101" s="20" t="n">
        <v>51</v>
      </c>
      <c r="AG101" s="20" t="n">
        <v>7</v>
      </c>
      <c r="AH101" s="20" t="n">
        <v>11</v>
      </c>
      <c r="AI101" s="21" t="n">
        <v>3</v>
      </c>
      <c r="AJ101" s="21" t="n">
        <v>3</v>
      </c>
      <c r="AK101" s="21" t="n">
        <v>0</v>
      </c>
      <c r="AL101" s="21" t="inlineStr">
        <is>
          <t>(none)</t>
        </is>
      </c>
      <c r="AM101" s="61">
        <f>AD101*'Item Budget'!$B$5+AH101*'Item Budget'!$B$7+AF101*'Item Budget'!$B$11+AI101*'Item Budget'!$B$10+AG101*'Item Budget'!$B$9+IFERROR(INDEX('Item Budget'!$M$25:$M$95,MATCH(AL101,'Item Budget'!$B$25:$B$95,0)),0)+IF($C101="Weapon",AK101*'Item Budget'!$B$9,0)</f>
        <v/>
      </c>
      <c r="AN101" s="61">
        <f>AD101*'Item Budget'!$B$5+AH101*'Item Budget'!$B$7+AF101*'Item Budget'!$B$11+AI101*'Item Budget'!$B$10+AE101*'Item Budget'!$B$6+AJ101*'Item Budget'!$B$8+IFERROR(INDEX('Item Budget'!$N$25:$N$95,MATCH(AL101,'Item Budget'!$B$25:$B$95,0)),0)</f>
        <v/>
      </c>
      <c r="AO101" s="61">
        <f>MAX('Item Budget'!$F$16,INDEX('Gear Budget'!$C$8:$C$14,MATCH($C101,'Gear Budget'!$A$8:$A$14,0))*MIN(AC101,50))*$L101</f>
        <v/>
      </c>
      <c r="AP101" s="41">
        <f>IF($C101="Caster weapon",AN101,MAX(AM101,AN101))/AO101</f>
        <v/>
      </c>
      <c r="AQ101" s="61">
        <f>IF(OR($C101="Weapon",$C101="Caster weapon"),"",'Gear Budget'!$B$5*MAX(1,MIN(AC101,50))*INDEX('Gear Budget'!$B$8:$B$14,MATCH($C101,'Gear Budget'!$A$8:$A$14,0))*IF($C101="Shield",IF(E101="Warrior",1,IF(OR(E101="Rogue",E101="All"),0.38/0.6,0.25/0.6)),IFERROR(INDEX('Gear Budget'!$B$18:$B$21,MATCH($F101,'Gear Budget'!$A$18:$A$21,0)),1)))</f>
        <v/>
      </c>
      <c r="AR101" s="41">
        <f>IF(AQ101="","",AF101/AQ101)</f>
        <v/>
      </c>
      <c r="AS101" s="64" t="inlineStr">
        <is>
          <t>L40 boss set: lowered so Punchy is a clear (+25%) upgrade</t>
        </is>
      </c>
      <c r="AT101" s="44">
        <f>IF(OR($E101="All",ISNUMBER(SEARCH("Warrior",$E101))),IF($C101="Caster weapon",(AN101+AF101*('Item Budget'!$AB$14-'Item Budget'!$B$11)),(AM101+AF101*('Item Budget'!$AB$14-'Item Budget'!$B$11))),0)</f>
        <v/>
      </c>
      <c r="AU101" s="44">
        <f>IF(OR($E101="All",ISNUMBER(SEARCH("Rogue",$E101))),IF($C101="Caster weapon",(AN101+AF101*('Item Budget'!$AB$15-'Item Budget'!$B$11)),(AM101+AF101*('Item Budget'!$AB$15-'Item Budget'!$B$11))),0)</f>
        <v/>
      </c>
      <c r="AV101" s="44">
        <f>IF(OR($E101="All",ISNUMBER(SEARCH("Magus",$E101))),(AN101+AF101*('Item Budget'!$AB$16-'Item Budget'!$B$11)),0)</f>
        <v/>
      </c>
      <c r="AW101" s="44">
        <f>IF(OR($E101="All",ISNUMBER(SEARCH("Priest",$E101))),(AN101+AF101*('Item Budget'!$AB$17-'Item Budget'!$B$11)),0)</f>
        <v/>
      </c>
      <c r="AX101" s="44">
        <f>IF(AND(OR($E101="All",ISNUMBER(SEARCH("Warrior",$E101))),AC101&gt;='Item Budget'!$R$10),'Item Budget'!$R$7*100*('Item Budget'!$R$14*(AD101+25*AH101)+'Item Budget'!$S$14*(AE101+25*AJ101))/'Item Budget'!$Z$14+'Item Budget'!$R$9*AF101+IFERROR(INDEX('Item Budget'!$O$25:$O$95,MATCH(AL101,'Item Budget'!$B$25:$B$95,0)),0),0)</f>
        <v/>
      </c>
      <c r="AY101" s="44">
        <f>IF(AND(OR($E101="All",ISNUMBER(SEARCH("Rogue",$E101))),AC101&gt;='Item Budget'!$R$10),'Item Budget'!$R$7*100*('Item Budget'!$R$15*(AD101+25*AH101)+'Item Budget'!$S$15*(AE101+25*AJ101))/'Item Budget'!$Z$15+'Item Budget'!$R$9*AF101+IFERROR(INDEX('Item Budget'!$O$25:$O$95,MATCH(AL101,'Item Budget'!$B$25:$B$95,0)),0),0)</f>
        <v/>
      </c>
      <c r="AZ101" s="44">
        <f>IF(AND(OR($E101="All",ISNUMBER(SEARCH("Magus",$E101))),AC101&gt;='Item Budget'!$R$10),'Item Budget'!$R$7*100*('Item Budget'!$R$16*(AD101+25*AH101)+'Item Budget'!$S$16*(AE101+25*AJ101))/'Item Budget'!$Z$16+'Item Budget'!$R$9*AF101+IFERROR(INDEX('Item Budget'!$O$25:$O$95,MATCH(AL101,'Item Budget'!$B$25:$B$95,0)),0),0)</f>
        <v/>
      </c>
      <c r="BA101" s="44">
        <f>IF(AND(OR($E101="All",ISNUMBER(SEARCH("Priest",$E101))),AC101&gt;='Item Budget'!$R$10),'Item Budget'!$R$7*100*('Item Budget'!$R$17*(AD101+25*AH101)+'Item Budget'!$S$17*(AE101+25*AJ101))/'Item Budget'!$Z$17+'Item Budget'!$R$9*AF101+IFERROR(INDEX('Item Budget'!$O$25:$O$95,MATCH(AL101,'Item Budget'!$B$25:$B$95,0)),0),0)</f>
        <v/>
      </c>
      <c r="BB101" s="52">
        <f>IF(OR($I101&lt;1,IF($I101&gt;=6,AX101,AT101)&lt;=0),"",IF(SUMPRODUCT(MAX(($C$5:$C$215=$C101)*($I$5:$I$215&gt;=1)*($I$5:$I$215&lt;$I101)*IF($I101&gt;=6,$AX$5:$AX$215,$AT$5:$AT$215)))&lt;=0,"",SUMPRODUCT(MAX(($C$5:$C$215=$C101)*($I$5:$I$215=$I101)*IF($I101&gt;=6,$AX$5:$AX$215,$AT$5:$AT$215)))/SUMPRODUCT(MAX(($C$5:$C$215=$C101)*($I$5:$I$215&gt;=1)*($I$5:$I$215&lt;$I101)*IF($I101&gt;=6,$AX$5:$AX$215,$AT$5:$AT$215)))-1))</f>
        <v/>
      </c>
      <c r="BC101" s="52">
        <f>IF(OR($I101&lt;1,IF($I101&gt;=6,AY101,AU101)&lt;=0),"",IF(SUMPRODUCT(MAX(($C$5:$C$215=$C101)*($I$5:$I$215&gt;=1)*($I$5:$I$215&lt;$I101)*IF($I101&gt;=6,$AY$5:$AY$215,$AU$5:$AU$215)))&lt;=0,"",SUMPRODUCT(MAX(($C$5:$C$215=$C101)*($I$5:$I$215=$I101)*IF($I101&gt;=6,$AY$5:$AY$215,$AU$5:$AU$215)))/SUMPRODUCT(MAX(($C$5:$C$215=$C101)*($I$5:$I$215&gt;=1)*($I$5:$I$215&lt;$I101)*IF($I101&gt;=6,$AY$5:$AY$215,$AU$5:$AU$215)))-1))</f>
        <v/>
      </c>
      <c r="BD101" s="52">
        <f>IF(OR($I101&lt;1,IF($I101&gt;=6,AZ101,AV101)&lt;=0),"",IF(SUMPRODUCT(MAX(($C$5:$C$215=$C101)*($I$5:$I$215&gt;=1)*($I$5:$I$215&lt;$I101)*IF($I101&gt;=6,$AZ$5:$AZ$215,$AV$5:$AV$215)))&lt;=0,"",SUMPRODUCT(MAX(($C$5:$C$215=$C101)*($I$5:$I$215=$I101)*IF($I101&gt;=6,$AZ$5:$AZ$215,$AV$5:$AV$215)))/SUMPRODUCT(MAX(($C$5:$C$215=$C101)*($I$5:$I$215&gt;=1)*($I$5:$I$215&lt;$I101)*IF($I101&gt;=6,$AZ$5:$AZ$215,$AV$5:$AV$215)))-1))</f>
        <v/>
      </c>
      <c r="BE101" s="52">
        <f>IF(OR($I101&lt;1,IF($I101&gt;=6,BA101,AW101)&lt;=0),"",IF(SUMPRODUCT(MAX(($C$5:$C$215=$C101)*($I$5:$I$215&gt;=1)*($I$5:$I$215&lt;$I101)*IF($I101&gt;=6,$BA$5:$BA$215,$AW$5:$AW$215)))&lt;=0,"",SUMPRODUCT(MAX(($C$5:$C$215=$C101)*($I$5:$I$215=$I101)*IF($I101&gt;=6,$BA$5:$BA$215,$AW$5:$AW$215)))/SUMPRODUCT(MAX(($C$5:$C$215=$C101)*($I$5:$I$215&gt;=1)*($I$5:$I$215&lt;$I101)*IF($I101&gt;=6,$BA$5:$BA$215,$AW$5:$AW$215)))-1))</f>
        <v/>
      </c>
      <c r="BF101" s="19">
        <f>IF(AND(BB101="",BC101="",BD101="",BE101=""),"",IF(IF(AND(ISNUMBER(BB101),BB101&lt;'Item Budget'!$R$11),"W ","")&amp;IF(AND(ISNUMBER(BC101),BC101&lt;'Item Budget'!$R$11),"R ","")&amp;IF(AND(ISNUMBER(BD101),BD101&lt;'Item Budget'!$R$11),"M ","")&amp;IF(AND(ISNUMBER(BE101),BE101&lt;'Item Budget'!$R$11),"P ","")="","OK","Not above lower step: "&amp;IF(AND(ISNUMBER(BB101),BB101&lt;'Item Budget'!$R$11),"W ","")&amp;IF(AND(ISNUMBER(BC101),BC101&lt;'Item Budget'!$R$11),"R ","")&amp;IF(AND(ISNUMBER(BD101),BD101&lt;'Item Budget'!$R$11),"M ","")&amp;IF(AND(ISNUMBER(BE101),BE101&lt;'Item Budget'!$R$11),"P ","")))</f>
        <v/>
      </c>
    </row>
    <row r="102">
      <c r="A102" s="21" t="n">
        <v>236</v>
      </c>
      <c r="B102" s="21" t="inlineStr">
        <is>
          <t>Rogues Legplates</t>
        </is>
      </c>
      <c r="C102" s="21" t="inlineStr">
        <is>
          <t>Pants</t>
        </is>
      </c>
      <c r="D102" s="21" t="inlineStr">
        <is>
          <t>Rogue</t>
        </is>
      </c>
      <c r="E102" s="21" t="inlineStr">
        <is>
          <t>Rogue</t>
        </is>
      </c>
      <c r="F102" s="21" t="inlineStr">
        <is>
          <t>Rogue</t>
        </is>
      </c>
      <c r="G102" s="21" t="inlineStr">
        <is>
          <t>drop: Record Keeper 7%</t>
        </is>
      </c>
      <c r="H102" s="37" t="n">
        <v>0</v>
      </c>
      <c r="I102" s="21" t="n">
        <v>0</v>
      </c>
      <c r="J102" s="3" t="inlineStr">
        <is>
          <t>Pass 2</t>
        </is>
      </c>
      <c r="K102" s="21" t="inlineStr">
        <is>
          <t>Rare boss drop</t>
        </is>
      </c>
      <c r="L102" s="31">
        <f>INDEX('Item Budget'!$F$5:$F$13,MATCH(K102,'Item Budget'!$E$5:$E$13,0))+IF(E102="All",0,'Item Budget'!$F$15)+LOOKUP(H102,'Item Budget'!$E$19:$E$23,'Item Budget'!$F$19:$F$23)</f>
        <v/>
      </c>
      <c r="M102" s="21" t="n">
        <v>40</v>
      </c>
      <c r="N102" s="21" t="n">
        <v>150</v>
      </c>
      <c r="O102" s="21" t="n">
        <v>50</v>
      </c>
      <c r="P102" s="21" t="n">
        <v>38</v>
      </c>
      <c r="Q102" s="21" t="n">
        <v>9</v>
      </c>
      <c r="R102" s="21" t="n">
        <v>11</v>
      </c>
      <c r="S102" s="21" t="n">
        <v>15</v>
      </c>
      <c r="T102" s="21" t="n">
        <v>0</v>
      </c>
      <c r="U102" s="21" t="n">
        <v>0</v>
      </c>
      <c r="V102" s="21" t="inlineStr">
        <is>
          <t>(none)</t>
        </is>
      </c>
      <c r="W102" s="61">
        <f>N102*'Item Budget'!$B$5+R102*'Item Budget'!$B$7+P102*'Item Budget'!$B$11+S102*'Item Budget'!$B$10+Q102*'Item Budget'!$B$9+IFERROR(INDEX('Item Budget'!$M$25:$M$95,MATCH(V102,'Item Budget'!$B$25:$B$95,0)),0)+IF($C102="Weapon",U102*'Item Budget'!$B$9,0)</f>
        <v/>
      </c>
      <c r="X102" s="61">
        <f>N102*'Item Budget'!$B$5+R102*'Item Budget'!$B$7+P102*'Item Budget'!$B$11+S102*'Item Budget'!$B$10+O102*'Item Budget'!$B$6+T102*'Item Budget'!$B$8+IFERROR(INDEX('Item Budget'!$N$25:$N$95,MATCH(V102,'Item Budget'!$B$25:$B$95,0)),0)</f>
        <v/>
      </c>
      <c r="Y102" s="61">
        <f>MAX('Item Budget'!$F$16,INDEX('Gear Budget'!$C$8:$C$14,MATCH($C102,'Gear Budget'!$A$8:$A$14,0))*MIN(M102,50))*$L102</f>
        <v/>
      </c>
      <c r="Z102" s="41">
        <f>IF($C102="Caster weapon",X102,MAX(W102,X102))/Y102</f>
        <v/>
      </c>
      <c r="AA102" s="61">
        <f>IF(OR($C102="Weapon",$C102="Caster weapon"),"",'Gear Budget'!$B$5*MAX(1,MIN(M102,50))*INDEX('Gear Budget'!$B$8:$B$14,MATCH($C102,'Gear Budget'!$A$8:$A$14,0))*IF($C102="Shield",IF(D102="Warrior",1,IF(OR(D102="Rogue",D102="All"),0.38/0.6,0.25/0.6)),IFERROR(INDEX('Gear Budget'!$B$18:$B$21,MATCH($F102,'Gear Budget'!$A$18:$A$21,0)),1)))</f>
        <v/>
      </c>
      <c r="AB102" s="41">
        <f>IF(AA102="","",P102/AA102)</f>
        <v/>
      </c>
      <c r="AC102" s="21" t="n">
        <v>40</v>
      </c>
      <c r="AD102" s="20" t="n">
        <v>140</v>
      </c>
      <c r="AE102" s="20" t="n">
        <v>45</v>
      </c>
      <c r="AF102" s="20" t="n">
        <v>35</v>
      </c>
      <c r="AG102" s="20" t="n">
        <v>8</v>
      </c>
      <c r="AH102" s="20" t="n">
        <v>10</v>
      </c>
      <c r="AI102" s="20" t="n">
        <v>14</v>
      </c>
      <c r="AJ102" s="21" t="n">
        <v>0</v>
      </c>
      <c r="AK102" s="21" t="n">
        <v>0</v>
      </c>
      <c r="AL102" s="21" t="inlineStr">
        <is>
          <t>(none)</t>
        </is>
      </c>
      <c r="AM102" s="61">
        <f>AD102*'Item Budget'!$B$5+AH102*'Item Budget'!$B$7+AF102*'Item Budget'!$B$11+AI102*'Item Budget'!$B$10+AG102*'Item Budget'!$B$9+IFERROR(INDEX('Item Budget'!$M$25:$M$95,MATCH(AL102,'Item Budget'!$B$25:$B$95,0)),0)+IF($C102="Weapon",AK102*'Item Budget'!$B$9,0)</f>
        <v/>
      </c>
      <c r="AN102" s="61">
        <f>AD102*'Item Budget'!$B$5+AH102*'Item Budget'!$B$7+AF102*'Item Budget'!$B$11+AI102*'Item Budget'!$B$10+AE102*'Item Budget'!$B$6+AJ102*'Item Budget'!$B$8+IFERROR(INDEX('Item Budget'!$N$25:$N$95,MATCH(AL102,'Item Budget'!$B$25:$B$95,0)),0)</f>
        <v/>
      </c>
      <c r="AO102" s="61">
        <f>MAX('Item Budget'!$F$16,INDEX('Gear Budget'!$C$8:$C$14,MATCH($C102,'Gear Budget'!$A$8:$A$14,0))*MIN(AC102,50))*$L102</f>
        <v/>
      </c>
      <c r="AP102" s="41">
        <f>IF($C102="Caster weapon",AN102,MAX(AM102,AN102))/AO102</f>
        <v/>
      </c>
      <c r="AQ102" s="61">
        <f>IF(OR($C102="Weapon",$C102="Caster weapon"),"",'Gear Budget'!$B$5*MAX(1,MIN(AC102,50))*INDEX('Gear Budget'!$B$8:$B$14,MATCH($C102,'Gear Budget'!$A$8:$A$14,0))*IF($C102="Shield",IF(E102="Warrior",1,IF(OR(E102="Rogue",E102="All"),0.38/0.6,0.25/0.6)),IFERROR(INDEX('Gear Budget'!$B$18:$B$21,MATCH($F102,'Gear Budget'!$A$18:$A$21,0)),1)))</f>
        <v/>
      </c>
      <c r="AR102" s="41">
        <f>IF(AQ102="","",AF102/AQ102)</f>
        <v/>
      </c>
      <c r="AS102" s="64" t="inlineStr">
        <is>
          <t>L40 boss set: lowered so Punchy is a clear (+25%) upgrade</t>
        </is>
      </c>
      <c r="AT102" s="44">
        <f>IF(OR($E102="All",ISNUMBER(SEARCH("Warrior",$E102))),IF($C102="Caster weapon",(AN102+AF102*('Item Budget'!$AB$14-'Item Budget'!$B$11)),(AM102+AF102*('Item Budget'!$AB$14-'Item Budget'!$B$11))),0)</f>
        <v/>
      </c>
      <c r="AU102" s="44">
        <f>IF(OR($E102="All",ISNUMBER(SEARCH("Rogue",$E102))),IF($C102="Caster weapon",(AN102+AF102*('Item Budget'!$AB$15-'Item Budget'!$B$11)),(AM102+AF102*('Item Budget'!$AB$15-'Item Budget'!$B$11))),0)</f>
        <v/>
      </c>
      <c r="AV102" s="44">
        <f>IF(OR($E102="All",ISNUMBER(SEARCH("Magus",$E102))),(AN102+AF102*('Item Budget'!$AB$16-'Item Budget'!$B$11)),0)</f>
        <v/>
      </c>
      <c r="AW102" s="44">
        <f>IF(OR($E102="All",ISNUMBER(SEARCH("Priest",$E102))),(AN102+AF102*('Item Budget'!$AB$17-'Item Budget'!$B$11)),0)</f>
        <v/>
      </c>
      <c r="AX102" s="44">
        <f>IF(AND(OR($E102="All",ISNUMBER(SEARCH("Warrior",$E102))),AC102&gt;='Item Budget'!$R$10),'Item Budget'!$R$7*100*('Item Budget'!$R$14*(AD102+25*AH102)+'Item Budget'!$S$14*(AE102+25*AJ102))/'Item Budget'!$Z$14+'Item Budget'!$R$9*AF102+IFERROR(INDEX('Item Budget'!$O$25:$O$95,MATCH(AL102,'Item Budget'!$B$25:$B$95,0)),0),0)</f>
        <v/>
      </c>
      <c r="AY102" s="44">
        <f>IF(AND(OR($E102="All",ISNUMBER(SEARCH("Rogue",$E102))),AC102&gt;='Item Budget'!$R$10),'Item Budget'!$R$7*100*('Item Budget'!$R$15*(AD102+25*AH102)+'Item Budget'!$S$15*(AE102+25*AJ102))/'Item Budget'!$Z$15+'Item Budget'!$R$9*AF102+IFERROR(INDEX('Item Budget'!$O$25:$O$95,MATCH(AL102,'Item Budget'!$B$25:$B$95,0)),0),0)</f>
        <v/>
      </c>
      <c r="AZ102" s="44">
        <f>IF(AND(OR($E102="All",ISNUMBER(SEARCH("Magus",$E102))),AC102&gt;='Item Budget'!$R$10),'Item Budget'!$R$7*100*('Item Budget'!$R$16*(AD102+25*AH102)+'Item Budget'!$S$16*(AE102+25*AJ102))/'Item Budget'!$Z$16+'Item Budget'!$R$9*AF102+IFERROR(INDEX('Item Budget'!$O$25:$O$95,MATCH(AL102,'Item Budget'!$B$25:$B$95,0)),0),0)</f>
        <v/>
      </c>
      <c r="BA102" s="44">
        <f>IF(AND(OR($E102="All",ISNUMBER(SEARCH("Priest",$E102))),AC102&gt;='Item Budget'!$R$10),'Item Budget'!$R$7*100*('Item Budget'!$R$17*(AD102+25*AH102)+'Item Budget'!$S$17*(AE102+25*AJ102))/'Item Budget'!$Z$17+'Item Budget'!$R$9*AF102+IFERROR(INDEX('Item Budget'!$O$25:$O$95,MATCH(AL102,'Item Budget'!$B$25:$B$95,0)),0),0)</f>
        <v/>
      </c>
      <c r="BB102" s="52">
        <f>IF(OR($I102&lt;1,IF($I102&gt;=6,AX102,AT102)&lt;=0),"",IF(SUMPRODUCT(MAX(($C$5:$C$215=$C102)*($I$5:$I$215&gt;=1)*($I$5:$I$215&lt;$I102)*IF($I102&gt;=6,$AX$5:$AX$215,$AT$5:$AT$215)))&lt;=0,"",SUMPRODUCT(MAX(($C$5:$C$215=$C102)*($I$5:$I$215=$I102)*IF($I102&gt;=6,$AX$5:$AX$215,$AT$5:$AT$215)))/SUMPRODUCT(MAX(($C$5:$C$215=$C102)*($I$5:$I$215&gt;=1)*($I$5:$I$215&lt;$I102)*IF($I102&gt;=6,$AX$5:$AX$215,$AT$5:$AT$215)))-1))</f>
        <v/>
      </c>
      <c r="BC102" s="52">
        <f>IF(OR($I102&lt;1,IF($I102&gt;=6,AY102,AU102)&lt;=0),"",IF(SUMPRODUCT(MAX(($C$5:$C$215=$C102)*($I$5:$I$215&gt;=1)*($I$5:$I$215&lt;$I102)*IF($I102&gt;=6,$AY$5:$AY$215,$AU$5:$AU$215)))&lt;=0,"",SUMPRODUCT(MAX(($C$5:$C$215=$C102)*($I$5:$I$215=$I102)*IF($I102&gt;=6,$AY$5:$AY$215,$AU$5:$AU$215)))/SUMPRODUCT(MAX(($C$5:$C$215=$C102)*($I$5:$I$215&gt;=1)*($I$5:$I$215&lt;$I102)*IF($I102&gt;=6,$AY$5:$AY$215,$AU$5:$AU$215)))-1))</f>
        <v/>
      </c>
      <c r="BD102" s="52">
        <f>IF(OR($I102&lt;1,IF($I102&gt;=6,AZ102,AV102)&lt;=0),"",IF(SUMPRODUCT(MAX(($C$5:$C$215=$C102)*($I$5:$I$215&gt;=1)*($I$5:$I$215&lt;$I102)*IF($I102&gt;=6,$AZ$5:$AZ$215,$AV$5:$AV$215)))&lt;=0,"",SUMPRODUCT(MAX(($C$5:$C$215=$C102)*($I$5:$I$215=$I102)*IF($I102&gt;=6,$AZ$5:$AZ$215,$AV$5:$AV$215)))/SUMPRODUCT(MAX(($C$5:$C$215=$C102)*($I$5:$I$215&gt;=1)*($I$5:$I$215&lt;$I102)*IF($I102&gt;=6,$AZ$5:$AZ$215,$AV$5:$AV$215)))-1))</f>
        <v/>
      </c>
      <c r="BE102" s="52">
        <f>IF(OR($I102&lt;1,IF($I102&gt;=6,BA102,AW102)&lt;=0),"",IF(SUMPRODUCT(MAX(($C$5:$C$215=$C102)*($I$5:$I$215&gt;=1)*($I$5:$I$215&lt;$I102)*IF($I102&gt;=6,$BA$5:$BA$215,$AW$5:$AW$215)))&lt;=0,"",SUMPRODUCT(MAX(($C$5:$C$215=$C102)*($I$5:$I$215=$I102)*IF($I102&gt;=6,$BA$5:$BA$215,$AW$5:$AW$215)))/SUMPRODUCT(MAX(($C$5:$C$215=$C102)*($I$5:$I$215&gt;=1)*($I$5:$I$215&lt;$I102)*IF($I102&gt;=6,$BA$5:$BA$215,$AW$5:$AW$215)))-1))</f>
        <v/>
      </c>
      <c r="BF102" s="19">
        <f>IF(AND(BB102="",BC102="",BD102="",BE102=""),"",IF(IF(AND(ISNUMBER(BB102),BB102&lt;'Item Budget'!$R$11),"W ","")&amp;IF(AND(ISNUMBER(BC102),BC102&lt;'Item Budget'!$R$11),"R ","")&amp;IF(AND(ISNUMBER(BD102),BD102&lt;'Item Budget'!$R$11),"M ","")&amp;IF(AND(ISNUMBER(BE102),BE102&lt;'Item Budget'!$R$11),"P ","")="","OK","Not above lower step: "&amp;IF(AND(ISNUMBER(BB102),BB102&lt;'Item Budget'!$R$11),"W ","")&amp;IF(AND(ISNUMBER(BC102),BC102&lt;'Item Budget'!$R$11),"R ","")&amp;IF(AND(ISNUMBER(BD102),BD102&lt;'Item Budget'!$R$11),"M ","")&amp;IF(AND(ISNUMBER(BE102),BE102&lt;'Item Budget'!$R$11),"P ","")))</f>
        <v/>
      </c>
    </row>
    <row r="103">
      <c r="A103" s="21" t="n">
        <v>166</v>
      </c>
      <c r="B103" s="21" t="inlineStr">
        <is>
          <t>Devastators Legplates</t>
        </is>
      </c>
      <c r="C103" s="21" t="inlineStr">
        <is>
          <t>Pants</t>
        </is>
      </c>
      <c r="D103" s="21" t="inlineStr">
        <is>
          <t>All</t>
        </is>
      </c>
      <c r="E103" s="21" t="inlineStr">
        <is>
          <t>All</t>
        </is>
      </c>
      <c r="F103" s="21" t="inlineStr">
        <is>
          <t>All classes</t>
        </is>
      </c>
      <c r="G103" s="21" t="inlineStr">
        <is>
          <t>drop: Showboat 10%</t>
        </is>
      </c>
      <c r="H103" s="37" t="n">
        <v>0</v>
      </c>
      <c r="I103" s="21" t="n">
        <v>4</v>
      </c>
      <c r="J103" s="19" t="inlineStr">
        <is>
          <t>Pass 2</t>
        </is>
      </c>
      <c r="K103" s="21" t="inlineStr">
        <is>
          <t>Rare boss drop</t>
        </is>
      </c>
      <c r="L103" s="31">
        <f>INDEX('Item Budget'!$F$5:$F$13,MATCH(K103,'Item Budget'!$E$5:$E$13,0))+IF(E103="All",0,'Item Budget'!$F$15)+LOOKUP(H103,'Item Budget'!$E$19:$E$23,'Item Budget'!$F$19:$F$23)</f>
        <v/>
      </c>
      <c r="M103" s="21" t="n">
        <v>50</v>
      </c>
      <c r="N103" s="21" t="n">
        <v>125</v>
      </c>
      <c r="O103" s="21" t="n">
        <v>100</v>
      </c>
      <c r="P103" s="21" t="n">
        <v>75</v>
      </c>
      <c r="Q103" s="21" t="n">
        <v>14</v>
      </c>
      <c r="R103" s="21" t="n">
        <v>10</v>
      </c>
      <c r="S103" s="21" t="n">
        <v>20</v>
      </c>
      <c r="T103" s="21" t="n">
        <v>10</v>
      </c>
      <c r="U103" s="21" t="n">
        <v>0</v>
      </c>
      <c r="V103" s="21" t="inlineStr">
        <is>
          <t>(none)</t>
        </is>
      </c>
      <c r="W103" s="61">
        <f>N103*'Item Budget'!$B$5+R103*'Item Budget'!$B$7+P103*'Item Budget'!$B$11+S103*'Item Budget'!$B$10+Q103*'Item Budget'!$B$9+IFERROR(INDEX('Item Budget'!$M$25:$M$95,MATCH(V103,'Item Budget'!$B$25:$B$95,0)),0)+IF($C103="Weapon",U103*'Item Budget'!$B$9,0)</f>
        <v/>
      </c>
      <c r="X103" s="61">
        <f>N103*'Item Budget'!$B$5+R103*'Item Budget'!$B$7+P103*'Item Budget'!$B$11+S103*'Item Budget'!$B$10+O103*'Item Budget'!$B$6+T103*'Item Budget'!$B$8+IFERROR(INDEX('Item Budget'!$N$25:$N$95,MATCH(V103,'Item Budget'!$B$25:$B$95,0)),0)</f>
        <v/>
      </c>
      <c r="Y103" s="61">
        <f>MAX('Item Budget'!$F$16,INDEX('Gear Budget'!$C$8:$C$14,MATCH($C103,'Gear Budget'!$A$8:$A$14,0))*MIN(M103,50))*$L103</f>
        <v/>
      </c>
      <c r="Z103" s="41">
        <f>IF($C103="Caster weapon",X103,MAX(W103,X103))/Y103</f>
        <v/>
      </c>
      <c r="AA103" s="61">
        <f>IF(OR($C103="Weapon",$C103="Caster weapon"),"",'Gear Budget'!$B$5*MAX(1,MIN(M103,50))*INDEX('Gear Budget'!$B$8:$B$14,MATCH($C103,'Gear Budget'!$A$8:$A$14,0))*IF($C103="Shield",IF(D103="Warrior",1,IF(OR(D103="Rogue",D103="All"),0.38/0.6,0.25/0.6)),IFERROR(INDEX('Gear Budget'!$B$18:$B$21,MATCH($F103,'Gear Budget'!$A$18:$A$21,0)),1)))</f>
        <v/>
      </c>
      <c r="AB103" s="41">
        <f>IF(AA103="","",P103/AA103)</f>
        <v/>
      </c>
      <c r="AC103" s="21" t="n">
        <v>50</v>
      </c>
      <c r="AD103" s="21" t="n">
        <v>125</v>
      </c>
      <c r="AE103" s="21" t="n">
        <v>100</v>
      </c>
      <c r="AF103" s="21" t="n">
        <v>75</v>
      </c>
      <c r="AG103" s="21" t="n">
        <v>14</v>
      </c>
      <c r="AH103" s="21" t="n">
        <v>10</v>
      </c>
      <c r="AI103" s="21" t="n">
        <v>20</v>
      </c>
      <c r="AJ103" s="21" t="n">
        <v>10</v>
      </c>
      <c r="AK103" s="21" t="n">
        <v>0</v>
      </c>
      <c r="AL103" s="21" t="inlineStr">
        <is>
          <t>(none)</t>
        </is>
      </c>
      <c r="AM103" s="61">
        <f>AD103*'Item Budget'!$B$5+AH103*'Item Budget'!$B$7+AF103*'Item Budget'!$B$11+AI103*'Item Budget'!$B$10+AG103*'Item Budget'!$B$9+IFERROR(INDEX('Item Budget'!$M$25:$M$95,MATCH(AL103,'Item Budget'!$B$25:$B$95,0)),0)+IF($C103="Weapon",AK103*'Item Budget'!$B$9,0)</f>
        <v/>
      </c>
      <c r="AN103" s="61">
        <f>AD103*'Item Budget'!$B$5+AH103*'Item Budget'!$B$7+AF103*'Item Budget'!$B$11+AI103*'Item Budget'!$B$10+AE103*'Item Budget'!$B$6+AJ103*'Item Budget'!$B$8+IFERROR(INDEX('Item Budget'!$N$25:$N$95,MATCH(AL103,'Item Budget'!$B$25:$B$95,0)),0)</f>
        <v/>
      </c>
      <c r="AO103" s="61">
        <f>MAX('Item Budget'!$F$16,INDEX('Gear Budget'!$C$8:$C$14,MATCH($C103,'Gear Budget'!$A$8:$A$14,0))*MIN(AC103,50))*$L103</f>
        <v/>
      </c>
      <c r="AP103" s="41">
        <f>IF($C103="Caster weapon",AN103,MAX(AM103,AN103))/AO103</f>
        <v/>
      </c>
      <c r="AQ103" s="61">
        <f>IF(OR($C103="Weapon",$C103="Caster weapon"),"",'Gear Budget'!$B$5*MAX(1,MIN(AC103,50))*INDEX('Gear Budget'!$B$8:$B$14,MATCH($C103,'Gear Budget'!$A$8:$A$14,0))*IF($C103="Shield",IF(E103="Warrior",1,IF(OR(E103="Rogue",E103="All"),0.38/0.6,0.25/0.6)),IFERROR(INDEX('Gear Budget'!$B$18:$B$21,MATCH($F103,'Gear Budget'!$A$18:$A$21,0)),1)))</f>
        <v/>
      </c>
      <c r="AR103" s="41">
        <f>IF(AQ103="","",AF103/AQ103)</f>
        <v/>
      </c>
      <c r="AS103" s="64" t="inlineStr">
        <is>
          <t>Pass 1 (applied): Pass 3 (class AC weights): raised to stay 10% over Champions Legplates for Warrior</t>
        </is>
      </c>
      <c r="AT103" s="44">
        <f>IF(OR($E103="All",ISNUMBER(SEARCH("Warrior",$E103))),IF($C103="Caster weapon",(AN103+AF103*('Item Budget'!$AB$14-'Item Budget'!$B$11)),(AM103+AF103*('Item Budget'!$AB$14-'Item Budget'!$B$11))),0)</f>
        <v/>
      </c>
      <c r="AU103" s="44">
        <f>IF(OR($E103="All",ISNUMBER(SEARCH("Rogue",$E103))),IF($C103="Caster weapon",(AN103+AF103*('Item Budget'!$AB$15-'Item Budget'!$B$11)),(AM103+AF103*('Item Budget'!$AB$15-'Item Budget'!$B$11))),0)</f>
        <v/>
      </c>
      <c r="AV103" s="44">
        <f>IF(OR($E103="All",ISNUMBER(SEARCH("Magus",$E103))),(AN103+AF103*('Item Budget'!$AB$16-'Item Budget'!$B$11)),0)</f>
        <v/>
      </c>
      <c r="AW103" s="44">
        <f>IF(OR($E103="All",ISNUMBER(SEARCH("Priest",$E103))),(AN103+AF103*('Item Budget'!$AB$17-'Item Budget'!$B$11)),0)</f>
        <v/>
      </c>
      <c r="AX103" s="44">
        <f>IF(AND(OR($E103="All",ISNUMBER(SEARCH("Warrior",$E103))),AC103&gt;='Item Budget'!$R$10),'Item Budget'!$R$7*100*('Item Budget'!$R$14*(AD103+25*AH103)+'Item Budget'!$S$14*(AE103+25*AJ103))/'Item Budget'!$Z$14+'Item Budget'!$R$9*AF103+IFERROR(INDEX('Item Budget'!$O$25:$O$95,MATCH(AL103,'Item Budget'!$B$25:$B$95,0)),0),0)</f>
        <v/>
      </c>
      <c r="AY103" s="44">
        <f>IF(AND(OR($E103="All",ISNUMBER(SEARCH("Rogue",$E103))),AC103&gt;='Item Budget'!$R$10),'Item Budget'!$R$7*100*('Item Budget'!$R$15*(AD103+25*AH103)+'Item Budget'!$S$15*(AE103+25*AJ103))/'Item Budget'!$Z$15+'Item Budget'!$R$9*AF103+IFERROR(INDEX('Item Budget'!$O$25:$O$95,MATCH(AL103,'Item Budget'!$B$25:$B$95,0)),0),0)</f>
        <v/>
      </c>
      <c r="AZ103" s="44">
        <f>IF(AND(OR($E103="All",ISNUMBER(SEARCH("Magus",$E103))),AC103&gt;='Item Budget'!$R$10),'Item Budget'!$R$7*100*('Item Budget'!$R$16*(AD103+25*AH103)+'Item Budget'!$S$16*(AE103+25*AJ103))/'Item Budget'!$Z$16+'Item Budget'!$R$9*AF103+IFERROR(INDEX('Item Budget'!$O$25:$O$95,MATCH(AL103,'Item Budget'!$B$25:$B$95,0)),0),0)</f>
        <v/>
      </c>
      <c r="BA103" s="44">
        <f>IF(AND(OR($E103="All",ISNUMBER(SEARCH("Priest",$E103))),AC103&gt;='Item Budget'!$R$10),'Item Budget'!$R$7*100*('Item Budget'!$R$17*(AD103+25*AH103)+'Item Budget'!$S$17*(AE103+25*AJ103))/'Item Budget'!$Z$17+'Item Budget'!$R$9*AF103+IFERROR(INDEX('Item Budget'!$O$25:$O$95,MATCH(AL103,'Item Budget'!$B$25:$B$95,0)),0),0)</f>
        <v/>
      </c>
      <c r="BB103" s="52">
        <f>IF(OR($I103&lt;1,IF($I103&gt;=6,AX103,AT103)&lt;=0),"",IF(SUMPRODUCT(MAX(($C$5:$C$215=$C103)*($I$5:$I$215&gt;=1)*($I$5:$I$215&lt;$I103)*IF($I103&gt;=6,$AX$5:$AX$215,$AT$5:$AT$215)))&lt;=0,"",SUMPRODUCT(MAX(($C$5:$C$215=$C103)*($I$5:$I$215=$I103)*IF($I103&gt;=6,$AX$5:$AX$215,$AT$5:$AT$215)))/SUMPRODUCT(MAX(($C$5:$C$215=$C103)*($I$5:$I$215&gt;=1)*($I$5:$I$215&lt;$I103)*IF($I103&gt;=6,$AX$5:$AX$215,$AT$5:$AT$215)))-1))</f>
        <v/>
      </c>
      <c r="BC103" s="52">
        <f>IF(OR($I103&lt;1,IF($I103&gt;=6,AY103,AU103)&lt;=0),"",IF(SUMPRODUCT(MAX(($C$5:$C$215=$C103)*($I$5:$I$215&gt;=1)*($I$5:$I$215&lt;$I103)*IF($I103&gt;=6,$AY$5:$AY$215,$AU$5:$AU$215)))&lt;=0,"",SUMPRODUCT(MAX(($C$5:$C$215=$C103)*($I$5:$I$215=$I103)*IF($I103&gt;=6,$AY$5:$AY$215,$AU$5:$AU$215)))/SUMPRODUCT(MAX(($C$5:$C$215=$C103)*($I$5:$I$215&gt;=1)*($I$5:$I$215&lt;$I103)*IF($I103&gt;=6,$AY$5:$AY$215,$AU$5:$AU$215)))-1))</f>
        <v/>
      </c>
      <c r="BD103" s="52">
        <f>IF(OR($I103&lt;1,IF($I103&gt;=6,AZ103,AV103)&lt;=0),"",IF(SUMPRODUCT(MAX(($C$5:$C$215=$C103)*($I$5:$I$215&gt;=1)*($I$5:$I$215&lt;$I103)*IF($I103&gt;=6,$AZ$5:$AZ$215,$AV$5:$AV$215)))&lt;=0,"",SUMPRODUCT(MAX(($C$5:$C$215=$C103)*($I$5:$I$215=$I103)*IF($I103&gt;=6,$AZ$5:$AZ$215,$AV$5:$AV$215)))/SUMPRODUCT(MAX(($C$5:$C$215=$C103)*($I$5:$I$215&gt;=1)*($I$5:$I$215&lt;$I103)*IF($I103&gt;=6,$AZ$5:$AZ$215,$AV$5:$AV$215)))-1))</f>
        <v/>
      </c>
      <c r="BE103" s="52">
        <f>IF(OR($I103&lt;1,IF($I103&gt;=6,BA103,AW103)&lt;=0),"",IF(SUMPRODUCT(MAX(($C$5:$C$215=$C103)*($I$5:$I$215&gt;=1)*($I$5:$I$215&lt;$I103)*IF($I103&gt;=6,$BA$5:$BA$215,$AW$5:$AW$215)))&lt;=0,"",SUMPRODUCT(MAX(($C$5:$C$215=$C103)*($I$5:$I$215=$I103)*IF($I103&gt;=6,$BA$5:$BA$215,$AW$5:$AW$215)))/SUMPRODUCT(MAX(($C$5:$C$215=$C103)*($I$5:$I$215&gt;=1)*($I$5:$I$215&lt;$I103)*IF($I103&gt;=6,$BA$5:$BA$215,$AW$5:$AW$215)))-1))</f>
        <v/>
      </c>
      <c r="BF103" s="19">
        <f>IF(AND(BB103="",BC103="",BD103="",BE103=""),"",IF(IF(AND(ISNUMBER(BB103),BB103&lt;'Item Budget'!$R$11),"W ","")&amp;IF(AND(ISNUMBER(BC103),BC103&lt;'Item Budget'!$R$11),"R ","")&amp;IF(AND(ISNUMBER(BD103),BD103&lt;'Item Budget'!$R$11),"M ","")&amp;IF(AND(ISNUMBER(BE103),BE103&lt;'Item Budget'!$R$11),"P ","")="","OK","Not above lower step: "&amp;IF(AND(ISNUMBER(BB103),BB103&lt;'Item Budget'!$R$11),"W ","")&amp;IF(AND(ISNUMBER(BC103),BC103&lt;'Item Budget'!$R$11),"R ","")&amp;IF(AND(ISNUMBER(BD103),BD103&lt;'Item Budget'!$R$11),"M ","")&amp;IF(AND(ISNUMBER(BE103),BE103&lt;'Item Budget'!$R$11),"P ","")))</f>
        <v/>
      </c>
    </row>
    <row r="104">
      <c r="A104" s="21" t="n">
        <v>107</v>
      </c>
      <c r="B104" s="21" t="inlineStr">
        <is>
          <t>Champions Legplates</t>
        </is>
      </c>
      <c r="C104" s="21" t="inlineStr">
        <is>
          <t>Pants</t>
        </is>
      </c>
      <c r="D104" s="21" t="inlineStr">
        <is>
          <t>Warrior</t>
        </is>
      </c>
      <c r="E104" s="21" t="inlineStr">
        <is>
          <t>Warrior</t>
        </is>
      </c>
      <c r="F104" s="21" t="inlineStr">
        <is>
          <t>Warrior plate</t>
        </is>
      </c>
      <c r="G104" s="21" t="inlineStr">
        <is>
          <t>drop: Punchy 7%</t>
        </is>
      </c>
      <c r="H104" s="37" t="n">
        <v>0</v>
      </c>
      <c r="I104" s="21" t="n">
        <v>1</v>
      </c>
      <c r="J104" s="3" t="inlineStr">
        <is>
          <t>Pass 2</t>
        </is>
      </c>
      <c r="K104" s="21" t="inlineStr">
        <is>
          <t>Rare boss drop</t>
        </is>
      </c>
      <c r="L104" s="31">
        <f>INDEX('Item Budget'!$F$5:$F$13,MATCH(K104,'Item Budget'!$E$5:$E$13,0))+IF(E104="All",0,'Item Budget'!$F$15)+LOOKUP(H104,'Item Budget'!$E$19:$E$23,'Item Budget'!$F$19:$F$23)</f>
        <v/>
      </c>
      <c r="M104" s="21" t="n">
        <v>50</v>
      </c>
      <c r="N104" s="21" t="n">
        <v>100</v>
      </c>
      <c r="O104" s="21" t="n">
        <v>0</v>
      </c>
      <c r="P104" s="21" t="n">
        <v>85</v>
      </c>
      <c r="Q104" s="21" t="n">
        <v>8</v>
      </c>
      <c r="R104" s="21" t="n">
        <v>10</v>
      </c>
      <c r="S104" s="21" t="n">
        <v>4</v>
      </c>
      <c r="T104" s="21" t="n">
        <v>4</v>
      </c>
      <c r="U104" s="21" t="n">
        <v>0</v>
      </c>
      <c r="V104" s="21" t="inlineStr">
        <is>
          <t>(none)</t>
        </is>
      </c>
      <c r="W104" s="61">
        <f>N104*'Item Budget'!$B$5+R104*'Item Budget'!$B$7+P104*'Item Budget'!$B$11+S104*'Item Budget'!$B$10+Q104*'Item Budget'!$B$9+IFERROR(INDEX('Item Budget'!$M$25:$M$95,MATCH(V104,'Item Budget'!$B$25:$B$95,0)),0)+IF($C104="Weapon",U104*'Item Budget'!$B$9,0)</f>
        <v/>
      </c>
      <c r="X104" s="61">
        <f>N104*'Item Budget'!$B$5+R104*'Item Budget'!$B$7+P104*'Item Budget'!$B$11+S104*'Item Budget'!$B$10+O104*'Item Budget'!$B$6+T104*'Item Budget'!$B$8+IFERROR(INDEX('Item Budget'!$N$25:$N$95,MATCH(V104,'Item Budget'!$B$25:$B$95,0)),0)</f>
        <v/>
      </c>
      <c r="Y104" s="61">
        <f>MAX('Item Budget'!$F$16,INDEX('Gear Budget'!$C$8:$C$14,MATCH($C104,'Gear Budget'!$A$8:$A$14,0))*MIN(M104,50))*$L104</f>
        <v/>
      </c>
      <c r="Z104" s="41">
        <f>IF($C104="Caster weapon",X104,MAX(W104,X104))/Y104</f>
        <v/>
      </c>
      <c r="AA104" s="61">
        <f>IF(OR($C104="Weapon",$C104="Caster weapon"),"",'Gear Budget'!$B$5*MAX(1,MIN(M104,50))*INDEX('Gear Budget'!$B$8:$B$14,MATCH($C104,'Gear Budget'!$A$8:$A$14,0))*IF($C104="Shield",IF(D104="Warrior",1,IF(OR(D104="Rogue",D104="All"),0.38/0.6,0.25/0.6)),IFERROR(INDEX('Gear Budget'!$B$18:$B$21,MATCH($F104,'Gear Budget'!$A$18:$A$21,0)),1)))</f>
        <v/>
      </c>
      <c r="AB104" s="41">
        <f>IF(AA104="","",P104/AA104)</f>
        <v/>
      </c>
      <c r="AC104" s="21" t="n">
        <v>50</v>
      </c>
      <c r="AD104" s="20" t="n">
        <v>110</v>
      </c>
      <c r="AE104" s="21" t="n">
        <v>0</v>
      </c>
      <c r="AF104" s="20" t="n">
        <v>92</v>
      </c>
      <c r="AG104" s="20" t="n">
        <v>9</v>
      </c>
      <c r="AH104" s="20" t="n">
        <v>11</v>
      </c>
      <c r="AI104" s="21" t="n">
        <v>4</v>
      </c>
      <c r="AJ104" s="21" t="n">
        <v>4</v>
      </c>
      <c r="AK104" s="21" t="n">
        <v>0</v>
      </c>
      <c r="AL104" s="21" t="inlineStr">
        <is>
          <t>(none)</t>
        </is>
      </c>
      <c r="AM104" s="61">
        <f>AD104*'Item Budget'!$B$5+AH104*'Item Budget'!$B$7+AF104*'Item Budget'!$B$11+AI104*'Item Budget'!$B$10+AG104*'Item Budget'!$B$9+IFERROR(INDEX('Item Budget'!$M$25:$M$95,MATCH(AL104,'Item Budget'!$B$25:$B$95,0)),0)+IF($C104="Weapon",AK104*'Item Budget'!$B$9,0)</f>
        <v/>
      </c>
      <c r="AN104" s="61">
        <f>AD104*'Item Budget'!$B$5+AH104*'Item Budget'!$B$7+AF104*'Item Budget'!$B$11+AI104*'Item Budget'!$B$10+AE104*'Item Budget'!$B$6+AJ104*'Item Budget'!$B$8+IFERROR(INDEX('Item Budget'!$N$25:$N$95,MATCH(AL104,'Item Budget'!$B$25:$B$95,0)),0)</f>
        <v/>
      </c>
      <c r="AO104" s="61">
        <f>MAX('Item Budget'!$F$16,INDEX('Gear Budget'!$C$8:$C$14,MATCH($C104,'Gear Budget'!$A$8:$A$14,0))*MIN(AC104,50))*$L104</f>
        <v/>
      </c>
      <c r="AP104" s="41">
        <f>IF($C104="Caster weapon",AN104,MAX(AM104,AN104))/AO104</f>
        <v/>
      </c>
      <c r="AQ104" s="61">
        <f>IF(OR($C104="Weapon",$C104="Caster weapon"),"",'Gear Budget'!$B$5*MAX(1,MIN(AC104,50))*INDEX('Gear Budget'!$B$8:$B$14,MATCH($C104,'Gear Budget'!$A$8:$A$14,0))*IF($C104="Shield",IF(E104="Warrior",1,IF(OR(E104="Rogue",E104="All"),0.38/0.6,0.25/0.6)),IFERROR(INDEX('Gear Budget'!$B$18:$B$21,MATCH($F104,'Gear Budget'!$A$18:$A$21,0)),1)))</f>
        <v/>
      </c>
      <c r="AR104" s="41">
        <f>IF(AQ104="","",AF104/AQ104)</f>
        <v/>
      </c>
      <c r="AS104" s="64" t="inlineStr">
        <is>
          <t>Punchy set: raised to +25% over the L40 boss set</t>
        </is>
      </c>
      <c r="AT104" s="44">
        <f>IF(OR($E104="All",ISNUMBER(SEARCH("Warrior",$E104))),IF($C104="Caster weapon",(AN104+AF104*('Item Budget'!$AB$14-'Item Budget'!$B$11)),(AM104+AF104*('Item Budget'!$AB$14-'Item Budget'!$B$11))),0)</f>
        <v/>
      </c>
      <c r="AU104" s="44">
        <f>IF(OR($E104="All",ISNUMBER(SEARCH("Rogue",$E104))),IF($C104="Caster weapon",(AN104+AF104*('Item Budget'!$AB$15-'Item Budget'!$B$11)),(AM104+AF104*('Item Budget'!$AB$15-'Item Budget'!$B$11))),0)</f>
        <v/>
      </c>
      <c r="AV104" s="44">
        <f>IF(OR($E104="All",ISNUMBER(SEARCH("Magus",$E104))),(AN104+AF104*('Item Budget'!$AB$16-'Item Budget'!$B$11)),0)</f>
        <v/>
      </c>
      <c r="AW104" s="44">
        <f>IF(OR($E104="All",ISNUMBER(SEARCH("Priest",$E104))),(AN104+AF104*('Item Budget'!$AB$17-'Item Budget'!$B$11)),0)</f>
        <v/>
      </c>
      <c r="AX104" s="44">
        <f>IF(AND(OR($E104="All",ISNUMBER(SEARCH("Warrior",$E104))),AC104&gt;='Item Budget'!$R$10),'Item Budget'!$R$7*100*('Item Budget'!$R$14*(AD104+25*AH104)+'Item Budget'!$S$14*(AE104+25*AJ104))/'Item Budget'!$Z$14+'Item Budget'!$R$9*AF104+IFERROR(INDEX('Item Budget'!$O$25:$O$95,MATCH(AL104,'Item Budget'!$B$25:$B$95,0)),0),0)</f>
        <v/>
      </c>
      <c r="AY104" s="44">
        <f>IF(AND(OR($E104="All",ISNUMBER(SEARCH("Rogue",$E104))),AC104&gt;='Item Budget'!$R$10),'Item Budget'!$R$7*100*('Item Budget'!$R$15*(AD104+25*AH104)+'Item Budget'!$S$15*(AE104+25*AJ104))/'Item Budget'!$Z$15+'Item Budget'!$R$9*AF104+IFERROR(INDEX('Item Budget'!$O$25:$O$95,MATCH(AL104,'Item Budget'!$B$25:$B$95,0)),0),0)</f>
        <v/>
      </c>
      <c r="AZ104" s="44">
        <f>IF(AND(OR($E104="All",ISNUMBER(SEARCH("Magus",$E104))),AC104&gt;='Item Budget'!$R$10),'Item Budget'!$R$7*100*('Item Budget'!$R$16*(AD104+25*AH104)+'Item Budget'!$S$16*(AE104+25*AJ104))/'Item Budget'!$Z$16+'Item Budget'!$R$9*AF104+IFERROR(INDEX('Item Budget'!$O$25:$O$95,MATCH(AL104,'Item Budget'!$B$25:$B$95,0)),0),0)</f>
        <v/>
      </c>
      <c r="BA104" s="44">
        <f>IF(AND(OR($E104="All",ISNUMBER(SEARCH("Priest",$E104))),AC104&gt;='Item Budget'!$R$10),'Item Budget'!$R$7*100*('Item Budget'!$R$17*(AD104+25*AH104)+'Item Budget'!$S$17*(AE104+25*AJ104))/'Item Budget'!$Z$17+'Item Budget'!$R$9*AF104+IFERROR(INDEX('Item Budget'!$O$25:$O$95,MATCH(AL104,'Item Budget'!$B$25:$B$95,0)),0),0)</f>
        <v/>
      </c>
      <c r="BB104" s="52">
        <f>IF(OR($I104&lt;1,IF($I104&gt;=6,AX104,AT104)&lt;=0),"",IF(SUMPRODUCT(MAX(($C$5:$C$215=$C104)*($I$5:$I$215&gt;=1)*($I$5:$I$215&lt;$I104)*IF($I104&gt;=6,$AX$5:$AX$215,$AT$5:$AT$215)))&lt;=0,"",SUMPRODUCT(MAX(($C$5:$C$215=$C104)*($I$5:$I$215=$I104)*IF($I104&gt;=6,$AX$5:$AX$215,$AT$5:$AT$215)))/SUMPRODUCT(MAX(($C$5:$C$215=$C104)*($I$5:$I$215&gt;=1)*($I$5:$I$215&lt;$I104)*IF($I104&gt;=6,$AX$5:$AX$215,$AT$5:$AT$215)))-1))</f>
        <v/>
      </c>
      <c r="BC104" s="52">
        <f>IF(OR($I104&lt;1,IF($I104&gt;=6,AY104,AU104)&lt;=0),"",IF(SUMPRODUCT(MAX(($C$5:$C$215=$C104)*($I$5:$I$215&gt;=1)*($I$5:$I$215&lt;$I104)*IF($I104&gt;=6,$AY$5:$AY$215,$AU$5:$AU$215)))&lt;=0,"",SUMPRODUCT(MAX(($C$5:$C$215=$C104)*($I$5:$I$215=$I104)*IF($I104&gt;=6,$AY$5:$AY$215,$AU$5:$AU$215)))/SUMPRODUCT(MAX(($C$5:$C$215=$C104)*($I$5:$I$215&gt;=1)*($I$5:$I$215&lt;$I104)*IF($I104&gt;=6,$AY$5:$AY$215,$AU$5:$AU$215)))-1))</f>
        <v/>
      </c>
      <c r="BD104" s="52">
        <f>IF(OR($I104&lt;1,IF($I104&gt;=6,AZ104,AV104)&lt;=0),"",IF(SUMPRODUCT(MAX(($C$5:$C$215=$C104)*($I$5:$I$215&gt;=1)*($I$5:$I$215&lt;$I104)*IF($I104&gt;=6,$AZ$5:$AZ$215,$AV$5:$AV$215)))&lt;=0,"",SUMPRODUCT(MAX(($C$5:$C$215=$C104)*($I$5:$I$215=$I104)*IF($I104&gt;=6,$AZ$5:$AZ$215,$AV$5:$AV$215)))/SUMPRODUCT(MAX(($C$5:$C$215=$C104)*($I$5:$I$215&gt;=1)*($I$5:$I$215&lt;$I104)*IF($I104&gt;=6,$AZ$5:$AZ$215,$AV$5:$AV$215)))-1))</f>
        <v/>
      </c>
      <c r="BE104" s="52">
        <f>IF(OR($I104&lt;1,IF($I104&gt;=6,BA104,AW104)&lt;=0),"",IF(SUMPRODUCT(MAX(($C$5:$C$215=$C104)*($I$5:$I$215&gt;=1)*($I$5:$I$215&lt;$I104)*IF($I104&gt;=6,$BA$5:$BA$215,$AW$5:$AW$215)))&lt;=0,"",SUMPRODUCT(MAX(($C$5:$C$215=$C104)*($I$5:$I$215=$I104)*IF($I104&gt;=6,$BA$5:$BA$215,$AW$5:$AW$215)))/SUMPRODUCT(MAX(($C$5:$C$215=$C104)*($I$5:$I$215&gt;=1)*($I$5:$I$215&lt;$I104)*IF($I104&gt;=6,$BA$5:$BA$215,$AW$5:$AW$215)))-1))</f>
        <v/>
      </c>
      <c r="BF104" s="19">
        <f>IF(AND(BB104="",BC104="",BD104="",BE104=""),"",IF(IF(AND(ISNUMBER(BB104),BB104&lt;'Item Budget'!$R$11),"W ","")&amp;IF(AND(ISNUMBER(BC104),BC104&lt;'Item Budget'!$R$11),"R ","")&amp;IF(AND(ISNUMBER(BD104),BD104&lt;'Item Budget'!$R$11),"M ","")&amp;IF(AND(ISNUMBER(BE104),BE104&lt;'Item Budget'!$R$11),"P ","")="","OK","Not above lower step: "&amp;IF(AND(ISNUMBER(BB104),BB104&lt;'Item Budget'!$R$11),"W ","")&amp;IF(AND(ISNUMBER(BC104),BC104&lt;'Item Budget'!$R$11),"R ","")&amp;IF(AND(ISNUMBER(BD104),BD104&lt;'Item Budget'!$R$11),"M ","")&amp;IF(AND(ISNUMBER(BE104),BE104&lt;'Item Budget'!$R$11),"P ","")))</f>
        <v/>
      </c>
    </row>
    <row r="105">
      <c r="A105" s="21" t="n">
        <v>165</v>
      </c>
      <c r="B105" s="21" t="inlineStr">
        <is>
          <t>Deceivers Legplates</t>
        </is>
      </c>
      <c r="C105" s="21" t="inlineStr">
        <is>
          <t>Pants</t>
        </is>
      </c>
      <c r="D105" s="21" t="inlineStr">
        <is>
          <t>Rogue</t>
        </is>
      </c>
      <c r="E105" s="21" t="inlineStr">
        <is>
          <t>Rogue</t>
        </is>
      </c>
      <c r="F105" s="21" t="inlineStr">
        <is>
          <t>Rogue</t>
        </is>
      </c>
      <c r="G105" s="21" t="inlineStr">
        <is>
          <t>drop: Punchy 7%</t>
        </is>
      </c>
      <c r="H105" s="37" t="n">
        <v>0</v>
      </c>
      <c r="I105" s="21" t="n">
        <v>1</v>
      </c>
      <c r="J105" s="3" t="inlineStr">
        <is>
          <t>Pass 2</t>
        </is>
      </c>
      <c r="K105" s="21" t="inlineStr">
        <is>
          <t>Rare boss drop</t>
        </is>
      </c>
      <c r="L105" s="31">
        <f>INDEX('Item Budget'!$F$5:$F$13,MATCH(K105,'Item Budget'!$E$5:$E$13,0))+IF(E105="All",0,'Item Budget'!$F$15)+LOOKUP(H105,'Item Budget'!$E$19:$E$23,'Item Budget'!$F$19:$F$23)</f>
        <v/>
      </c>
      <c r="M105" s="21" t="n">
        <v>50</v>
      </c>
      <c r="N105" s="21" t="n">
        <v>150</v>
      </c>
      <c r="O105" s="21" t="n">
        <v>50</v>
      </c>
      <c r="P105" s="21" t="n">
        <v>58</v>
      </c>
      <c r="Q105" s="21" t="n">
        <v>8</v>
      </c>
      <c r="R105" s="21" t="n">
        <v>11</v>
      </c>
      <c r="S105" s="21" t="n">
        <v>15</v>
      </c>
      <c r="T105" s="21" t="n">
        <v>0</v>
      </c>
      <c r="U105" s="21" t="n">
        <v>0</v>
      </c>
      <c r="V105" s="21" t="inlineStr">
        <is>
          <t>(none)</t>
        </is>
      </c>
      <c r="W105" s="61">
        <f>N105*'Item Budget'!$B$5+R105*'Item Budget'!$B$7+P105*'Item Budget'!$B$11+S105*'Item Budget'!$B$10+Q105*'Item Budget'!$B$9+IFERROR(INDEX('Item Budget'!$M$25:$M$95,MATCH(V105,'Item Budget'!$B$25:$B$95,0)),0)+IF($C105="Weapon",U105*'Item Budget'!$B$9,0)</f>
        <v/>
      </c>
      <c r="X105" s="61">
        <f>N105*'Item Budget'!$B$5+R105*'Item Budget'!$B$7+P105*'Item Budget'!$B$11+S105*'Item Budget'!$B$10+O105*'Item Budget'!$B$6+T105*'Item Budget'!$B$8+IFERROR(INDEX('Item Budget'!$N$25:$N$95,MATCH(V105,'Item Budget'!$B$25:$B$95,0)),0)</f>
        <v/>
      </c>
      <c r="Y105" s="61">
        <f>MAX('Item Budget'!$F$16,INDEX('Gear Budget'!$C$8:$C$14,MATCH($C105,'Gear Budget'!$A$8:$A$14,0))*MIN(M105,50))*$L105</f>
        <v/>
      </c>
      <c r="Z105" s="41">
        <f>IF($C105="Caster weapon",X105,MAX(W105,X105))/Y105</f>
        <v/>
      </c>
      <c r="AA105" s="61">
        <f>IF(OR($C105="Weapon",$C105="Caster weapon"),"",'Gear Budget'!$B$5*MAX(1,MIN(M105,50))*INDEX('Gear Budget'!$B$8:$B$14,MATCH($C105,'Gear Budget'!$A$8:$A$14,0))*IF($C105="Shield",IF(D105="Warrior",1,IF(OR(D105="Rogue",D105="All"),0.38/0.6,0.25/0.6)),IFERROR(INDEX('Gear Budget'!$B$18:$B$21,MATCH($F105,'Gear Budget'!$A$18:$A$21,0)),1)))</f>
        <v/>
      </c>
      <c r="AB105" s="41">
        <f>IF(AA105="","",P105/AA105)</f>
        <v/>
      </c>
      <c r="AC105" s="21" t="n">
        <v>50</v>
      </c>
      <c r="AD105" s="20" t="n">
        <v>160</v>
      </c>
      <c r="AE105" s="20" t="n">
        <v>55</v>
      </c>
      <c r="AF105" s="20" t="n">
        <v>63</v>
      </c>
      <c r="AG105" s="20" t="n">
        <v>9</v>
      </c>
      <c r="AH105" s="20" t="n">
        <v>12</v>
      </c>
      <c r="AI105" s="20" t="n">
        <v>16</v>
      </c>
      <c r="AJ105" s="21" t="n">
        <v>0</v>
      </c>
      <c r="AK105" s="21" t="n">
        <v>0</v>
      </c>
      <c r="AL105" s="21" t="inlineStr">
        <is>
          <t>(none)</t>
        </is>
      </c>
      <c r="AM105" s="61">
        <f>AD105*'Item Budget'!$B$5+AH105*'Item Budget'!$B$7+AF105*'Item Budget'!$B$11+AI105*'Item Budget'!$B$10+AG105*'Item Budget'!$B$9+IFERROR(INDEX('Item Budget'!$M$25:$M$95,MATCH(AL105,'Item Budget'!$B$25:$B$95,0)),0)+IF($C105="Weapon",AK105*'Item Budget'!$B$9,0)</f>
        <v/>
      </c>
      <c r="AN105" s="61">
        <f>AD105*'Item Budget'!$B$5+AH105*'Item Budget'!$B$7+AF105*'Item Budget'!$B$11+AI105*'Item Budget'!$B$10+AE105*'Item Budget'!$B$6+AJ105*'Item Budget'!$B$8+IFERROR(INDEX('Item Budget'!$N$25:$N$95,MATCH(AL105,'Item Budget'!$B$25:$B$95,0)),0)</f>
        <v/>
      </c>
      <c r="AO105" s="61">
        <f>MAX('Item Budget'!$F$16,INDEX('Gear Budget'!$C$8:$C$14,MATCH($C105,'Gear Budget'!$A$8:$A$14,0))*MIN(AC105,50))*$L105</f>
        <v/>
      </c>
      <c r="AP105" s="41">
        <f>IF($C105="Caster weapon",AN105,MAX(AM105,AN105))/AO105</f>
        <v/>
      </c>
      <c r="AQ105" s="61">
        <f>IF(OR($C105="Weapon",$C105="Caster weapon"),"",'Gear Budget'!$B$5*MAX(1,MIN(AC105,50))*INDEX('Gear Budget'!$B$8:$B$14,MATCH($C105,'Gear Budget'!$A$8:$A$14,0))*IF($C105="Shield",IF(E105="Warrior",1,IF(OR(E105="Rogue",E105="All"),0.38/0.6,0.25/0.6)),IFERROR(INDEX('Gear Budget'!$B$18:$B$21,MATCH($F105,'Gear Budget'!$A$18:$A$21,0)),1)))</f>
        <v/>
      </c>
      <c r="AR105" s="41">
        <f>IF(AQ105="","",AF105/AQ105)</f>
        <v/>
      </c>
      <c r="AS105" s="64" t="inlineStr">
        <is>
          <t>Punchy set: raised to +25% over the L40 boss set</t>
        </is>
      </c>
      <c r="AT105" s="44">
        <f>IF(OR($E105="All",ISNUMBER(SEARCH("Warrior",$E105))),IF($C105="Caster weapon",(AN105+AF105*('Item Budget'!$AB$14-'Item Budget'!$B$11)),(AM105+AF105*('Item Budget'!$AB$14-'Item Budget'!$B$11))),0)</f>
        <v/>
      </c>
      <c r="AU105" s="44">
        <f>IF(OR($E105="All",ISNUMBER(SEARCH("Rogue",$E105))),IF($C105="Caster weapon",(AN105+AF105*('Item Budget'!$AB$15-'Item Budget'!$B$11)),(AM105+AF105*('Item Budget'!$AB$15-'Item Budget'!$B$11))),0)</f>
        <v/>
      </c>
      <c r="AV105" s="44">
        <f>IF(OR($E105="All",ISNUMBER(SEARCH("Magus",$E105))),(AN105+AF105*('Item Budget'!$AB$16-'Item Budget'!$B$11)),0)</f>
        <v/>
      </c>
      <c r="AW105" s="44">
        <f>IF(OR($E105="All",ISNUMBER(SEARCH("Priest",$E105))),(AN105+AF105*('Item Budget'!$AB$17-'Item Budget'!$B$11)),0)</f>
        <v/>
      </c>
      <c r="AX105" s="44">
        <f>IF(AND(OR($E105="All",ISNUMBER(SEARCH("Warrior",$E105))),AC105&gt;='Item Budget'!$R$10),'Item Budget'!$R$7*100*('Item Budget'!$R$14*(AD105+25*AH105)+'Item Budget'!$S$14*(AE105+25*AJ105))/'Item Budget'!$Z$14+'Item Budget'!$R$9*AF105+IFERROR(INDEX('Item Budget'!$O$25:$O$95,MATCH(AL105,'Item Budget'!$B$25:$B$95,0)),0),0)</f>
        <v/>
      </c>
      <c r="AY105" s="44">
        <f>IF(AND(OR($E105="All",ISNUMBER(SEARCH("Rogue",$E105))),AC105&gt;='Item Budget'!$R$10),'Item Budget'!$R$7*100*('Item Budget'!$R$15*(AD105+25*AH105)+'Item Budget'!$S$15*(AE105+25*AJ105))/'Item Budget'!$Z$15+'Item Budget'!$R$9*AF105+IFERROR(INDEX('Item Budget'!$O$25:$O$95,MATCH(AL105,'Item Budget'!$B$25:$B$95,0)),0),0)</f>
        <v/>
      </c>
      <c r="AZ105" s="44">
        <f>IF(AND(OR($E105="All",ISNUMBER(SEARCH("Magus",$E105))),AC105&gt;='Item Budget'!$R$10),'Item Budget'!$R$7*100*('Item Budget'!$R$16*(AD105+25*AH105)+'Item Budget'!$S$16*(AE105+25*AJ105))/'Item Budget'!$Z$16+'Item Budget'!$R$9*AF105+IFERROR(INDEX('Item Budget'!$O$25:$O$95,MATCH(AL105,'Item Budget'!$B$25:$B$95,0)),0),0)</f>
        <v/>
      </c>
      <c r="BA105" s="44">
        <f>IF(AND(OR($E105="All",ISNUMBER(SEARCH("Priest",$E105))),AC105&gt;='Item Budget'!$R$10),'Item Budget'!$R$7*100*('Item Budget'!$R$17*(AD105+25*AH105)+'Item Budget'!$S$17*(AE105+25*AJ105))/'Item Budget'!$Z$17+'Item Budget'!$R$9*AF105+IFERROR(INDEX('Item Budget'!$O$25:$O$95,MATCH(AL105,'Item Budget'!$B$25:$B$95,0)),0),0)</f>
        <v/>
      </c>
      <c r="BB105" s="52">
        <f>IF(OR($I105&lt;1,IF($I105&gt;=6,AX105,AT105)&lt;=0),"",IF(SUMPRODUCT(MAX(($C$5:$C$215=$C105)*($I$5:$I$215&gt;=1)*($I$5:$I$215&lt;$I105)*IF($I105&gt;=6,$AX$5:$AX$215,$AT$5:$AT$215)))&lt;=0,"",SUMPRODUCT(MAX(($C$5:$C$215=$C105)*($I$5:$I$215=$I105)*IF($I105&gt;=6,$AX$5:$AX$215,$AT$5:$AT$215)))/SUMPRODUCT(MAX(($C$5:$C$215=$C105)*($I$5:$I$215&gt;=1)*($I$5:$I$215&lt;$I105)*IF($I105&gt;=6,$AX$5:$AX$215,$AT$5:$AT$215)))-1))</f>
        <v/>
      </c>
      <c r="BC105" s="52">
        <f>IF(OR($I105&lt;1,IF($I105&gt;=6,AY105,AU105)&lt;=0),"",IF(SUMPRODUCT(MAX(($C$5:$C$215=$C105)*($I$5:$I$215&gt;=1)*($I$5:$I$215&lt;$I105)*IF($I105&gt;=6,$AY$5:$AY$215,$AU$5:$AU$215)))&lt;=0,"",SUMPRODUCT(MAX(($C$5:$C$215=$C105)*($I$5:$I$215=$I105)*IF($I105&gt;=6,$AY$5:$AY$215,$AU$5:$AU$215)))/SUMPRODUCT(MAX(($C$5:$C$215=$C105)*($I$5:$I$215&gt;=1)*($I$5:$I$215&lt;$I105)*IF($I105&gt;=6,$AY$5:$AY$215,$AU$5:$AU$215)))-1))</f>
        <v/>
      </c>
      <c r="BD105" s="52">
        <f>IF(OR($I105&lt;1,IF($I105&gt;=6,AZ105,AV105)&lt;=0),"",IF(SUMPRODUCT(MAX(($C$5:$C$215=$C105)*($I$5:$I$215&gt;=1)*($I$5:$I$215&lt;$I105)*IF($I105&gt;=6,$AZ$5:$AZ$215,$AV$5:$AV$215)))&lt;=0,"",SUMPRODUCT(MAX(($C$5:$C$215=$C105)*($I$5:$I$215=$I105)*IF($I105&gt;=6,$AZ$5:$AZ$215,$AV$5:$AV$215)))/SUMPRODUCT(MAX(($C$5:$C$215=$C105)*($I$5:$I$215&gt;=1)*($I$5:$I$215&lt;$I105)*IF($I105&gt;=6,$AZ$5:$AZ$215,$AV$5:$AV$215)))-1))</f>
        <v/>
      </c>
      <c r="BE105" s="52">
        <f>IF(OR($I105&lt;1,IF($I105&gt;=6,BA105,AW105)&lt;=0),"",IF(SUMPRODUCT(MAX(($C$5:$C$215=$C105)*($I$5:$I$215&gt;=1)*($I$5:$I$215&lt;$I105)*IF($I105&gt;=6,$BA$5:$BA$215,$AW$5:$AW$215)))&lt;=0,"",SUMPRODUCT(MAX(($C$5:$C$215=$C105)*($I$5:$I$215=$I105)*IF($I105&gt;=6,$BA$5:$BA$215,$AW$5:$AW$215)))/SUMPRODUCT(MAX(($C$5:$C$215=$C105)*($I$5:$I$215&gt;=1)*($I$5:$I$215&lt;$I105)*IF($I105&gt;=6,$BA$5:$BA$215,$AW$5:$AW$215)))-1))</f>
        <v/>
      </c>
      <c r="BF105" s="19">
        <f>IF(AND(BB105="",BC105="",BD105="",BE105=""),"",IF(IF(AND(ISNUMBER(BB105),BB105&lt;'Item Budget'!$R$11),"W ","")&amp;IF(AND(ISNUMBER(BC105),BC105&lt;'Item Budget'!$R$11),"R ","")&amp;IF(AND(ISNUMBER(BD105),BD105&lt;'Item Budget'!$R$11),"M ","")&amp;IF(AND(ISNUMBER(BE105),BE105&lt;'Item Budget'!$R$11),"P ","")="","OK","Not above lower step: "&amp;IF(AND(ISNUMBER(BB105),BB105&lt;'Item Budget'!$R$11),"W ","")&amp;IF(AND(ISNUMBER(BC105),BC105&lt;'Item Budget'!$R$11),"R ","")&amp;IF(AND(ISNUMBER(BD105),BD105&lt;'Item Budget'!$R$11),"M ","")&amp;IF(AND(ISNUMBER(BE105),BE105&lt;'Item Budget'!$R$11),"P ","")))</f>
        <v/>
      </c>
    </row>
    <row r="106">
      <c r="A106" s="21" t="n">
        <v>239</v>
      </c>
      <c r="B106" s="21" t="inlineStr">
        <is>
          <t>High Priests Leggings</t>
        </is>
      </c>
      <c r="C106" s="21" t="inlineStr">
        <is>
          <t>Pants</t>
        </is>
      </c>
      <c r="D106" s="21" t="inlineStr">
        <is>
          <t>Priest</t>
        </is>
      </c>
      <c r="E106" s="21" t="inlineStr">
        <is>
          <t>Priest</t>
        </is>
      </c>
      <c r="F106" s="21" t="inlineStr">
        <is>
          <t>Caster cloth</t>
        </is>
      </c>
      <c r="G106" s="21" t="inlineStr">
        <is>
          <t>drop: Punchy 7%</t>
        </is>
      </c>
      <c r="H106" s="37" t="n">
        <v>0</v>
      </c>
      <c r="I106" s="21" t="n">
        <v>1</v>
      </c>
      <c r="J106" s="3" t="inlineStr">
        <is>
          <t>Pass 2</t>
        </is>
      </c>
      <c r="K106" s="21" t="inlineStr">
        <is>
          <t>Rare boss drop</t>
        </is>
      </c>
      <c r="L106" s="31">
        <f>INDEX('Item Budget'!$F$5:$F$13,MATCH(K106,'Item Budget'!$E$5:$E$13,0))+IF(E106="All",0,'Item Budget'!$F$15)+LOOKUP(H106,'Item Budget'!$E$19:$E$23,'Item Budget'!$F$19:$F$23)</f>
        <v/>
      </c>
      <c r="M106" s="21" t="n">
        <v>50</v>
      </c>
      <c r="N106" s="21" t="n">
        <v>125</v>
      </c>
      <c r="O106" s="21" t="n">
        <v>250</v>
      </c>
      <c r="P106" s="21" t="n">
        <v>40</v>
      </c>
      <c r="Q106" s="21" t="n">
        <v>0</v>
      </c>
      <c r="R106" s="21" t="n">
        <v>10</v>
      </c>
      <c r="S106" s="21" t="n">
        <v>0</v>
      </c>
      <c r="T106" s="21" t="n">
        <v>17</v>
      </c>
      <c r="U106" s="21" t="n">
        <v>0</v>
      </c>
      <c r="V106" s="21" t="inlineStr">
        <is>
          <t>(none)</t>
        </is>
      </c>
      <c r="W106" s="61">
        <f>N106*'Item Budget'!$B$5+R106*'Item Budget'!$B$7+P106*'Item Budget'!$B$11+S106*'Item Budget'!$B$10+Q106*'Item Budget'!$B$9+IFERROR(INDEX('Item Budget'!$M$25:$M$95,MATCH(V106,'Item Budget'!$B$25:$B$95,0)),0)+IF($C106="Weapon",U106*'Item Budget'!$B$9,0)</f>
        <v/>
      </c>
      <c r="X106" s="61">
        <f>N106*'Item Budget'!$B$5+R106*'Item Budget'!$B$7+P106*'Item Budget'!$B$11+S106*'Item Budget'!$B$10+O106*'Item Budget'!$B$6+T106*'Item Budget'!$B$8+IFERROR(INDEX('Item Budget'!$N$25:$N$95,MATCH(V106,'Item Budget'!$B$25:$B$95,0)),0)</f>
        <v/>
      </c>
      <c r="Y106" s="61">
        <f>MAX('Item Budget'!$F$16,INDEX('Gear Budget'!$C$8:$C$14,MATCH($C106,'Gear Budget'!$A$8:$A$14,0))*MIN(M106,50))*$L106</f>
        <v/>
      </c>
      <c r="Z106" s="41">
        <f>IF($C106="Caster weapon",X106,MAX(W106,X106))/Y106</f>
        <v/>
      </c>
      <c r="AA106" s="61">
        <f>IF(OR($C106="Weapon",$C106="Caster weapon"),"",'Gear Budget'!$B$5*MAX(1,MIN(M106,50))*INDEX('Gear Budget'!$B$8:$B$14,MATCH($C106,'Gear Budget'!$A$8:$A$14,0))*IF($C106="Shield",IF(D106="Warrior",1,IF(OR(D106="Rogue",D106="All"),0.38/0.6,0.25/0.6)),IFERROR(INDEX('Gear Budget'!$B$18:$B$21,MATCH($F106,'Gear Budget'!$A$18:$A$21,0)),1)))</f>
        <v/>
      </c>
      <c r="AB106" s="41">
        <f>IF(AA106="","",P106/AA106)</f>
        <v/>
      </c>
      <c r="AC106" s="21" t="n">
        <v>50</v>
      </c>
      <c r="AD106" s="20" t="n">
        <v>135</v>
      </c>
      <c r="AE106" s="20" t="n">
        <v>275</v>
      </c>
      <c r="AF106" s="20" t="n">
        <v>43</v>
      </c>
      <c r="AG106" s="21" t="n">
        <v>0</v>
      </c>
      <c r="AH106" s="20" t="n">
        <v>11</v>
      </c>
      <c r="AI106" s="21" t="n">
        <v>0</v>
      </c>
      <c r="AJ106" s="20" t="n">
        <v>18</v>
      </c>
      <c r="AK106" s="21" t="n">
        <v>0</v>
      </c>
      <c r="AL106" s="21" t="inlineStr">
        <is>
          <t>(none)</t>
        </is>
      </c>
      <c r="AM106" s="61">
        <f>AD106*'Item Budget'!$B$5+AH106*'Item Budget'!$B$7+AF106*'Item Budget'!$B$11+AI106*'Item Budget'!$B$10+AG106*'Item Budget'!$B$9+IFERROR(INDEX('Item Budget'!$M$25:$M$95,MATCH(AL106,'Item Budget'!$B$25:$B$95,0)),0)+IF($C106="Weapon",AK106*'Item Budget'!$B$9,0)</f>
        <v/>
      </c>
      <c r="AN106" s="61">
        <f>AD106*'Item Budget'!$B$5+AH106*'Item Budget'!$B$7+AF106*'Item Budget'!$B$11+AI106*'Item Budget'!$B$10+AE106*'Item Budget'!$B$6+AJ106*'Item Budget'!$B$8+IFERROR(INDEX('Item Budget'!$N$25:$N$95,MATCH(AL106,'Item Budget'!$B$25:$B$95,0)),0)</f>
        <v/>
      </c>
      <c r="AO106" s="61">
        <f>MAX('Item Budget'!$F$16,INDEX('Gear Budget'!$C$8:$C$14,MATCH($C106,'Gear Budget'!$A$8:$A$14,0))*MIN(AC106,50))*$L106</f>
        <v/>
      </c>
      <c r="AP106" s="41">
        <f>IF($C106="Caster weapon",AN106,MAX(AM106,AN106))/AO106</f>
        <v/>
      </c>
      <c r="AQ106" s="61">
        <f>IF(OR($C106="Weapon",$C106="Caster weapon"),"",'Gear Budget'!$B$5*MAX(1,MIN(AC106,50))*INDEX('Gear Budget'!$B$8:$B$14,MATCH($C106,'Gear Budget'!$A$8:$A$14,0))*IF($C106="Shield",IF(E106="Warrior",1,IF(OR(E106="Rogue",E106="All"),0.38/0.6,0.25/0.6)),IFERROR(INDEX('Gear Budget'!$B$18:$B$21,MATCH($F106,'Gear Budget'!$A$18:$A$21,0)),1)))</f>
        <v/>
      </c>
      <c r="AR106" s="41">
        <f>IF(AQ106="","",AF106/AQ106)</f>
        <v/>
      </c>
      <c r="AS106" s="64" t="inlineStr">
        <is>
          <t>Punchy set: raised to +25% over the L40 boss set</t>
        </is>
      </c>
      <c r="AT106" s="44">
        <f>IF(OR($E106="All",ISNUMBER(SEARCH("Warrior",$E106))),IF($C106="Caster weapon",(AN106+AF106*('Item Budget'!$AB$14-'Item Budget'!$B$11)),(AM106+AF106*('Item Budget'!$AB$14-'Item Budget'!$B$11))),0)</f>
        <v/>
      </c>
      <c r="AU106" s="44">
        <f>IF(OR($E106="All",ISNUMBER(SEARCH("Rogue",$E106))),IF($C106="Caster weapon",(AN106+AF106*('Item Budget'!$AB$15-'Item Budget'!$B$11)),(AM106+AF106*('Item Budget'!$AB$15-'Item Budget'!$B$11))),0)</f>
        <v/>
      </c>
      <c r="AV106" s="44">
        <f>IF(OR($E106="All",ISNUMBER(SEARCH("Magus",$E106))),(AN106+AF106*('Item Budget'!$AB$16-'Item Budget'!$B$11)),0)</f>
        <v/>
      </c>
      <c r="AW106" s="44">
        <f>IF(OR($E106="All",ISNUMBER(SEARCH("Priest",$E106))),(AN106+AF106*('Item Budget'!$AB$17-'Item Budget'!$B$11)),0)</f>
        <v/>
      </c>
      <c r="AX106" s="44">
        <f>IF(AND(OR($E106="All",ISNUMBER(SEARCH("Warrior",$E106))),AC106&gt;='Item Budget'!$R$10),'Item Budget'!$R$7*100*('Item Budget'!$R$14*(AD106+25*AH106)+'Item Budget'!$S$14*(AE106+25*AJ106))/'Item Budget'!$Z$14+'Item Budget'!$R$9*AF106+IFERROR(INDEX('Item Budget'!$O$25:$O$95,MATCH(AL106,'Item Budget'!$B$25:$B$95,0)),0),0)</f>
        <v/>
      </c>
      <c r="AY106" s="44">
        <f>IF(AND(OR($E106="All",ISNUMBER(SEARCH("Rogue",$E106))),AC106&gt;='Item Budget'!$R$10),'Item Budget'!$R$7*100*('Item Budget'!$R$15*(AD106+25*AH106)+'Item Budget'!$S$15*(AE106+25*AJ106))/'Item Budget'!$Z$15+'Item Budget'!$R$9*AF106+IFERROR(INDEX('Item Budget'!$O$25:$O$95,MATCH(AL106,'Item Budget'!$B$25:$B$95,0)),0),0)</f>
        <v/>
      </c>
      <c r="AZ106" s="44">
        <f>IF(AND(OR($E106="All",ISNUMBER(SEARCH("Magus",$E106))),AC106&gt;='Item Budget'!$R$10),'Item Budget'!$R$7*100*('Item Budget'!$R$16*(AD106+25*AH106)+'Item Budget'!$S$16*(AE106+25*AJ106))/'Item Budget'!$Z$16+'Item Budget'!$R$9*AF106+IFERROR(INDEX('Item Budget'!$O$25:$O$95,MATCH(AL106,'Item Budget'!$B$25:$B$95,0)),0),0)</f>
        <v/>
      </c>
      <c r="BA106" s="44">
        <f>IF(AND(OR($E106="All",ISNUMBER(SEARCH("Priest",$E106))),AC106&gt;='Item Budget'!$R$10),'Item Budget'!$R$7*100*('Item Budget'!$R$17*(AD106+25*AH106)+'Item Budget'!$S$17*(AE106+25*AJ106))/'Item Budget'!$Z$17+'Item Budget'!$R$9*AF106+IFERROR(INDEX('Item Budget'!$O$25:$O$95,MATCH(AL106,'Item Budget'!$B$25:$B$95,0)),0),0)</f>
        <v/>
      </c>
      <c r="BB106" s="52">
        <f>IF(OR($I106&lt;1,IF($I106&gt;=6,AX106,AT106)&lt;=0),"",IF(SUMPRODUCT(MAX(($C$5:$C$215=$C106)*($I$5:$I$215&gt;=1)*($I$5:$I$215&lt;$I106)*IF($I106&gt;=6,$AX$5:$AX$215,$AT$5:$AT$215)))&lt;=0,"",SUMPRODUCT(MAX(($C$5:$C$215=$C106)*($I$5:$I$215=$I106)*IF($I106&gt;=6,$AX$5:$AX$215,$AT$5:$AT$215)))/SUMPRODUCT(MAX(($C$5:$C$215=$C106)*($I$5:$I$215&gt;=1)*($I$5:$I$215&lt;$I106)*IF($I106&gt;=6,$AX$5:$AX$215,$AT$5:$AT$215)))-1))</f>
        <v/>
      </c>
      <c r="BC106" s="52">
        <f>IF(OR($I106&lt;1,IF($I106&gt;=6,AY106,AU106)&lt;=0),"",IF(SUMPRODUCT(MAX(($C$5:$C$215=$C106)*($I$5:$I$215&gt;=1)*($I$5:$I$215&lt;$I106)*IF($I106&gt;=6,$AY$5:$AY$215,$AU$5:$AU$215)))&lt;=0,"",SUMPRODUCT(MAX(($C$5:$C$215=$C106)*($I$5:$I$215=$I106)*IF($I106&gt;=6,$AY$5:$AY$215,$AU$5:$AU$215)))/SUMPRODUCT(MAX(($C$5:$C$215=$C106)*($I$5:$I$215&gt;=1)*($I$5:$I$215&lt;$I106)*IF($I106&gt;=6,$AY$5:$AY$215,$AU$5:$AU$215)))-1))</f>
        <v/>
      </c>
      <c r="BD106" s="52">
        <f>IF(OR($I106&lt;1,IF($I106&gt;=6,AZ106,AV106)&lt;=0),"",IF(SUMPRODUCT(MAX(($C$5:$C$215=$C106)*($I$5:$I$215&gt;=1)*($I$5:$I$215&lt;$I106)*IF($I106&gt;=6,$AZ$5:$AZ$215,$AV$5:$AV$215)))&lt;=0,"",SUMPRODUCT(MAX(($C$5:$C$215=$C106)*($I$5:$I$215=$I106)*IF($I106&gt;=6,$AZ$5:$AZ$215,$AV$5:$AV$215)))/SUMPRODUCT(MAX(($C$5:$C$215=$C106)*($I$5:$I$215&gt;=1)*($I$5:$I$215&lt;$I106)*IF($I106&gt;=6,$AZ$5:$AZ$215,$AV$5:$AV$215)))-1))</f>
        <v/>
      </c>
      <c r="BE106" s="52">
        <f>IF(OR($I106&lt;1,IF($I106&gt;=6,BA106,AW106)&lt;=0),"",IF(SUMPRODUCT(MAX(($C$5:$C$215=$C106)*($I$5:$I$215&gt;=1)*($I$5:$I$215&lt;$I106)*IF($I106&gt;=6,$BA$5:$BA$215,$AW$5:$AW$215)))&lt;=0,"",SUMPRODUCT(MAX(($C$5:$C$215=$C106)*($I$5:$I$215=$I106)*IF($I106&gt;=6,$BA$5:$BA$215,$AW$5:$AW$215)))/SUMPRODUCT(MAX(($C$5:$C$215=$C106)*($I$5:$I$215&gt;=1)*($I$5:$I$215&lt;$I106)*IF($I106&gt;=6,$BA$5:$BA$215,$AW$5:$AW$215)))-1))</f>
        <v/>
      </c>
      <c r="BF106" s="19">
        <f>IF(AND(BB106="",BC106="",BD106="",BE106=""),"",IF(IF(AND(ISNUMBER(BB106),BB106&lt;'Item Budget'!$R$11),"W ","")&amp;IF(AND(ISNUMBER(BC106),BC106&lt;'Item Budget'!$R$11),"R ","")&amp;IF(AND(ISNUMBER(BD106),BD106&lt;'Item Budget'!$R$11),"M ","")&amp;IF(AND(ISNUMBER(BE106),BE106&lt;'Item Budget'!$R$11),"P ","")="","OK","Not above lower step: "&amp;IF(AND(ISNUMBER(BB106),BB106&lt;'Item Budget'!$R$11),"W ","")&amp;IF(AND(ISNUMBER(BC106),BC106&lt;'Item Budget'!$R$11),"R ","")&amp;IF(AND(ISNUMBER(BD106),BD106&lt;'Item Budget'!$R$11),"M ","")&amp;IF(AND(ISNUMBER(BE106),BE106&lt;'Item Budget'!$R$11),"P ","")))</f>
        <v/>
      </c>
    </row>
    <row r="107">
      <c r="A107" s="21" t="n">
        <v>243</v>
      </c>
      <c r="B107" s="21" t="inlineStr">
        <is>
          <t>Elemental Leggings</t>
        </is>
      </c>
      <c r="C107" s="21" t="inlineStr">
        <is>
          <t>Pants</t>
        </is>
      </c>
      <c r="D107" s="21" t="inlineStr">
        <is>
          <t>Magus</t>
        </is>
      </c>
      <c r="E107" s="21" t="inlineStr">
        <is>
          <t>Magus</t>
        </is>
      </c>
      <c r="F107" s="21" t="inlineStr">
        <is>
          <t>Caster cloth</t>
        </is>
      </c>
      <c r="G107" s="21" t="inlineStr">
        <is>
          <t>drop: Punchy 7%</t>
        </is>
      </c>
      <c r="H107" s="37" t="n">
        <v>0</v>
      </c>
      <c r="I107" s="21" t="n">
        <v>1</v>
      </c>
      <c r="J107" s="3" t="inlineStr">
        <is>
          <t>Pass 2</t>
        </is>
      </c>
      <c r="K107" s="21" t="inlineStr">
        <is>
          <t>Rare boss drop</t>
        </is>
      </c>
      <c r="L107" s="31">
        <f>INDEX('Item Budget'!$F$5:$F$13,MATCH(K107,'Item Budget'!$E$5:$E$13,0))+IF(E107="All",0,'Item Budget'!$F$15)+LOOKUP(H107,'Item Budget'!$E$19:$E$23,'Item Budget'!$F$19:$F$23)</f>
        <v/>
      </c>
      <c r="M107" s="21" t="n">
        <v>50</v>
      </c>
      <c r="N107" s="21" t="n">
        <v>50</v>
      </c>
      <c r="O107" s="21" t="n">
        <v>375</v>
      </c>
      <c r="P107" s="21" t="n">
        <v>38</v>
      </c>
      <c r="Q107" s="21" t="n">
        <v>0</v>
      </c>
      <c r="R107" s="21" t="n">
        <v>7</v>
      </c>
      <c r="S107" s="21" t="n">
        <v>0</v>
      </c>
      <c r="T107" s="21" t="n">
        <v>19</v>
      </c>
      <c r="U107" s="21" t="n">
        <v>0</v>
      </c>
      <c r="V107" s="21" t="inlineStr">
        <is>
          <t>(none)</t>
        </is>
      </c>
      <c r="W107" s="61">
        <f>N107*'Item Budget'!$B$5+R107*'Item Budget'!$B$7+P107*'Item Budget'!$B$11+S107*'Item Budget'!$B$10+Q107*'Item Budget'!$B$9+IFERROR(INDEX('Item Budget'!$M$25:$M$95,MATCH(V107,'Item Budget'!$B$25:$B$95,0)),0)+IF($C107="Weapon",U107*'Item Budget'!$B$9,0)</f>
        <v/>
      </c>
      <c r="X107" s="61">
        <f>N107*'Item Budget'!$B$5+R107*'Item Budget'!$B$7+P107*'Item Budget'!$B$11+S107*'Item Budget'!$B$10+O107*'Item Budget'!$B$6+T107*'Item Budget'!$B$8+IFERROR(INDEX('Item Budget'!$N$25:$N$95,MATCH(V107,'Item Budget'!$B$25:$B$95,0)),0)</f>
        <v/>
      </c>
      <c r="Y107" s="61">
        <f>MAX('Item Budget'!$F$16,INDEX('Gear Budget'!$C$8:$C$14,MATCH($C107,'Gear Budget'!$A$8:$A$14,0))*MIN(M107,50))*$L107</f>
        <v/>
      </c>
      <c r="Z107" s="41">
        <f>IF($C107="Caster weapon",X107,MAX(W107,X107))/Y107</f>
        <v/>
      </c>
      <c r="AA107" s="61">
        <f>IF(OR($C107="Weapon",$C107="Caster weapon"),"",'Gear Budget'!$B$5*MAX(1,MIN(M107,50))*INDEX('Gear Budget'!$B$8:$B$14,MATCH($C107,'Gear Budget'!$A$8:$A$14,0))*IF($C107="Shield",IF(D107="Warrior",1,IF(OR(D107="Rogue",D107="All"),0.38/0.6,0.25/0.6)),IFERROR(INDEX('Gear Budget'!$B$18:$B$21,MATCH($F107,'Gear Budget'!$A$18:$A$21,0)),1)))</f>
        <v/>
      </c>
      <c r="AB107" s="41">
        <f>IF(AA107="","",P107/AA107)</f>
        <v/>
      </c>
      <c r="AC107" s="21" t="n">
        <v>50</v>
      </c>
      <c r="AD107" s="20" t="n">
        <v>55</v>
      </c>
      <c r="AE107" s="20" t="n">
        <v>400</v>
      </c>
      <c r="AF107" s="20" t="n">
        <v>41</v>
      </c>
      <c r="AG107" s="21" t="n">
        <v>0</v>
      </c>
      <c r="AH107" s="20" t="n">
        <v>8</v>
      </c>
      <c r="AI107" s="21" t="n">
        <v>0</v>
      </c>
      <c r="AJ107" s="20" t="n">
        <v>21</v>
      </c>
      <c r="AK107" s="21" t="n">
        <v>0</v>
      </c>
      <c r="AL107" s="21" t="inlineStr">
        <is>
          <t>(none)</t>
        </is>
      </c>
      <c r="AM107" s="61">
        <f>AD107*'Item Budget'!$B$5+AH107*'Item Budget'!$B$7+AF107*'Item Budget'!$B$11+AI107*'Item Budget'!$B$10+AG107*'Item Budget'!$B$9+IFERROR(INDEX('Item Budget'!$M$25:$M$95,MATCH(AL107,'Item Budget'!$B$25:$B$95,0)),0)+IF($C107="Weapon",AK107*'Item Budget'!$B$9,0)</f>
        <v/>
      </c>
      <c r="AN107" s="61">
        <f>AD107*'Item Budget'!$B$5+AH107*'Item Budget'!$B$7+AF107*'Item Budget'!$B$11+AI107*'Item Budget'!$B$10+AE107*'Item Budget'!$B$6+AJ107*'Item Budget'!$B$8+IFERROR(INDEX('Item Budget'!$N$25:$N$95,MATCH(AL107,'Item Budget'!$B$25:$B$95,0)),0)</f>
        <v/>
      </c>
      <c r="AO107" s="61">
        <f>MAX('Item Budget'!$F$16,INDEX('Gear Budget'!$C$8:$C$14,MATCH($C107,'Gear Budget'!$A$8:$A$14,0))*MIN(AC107,50))*$L107</f>
        <v/>
      </c>
      <c r="AP107" s="41">
        <f>IF($C107="Caster weapon",AN107,MAX(AM107,AN107))/AO107</f>
        <v/>
      </c>
      <c r="AQ107" s="61">
        <f>IF(OR($C107="Weapon",$C107="Caster weapon"),"",'Gear Budget'!$B$5*MAX(1,MIN(AC107,50))*INDEX('Gear Budget'!$B$8:$B$14,MATCH($C107,'Gear Budget'!$A$8:$A$14,0))*IF($C107="Shield",IF(E107="Warrior",1,IF(OR(E107="Rogue",E107="All"),0.38/0.6,0.25/0.6)),IFERROR(INDEX('Gear Budget'!$B$18:$B$21,MATCH($F107,'Gear Budget'!$A$18:$A$21,0)),1)))</f>
        <v/>
      </c>
      <c r="AR107" s="41">
        <f>IF(AQ107="","",AF107/AQ107)</f>
        <v/>
      </c>
      <c r="AS107" s="64" t="inlineStr">
        <is>
          <t>Punchy set: raised to +25% over the L40 boss set</t>
        </is>
      </c>
      <c r="AT107" s="44">
        <f>IF(OR($E107="All",ISNUMBER(SEARCH("Warrior",$E107))),IF($C107="Caster weapon",(AN107+AF107*('Item Budget'!$AB$14-'Item Budget'!$B$11)),(AM107+AF107*('Item Budget'!$AB$14-'Item Budget'!$B$11))),0)</f>
        <v/>
      </c>
      <c r="AU107" s="44">
        <f>IF(OR($E107="All",ISNUMBER(SEARCH("Rogue",$E107))),IF($C107="Caster weapon",(AN107+AF107*('Item Budget'!$AB$15-'Item Budget'!$B$11)),(AM107+AF107*('Item Budget'!$AB$15-'Item Budget'!$B$11))),0)</f>
        <v/>
      </c>
      <c r="AV107" s="44">
        <f>IF(OR($E107="All",ISNUMBER(SEARCH("Magus",$E107))),(AN107+AF107*('Item Budget'!$AB$16-'Item Budget'!$B$11)),0)</f>
        <v/>
      </c>
      <c r="AW107" s="44">
        <f>IF(OR($E107="All",ISNUMBER(SEARCH("Priest",$E107))),(AN107+AF107*('Item Budget'!$AB$17-'Item Budget'!$B$11)),0)</f>
        <v/>
      </c>
      <c r="AX107" s="44">
        <f>IF(AND(OR($E107="All",ISNUMBER(SEARCH("Warrior",$E107))),AC107&gt;='Item Budget'!$R$10),'Item Budget'!$R$7*100*('Item Budget'!$R$14*(AD107+25*AH107)+'Item Budget'!$S$14*(AE107+25*AJ107))/'Item Budget'!$Z$14+'Item Budget'!$R$9*AF107+IFERROR(INDEX('Item Budget'!$O$25:$O$95,MATCH(AL107,'Item Budget'!$B$25:$B$95,0)),0),0)</f>
        <v/>
      </c>
      <c r="AY107" s="44">
        <f>IF(AND(OR($E107="All",ISNUMBER(SEARCH("Rogue",$E107))),AC107&gt;='Item Budget'!$R$10),'Item Budget'!$R$7*100*('Item Budget'!$R$15*(AD107+25*AH107)+'Item Budget'!$S$15*(AE107+25*AJ107))/'Item Budget'!$Z$15+'Item Budget'!$R$9*AF107+IFERROR(INDEX('Item Budget'!$O$25:$O$95,MATCH(AL107,'Item Budget'!$B$25:$B$95,0)),0),0)</f>
        <v/>
      </c>
      <c r="AZ107" s="44">
        <f>IF(AND(OR($E107="All",ISNUMBER(SEARCH("Magus",$E107))),AC107&gt;='Item Budget'!$R$10),'Item Budget'!$R$7*100*('Item Budget'!$R$16*(AD107+25*AH107)+'Item Budget'!$S$16*(AE107+25*AJ107))/'Item Budget'!$Z$16+'Item Budget'!$R$9*AF107+IFERROR(INDEX('Item Budget'!$O$25:$O$95,MATCH(AL107,'Item Budget'!$B$25:$B$95,0)),0),0)</f>
        <v/>
      </c>
      <c r="BA107" s="44">
        <f>IF(AND(OR($E107="All",ISNUMBER(SEARCH("Priest",$E107))),AC107&gt;='Item Budget'!$R$10),'Item Budget'!$R$7*100*('Item Budget'!$R$17*(AD107+25*AH107)+'Item Budget'!$S$17*(AE107+25*AJ107))/'Item Budget'!$Z$17+'Item Budget'!$R$9*AF107+IFERROR(INDEX('Item Budget'!$O$25:$O$95,MATCH(AL107,'Item Budget'!$B$25:$B$95,0)),0),0)</f>
        <v/>
      </c>
      <c r="BB107" s="52">
        <f>IF(OR($I107&lt;1,IF($I107&gt;=6,AX107,AT107)&lt;=0),"",IF(SUMPRODUCT(MAX(($C$5:$C$215=$C107)*($I$5:$I$215&gt;=1)*($I$5:$I$215&lt;$I107)*IF($I107&gt;=6,$AX$5:$AX$215,$AT$5:$AT$215)))&lt;=0,"",SUMPRODUCT(MAX(($C$5:$C$215=$C107)*($I$5:$I$215=$I107)*IF($I107&gt;=6,$AX$5:$AX$215,$AT$5:$AT$215)))/SUMPRODUCT(MAX(($C$5:$C$215=$C107)*($I$5:$I$215&gt;=1)*($I$5:$I$215&lt;$I107)*IF($I107&gt;=6,$AX$5:$AX$215,$AT$5:$AT$215)))-1))</f>
        <v/>
      </c>
      <c r="BC107" s="52">
        <f>IF(OR($I107&lt;1,IF($I107&gt;=6,AY107,AU107)&lt;=0),"",IF(SUMPRODUCT(MAX(($C$5:$C$215=$C107)*($I$5:$I$215&gt;=1)*($I$5:$I$215&lt;$I107)*IF($I107&gt;=6,$AY$5:$AY$215,$AU$5:$AU$215)))&lt;=0,"",SUMPRODUCT(MAX(($C$5:$C$215=$C107)*($I$5:$I$215=$I107)*IF($I107&gt;=6,$AY$5:$AY$215,$AU$5:$AU$215)))/SUMPRODUCT(MAX(($C$5:$C$215=$C107)*($I$5:$I$215&gt;=1)*($I$5:$I$215&lt;$I107)*IF($I107&gt;=6,$AY$5:$AY$215,$AU$5:$AU$215)))-1))</f>
        <v/>
      </c>
      <c r="BD107" s="52">
        <f>IF(OR($I107&lt;1,IF($I107&gt;=6,AZ107,AV107)&lt;=0),"",IF(SUMPRODUCT(MAX(($C$5:$C$215=$C107)*($I$5:$I$215&gt;=1)*($I$5:$I$215&lt;$I107)*IF($I107&gt;=6,$AZ$5:$AZ$215,$AV$5:$AV$215)))&lt;=0,"",SUMPRODUCT(MAX(($C$5:$C$215=$C107)*($I$5:$I$215=$I107)*IF($I107&gt;=6,$AZ$5:$AZ$215,$AV$5:$AV$215)))/SUMPRODUCT(MAX(($C$5:$C$215=$C107)*($I$5:$I$215&gt;=1)*($I$5:$I$215&lt;$I107)*IF($I107&gt;=6,$AZ$5:$AZ$215,$AV$5:$AV$215)))-1))</f>
        <v/>
      </c>
      <c r="BE107" s="52">
        <f>IF(OR($I107&lt;1,IF($I107&gt;=6,BA107,AW107)&lt;=0),"",IF(SUMPRODUCT(MAX(($C$5:$C$215=$C107)*($I$5:$I$215&gt;=1)*($I$5:$I$215&lt;$I107)*IF($I107&gt;=6,$BA$5:$BA$215,$AW$5:$AW$215)))&lt;=0,"",SUMPRODUCT(MAX(($C$5:$C$215=$C107)*($I$5:$I$215=$I107)*IF($I107&gt;=6,$BA$5:$BA$215,$AW$5:$AW$215)))/SUMPRODUCT(MAX(($C$5:$C$215=$C107)*($I$5:$I$215&gt;=1)*($I$5:$I$215&lt;$I107)*IF($I107&gt;=6,$BA$5:$BA$215,$AW$5:$AW$215)))-1))</f>
        <v/>
      </c>
      <c r="BF107" s="19">
        <f>IF(AND(BB107="",BC107="",BD107="",BE107=""),"",IF(IF(AND(ISNUMBER(BB107),BB107&lt;'Item Budget'!$R$11),"W ","")&amp;IF(AND(ISNUMBER(BC107),BC107&lt;'Item Budget'!$R$11),"R ","")&amp;IF(AND(ISNUMBER(BD107),BD107&lt;'Item Budget'!$R$11),"M ","")&amp;IF(AND(ISNUMBER(BE107),BE107&lt;'Item Budget'!$R$11),"P ","")="","OK","Not above lower step: "&amp;IF(AND(ISNUMBER(BB107),BB107&lt;'Item Budget'!$R$11),"W ","")&amp;IF(AND(ISNUMBER(BC107),BC107&lt;'Item Budget'!$R$11),"R ","")&amp;IF(AND(ISNUMBER(BD107),BD107&lt;'Item Budget'!$R$11),"M ","")&amp;IF(AND(ISNUMBER(BE107),BE107&lt;'Item Budget'!$R$11),"P ","")))</f>
        <v/>
      </c>
    </row>
    <row r="108">
      <c r="A108" s="21" t="n">
        <v>109</v>
      </c>
      <c r="B108" s="21" t="inlineStr">
        <is>
          <t>Gold Legplates</t>
        </is>
      </c>
      <c r="C108" s="21" t="inlineStr">
        <is>
          <t>Pants</t>
        </is>
      </c>
      <c r="D108" s="21" t="inlineStr">
        <is>
          <t>Rogue/Warrior</t>
        </is>
      </c>
      <c r="E108" s="21" t="inlineStr">
        <is>
          <t>Rogue/Warrior</t>
        </is>
      </c>
      <c r="F108" s="21" t="inlineStr">
        <is>
          <t>Warrior plate</t>
        </is>
      </c>
      <c r="G108" s="21" t="inlineStr">
        <is>
          <t>drop: Insanity 10%</t>
        </is>
      </c>
      <c r="H108" s="37" t="n">
        <v>0</v>
      </c>
      <c r="I108" s="21" t="n">
        <v>4</v>
      </c>
      <c r="J108" s="19" t="inlineStr">
        <is>
          <t>Leave</t>
        </is>
      </c>
      <c r="K108" s="21" t="inlineStr">
        <is>
          <t>Rare boss drop</t>
        </is>
      </c>
      <c r="L108" s="31">
        <f>INDEX('Item Budget'!$F$5:$F$13,MATCH(K108,'Item Budget'!$E$5:$E$13,0))+IF(E108="All",0,'Item Budget'!$F$15)+LOOKUP(H108,'Item Budget'!$E$19:$E$23,'Item Budget'!$F$19:$F$23)</f>
        <v/>
      </c>
      <c r="M108" s="21" t="n">
        <v>50</v>
      </c>
      <c r="N108" s="21" t="n">
        <v>200</v>
      </c>
      <c r="O108" s="21" t="n">
        <v>0</v>
      </c>
      <c r="P108" s="21" t="n">
        <v>100</v>
      </c>
      <c r="Q108" s="21" t="n">
        <v>10</v>
      </c>
      <c r="R108" s="21" t="n">
        <v>16</v>
      </c>
      <c r="S108" s="21" t="n">
        <v>0</v>
      </c>
      <c r="T108" s="21" t="n">
        <v>0</v>
      </c>
      <c r="U108" s="21" t="n">
        <v>0</v>
      </c>
      <c r="V108" s="21" t="inlineStr">
        <is>
          <t>(none)</t>
        </is>
      </c>
      <c r="W108" s="61">
        <f>N108*'Item Budget'!$B$5+R108*'Item Budget'!$B$7+P108*'Item Budget'!$B$11+S108*'Item Budget'!$B$10+Q108*'Item Budget'!$B$9+IFERROR(INDEX('Item Budget'!$M$25:$M$95,MATCH(V108,'Item Budget'!$B$25:$B$95,0)),0)+IF($C108="Weapon",U108*'Item Budget'!$B$9,0)</f>
        <v/>
      </c>
      <c r="X108" s="61">
        <f>N108*'Item Budget'!$B$5+R108*'Item Budget'!$B$7+P108*'Item Budget'!$B$11+S108*'Item Budget'!$B$10+O108*'Item Budget'!$B$6+T108*'Item Budget'!$B$8+IFERROR(INDEX('Item Budget'!$N$25:$N$95,MATCH(V108,'Item Budget'!$B$25:$B$95,0)),0)</f>
        <v/>
      </c>
      <c r="Y108" s="61">
        <f>MAX('Item Budget'!$F$16,INDEX('Gear Budget'!$C$8:$C$14,MATCH($C108,'Gear Budget'!$A$8:$A$14,0))*MIN(M108,50))*$L108</f>
        <v/>
      </c>
      <c r="Z108" s="41">
        <f>IF($C108="Caster weapon",X108,MAX(W108,X108))/Y108</f>
        <v/>
      </c>
      <c r="AA108" s="61">
        <f>IF(OR($C108="Weapon",$C108="Caster weapon"),"",'Gear Budget'!$B$5*MAX(1,MIN(M108,50))*INDEX('Gear Budget'!$B$8:$B$14,MATCH($C108,'Gear Budget'!$A$8:$A$14,0))*IF($C108="Shield",IF(D108="Warrior",1,IF(OR(D108="Rogue",D108="All"),0.38/0.6,0.25/0.6)),IFERROR(INDEX('Gear Budget'!$B$18:$B$21,MATCH($F108,'Gear Budget'!$A$18:$A$21,0)),1)))</f>
        <v/>
      </c>
      <c r="AB108" s="41">
        <f>IF(AA108="","",P108/AA108)</f>
        <v/>
      </c>
      <c r="AC108" s="21" t="n">
        <v>50</v>
      </c>
      <c r="AD108" s="21" t="n">
        <v>200</v>
      </c>
      <c r="AE108" s="21" t="n">
        <v>0</v>
      </c>
      <c r="AF108" s="21" t="n">
        <v>100</v>
      </c>
      <c r="AG108" s="21" t="n">
        <v>10</v>
      </c>
      <c r="AH108" s="21" t="n">
        <v>16</v>
      </c>
      <c r="AI108" s="21" t="n">
        <v>0</v>
      </c>
      <c r="AJ108" s="21" t="n">
        <v>0</v>
      </c>
      <c r="AK108" s="21" t="n">
        <v>0</v>
      </c>
      <c r="AL108" s="21" t="inlineStr">
        <is>
          <t>(none)</t>
        </is>
      </c>
      <c r="AM108" s="61">
        <f>AD108*'Item Budget'!$B$5+AH108*'Item Budget'!$B$7+AF108*'Item Budget'!$B$11+AI108*'Item Budget'!$B$10+AG108*'Item Budget'!$B$9+IFERROR(INDEX('Item Budget'!$M$25:$M$95,MATCH(AL108,'Item Budget'!$B$25:$B$95,0)),0)+IF($C108="Weapon",AK108*'Item Budget'!$B$9,0)</f>
        <v/>
      </c>
      <c r="AN108" s="61">
        <f>AD108*'Item Budget'!$B$5+AH108*'Item Budget'!$B$7+AF108*'Item Budget'!$B$11+AI108*'Item Budget'!$B$10+AE108*'Item Budget'!$B$6+AJ108*'Item Budget'!$B$8+IFERROR(INDEX('Item Budget'!$N$25:$N$95,MATCH(AL108,'Item Budget'!$B$25:$B$95,0)),0)</f>
        <v/>
      </c>
      <c r="AO108" s="61">
        <f>MAX('Item Budget'!$F$16,INDEX('Gear Budget'!$C$8:$C$14,MATCH($C108,'Gear Budget'!$A$8:$A$14,0))*MIN(AC108,50))*$L108</f>
        <v/>
      </c>
      <c r="AP108" s="41">
        <f>IF($C108="Caster weapon",AN108,MAX(AM108,AN108))/AO108</f>
        <v/>
      </c>
      <c r="AQ108" s="61">
        <f>IF(OR($C108="Weapon",$C108="Caster weapon"),"",'Gear Budget'!$B$5*MAX(1,MIN(AC108,50))*INDEX('Gear Budget'!$B$8:$B$14,MATCH($C108,'Gear Budget'!$A$8:$A$14,0))*IF($C108="Shield",IF(E108="Warrior",1,IF(OR(E108="Rogue",E108="All"),0.38/0.6,0.25/0.6)),IFERROR(INDEX('Gear Budget'!$B$18:$B$21,MATCH($F108,'Gear Budget'!$A$18:$A$21,0)),1)))</f>
        <v/>
      </c>
      <c r="AR108" s="41">
        <f>IF(AQ108="","",AF108/AQ108)</f>
        <v/>
      </c>
      <c r="AS108" s="64" t="n"/>
      <c r="AT108" s="44">
        <f>IF(OR($E108="All",ISNUMBER(SEARCH("Warrior",$E108))),IF($C108="Caster weapon",(AN108+AF108*('Item Budget'!$AB$14-'Item Budget'!$B$11)),(AM108+AF108*('Item Budget'!$AB$14-'Item Budget'!$B$11))),0)</f>
        <v/>
      </c>
      <c r="AU108" s="44">
        <f>IF(OR($E108="All",ISNUMBER(SEARCH("Rogue",$E108))),IF($C108="Caster weapon",(AN108+AF108*('Item Budget'!$AB$15-'Item Budget'!$B$11)),(AM108+AF108*('Item Budget'!$AB$15-'Item Budget'!$B$11))),0)</f>
        <v/>
      </c>
      <c r="AV108" s="44">
        <f>IF(OR($E108="All",ISNUMBER(SEARCH("Magus",$E108))),(AN108+AF108*('Item Budget'!$AB$16-'Item Budget'!$B$11)),0)</f>
        <v/>
      </c>
      <c r="AW108" s="44">
        <f>IF(OR($E108="All",ISNUMBER(SEARCH("Priest",$E108))),(AN108+AF108*('Item Budget'!$AB$17-'Item Budget'!$B$11)),0)</f>
        <v/>
      </c>
      <c r="AX108" s="44">
        <f>IF(AND(OR($E108="All",ISNUMBER(SEARCH("Warrior",$E108))),AC108&gt;='Item Budget'!$R$10),'Item Budget'!$R$7*100*('Item Budget'!$R$14*(AD108+25*AH108)+'Item Budget'!$S$14*(AE108+25*AJ108))/'Item Budget'!$Z$14+'Item Budget'!$R$9*AF108+IFERROR(INDEX('Item Budget'!$O$25:$O$95,MATCH(AL108,'Item Budget'!$B$25:$B$95,0)),0),0)</f>
        <v/>
      </c>
      <c r="AY108" s="44">
        <f>IF(AND(OR($E108="All",ISNUMBER(SEARCH("Rogue",$E108))),AC108&gt;='Item Budget'!$R$10),'Item Budget'!$R$7*100*('Item Budget'!$R$15*(AD108+25*AH108)+'Item Budget'!$S$15*(AE108+25*AJ108))/'Item Budget'!$Z$15+'Item Budget'!$R$9*AF108+IFERROR(INDEX('Item Budget'!$O$25:$O$95,MATCH(AL108,'Item Budget'!$B$25:$B$95,0)),0),0)</f>
        <v/>
      </c>
      <c r="AZ108" s="44">
        <f>IF(AND(OR($E108="All",ISNUMBER(SEARCH("Magus",$E108))),AC108&gt;='Item Budget'!$R$10),'Item Budget'!$R$7*100*('Item Budget'!$R$16*(AD108+25*AH108)+'Item Budget'!$S$16*(AE108+25*AJ108))/'Item Budget'!$Z$16+'Item Budget'!$R$9*AF108+IFERROR(INDEX('Item Budget'!$O$25:$O$95,MATCH(AL108,'Item Budget'!$B$25:$B$95,0)),0),0)</f>
        <v/>
      </c>
      <c r="BA108" s="44">
        <f>IF(AND(OR($E108="All",ISNUMBER(SEARCH("Priest",$E108))),AC108&gt;='Item Budget'!$R$10),'Item Budget'!$R$7*100*('Item Budget'!$R$17*(AD108+25*AH108)+'Item Budget'!$S$17*(AE108+25*AJ108))/'Item Budget'!$Z$17+'Item Budget'!$R$9*AF108+IFERROR(INDEX('Item Budget'!$O$25:$O$95,MATCH(AL108,'Item Budget'!$B$25:$B$95,0)),0),0)</f>
        <v/>
      </c>
      <c r="BB108" s="52">
        <f>IF(OR($I108&lt;1,IF($I108&gt;=6,AX108,AT108)&lt;=0),"",IF(SUMPRODUCT(MAX(($C$5:$C$215=$C108)*($I$5:$I$215&gt;=1)*($I$5:$I$215&lt;$I108)*IF($I108&gt;=6,$AX$5:$AX$215,$AT$5:$AT$215)))&lt;=0,"",SUMPRODUCT(MAX(($C$5:$C$215=$C108)*($I$5:$I$215=$I108)*IF($I108&gt;=6,$AX$5:$AX$215,$AT$5:$AT$215)))/SUMPRODUCT(MAX(($C$5:$C$215=$C108)*($I$5:$I$215&gt;=1)*($I$5:$I$215&lt;$I108)*IF($I108&gt;=6,$AX$5:$AX$215,$AT$5:$AT$215)))-1))</f>
        <v/>
      </c>
      <c r="BC108" s="52">
        <f>IF(OR($I108&lt;1,IF($I108&gt;=6,AY108,AU108)&lt;=0),"",IF(SUMPRODUCT(MAX(($C$5:$C$215=$C108)*($I$5:$I$215&gt;=1)*($I$5:$I$215&lt;$I108)*IF($I108&gt;=6,$AY$5:$AY$215,$AU$5:$AU$215)))&lt;=0,"",SUMPRODUCT(MAX(($C$5:$C$215=$C108)*($I$5:$I$215=$I108)*IF($I108&gt;=6,$AY$5:$AY$215,$AU$5:$AU$215)))/SUMPRODUCT(MAX(($C$5:$C$215=$C108)*($I$5:$I$215&gt;=1)*($I$5:$I$215&lt;$I108)*IF($I108&gt;=6,$AY$5:$AY$215,$AU$5:$AU$215)))-1))</f>
        <v/>
      </c>
      <c r="BD108" s="52">
        <f>IF(OR($I108&lt;1,IF($I108&gt;=6,AZ108,AV108)&lt;=0),"",IF(SUMPRODUCT(MAX(($C$5:$C$215=$C108)*($I$5:$I$215&gt;=1)*($I$5:$I$215&lt;$I108)*IF($I108&gt;=6,$AZ$5:$AZ$215,$AV$5:$AV$215)))&lt;=0,"",SUMPRODUCT(MAX(($C$5:$C$215=$C108)*($I$5:$I$215=$I108)*IF($I108&gt;=6,$AZ$5:$AZ$215,$AV$5:$AV$215)))/SUMPRODUCT(MAX(($C$5:$C$215=$C108)*($I$5:$I$215&gt;=1)*($I$5:$I$215&lt;$I108)*IF($I108&gt;=6,$AZ$5:$AZ$215,$AV$5:$AV$215)))-1))</f>
        <v/>
      </c>
      <c r="BE108" s="52">
        <f>IF(OR($I108&lt;1,IF($I108&gt;=6,BA108,AW108)&lt;=0),"",IF(SUMPRODUCT(MAX(($C$5:$C$215=$C108)*($I$5:$I$215&gt;=1)*($I$5:$I$215&lt;$I108)*IF($I108&gt;=6,$BA$5:$BA$215,$AW$5:$AW$215)))&lt;=0,"",SUMPRODUCT(MAX(($C$5:$C$215=$C108)*($I$5:$I$215=$I108)*IF($I108&gt;=6,$BA$5:$BA$215,$AW$5:$AW$215)))/SUMPRODUCT(MAX(($C$5:$C$215=$C108)*($I$5:$I$215&gt;=1)*($I$5:$I$215&lt;$I108)*IF($I108&gt;=6,$BA$5:$BA$215,$AW$5:$AW$215)))-1))</f>
        <v/>
      </c>
      <c r="BF108" s="19">
        <f>IF(AND(BB108="",BC108="",BD108="",BE108=""),"",IF(IF(AND(ISNUMBER(BB108),BB108&lt;'Item Budget'!$R$11),"W ","")&amp;IF(AND(ISNUMBER(BC108),BC108&lt;'Item Budget'!$R$11),"R ","")&amp;IF(AND(ISNUMBER(BD108),BD108&lt;'Item Budget'!$R$11),"M ","")&amp;IF(AND(ISNUMBER(BE108),BE108&lt;'Item Budget'!$R$11),"P ","")="","OK","Not above lower step: "&amp;IF(AND(ISNUMBER(BB108),BB108&lt;'Item Budget'!$R$11),"W ","")&amp;IF(AND(ISNUMBER(BC108),BC108&lt;'Item Budget'!$R$11),"R ","")&amp;IF(AND(ISNUMBER(BD108),BD108&lt;'Item Budget'!$R$11),"M ","")&amp;IF(AND(ISNUMBER(BE108),BE108&lt;'Item Budget'!$R$11),"P ","")))</f>
        <v/>
      </c>
    </row>
    <row r="109">
      <c r="A109" s="21" t="n">
        <v>247</v>
      </c>
      <c r="B109" s="21" t="inlineStr">
        <is>
          <t>Whirling Leggings</t>
        </is>
      </c>
      <c r="C109" s="21" t="inlineStr">
        <is>
          <t>Pants</t>
        </is>
      </c>
      <c r="D109" s="21" t="inlineStr">
        <is>
          <t>Magus/Priest</t>
        </is>
      </c>
      <c r="E109" s="21" t="inlineStr">
        <is>
          <t>Magus/Priest</t>
        </is>
      </c>
      <c r="F109" s="21" t="inlineStr">
        <is>
          <t>Caster cloth</t>
        </is>
      </c>
      <c r="G109" s="21" t="inlineStr">
        <is>
          <t>drop: Copycat 10%</t>
        </is>
      </c>
      <c r="H109" s="37" t="n">
        <v>0</v>
      </c>
      <c r="I109" s="21" t="n">
        <v>4</v>
      </c>
      <c r="J109" s="3" t="inlineStr">
        <is>
          <t>Pass 2</t>
        </is>
      </c>
      <c r="K109" s="21" t="inlineStr">
        <is>
          <t>Rare boss drop</t>
        </is>
      </c>
      <c r="L109" s="31">
        <f>INDEX('Item Budget'!$F$5:$F$13,MATCH(K109,'Item Budget'!$E$5:$E$13,0))+IF(E109="All",0,'Item Budget'!$F$15)+LOOKUP(H109,'Item Budget'!$E$19:$E$23,'Item Budget'!$F$19:$F$23)</f>
        <v/>
      </c>
      <c r="M109" s="21" t="n">
        <v>50</v>
      </c>
      <c r="N109" s="21" t="n">
        <v>50</v>
      </c>
      <c r="O109" s="21" t="n">
        <v>200</v>
      </c>
      <c r="P109" s="21" t="n">
        <v>75</v>
      </c>
      <c r="Q109" s="21" t="n">
        <v>0</v>
      </c>
      <c r="R109" s="21" t="n">
        <v>6</v>
      </c>
      <c r="S109" s="21" t="n">
        <v>0</v>
      </c>
      <c r="T109" s="21" t="n">
        <v>22</v>
      </c>
      <c r="U109" s="21" t="n">
        <v>0</v>
      </c>
      <c r="V109" s="21" t="inlineStr">
        <is>
          <t>(none)</t>
        </is>
      </c>
      <c r="W109" s="61">
        <f>N109*'Item Budget'!$B$5+R109*'Item Budget'!$B$7+P109*'Item Budget'!$B$11+S109*'Item Budget'!$B$10+Q109*'Item Budget'!$B$9+IFERROR(INDEX('Item Budget'!$M$25:$M$95,MATCH(V109,'Item Budget'!$B$25:$B$95,0)),0)+IF($C109="Weapon",U109*'Item Budget'!$B$9,0)</f>
        <v/>
      </c>
      <c r="X109" s="61">
        <f>N109*'Item Budget'!$B$5+R109*'Item Budget'!$B$7+P109*'Item Budget'!$B$11+S109*'Item Budget'!$B$10+O109*'Item Budget'!$B$6+T109*'Item Budget'!$B$8+IFERROR(INDEX('Item Budget'!$N$25:$N$95,MATCH(V109,'Item Budget'!$B$25:$B$95,0)),0)</f>
        <v/>
      </c>
      <c r="Y109" s="61">
        <f>MAX('Item Budget'!$F$16,INDEX('Gear Budget'!$C$8:$C$14,MATCH($C109,'Gear Budget'!$A$8:$A$14,0))*MIN(M109,50))*$L109</f>
        <v/>
      </c>
      <c r="Z109" s="41">
        <f>IF($C109="Caster weapon",X109,MAX(W109,X109))/Y109</f>
        <v/>
      </c>
      <c r="AA109" s="61">
        <f>IF(OR($C109="Weapon",$C109="Caster weapon"),"",'Gear Budget'!$B$5*MAX(1,MIN(M109,50))*INDEX('Gear Budget'!$B$8:$B$14,MATCH($C109,'Gear Budget'!$A$8:$A$14,0))*IF($C109="Shield",IF(D109="Warrior",1,IF(OR(D109="Rogue",D109="All"),0.38/0.6,0.25/0.6)),IFERROR(INDEX('Gear Budget'!$B$18:$B$21,MATCH($F109,'Gear Budget'!$A$18:$A$21,0)),1)))</f>
        <v/>
      </c>
      <c r="AB109" s="41">
        <f>IF(AA109="","",P109/AA109)</f>
        <v/>
      </c>
      <c r="AC109" s="21" t="n">
        <v>50</v>
      </c>
      <c r="AD109" s="20" t="n">
        <v>70</v>
      </c>
      <c r="AE109" s="20" t="n">
        <v>275</v>
      </c>
      <c r="AF109" s="21" t="n">
        <v>75</v>
      </c>
      <c r="AG109" s="21" t="n">
        <v>0</v>
      </c>
      <c r="AH109" s="20" t="n">
        <v>8</v>
      </c>
      <c r="AI109" s="21" t="n">
        <v>0</v>
      </c>
      <c r="AJ109" s="20" t="n">
        <v>30</v>
      </c>
      <c r="AK109" s="21" t="n">
        <v>0</v>
      </c>
      <c r="AL109" s="21" t="inlineStr">
        <is>
          <t>(none)</t>
        </is>
      </c>
      <c r="AM109" s="61">
        <f>AD109*'Item Budget'!$B$5+AH109*'Item Budget'!$B$7+AF109*'Item Budget'!$B$11+AI109*'Item Budget'!$B$10+AG109*'Item Budget'!$B$9+IFERROR(INDEX('Item Budget'!$M$25:$M$95,MATCH(AL109,'Item Budget'!$B$25:$B$95,0)),0)+IF($C109="Weapon",AK109*'Item Budget'!$B$9,0)</f>
        <v/>
      </c>
      <c r="AN109" s="61">
        <f>AD109*'Item Budget'!$B$5+AH109*'Item Budget'!$B$7+AF109*'Item Budget'!$B$11+AI109*'Item Budget'!$B$10+AE109*'Item Budget'!$B$6+AJ109*'Item Budget'!$B$8+IFERROR(INDEX('Item Budget'!$N$25:$N$95,MATCH(AL109,'Item Budget'!$B$25:$B$95,0)),0)</f>
        <v/>
      </c>
      <c r="AO109" s="61">
        <f>MAX('Item Budget'!$F$16,INDEX('Gear Budget'!$C$8:$C$14,MATCH($C109,'Gear Budget'!$A$8:$A$14,0))*MIN(AC109,50))*$L109</f>
        <v/>
      </c>
      <c r="AP109" s="41">
        <f>IF($C109="Caster weapon",AN109,MAX(AM109,AN109))/AO109</f>
        <v/>
      </c>
      <c r="AQ109" s="61">
        <f>IF(OR($C109="Weapon",$C109="Caster weapon"),"",'Gear Budget'!$B$5*MAX(1,MIN(AC109,50))*INDEX('Gear Budget'!$B$8:$B$14,MATCH($C109,'Gear Budget'!$A$8:$A$14,0))*IF($C109="Shield",IF(E109="Warrior",1,IF(OR(E109="Rogue",E109="All"),0.38/0.6,0.25/0.6)),IFERROR(INDEX('Gear Budget'!$B$18:$B$21,MATCH($F109,'Gear Budget'!$A$18:$A$21,0)),1)))</f>
        <v/>
      </c>
      <c r="AR109" s="41">
        <f>IF(AQ109="","",AF109/AQ109)</f>
        <v/>
      </c>
      <c r="AS109" s="64" t="inlineStr">
        <is>
          <t>Raised so it is 10% over Elemental Leggings for Magus (pass 2 class weights)</t>
        </is>
      </c>
      <c r="AT109" s="44">
        <f>IF(OR($E109="All",ISNUMBER(SEARCH("Warrior",$E109))),IF($C109="Caster weapon",(AN109+AF109*('Item Budget'!$AB$14-'Item Budget'!$B$11)),(AM109+AF109*('Item Budget'!$AB$14-'Item Budget'!$B$11))),0)</f>
        <v/>
      </c>
      <c r="AU109" s="44">
        <f>IF(OR($E109="All",ISNUMBER(SEARCH("Rogue",$E109))),IF($C109="Caster weapon",(AN109+AF109*('Item Budget'!$AB$15-'Item Budget'!$B$11)),(AM109+AF109*('Item Budget'!$AB$15-'Item Budget'!$B$11))),0)</f>
        <v/>
      </c>
      <c r="AV109" s="44">
        <f>IF(OR($E109="All",ISNUMBER(SEARCH("Magus",$E109))),(AN109+AF109*('Item Budget'!$AB$16-'Item Budget'!$B$11)),0)</f>
        <v/>
      </c>
      <c r="AW109" s="44">
        <f>IF(OR($E109="All",ISNUMBER(SEARCH("Priest",$E109))),(AN109+AF109*('Item Budget'!$AB$17-'Item Budget'!$B$11)),0)</f>
        <v/>
      </c>
      <c r="AX109" s="44">
        <f>IF(AND(OR($E109="All",ISNUMBER(SEARCH("Warrior",$E109))),AC109&gt;='Item Budget'!$R$10),'Item Budget'!$R$7*100*('Item Budget'!$R$14*(AD109+25*AH109)+'Item Budget'!$S$14*(AE109+25*AJ109))/'Item Budget'!$Z$14+'Item Budget'!$R$9*AF109+IFERROR(INDEX('Item Budget'!$O$25:$O$95,MATCH(AL109,'Item Budget'!$B$25:$B$95,0)),0),0)</f>
        <v/>
      </c>
      <c r="AY109" s="44">
        <f>IF(AND(OR($E109="All",ISNUMBER(SEARCH("Rogue",$E109))),AC109&gt;='Item Budget'!$R$10),'Item Budget'!$R$7*100*('Item Budget'!$R$15*(AD109+25*AH109)+'Item Budget'!$S$15*(AE109+25*AJ109))/'Item Budget'!$Z$15+'Item Budget'!$R$9*AF109+IFERROR(INDEX('Item Budget'!$O$25:$O$95,MATCH(AL109,'Item Budget'!$B$25:$B$95,0)),0),0)</f>
        <v/>
      </c>
      <c r="AZ109" s="44">
        <f>IF(AND(OR($E109="All",ISNUMBER(SEARCH("Magus",$E109))),AC109&gt;='Item Budget'!$R$10),'Item Budget'!$R$7*100*('Item Budget'!$R$16*(AD109+25*AH109)+'Item Budget'!$S$16*(AE109+25*AJ109))/'Item Budget'!$Z$16+'Item Budget'!$R$9*AF109+IFERROR(INDEX('Item Budget'!$O$25:$O$95,MATCH(AL109,'Item Budget'!$B$25:$B$95,0)),0),0)</f>
        <v/>
      </c>
      <c r="BA109" s="44">
        <f>IF(AND(OR($E109="All",ISNUMBER(SEARCH("Priest",$E109))),AC109&gt;='Item Budget'!$R$10),'Item Budget'!$R$7*100*('Item Budget'!$R$17*(AD109+25*AH109)+'Item Budget'!$S$17*(AE109+25*AJ109))/'Item Budget'!$Z$17+'Item Budget'!$R$9*AF109+IFERROR(INDEX('Item Budget'!$O$25:$O$95,MATCH(AL109,'Item Budget'!$B$25:$B$95,0)),0),0)</f>
        <v/>
      </c>
      <c r="BB109" s="52">
        <f>IF(OR($I109&lt;1,IF($I109&gt;=6,AX109,AT109)&lt;=0),"",IF(SUMPRODUCT(MAX(($C$5:$C$215=$C109)*($I$5:$I$215&gt;=1)*($I$5:$I$215&lt;$I109)*IF($I109&gt;=6,$AX$5:$AX$215,$AT$5:$AT$215)))&lt;=0,"",SUMPRODUCT(MAX(($C$5:$C$215=$C109)*($I$5:$I$215=$I109)*IF($I109&gt;=6,$AX$5:$AX$215,$AT$5:$AT$215)))/SUMPRODUCT(MAX(($C$5:$C$215=$C109)*($I$5:$I$215&gt;=1)*($I$5:$I$215&lt;$I109)*IF($I109&gt;=6,$AX$5:$AX$215,$AT$5:$AT$215)))-1))</f>
        <v/>
      </c>
      <c r="BC109" s="52">
        <f>IF(OR($I109&lt;1,IF($I109&gt;=6,AY109,AU109)&lt;=0),"",IF(SUMPRODUCT(MAX(($C$5:$C$215=$C109)*($I$5:$I$215&gt;=1)*($I$5:$I$215&lt;$I109)*IF($I109&gt;=6,$AY$5:$AY$215,$AU$5:$AU$215)))&lt;=0,"",SUMPRODUCT(MAX(($C$5:$C$215=$C109)*($I$5:$I$215=$I109)*IF($I109&gt;=6,$AY$5:$AY$215,$AU$5:$AU$215)))/SUMPRODUCT(MAX(($C$5:$C$215=$C109)*($I$5:$I$215&gt;=1)*($I$5:$I$215&lt;$I109)*IF($I109&gt;=6,$AY$5:$AY$215,$AU$5:$AU$215)))-1))</f>
        <v/>
      </c>
      <c r="BD109" s="52">
        <f>IF(OR($I109&lt;1,IF($I109&gt;=6,AZ109,AV109)&lt;=0),"",IF(SUMPRODUCT(MAX(($C$5:$C$215=$C109)*($I$5:$I$215&gt;=1)*($I$5:$I$215&lt;$I109)*IF($I109&gt;=6,$AZ$5:$AZ$215,$AV$5:$AV$215)))&lt;=0,"",SUMPRODUCT(MAX(($C$5:$C$215=$C109)*($I$5:$I$215=$I109)*IF($I109&gt;=6,$AZ$5:$AZ$215,$AV$5:$AV$215)))/SUMPRODUCT(MAX(($C$5:$C$215=$C109)*($I$5:$I$215&gt;=1)*($I$5:$I$215&lt;$I109)*IF($I109&gt;=6,$AZ$5:$AZ$215,$AV$5:$AV$215)))-1))</f>
        <v/>
      </c>
      <c r="BE109" s="52">
        <f>IF(OR($I109&lt;1,IF($I109&gt;=6,BA109,AW109)&lt;=0),"",IF(SUMPRODUCT(MAX(($C$5:$C$215=$C109)*($I$5:$I$215&gt;=1)*($I$5:$I$215&lt;$I109)*IF($I109&gt;=6,$BA$5:$BA$215,$AW$5:$AW$215)))&lt;=0,"",SUMPRODUCT(MAX(($C$5:$C$215=$C109)*($I$5:$I$215=$I109)*IF($I109&gt;=6,$BA$5:$BA$215,$AW$5:$AW$215)))/SUMPRODUCT(MAX(($C$5:$C$215=$C109)*($I$5:$I$215&gt;=1)*($I$5:$I$215&lt;$I109)*IF($I109&gt;=6,$BA$5:$BA$215,$AW$5:$AW$215)))-1))</f>
        <v/>
      </c>
      <c r="BF109" s="19">
        <f>IF(AND(BB109="",BC109="",BD109="",BE109=""),"",IF(IF(AND(ISNUMBER(BB109),BB109&lt;'Item Budget'!$R$11),"W ","")&amp;IF(AND(ISNUMBER(BC109),BC109&lt;'Item Budget'!$R$11),"R ","")&amp;IF(AND(ISNUMBER(BD109),BD109&lt;'Item Budget'!$R$11),"M ","")&amp;IF(AND(ISNUMBER(BE109),BE109&lt;'Item Budget'!$R$11),"P ","")="","OK","Not above lower step: "&amp;IF(AND(ISNUMBER(BB109),BB109&lt;'Item Budget'!$R$11),"W ","")&amp;IF(AND(ISNUMBER(BC109),BC109&lt;'Item Budget'!$R$11),"R ","")&amp;IF(AND(ISNUMBER(BD109),BD109&lt;'Item Budget'!$R$11),"M ","")&amp;IF(AND(ISNUMBER(BE109),BE109&lt;'Item Budget'!$R$11),"P ","")))</f>
        <v/>
      </c>
    </row>
    <row r="110">
      <c r="A110" s="21" t="n">
        <v>375</v>
      </c>
      <c r="B110" s="21" t="inlineStr">
        <is>
          <t>Valiant Legplates</t>
        </is>
      </c>
      <c r="C110" s="21" t="inlineStr">
        <is>
          <t>Pants</t>
        </is>
      </c>
      <c r="D110" s="21" t="inlineStr">
        <is>
          <t>All</t>
        </is>
      </c>
      <c r="E110" s="21" t="inlineStr">
        <is>
          <t>All</t>
        </is>
      </c>
      <c r="F110" s="21" t="inlineStr">
        <is>
          <t>All classes</t>
        </is>
      </c>
      <c r="G110" s="21" t="inlineStr">
        <is>
          <t>drop: Nibbles II 5%</t>
        </is>
      </c>
      <c r="H110" s="37" t="n">
        <v>0</v>
      </c>
      <c r="I110" s="21" t="n">
        <v>5</v>
      </c>
      <c r="J110" s="19" t="inlineStr">
        <is>
          <t>Pass 2</t>
        </is>
      </c>
      <c r="K110" s="21" t="inlineStr">
        <is>
          <t>Rare boss drop</t>
        </is>
      </c>
      <c r="L110" s="31">
        <f>INDEX('Item Budget'!$F$5:$F$13,MATCH(K110,'Item Budget'!$E$5:$E$13,0))+IF(E110="All",0,'Item Budget'!$F$15)+LOOKUP(H110,'Item Budget'!$E$19:$E$23,'Item Budget'!$F$19:$F$23)</f>
        <v/>
      </c>
      <c r="M110" s="21" t="n">
        <v>50</v>
      </c>
      <c r="N110" s="21" t="n">
        <v>175</v>
      </c>
      <c r="O110" s="21" t="n">
        <v>150</v>
      </c>
      <c r="P110" s="21" t="n">
        <v>120</v>
      </c>
      <c r="Q110" s="21" t="n">
        <v>15</v>
      </c>
      <c r="R110" s="21" t="n">
        <v>15</v>
      </c>
      <c r="S110" s="21" t="n">
        <v>15</v>
      </c>
      <c r="T110" s="21" t="n">
        <v>15</v>
      </c>
      <c r="U110" s="21" t="n">
        <v>0</v>
      </c>
      <c r="V110" s="21" t="inlineStr">
        <is>
          <t>(none)</t>
        </is>
      </c>
      <c r="W110" s="61">
        <f>N110*'Item Budget'!$B$5+R110*'Item Budget'!$B$7+P110*'Item Budget'!$B$11+S110*'Item Budget'!$B$10+Q110*'Item Budget'!$B$9+IFERROR(INDEX('Item Budget'!$M$25:$M$95,MATCH(V110,'Item Budget'!$B$25:$B$95,0)),0)+IF($C110="Weapon",U110*'Item Budget'!$B$9,0)</f>
        <v/>
      </c>
      <c r="X110" s="61">
        <f>N110*'Item Budget'!$B$5+R110*'Item Budget'!$B$7+P110*'Item Budget'!$B$11+S110*'Item Budget'!$B$10+O110*'Item Budget'!$B$6+T110*'Item Budget'!$B$8+IFERROR(INDEX('Item Budget'!$N$25:$N$95,MATCH(V110,'Item Budget'!$B$25:$B$95,0)),0)</f>
        <v/>
      </c>
      <c r="Y110" s="61">
        <f>MAX('Item Budget'!$F$16,INDEX('Gear Budget'!$C$8:$C$14,MATCH($C110,'Gear Budget'!$A$8:$A$14,0))*MIN(M110,50))*$L110</f>
        <v/>
      </c>
      <c r="Z110" s="41">
        <f>IF($C110="Caster weapon",X110,MAX(W110,X110))/Y110</f>
        <v/>
      </c>
      <c r="AA110" s="61">
        <f>IF(OR($C110="Weapon",$C110="Caster weapon"),"",'Gear Budget'!$B$5*MAX(1,MIN(M110,50))*INDEX('Gear Budget'!$B$8:$B$14,MATCH($C110,'Gear Budget'!$A$8:$A$14,0))*IF($C110="Shield",IF(D110="Warrior",1,IF(OR(D110="Rogue",D110="All"),0.38/0.6,0.25/0.6)),IFERROR(INDEX('Gear Budget'!$B$18:$B$21,MATCH($F110,'Gear Budget'!$A$18:$A$21,0)),1)))</f>
        <v/>
      </c>
      <c r="AB110" s="41">
        <f>IF(AA110="","",P110/AA110)</f>
        <v/>
      </c>
      <c r="AC110" s="21" t="n">
        <v>50</v>
      </c>
      <c r="AD110" s="21" t="n">
        <v>175</v>
      </c>
      <c r="AE110" s="21" t="n">
        <v>150</v>
      </c>
      <c r="AF110" s="21" t="n">
        <v>120</v>
      </c>
      <c r="AG110" s="21" t="n">
        <v>15</v>
      </c>
      <c r="AH110" s="21" t="n">
        <v>15</v>
      </c>
      <c r="AI110" s="21" t="n">
        <v>15</v>
      </c>
      <c r="AJ110" s="21" t="n">
        <v>15</v>
      </c>
      <c r="AK110" s="21" t="n">
        <v>0</v>
      </c>
      <c r="AL110" s="21" t="inlineStr">
        <is>
          <t>(none)</t>
        </is>
      </c>
      <c r="AM110" s="61">
        <f>AD110*'Item Budget'!$B$5+AH110*'Item Budget'!$B$7+AF110*'Item Budget'!$B$11+AI110*'Item Budget'!$B$10+AG110*'Item Budget'!$B$9+IFERROR(INDEX('Item Budget'!$M$25:$M$95,MATCH(AL110,'Item Budget'!$B$25:$B$95,0)),0)+IF($C110="Weapon",AK110*'Item Budget'!$B$9,0)</f>
        <v/>
      </c>
      <c r="AN110" s="61">
        <f>AD110*'Item Budget'!$B$5+AH110*'Item Budget'!$B$7+AF110*'Item Budget'!$B$11+AI110*'Item Budget'!$B$10+AE110*'Item Budget'!$B$6+AJ110*'Item Budget'!$B$8+IFERROR(INDEX('Item Budget'!$N$25:$N$95,MATCH(AL110,'Item Budget'!$B$25:$B$95,0)),0)</f>
        <v/>
      </c>
      <c r="AO110" s="61">
        <f>MAX('Item Budget'!$F$16,INDEX('Gear Budget'!$C$8:$C$14,MATCH($C110,'Gear Budget'!$A$8:$A$14,0))*MIN(AC110,50))*$L110</f>
        <v/>
      </c>
      <c r="AP110" s="41">
        <f>IF($C110="Caster weapon",AN110,MAX(AM110,AN110))/AO110</f>
        <v/>
      </c>
      <c r="AQ110" s="61">
        <f>IF(OR($C110="Weapon",$C110="Caster weapon"),"",'Gear Budget'!$B$5*MAX(1,MIN(AC110,50))*INDEX('Gear Budget'!$B$8:$B$14,MATCH($C110,'Gear Budget'!$A$8:$A$14,0))*IF($C110="Shield",IF(E110="Warrior",1,IF(OR(E110="Rogue",E110="All"),0.38/0.6,0.25/0.6)),IFERROR(INDEX('Gear Budget'!$B$18:$B$21,MATCH($F110,'Gear Budget'!$A$18:$A$21,0)),1)))</f>
        <v/>
      </c>
      <c r="AR110" s="41">
        <f>IF(AQ110="","",AF110/AQ110)</f>
        <v/>
      </c>
      <c r="AS110" s="64" t="inlineStr">
        <is>
          <t>Pass 1 (applied): Valiant Legplates (all classes, the caster step-5 legs): MP 150 -&gt; 275, INT 15 -&gt; 17 so casters get 10% over Whirling Leggings</t>
        </is>
      </c>
      <c r="AT110" s="44">
        <f>IF(OR($E110="All",ISNUMBER(SEARCH("Warrior",$E110))),IF($C110="Caster weapon",(AN110+AF110*('Item Budget'!$AB$14-'Item Budget'!$B$11)),(AM110+AF110*('Item Budget'!$AB$14-'Item Budget'!$B$11))),0)</f>
        <v/>
      </c>
      <c r="AU110" s="44">
        <f>IF(OR($E110="All",ISNUMBER(SEARCH("Rogue",$E110))),IF($C110="Caster weapon",(AN110+AF110*('Item Budget'!$AB$15-'Item Budget'!$B$11)),(AM110+AF110*('Item Budget'!$AB$15-'Item Budget'!$B$11))),0)</f>
        <v/>
      </c>
      <c r="AV110" s="44">
        <f>IF(OR($E110="All",ISNUMBER(SEARCH("Magus",$E110))),(AN110+AF110*('Item Budget'!$AB$16-'Item Budget'!$B$11)),0)</f>
        <v/>
      </c>
      <c r="AW110" s="44">
        <f>IF(OR($E110="All",ISNUMBER(SEARCH("Priest",$E110))),(AN110+AF110*('Item Budget'!$AB$17-'Item Budget'!$B$11)),0)</f>
        <v/>
      </c>
      <c r="AX110" s="44">
        <f>IF(AND(OR($E110="All",ISNUMBER(SEARCH("Warrior",$E110))),AC110&gt;='Item Budget'!$R$10),'Item Budget'!$R$7*100*('Item Budget'!$R$14*(AD110+25*AH110)+'Item Budget'!$S$14*(AE110+25*AJ110))/'Item Budget'!$Z$14+'Item Budget'!$R$9*AF110+IFERROR(INDEX('Item Budget'!$O$25:$O$95,MATCH(AL110,'Item Budget'!$B$25:$B$95,0)),0),0)</f>
        <v/>
      </c>
      <c r="AY110" s="44">
        <f>IF(AND(OR($E110="All",ISNUMBER(SEARCH("Rogue",$E110))),AC110&gt;='Item Budget'!$R$10),'Item Budget'!$R$7*100*('Item Budget'!$R$15*(AD110+25*AH110)+'Item Budget'!$S$15*(AE110+25*AJ110))/'Item Budget'!$Z$15+'Item Budget'!$R$9*AF110+IFERROR(INDEX('Item Budget'!$O$25:$O$95,MATCH(AL110,'Item Budget'!$B$25:$B$95,0)),0),0)</f>
        <v/>
      </c>
      <c r="AZ110" s="44">
        <f>IF(AND(OR($E110="All",ISNUMBER(SEARCH("Magus",$E110))),AC110&gt;='Item Budget'!$R$10),'Item Budget'!$R$7*100*('Item Budget'!$R$16*(AD110+25*AH110)+'Item Budget'!$S$16*(AE110+25*AJ110))/'Item Budget'!$Z$16+'Item Budget'!$R$9*AF110+IFERROR(INDEX('Item Budget'!$O$25:$O$95,MATCH(AL110,'Item Budget'!$B$25:$B$95,0)),0),0)</f>
        <v/>
      </c>
      <c r="BA110" s="44">
        <f>IF(AND(OR($E110="All",ISNUMBER(SEARCH("Priest",$E110))),AC110&gt;='Item Budget'!$R$10),'Item Budget'!$R$7*100*('Item Budget'!$R$17*(AD110+25*AH110)+'Item Budget'!$S$17*(AE110+25*AJ110))/'Item Budget'!$Z$17+'Item Budget'!$R$9*AF110+IFERROR(INDEX('Item Budget'!$O$25:$O$95,MATCH(AL110,'Item Budget'!$B$25:$B$95,0)),0),0)</f>
        <v/>
      </c>
      <c r="BB110" s="52">
        <f>IF(OR($I110&lt;1,IF($I110&gt;=6,AX110,AT110)&lt;=0),"",IF(SUMPRODUCT(MAX(($C$5:$C$215=$C110)*($I$5:$I$215&gt;=1)*($I$5:$I$215&lt;$I110)*IF($I110&gt;=6,$AX$5:$AX$215,$AT$5:$AT$215)))&lt;=0,"",SUMPRODUCT(MAX(($C$5:$C$215=$C110)*($I$5:$I$215=$I110)*IF($I110&gt;=6,$AX$5:$AX$215,$AT$5:$AT$215)))/SUMPRODUCT(MAX(($C$5:$C$215=$C110)*($I$5:$I$215&gt;=1)*($I$5:$I$215&lt;$I110)*IF($I110&gt;=6,$AX$5:$AX$215,$AT$5:$AT$215)))-1))</f>
        <v/>
      </c>
      <c r="BC110" s="52">
        <f>IF(OR($I110&lt;1,IF($I110&gt;=6,AY110,AU110)&lt;=0),"",IF(SUMPRODUCT(MAX(($C$5:$C$215=$C110)*($I$5:$I$215&gt;=1)*($I$5:$I$215&lt;$I110)*IF($I110&gt;=6,$AY$5:$AY$215,$AU$5:$AU$215)))&lt;=0,"",SUMPRODUCT(MAX(($C$5:$C$215=$C110)*($I$5:$I$215=$I110)*IF($I110&gt;=6,$AY$5:$AY$215,$AU$5:$AU$215)))/SUMPRODUCT(MAX(($C$5:$C$215=$C110)*($I$5:$I$215&gt;=1)*($I$5:$I$215&lt;$I110)*IF($I110&gt;=6,$AY$5:$AY$215,$AU$5:$AU$215)))-1))</f>
        <v/>
      </c>
      <c r="BD110" s="52">
        <f>IF(OR($I110&lt;1,IF($I110&gt;=6,AZ110,AV110)&lt;=0),"",IF(SUMPRODUCT(MAX(($C$5:$C$215=$C110)*($I$5:$I$215&gt;=1)*($I$5:$I$215&lt;$I110)*IF($I110&gt;=6,$AZ$5:$AZ$215,$AV$5:$AV$215)))&lt;=0,"",SUMPRODUCT(MAX(($C$5:$C$215=$C110)*($I$5:$I$215=$I110)*IF($I110&gt;=6,$AZ$5:$AZ$215,$AV$5:$AV$215)))/SUMPRODUCT(MAX(($C$5:$C$215=$C110)*($I$5:$I$215&gt;=1)*($I$5:$I$215&lt;$I110)*IF($I110&gt;=6,$AZ$5:$AZ$215,$AV$5:$AV$215)))-1))</f>
        <v/>
      </c>
      <c r="BE110" s="52">
        <f>IF(OR($I110&lt;1,IF($I110&gt;=6,BA110,AW110)&lt;=0),"",IF(SUMPRODUCT(MAX(($C$5:$C$215=$C110)*($I$5:$I$215&gt;=1)*($I$5:$I$215&lt;$I110)*IF($I110&gt;=6,$BA$5:$BA$215,$AW$5:$AW$215)))&lt;=0,"",SUMPRODUCT(MAX(($C$5:$C$215=$C110)*($I$5:$I$215=$I110)*IF($I110&gt;=6,$BA$5:$BA$215,$AW$5:$AW$215)))/SUMPRODUCT(MAX(($C$5:$C$215=$C110)*($I$5:$I$215&gt;=1)*($I$5:$I$215&lt;$I110)*IF($I110&gt;=6,$BA$5:$BA$215,$AW$5:$AW$215)))-1))</f>
        <v/>
      </c>
      <c r="BF110" s="19">
        <f>IF(AND(BB110="",BC110="",BD110="",BE110=""),"",IF(IF(AND(ISNUMBER(BB110),BB110&lt;'Item Budget'!$R$11),"W ","")&amp;IF(AND(ISNUMBER(BC110),BC110&lt;'Item Budget'!$R$11),"R ","")&amp;IF(AND(ISNUMBER(BD110),BD110&lt;'Item Budget'!$R$11),"M ","")&amp;IF(AND(ISNUMBER(BE110),BE110&lt;'Item Budget'!$R$11),"P ","")="","OK","Not above lower step: "&amp;IF(AND(ISNUMBER(BB110),BB110&lt;'Item Budget'!$R$11),"W ","")&amp;IF(AND(ISNUMBER(BC110),BC110&lt;'Item Budget'!$R$11),"R ","")&amp;IF(AND(ISNUMBER(BD110),BD110&lt;'Item Budget'!$R$11),"M ","")&amp;IF(AND(ISNUMBER(BE110),BE110&lt;'Item Budget'!$R$11),"P ","")))</f>
        <v/>
      </c>
    </row>
    <row r="111">
      <c r="A111" s="21" t="n">
        <v>429</v>
      </c>
      <c r="B111" s="21" t="inlineStr">
        <is>
          <t>Mama Legplates</t>
        </is>
      </c>
      <c r="C111" s="21" t="inlineStr">
        <is>
          <t>Pants</t>
        </is>
      </c>
      <c r="D111" s="21" t="inlineStr">
        <is>
          <t>Rogue/Warrior</t>
        </is>
      </c>
      <c r="E111" s="21" t="inlineStr">
        <is>
          <t>Rogue/Warrior</t>
        </is>
      </c>
      <c r="F111" s="21" t="inlineStr">
        <is>
          <t>Warrior plate</t>
        </is>
      </c>
      <c r="G111" s="21" t="inlineStr">
        <is>
          <t>drop: Mama Bear 12%</t>
        </is>
      </c>
      <c r="H111" s="37" t="n">
        <v>200000000</v>
      </c>
      <c r="I111" s="21" t="n">
        <v>8</v>
      </c>
      <c r="J111" s="19" t="inlineStr">
        <is>
          <t>Leave</t>
        </is>
      </c>
      <c r="K111" s="21" t="inlineStr">
        <is>
          <t>Rare boss drop</t>
        </is>
      </c>
      <c r="L111" s="31">
        <f>INDEX('Item Budget'!$F$5:$F$13,MATCH(K111,'Item Budget'!$E$5:$E$13,0))+IF(E111="All",0,'Item Budget'!$F$15)+LOOKUP(H111,'Item Budget'!$E$19:$E$23,'Item Budget'!$F$19:$F$23)</f>
        <v/>
      </c>
      <c r="M111" s="21" t="n">
        <v>50</v>
      </c>
      <c r="N111" s="21" t="n">
        <v>1000</v>
      </c>
      <c r="O111" s="21" t="n">
        <v>1500</v>
      </c>
      <c r="P111" s="21" t="n">
        <v>150</v>
      </c>
      <c r="Q111" s="21" t="n">
        <v>0</v>
      </c>
      <c r="R111" s="21" t="n">
        <v>0</v>
      </c>
      <c r="S111" s="21" t="n">
        <v>0</v>
      </c>
      <c r="T111" s="21" t="n">
        <v>0</v>
      </c>
      <c r="U111" s="21" t="n">
        <v>0</v>
      </c>
      <c r="V111" s="21" t="inlineStr">
        <is>
          <t>Damage Reduction II</t>
        </is>
      </c>
      <c r="W111" s="61">
        <f>N111*'Item Budget'!$B$5+R111*'Item Budget'!$B$7+P111*'Item Budget'!$B$11+S111*'Item Budget'!$B$10+Q111*'Item Budget'!$B$9+IFERROR(INDEX('Item Budget'!$M$25:$M$95,MATCH(V111,'Item Budget'!$B$25:$B$95,0)),0)+IF($C111="Weapon",U111*'Item Budget'!$B$9,0)</f>
        <v/>
      </c>
      <c r="X111" s="61">
        <f>N111*'Item Budget'!$B$5+R111*'Item Budget'!$B$7+P111*'Item Budget'!$B$11+S111*'Item Budget'!$B$10+O111*'Item Budget'!$B$6+T111*'Item Budget'!$B$8+IFERROR(INDEX('Item Budget'!$N$25:$N$95,MATCH(V111,'Item Budget'!$B$25:$B$95,0)),0)</f>
        <v/>
      </c>
      <c r="Y111" s="61">
        <f>MAX('Item Budget'!$F$16,INDEX('Gear Budget'!$C$8:$C$14,MATCH($C111,'Gear Budget'!$A$8:$A$14,0))*MIN(M111,50))*$L111</f>
        <v/>
      </c>
      <c r="Z111" s="41">
        <f>IF($C111="Caster weapon",X111,MAX(W111,X111))/Y111</f>
        <v/>
      </c>
      <c r="AA111" s="61">
        <f>IF(OR($C111="Weapon",$C111="Caster weapon"),"",'Gear Budget'!$B$5*MAX(1,MIN(M111,50))*INDEX('Gear Budget'!$B$8:$B$14,MATCH($C111,'Gear Budget'!$A$8:$A$14,0))*IF($C111="Shield",IF(D111="Warrior",1,IF(OR(D111="Rogue",D111="All"),0.38/0.6,0.25/0.6)),IFERROR(INDEX('Gear Budget'!$B$18:$B$21,MATCH($F111,'Gear Budget'!$A$18:$A$21,0)),1)))</f>
        <v/>
      </c>
      <c r="AB111" s="41">
        <f>IF(AA111="","",P111/AA111)</f>
        <v/>
      </c>
      <c r="AC111" s="21" t="n">
        <v>50</v>
      </c>
      <c r="AD111" s="21" t="n">
        <v>1000</v>
      </c>
      <c r="AE111" s="21" t="n">
        <v>1500</v>
      </c>
      <c r="AF111" s="21" t="n">
        <v>150</v>
      </c>
      <c r="AG111" s="21" t="n">
        <v>0</v>
      </c>
      <c r="AH111" s="21" t="n">
        <v>0</v>
      </c>
      <c r="AI111" s="21" t="n">
        <v>0</v>
      </c>
      <c r="AJ111" s="21" t="n">
        <v>0</v>
      </c>
      <c r="AK111" s="21" t="n">
        <v>0</v>
      </c>
      <c r="AL111" s="21" t="inlineStr">
        <is>
          <t>Damage Reduction II</t>
        </is>
      </c>
      <c r="AM111" s="61">
        <f>AD111*'Item Budget'!$B$5+AH111*'Item Budget'!$B$7+AF111*'Item Budget'!$B$11+AI111*'Item Budget'!$B$10+AG111*'Item Budget'!$B$9+IFERROR(INDEX('Item Budget'!$M$25:$M$95,MATCH(AL111,'Item Budget'!$B$25:$B$95,0)),0)+IF($C111="Weapon",AK111*'Item Budget'!$B$9,0)</f>
        <v/>
      </c>
      <c r="AN111" s="61">
        <f>AD111*'Item Budget'!$B$5+AH111*'Item Budget'!$B$7+AF111*'Item Budget'!$B$11+AI111*'Item Budget'!$B$10+AE111*'Item Budget'!$B$6+AJ111*'Item Budget'!$B$8+IFERROR(INDEX('Item Budget'!$N$25:$N$95,MATCH(AL111,'Item Budget'!$B$25:$B$95,0)),0)</f>
        <v/>
      </c>
      <c r="AO111" s="61">
        <f>MAX('Item Budget'!$F$16,INDEX('Gear Budget'!$C$8:$C$14,MATCH($C111,'Gear Budget'!$A$8:$A$14,0))*MIN(AC111,50))*$L111</f>
        <v/>
      </c>
      <c r="AP111" s="41">
        <f>IF($C111="Caster weapon",AN111,MAX(AM111,AN111))/AO111</f>
        <v/>
      </c>
      <c r="AQ111" s="61">
        <f>IF(OR($C111="Weapon",$C111="Caster weapon"),"",'Gear Budget'!$B$5*MAX(1,MIN(AC111,50))*INDEX('Gear Budget'!$B$8:$B$14,MATCH($C111,'Gear Budget'!$A$8:$A$14,0))*IF($C111="Shield",IF(E111="Warrior",1,IF(OR(E111="Rogue",E111="All"),0.38/0.6,0.25/0.6)),IFERROR(INDEX('Gear Budget'!$B$18:$B$21,MATCH($F111,'Gear Budget'!$A$18:$A$21,0)),1)))</f>
        <v/>
      </c>
      <c r="AR111" s="41">
        <f>IF(AQ111="","",AF111/AQ111)</f>
        <v/>
      </c>
      <c r="AS111" s="64" t="n"/>
      <c r="AT111" s="44">
        <f>IF(OR($E111="All",ISNUMBER(SEARCH("Warrior",$E111))),IF($C111="Caster weapon",(AN111+AF111*('Item Budget'!$AB$14-'Item Budget'!$B$11)),(AM111+AF111*('Item Budget'!$AB$14-'Item Budget'!$B$11))),0)</f>
        <v/>
      </c>
      <c r="AU111" s="44">
        <f>IF(OR($E111="All",ISNUMBER(SEARCH("Rogue",$E111))),IF($C111="Caster weapon",(AN111+AF111*('Item Budget'!$AB$15-'Item Budget'!$B$11)),(AM111+AF111*('Item Budget'!$AB$15-'Item Budget'!$B$11))),0)</f>
        <v/>
      </c>
      <c r="AV111" s="44">
        <f>IF(OR($E111="All",ISNUMBER(SEARCH("Magus",$E111))),(AN111+AF111*('Item Budget'!$AB$16-'Item Budget'!$B$11)),0)</f>
        <v/>
      </c>
      <c r="AW111" s="44">
        <f>IF(OR($E111="All",ISNUMBER(SEARCH("Priest",$E111))),(AN111+AF111*('Item Budget'!$AB$17-'Item Budget'!$B$11)),0)</f>
        <v/>
      </c>
      <c r="AX111" s="44">
        <f>IF(AND(OR($E111="All",ISNUMBER(SEARCH("Warrior",$E111))),AC111&gt;='Item Budget'!$R$10),'Item Budget'!$R$7*100*('Item Budget'!$R$14*(AD111+25*AH111)+'Item Budget'!$S$14*(AE111+25*AJ111))/'Item Budget'!$Z$14+'Item Budget'!$R$9*AF111+IFERROR(INDEX('Item Budget'!$O$25:$O$95,MATCH(AL111,'Item Budget'!$B$25:$B$95,0)),0),0)</f>
        <v/>
      </c>
      <c r="AY111" s="44">
        <f>IF(AND(OR($E111="All",ISNUMBER(SEARCH("Rogue",$E111))),AC111&gt;='Item Budget'!$R$10),'Item Budget'!$R$7*100*('Item Budget'!$R$15*(AD111+25*AH111)+'Item Budget'!$S$15*(AE111+25*AJ111))/'Item Budget'!$Z$15+'Item Budget'!$R$9*AF111+IFERROR(INDEX('Item Budget'!$O$25:$O$95,MATCH(AL111,'Item Budget'!$B$25:$B$95,0)),0),0)</f>
        <v/>
      </c>
      <c r="AZ111" s="44">
        <f>IF(AND(OR($E111="All",ISNUMBER(SEARCH("Magus",$E111))),AC111&gt;='Item Budget'!$R$10),'Item Budget'!$R$7*100*('Item Budget'!$R$16*(AD111+25*AH111)+'Item Budget'!$S$16*(AE111+25*AJ111))/'Item Budget'!$Z$16+'Item Budget'!$R$9*AF111+IFERROR(INDEX('Item Budget'!$O$25:$O$95,MATCH(AL111,'Item Budget'!$B$25:$B$95,0)),0),0)</f>
        <v/>
      </c>
      <c r="BA111" s="44">
        <f>IF(AND(OR($E111="All",ISNUMBER(SEARCH("Priest",$E111))),AC111&gt;='Item Budget'!$R$10),'Item Budget'!$R$7*100*('Item Budget'!$R$17*(AD111+25*AH111)+'Item Budget'!$S$17*(AE111+25*AJ111))/'Item Budget'!$Z$17+'Item Budget'!$R$9*AF111+IFERROR(INDEX('Item Budget'!$O$25:$O$95,MATCH(AL111,'Item Budget'!$B$25:$B$95,0)),0),0)</f>
        <v/>
      </c>
      <c r="BB111" s="52">
        <f>IF(OR($I111&lt;1,IF($I111&gt;=6,AX111,AT111)&lt;=0),"",IF(SUMPRODUCT(MAX(($C$5:$C$215=$C111)*($I$5:$I$215&gt;=1)*($I$5:$I$215&lt;$I111)*IF($I111&gt;=6,$AX$5:$AX$215,$AT$5:$AT$215)))&lt;=0,"",SUMPRODUCT(MAX(($C$5:$C$215=$C111)*($I$5:$I$215=$I111)*IF($I111&gt;=6,$AX$5:$AX$215,$AT$5:$AT$215)))/SUMPRODUCT(MAX(($C$5:$C$215=$C111)*($I$5:$I$215&gt;=1)*($I$5:$I$215&lt;$I111)*IF($I111&gt;=6,$AX$5:$AX$215,$AT$5:$AT$215)))-1))</f>
        <v/>
      </c>
      <c r="BC111" s="52">
        <f>IF(OR($I111&lt;1,IF($I111&gt;=6,AY111,AU111)&lt;=0),"",IF(SUMPRODUCT(MAX(($C$5:$C$215=$C111)*($I$5:$I$215&gt;=1)*($I$5:$I$215&lt;$I111)*IF($I111&gt;=6,$AY$5:$AY$215,$AU$5:$AU$215)))&lt;=0,"",SUMPRODUCT(MAX(($C$5:$C$215=$C111)*($I$5:$I$215=$I111)*IF($I111&gt;=6,$AY$5:$AY$215,$AU$5:$AU$215)))/SUMPRODUCT(MAX(($C$5:$C$215=$C111)*($I$5:$I$215&gt;=1)*($I$5:$I$215&lt;$I111)*IF($I111&gt;=6,$AY$5:$AY$215,$AU$5:$AU$215)))-1))</f>
        <v/>
      </c>
      <c r="BD111" s="52">
        <f>IF(OR($I111&lt;1,IF($I111&gt;=6,AZ111,AV111)&lt;=0),"",IF(SUMPRODUCT(MAX(($C$5:$C$215=$C111)*($I$5:$I$215&gt;=1)*($I$5:$I$215&lt;$I111)*IF($I111&gt;=6,$AZ$5:$AZ$215,$AV$5:$AV$215)))&lt;=0,"",SUMPRODUCT(MAX(($C$5:$C$215=$C111)*($I$5:$I$215=$I111)*IF($I111&gt;=6,$AZ$5:$AZ$215,$AV$5:$AV$215)))/SUMPRODUCT(MAX(($C$5:$C$215=$C111)*($I$5:$I$215&gt;=1)*($I$5:$I$215&lt;$I111)*IF($I111&gt;=6,$AZ$5:$AZ$215,$AV$5:$AV$215)))-1))</f>
        <v/>
      </c>
      <c r="BE111" s="52">
        <f>IF(OR($I111&lt;1,IF($I111&gt;=6,BA111,AW111)&lt;=0),"",IF(SUMPRODUCT(MAX(($C$5:$C$215=$C111)*($I$5:$I$215&gt;=1)*($I$5:$I$215&lt;$I111)*IF($I111&gt;=6,$BA$5:$BA$215,$AW$5:$AW$215)))&lt;=0,"",SUMPRODUCT(MAX(($C$5:$C$215=$C111)*($I$5:$I$215=$I111)*IF($I111&gt;=6,$BA$5:$BA$215,$AW$5:$AW$215)))/SUMPRODUCT(MAX(($C$5:$C$215=$C111)*($I$5:$I$215&gt;=1)*($I$5:$I$215&lt;$I111)*IF($I111&gt;=6,$BA$5:$BA$215,$AW$5:$AW$215)))-1))</f>
        <v/>
      </c>
      <c r="BF111" s="19">
        <f>IF(AND(BB111="",BC111="",BD111="",BE111=""),"",IF(IF(AND(ISNUMBER(BB111),BB111&lt;'Item Budget'!$R$11),"W ","")&amp;IF(AND(ISNUMBER(BC111),BC111&lt;'Item Budget'!$R$11),"R ","")&amp;IF(AND(ISNUMBER(BD111),BD111&lt;'Item Budget'!$R$11),"M ","")&amp;IF(AND(ISNUMBER(BE111),BE111&lt;'Item Budget'!$R$11),"P ","")="","OK","Not above lower step: "&amp;IF(AND(ISNUMBER(BB111),BB111&lt;'Item Budget'!$R$11),"W ","")&amp;IF(AND(ISNUMBER(BC111),BC111&lt;'Item Budget'!$R$11),"R ","")&amp;IF(AND(ISNUMBER(BD111),BD111&lt;'Item Budget'!$R$11),"M ","")&amp;IF(AND(ISNUMBER(BE111),BE111&lt;'Item Budget'!$R$11),"P ","")))</f>
        <v/>
      </c>
    </row>
    <row r="112">
      <c r="A112" s="21" t="n">
        <v>494</v>
      </c>
      <c r="B112" s="21" t="inlineStr">
        <is>
          <t>Royal Legplates</t>
        </is>
      </c>
      <c r="C112" s="21" t="inlineStr">
        <is>
          <t>Pants</t>
        </is>
      </c>
      <c r="D112" s="21" t="inlineStr">
        <is>
          <t>Rogue</t>
        </is>
      </c>
      <c r="E112" s="21" t="inlineStr">
        <is>
          <t>Rogue</t>
        </is>
      </c>
      <c r="F112" s="21" t="inlineStr">
        <is>
          <t>Rogue</t>
        </is>
      </c>
      <c r="G112" s="21" t="inlineStr">
        <is>
          <t>craft</t>
        </is>
      </c>
      <c r="H112" s="37" t="n">
        <v>200000000</v>
      </c>
      <c r="I112" s="21" t="n">
        <v>8</v>
      </c>
      <c r="J112" s="19" t="inlineStr">
        <is>
          <t>Leave</t>
        </is>
      </c>
      <c r="K112" s="21" t="inlineStr">
        <is>
          <t>Crafted</t>
        </is>
      </c>
      <c r="L112" s="31">
        <f>INDEX('Item Budget'!$F$5:$F$13,MATCH(K112,'Item Budget'!$E$5:$E$13,0))+IF(E112="All",0,'Item Budget'!$F$15)+LOOKUP(H112,'Item Budget'!$E$19:$E$23,'Item Budget'!$F$19:$F$23)</f>
        <v/>
      </c>
      <c r="M112" s="21" t="n">
        <v>50</v>
      </c>
      <c r="N112" s="21" t="n">
        <v>2000</v>
      </c>
      <c r="O112" s="21" t="n">
        <v>2000</v>
      </c>
      <c r="P112" s="21" t="n">
        <v>225</v>
      </c>
      <c r="Q112" s="21" t="n">
        <v>0</v>
      </c>
      <c r="R112" s="21" t="n">
        <v>0</v>
      </c>
      <c r="S112" s="21" t="n">
        <v>0</v>
      </c>
      <c r="T112" s="21" t="n">
        <v>0</v>
      </c>
      <c r="U112" s="21" t="n">
        <v>0</v>
      </c>
      <c r="V112" s="21" t="inlineStr">
        <is>
          <t>Spell Critical Damage III</t>
        </is>
      </c>
      <c r="W112" s="61">
        <f>N112*'Item Budget'!$B$5+R112*'Item Budget'!$B$7+P112*'Item Budget'!$B$11+S112*'Item Budget'!$B$10+Q112*'Item Budget'!$B$9+IFERROR(INDEX('Item Budget'!$M$25:$M$95,MATCH(V112,'Item Budget'!$B$25:$B$95,0)),0)+IF($C112="Weapon",U112*'Item Budget'!$B$9,0)</f>
        <v/>
      </c>
      <c r="X112" s="61">
        <f>N112*'Item Budget'!$B$5+R112*'Item Budget'!$B$7+P112*'Item Budget'!$B$11+S112*'Item Budget'!$B$10+O112*'Item Budget'!$B$6+T112*'Item Budget'!$B$8+IFERROR(INDEX('Item Budget'!$N$25:$N$95,MATCH(V112,'Item Budget'!$B$25:$B$95,0)),0)</f>
        <v/>
      </c>
      <c r="Y112" s="61">
        <f>MAX('Item Budget'!$F$16,INDEX('Gear Budget'!$C$8:$C$14,MATCH($C112,'Gear Budget'!$A$8:$A$14,0))*MIN(M112,50))*$L112</f>
        <v/>
      </c>
      <c r="Z112" s="41">
        <f>IF($C112="Caster weapon",X112,MAX(W112,X112))/Y112</f>
        <v/>
      </c>
      <c r="AA112" s="61">
        <f>IF(OR($C112="Weapon",$C112="Caster weapon"),"",'Gear Budget'!$B$5*MAX(1,MIN(M112,50))*INDEX('Gear Budget'!$B$8:$B$14,MATCH($C112,'Gear Budget'!$A$8:$A$14,0))*IF($C112="Shield",IF(D112="Warrior",1,IF(OR(D112="Rogue",D112="All"),0.38/0.6,0.25/0.6)),IFERROR(INDEX('Gear Budget'!$B$18:$B$21,MATCH($F112,'Gear Budget'!$A$18:$A$21,0)),1)))</f>
        <v/>
      </c>
      <c r="AB112" s="41">
        <f>IF(AA112="","",P112/AA112)</f>
        <v/>
      </c>
      <c r="AC112" s="21" t="n">
        <v>50</v>
      </c>
      <c r="AD112" s="21" t="n">
        <v>2000</v>
      </c>
      <c r="AE112" s="21" t="n">
        <v>2000</v>
      </c>
      <c r="AF112" s="21" t="n">
        <v>225</v>
      </c>
      <c r="AG112" s="21" t="n">
        <v>0</v>
      </c>
      <c r="AH112" s="21" t="n">
        <v>0</v>
      </c>
      <c r="AI112" s="21" t="n">
        <v>0</v>
      </c>
      <c r="AJ112" s="21" t="n">
        <v>0</v>
      </c>
      <c r="AK112" s="21" t="n">
        <v>0</v>
      </c>
      <c r="AL112" s="21" t="inlineStr">
        <is>
          <t>Spell Critical Damage III</t>
        </is>
      </c>
      <c r="AM112" s="61">
        <f>AD112*'Item Budget'!$B$5+AH112*'Item Budget'!$B$7+AF112*'Item Budget'!$B$11+AI112*'Item Budget'!$B$10+AG112*'Item Budget'!$B$9+IFERROR(INDEX('Item Budget'!$M$25:$M$95,MATCH(AL112,'Item Budget'!$B$25:$B$95,0)),0)+IF($C112="Weapon",AK112*'Item Budget'!$B$9,0)</f>
        <v/>
      </c>
      <c r="AN112" s="61">
        <f>AD112*'Item Budget'!$B$5+AH112*'Item Budget'!$B$7+AF112*'Item Budget'!$B$11+AI112*'Item Budget'!$B$10+AE112*'Item Budget'!$B$6+AJ112*'Item Budget'!$B$8+IFERROR(INDEX('Item Budget'!$N$25:$N$95,MATCH(AL112,'Item Budget'!$B$25:$B$95,0)),0)</f>
        <v/>
      </c>
      <c r="AO112" s="61">
        <f>MAX('Item Budget'!$F$16,INDEX('Gear Budget'!$C$8:$C$14,MATCH($C112,'Gear Budget'!$A$8:$A$14,0))*MIN(AC112,50))*$L112</f>
        <v/>
      </c>
      <c r="AP112" s="41">
        <f>IF($C112="Caster weapon",AN112,MAX(AM112,AN112))/AO112</f>
        <v/>
      </c>
      <c r="AQ112" s="61">
        <f>IF(OR($C112="Weapon",$C112="Caster weapon"),"",'Gear Budget'!$B$5*MAX(1,MIN(AC112,50))*INDEX('Gear Budget'!$B$8:$B$14,MATCH($C112,'Gear Budget'!$A$8:$A$14,0))*IF($C112="Shield",IF(E112="Warrior",1,IF(OR(E112="Rogue",E112="All"),0.38/0.6,0.25/0.6)),IFERROR(INDEX('Gear Budget'!$B$18:$B$21,MATCH($F112,'Gear Budget'!$A$18:$A$21,0)),1)))</f>
        <v/>
      </c>
      <c r="AR112" s="41">
        <f>IF(AQ112="","",AF112/AQ112)</f>
        <v/>
      </c>
      <c r="AS112" s="64" t="n"/>
      <c r="AT112" s="44">
        <f>IF(OR($E112="All",ISNUMBER(SEARCH("Warrior",$E112))),IF($C112="Caster weapon",(AN112+AF112*('Item Budget'!$AB$14-'Item Budget'!$B$11)),(AM112+AF112*('Item Budget'!$AB$14-'Item Budget'!$B$11))),0)</f>
        <v/>
      </c>
      <c r="AU112" s="44">
        <f>IF(OR($E112="All",ISNUMBER(SEARCH("Rogue",$E112))),IF($C112="Caster weapon",(AN112+AF112*('Item Budget'!$AB$15-'Item Budget'!$B$11)),(AM112+AF112*('Item Budget'!$AB$15-'Item Budget'!$B$11))),0)</f>
        <v/>
      </c>
      <c r="AV112" s="44">
        <f>IF(OR($E112="All",ISNUMBER(SEARCH("Magus",$E112))),(AN112+AF112*('Item Budget'!$AB$16-'Item Budget'!$B$11)),0)</f>
        <v/>
      </c>
      <c r="AW112" s="44">
        <f>IF(OR($E112="All",ISNUMBER(SEARCH("Priest",$E112))),(AN112+AF112*('Item Budget'!$AB$17-'Item Budget'!$B$11)),0)</f>
        <v/>
      </c>
      <c r="AX112" s="44">
        <f>IF(AND(OR($E112="All",ISNUMBER(SEARCH("Warrior",$E112))),AC112&gt;='Item Budget'!$R$10),'Item Budget'!$R$7*100*('Item Budget'!$R$14*(AD112+25*AH112)+'Item Budget'!$S$14*(AE112+25*AJ112))/'Item Budget'!$Z$14+'Item Budget'!$R$9*AF112+IFERROR(INDEX('Item Budget'!$O$25:$O$95,MATCH(AL112,'Item Budget'!$B$25:$B$95,0)),0),0)</f>
        <v/>
      </c>
      <c r="AY112" s="44">
        <f>IF(AND(OR($E112="All",ISNUMBER(SEARCH("Rogue",$E112))),AC112&gt;='Item Budget'!$R$10),'Item Budget'!$R$7*100*('Item Budget'!$R$15*(AD112+25*AH112)+'Item Budget'!$S$15*(AE112+25*AJ112))/'Item Budget'!$Z$15+'Item Budget'!$R$9*AF112+IFERROR(INDEX('Item Budget'!$O$25:$O$95,MATCH(AL112,'Item Budget'!$B$25:$B$95,0)),0),0)</f>
        <v/>
      </c>
      <c r="AZ112" s="44">
        <f>IF(AND(OR($E112="All",ISNUMBER(SEARCH("Magus",$E112))),AC112&gt;='Item Budget'!$R$10),'Item Budget'!$R$7*100*('Item Budget'!$R$16*(AD112+25*AH112)+'Item Budget'!$S$16*(AE112+25*AJ112))/'Item Budget'!$Z$16+'Item Budget'!$R$9*AF112+IFERROR(INDEX('Item Budget'!$O$25:$O$95,MATCH(AL112,'Item Budget'!$B$25:$B$95,0)),0),0)</f>
        <v/>
      </c>
      <c r="BA112" s="44">
        <f>IF(AND(OR($E112="All",ISNUMBER(SEARCH("Priest",$E112))),AC112&gt;='Item Budget'!$R$10),'Item Budget'!$R$7*100*('Item Budget'!$R$17*(AD112+25*AH112)+'Item Budget'!$S$17*(AE112+25*AJ112))/'Item Budget'!$Z$17+'Item Budget'!$R$9*AF112+IFERROR(INDEX('Item Budget'!$O$25:$O$95,MATCH(AL112,'Item Budget'!$B$25:$B$95,0)),0),0)</f>
        <v/>
      </c>
      <c r="BB112" s="52">
        <f>IF(OR($I112&lt;1,IF($I112&gt;=6,AX112,AT112)&lt;=0),"",IF(SUMPRODUCT(MAX(($C$5:$C$215=$C112)*($I$5:$I$215&gt;=1)*($I$5:$I$215&lt;$I112)*IF($I112&gt;=6,$AX$5:$AX$215,$AT$5:$AT$215)))&lt;=0,"",SUMPRODUCT(MAX(($C$5:$C$215=$C112)*($I$5:$I$215=$I112)*IF($I112&gt;=6,$AX$5:$AX$215,$AT$5:$AT$215)))/SUMPRODUCT(MAX(($C$5:$C$215=$C112)*($I$5:$I$215&gt;=1)*($I$5:$I$215&lt;$I112)*IF($I112&gt;=6,$AX$5:$AX$215,$AT$5:$AT$215)))-1))</f>
        <v/>
      </c>
      <c r="BC112" s="52">
        <f>IF(OR($I112&lt;1,IF($I112&gt;=6,AY112,AU112)&lt;=0),"",IF(SUMPRODUCT(MAX(($C$5:$C$215=$C112)*($I$5:$I$215&gt;=1)*($I$5:$I$215&lt;$I112)*IF($I112&gt;=6,$AY$5:$AY$215,$AU$5:$AU$215)))&lt;=0,"",SUMPRODUCT(MAX(($C$5:$C$215=$C112)*($I$5:$I$215=$I112)*IF($I112&gt;=6,$AY$5:$AY$215,$AU$5:$AU$215)))/SUMPRODUCT(MAX(($C$5:$C$215=$C112)*($I$5:$I$215&gt;=1)*($I$5:$I$215&lt;$I112)*IF($I112&gt;=6,$AY$5:$AY$215,$AU$5:$AU$215)))-1))</f>
        <v/>
      </c>
      <c r="BD112" s="52">
        <f>IF(OR($I112&lt;1,IF($I112&gt;=6,AZ112,AV112)&lt;=0),"",IF(SUMPRODUCT(MAX(($C$5:$C$215=$C112)*($I$5:$I$215&gt;=1)*($I$5:$I$215&lt;$I112)*IF($I112&gt;=6,$AZ$5:$AZ$215,$AV$5:$AV$215)))&lt;=0,"",SUMPRODUCT(MAX(($C$5:$C$215=$C112)*($I$5:$I$215=$I112)*IF($I112&gt;=6,$AZ$5:$AZ$215,$AV$5:$AV$215)))/SUMPRODUCT(MAX(($C$5:$C$215=$C112)*($I$5:$I$215&gt;=1)*($I$5:$I$215&lt;$I112)*IF($I112&gt;=6,$AZ$5:$AZ$215,$AV$5:$AV$215)))-1))</f>
        <v/>
      </c>
      <c r="BE112" s="52">
        <f>IF(OR($I112&lt;1,IF($I112&gt;=6,BA112,AW112)&lt;=0),"",IF(SUMPRODUCT(MAX(($C$5:$C$215=$C112)*($I$5:$I$215&gt;=1)*($I$5:$I$215&lt;$I112)*IF($I112&gt;=6,$BA$5:$BA$215,$AW$5:$AW$215)))&lt;=0,"",SUMPRODUCT(MAX(($C$5:$C$215=$C112)*($I$5:$I$215=$I112)*IF($I112&gt;=6,$BA$5:$BA$215,$AW$5:$AW$215)))/SUMPRODUCT(MAX(($C$5:$C$215=$C112)*($I$5:$I$215&gt;=1)*($I$5:$I$215&lt;$I112)*IF($I112&gt;=6,$BA$5:$BA$215,$AW$5:$AW$215)))-1))</f>
        <v/>
      </c>
      <c r="BF112" s="19">
        <f>IF(AND(BB112="",BC112="",BD112="",BE112=""),"",IF(IF(AND(ISNUMBER(BB112),BB112&lt;'Item Budget'!$R$11),"W ","")&amp;IF(AND(ISNUMBER(BC112),BC112&lt;'Item Budget'!$R$11),"R ","")&amp;IF(AND(ISNUMBER(BD112),BD112&lt;'Item Budget'!$R$11),"M ","")&amp;IF(AND(ISNUMBER(BE112),BE112&lt;'Item Budget'!$R$11),"P ","")="","OK","Not above lower step: "&amp;IF(AND(ISNUMBER(BB112),BB112&lt;'Item Budget'!$R$11),"W ","")&amp;IF(AND(ISNUMBER(BC112),BC112&lt;'Item Budget'!$R$11),"R ","")&amp;IF(AND(ISNUMBER(BD112),BD112&lt;'Item Budget'!$R$11),"M ","")&amp;IF(AND(ISNUMBER(BE112),BE112&lt;'Item Budget'!$R$11),"P ","")))</f>
        <v/>
      </c>
    </row>
    <row r="113">
      <c r="A113" s="21" t="n">
        <v>495</v>
      </c>
      <c r="B113" s="21" t="inlineStr">
        <is>
          <t>Royal Legplates</t>
        </is>
      </c>
      <c r="C113" s="21" t="inlineStr">
        <is>
          <t>Pants</t>
        </is>
      </c>
      <c r="D113" s="21" t="inlineStr">
        <is>
          <t>Warrior</t>
        </is>
      </c>
      <c r="E113" s="21" t="inlineStr">
        <is>
          <t>Warrior</t>
        </is>
      </c>
      <c r="F113" s="21" t="inlineStr">
        <is>
          <t>Warrior plate</t>
        </is>
      </c>
      <c r="G113" s="21" t="inlineStr">
        <is>
          <t>craft</t>
        </is>
      </c>
      <c r="H113" s="37" t="n">
        <v>200000000</v>
      </c>
      <c r="I113" s="21" t="n">
        <v>8</v>
      </c>
      <c r="J113" s="19" t="inlineStr">
        <is>
          <t>Leave</t>
        </is>
      </c>
      <c r="K113" s="21" t="inlineStr">
        <is>
          <t>Crafted</t>
        </is>
      </c>
      <c r="L113" s="31">
        <f>INDEX('Item Budget'!$F$5:$F$13,MATCH(K113,'Item Budget'!$E$5:$E$13,0))+IF(E113="All",0,'Item Budget'!$F$15)+LOOKUP(H113,'Item Budget'!$E$19:$E$23,'Item Budget'!$F$19:$F$23)</f>
        <v/>
      </c>
      <c r="M113" s="21" t="n">
        <v>50</v>
      </c>
      <c r="N113" s="21" t="n">
        <v>4000</v>
      </c>
      <c r="O113" s="21" t="n">
        <v>0</v>
      </c>
      <c r="P113" s="21" t="n">
        <v>225</v>
      </c>
      <c r="Q113" s="21" t="n">
        <v>0</v>
      </c>
      <c r="R113" s="21" t="n">
        <v>0</v>
      </c>
      <c r="S113" s="21" t="n">
        <v>0</v>
      </c>
      <c r="T113" s="21" t="n">
        <v>0</v>
      </c>
      <c r="U113" s="21" t="n">
        <v>0</v>
      </c>
      <c r="V113" s="21" t="inlineStr">
        <is>
          <t>Damage Reduction V</t>
        </is>
      </c>
      <c r="W113" s="61">
        <f>N113*'Item Budget'!$B$5+R113*'Item Budget'!$B$7+P113*'Item Budget'!$B$11+S113*'Item Budget'!$B$10+Q113*'Item Budget'!$B$9+IFERROR(INDEX('Item Budget'!$M$25:$M$95,MATCH(V113,'Item Budget'!$B$25:$B$95,0)),0)+IF($C113="Weapon",U113*'Item Budget'!$B$9,0)</f>
        <v/>
      </c>
      <c r="X113" s="61">
        <f>N113*'Item Budget'!$B$5+R113*'Item Budget'!$B$7+P113*'Item Budget'!$B$11+S113*'Item Budget'!$B$10+O113*'Item Budget'!$B$6+T113*'Item Budget'!$B$8+IFERROR(INDEX('Item Budget'!$N$25:$N$95,MATCH(V113,'Item Budget'!$B$25:$B$95,0)),0)</f>
        <v/>
      </c>
      <c r="Y113" s="61">
        <f>MAX('Item Budget'!$F$16,INDEX('Gear Budget'!$C$8:$C$14,MATCH($C113,'Gear Budget'!$A$8:$A$14,0))*MIN(M113,50))*$L113</f>
        <v/>
      </c>
      <c r="Z113" s="41">
        <f>IF($C113="Caster weapon",X113,MAX(W113,X113))/Y113</f>
        <v/>
      </c>
      <c r="AA113" s="61">
        <f>IF(OR($C113="Weapon",$C113="Caster weapon"),"",'Gear Budget'!$B$5*MAX(1,MIN(M113,50))*INDEX('Gear Budget'!$B$8:$B$14,MATCH($C113,'Gear Budget'!$A$8:$A$14,0))*IF($C113="Shield",IF(D113="Warrior",1,IF(OR(D113="Rogue",D113="All"),0.38/0.6,0.25/0.6)),IFERROR(INDEX('Gear Budget'!$B$18:$B$21,MATCH($F113,'Gear Budget'!$A$18:$A$21,0)),1)))</f>
        <v/>
      </c>
      <c r="AB113" s="41">
        <f>IF(AA113="","",P113/AA113)</f>
        <v/>
      </c>
      <c r="AC113" s="21" t="n">
        <v>50</v>
      </c>
      <c r="AD113" s="21" t="n">
        <v>4000</v>
      </c>
      <c r="AE113" s="21" t="n">
        <v>0</v>
      </c>
      <c r="AF113" s="21" t="n">
        <v>225</v>
      </c>
      <c r="AG113" s="21" t="n">
        <v>0</v>
      </c>
      <c r="AH113" s="21" t="n">
        <v>0</v>
      </c>
      <c r="AI113" s="21" t="n">
        <v>0</v>
      </c>
      <c r="AJ113" s="21" t="n">
        <v>0</v>
      </c>
      <c r="AK113" s="21" t="n">
        <v>0</v>
      </c>
      <c r="AL113" s="21" t="inlineStr">
        <is>
          <t>Damage Reduction V</t>
        </is>
      </c>
      <c r="AM113" s="61">
        <f>AD113*'Item Budget'!$B$5+AH113*'Item Budget'!$B$7+AF113*'Item Budget'!$B$11+AI113*'Item Budget'!$B$10+AG113*'Item Budget'!$B$9+IFERROR(INDEX('Item Budget'!$M$25:$M$95,MATCH(AL113,'Item Budget'!$B$25:$B$95,0)),0)+IF($C113="Weapon",AK113*'Item Budget'!$B$9,0)</f>
        <v/>
      </c>
      <c r="AN113" s="61">
        <f>AD113*'Item Budget'!$B$5+AH113*'Item Budget'!$B$7+AF113*'Item Budget'!$B$11+AI113*'Item Budget'!$B$10+AE113*'Item Budget'!$B$6+AJ113*'Item Budget'!$B$8+IFERROR(INDEX('Item Budget'!$N$25:$N$95,MATCH(AL113,'Item Budget'!$B$25:$B$95,0)),0)</f>
        <v/>
      </c>
      <c r="AO113" s="61">
        <f>MAX('Item Budget'!$F$16,INDEX('Gear Budget'!$C$8:$C$14,MATCH($C113,'Gear Budget'!$A$8:$A$14,0))*MIN(AC113,50))*$L113</f>
        <v/>
      </c>
      <c r="AP113" s="41">
        <f>IF($C113="Caster weapon",AN113,MAX(AM113,AN113))/AO113</f>
        <v/>
      </c>
      <c r="AQ113" s="61">
        <f>IF(OR($C113="Weapon",$C113="Caster weapon"),"",'Gear Budget'!$B$5*MAX(1,MIN(AC113,50))*INDEX('Gear Budget'!$B$8:$B$14,MATCH($C113,'Gear Budget'!$A$8:$A$14,0))*IF($C113="Shield",IF(E113="Warrior",1,IF(OR(E113="Rogue",E113="All"),0.38/0.6,0.25/0.6)),IFERROR(INDEX('Gear Budget'!$B$18:$B$21,MATCH($F113,'Gear Budget'!$A$18:$A$21,0)),1)))</f>
        <v/>
      </c>
      <c r="AR113" s="41">
        <f>IF(AQ113="","",AF113/AQ113)</f>
        <v/>
      </c>
      <c r="AS113" s="64" t="n"/>
      <c r="AT113" s="44">
        <f>IF(OR($E113="All",ISNUMBER(SEARCH("Warrior",$E113))),IF($C113="Caster weapon",(AN113+AF113*('Item Budget'!$AB$14-'Item Budget'!$B$11)),(AM113+AF113*('Item Budget'!$AB$14-'Item Budget'!$B$11))),0)</f>
        <v/>
      </c>
      <c r="AU113" s="44">
        <f>IF(OR($E113="All",ISNUMBER(SEARCH("Rogue",$E113))),IF($C113="Caster weapon",(AN113+AF113*('Item Budget'!$AB$15-'Item Budget'!$B$11)),(AM113+AF113*('Item Budget'!$AB$15-'Item Budget'!$B$11))),0)</f>
        <v/>
      </c>
      <c r="AV113" s="44">
        <f>IF(OR($E113="All",ISNUMBER(SEARCH("Magus",$E113))),(AN113+AF113*('Item Budget'!$AB$16-'Item Budget'!$B$11)),0)</f>
        <v/>
      </c>
      <c r="AW113" s="44">
        <f>IF(OR($E113="All",ISNUMBER(SEARCH("Priest",$E113))),(AN113+AF113*('Item Budget'!$AB$17-'Item Budget'!$B$11)),0)</f>
        <v/>
      </c>
      <c r="AX113" s="44">
        <f>IF(AND(OR($E113="All",ISNUMBER(SEARCH("Warrior",$E113))),AC113&gt;='Item Budget'!$R$10),'Item Budget'!$R$7*100*('Item Budget'!$R$14*(AD113+25*AH113)+'Item Budget'!$S$14*(AE113+25*AJ113))/'Item Budget'!$Z$14+'Item Budget'!$R$9*AF113+IFERROR(INDEX('Item Budget'!$O$25:$O$95,MATCH(AL113,'Item Budget'!$B$25:$B$95,0)),0),0)</f>
        <v/>
      </c>
      <c r="AY113" s="44">
        <f>IF(AND(OR($E113="All",ISNUMBER(SEARCH("Rogue",$E113))),AC113&gt;='Item Budget'!$R$10),'Item Budget'!$R$7*100*('Item Budget'!$R$15*(AD113+25*AH113)+'Item Budget'!$S$15*(AE113+25*AJ113))/'Item Budget'!$Z$15+'Item Budget'!$R$9*AF113+IFERROR(INDEX('Item Budget'!$O$25:$O$95,MATCH(AL113,'Item Budget'!$B$25:$B$95,0)),0),0)</f>
        <v/>
      </c>
      <c r="AZ113" s="44">
        <f>IF(AND(OR($E113="All",ISNUMBER(SEARCH("Magus",$E113))),AC113&gt;='Item Budget'!$R$10),'Item Budget'!$R$7*100*('Item Budget'!$R$16*(AD113+25*AH113)+'Item Budget'!$S$16*(AE113+25*AJ113))/'Item Budget'!$Z$16+'Item Budget'!$R$9*AF113+IFERROR(INDEX('Item Budget'!$O$25:$O$95,MATCH(AL113,'Item Budget'!$B$25:$B$95,0)),0),0)</f>
        <v/>
      </c>
      <c r="BA113" s="44">
        <f>IF(AND(OR($E113="All",ISNUMBER(SEARCH("Priest",$E113))),AC113&gt;='Item Budget'!$R$10),'Item Budget'!$R$7*100*('Item Budget'!$R$17*(AD113+25*AH113)+'Item Budget'!$S$17*(AE113+25*AJ113))/'Item Budget'!$Z$17+'Item Budget'!$R$9*AF113+IFERROR(INDEX('Item Budget'!$O$25:$O$95,MATCH(AL113,'Item Budget'!$B$25:$B$95,0)),0),0)</f>
        <v/>
      </c>
      <c r="BB113" s="52">
        <f>IF(OR($I113&lt;1,IF($I113&gt;=6,AX113,AT113)&lt;=0),"",IF(SUMPRODUCT(MAX(($C$5:$C$215=$C113)*($I$5:$I$215&gt;=1)*($I$5:$I$215&lt;$I113)*IF($I113&gt;=6,$AX$5:$AX$215,$AT$5:$AT$215)))&lt;=0,"",SUMPRODUCT(MAX(($C$5:$C$215=$C113)*($I$5:$I$215=$I113)*IF($I113&gt;=6,$AX$5:$AX$215,$AT$5:$AT$215)))/SUMPRODUCT(MAX(($C$5:$C$215=$C113)*($I$5:$I$215&gt;=1)*($I$5:$I$215&lt;$I113)*IF($I113&gt;=6,$AX$5:$AX$215,$AT$5:$AT$215)))-1))</f>
        <v/>
      </c>
      <c r="BC113" s="52">
        <f>IF(OR($I113&lt;1,IF($I113&gt;=6,AY113,AU113)&lt;=0),"",IF(SUMPRODUCT(MAX(($C$5:$C$215=$C113)*($I$5:$I$215&gt;=1)*($I$5:$I$215&lt;$I113)*IF($I113&gt;=6,$AY$5:$AY$215,$AU$5:$AU$215)))&lt;=0,"",SUMPRODUCT(MAX(($C$5:$C$215=$C113)*($I$5:$I$215=$I113)*IF($I113&gt;=6,$AY$5:$AY$215,$AU$5:$AU$215)))/SUMPRODUCT(MAX(($C$5:$C$215=$C113)*($I$5:$I$215&gt;=1)*($I$5:$I$215&lt;$I113)*IF($I113&gt;=6,$AY$5:$AY$215,$AU$5:$AU$215)))-1))</f>
        <v/>
      </c>
      <c r="BD113" s="52">
        <f>IF(OR($I113&lt;1,IF($I113&gt;=6,AZ113,AV113)&lt;=0),"",IF(SUMPRODUCT(MAX(($C$5:$C$215=$C113)*($I$5:$I$215&gt;=1)*($I$5:$I$215&lt;$I113)*IF($I113&gt;=6,$AZ$5:$AZ$215,$AV$5:$AV$215)))&lt;=0,"",SUMPRODUCT(MAX(($C$5:$C$215=$C113)*($I$5:$I$215=$I113)*IF($I113&gt;=6,$AZ$5:$AZ$215,$AV$5:$AV$215)))/SUMPRODUCT(MAX(($C$5:$C$215=$C113)*($I$5:$I$215&gt;=1)*($I$5:$I$215&lt;$I113)*IF($I113&gt;=6,$AZ$5:$AZ$215,$AV$5:$AV$215)))-1))</f>
        <v/>
      </c>
      <c r="BE113" s="52">
        <f>IF(OR($I113&lt;1,IF($I113&gt;=6,BA113,AW113)&lt;=0),"",IF(SUMPRODUCT(MAX(($C$5:$C$215=$C113)*($I$5:$I$215&gt;=1)*($I$5:$I$215&lt;$I113)*IF($I113&gt;=6,$BA$5:$BA$215,$AW$5:$AW$215)))&lt;=0,"",SUMPRODUCT(MAX(($C$5:$C$215=$C113)*($I$5:$I$215=$I113)*IF($I113&gt;=6,$BA$5:$BA$215,$AW$5:$AW$215)))/SUMPRODUCT(MAX(($C$5:$C$215=$C113)*($I$5:$I$215&gt;=1)*($I$5:$I$215&lt;$I113)*IF($I113&gt;=6,$BA$5:$BA$215,$AW$5:$AW$215)))-1))</f>
        <v/>
      </c>
      <c r="BF113" s="19">
        <f>IF(AND(BB113="",BC113="",BD113="",BE113=""),"",IF(IF(AND(ISNUMBER(BB113),BB113&lt;'Item Budget'!$R$11),"W ","")&amp;IF(AND(ISNUMBER(BC113),BC113&lt;'Item Budget'!$R$11),"R ","")&amp;IF(AND(ISNUMBER(BD113),BD113&lt;'Item Budget'!$R$11),"M ","")&amp;IF(AND(ISNUMBER(BE113),BE113&lt;'Item Budget'!$R$11),"P ","")="","OK","Not above lower step: "&amp;IF(AND(ISNUMBER(BB113),BB113&lt;'Item Budget'!$R$11),"W ","")&amp;IF(AND(ISNUMBER(BC113),BC113&lt;'Item Budget'!$R$11),"R ","")&amp;IF(AND(ISNUMBER(BD113),BD113&lt;'Item Budget'!$R$11),"M ","")&amp;IF(AND(ISNUMBER(BE113),BE113&lt;'Item Budget'!$R$11),"P ","")))</f>
        <v/>
      </c>
    </row>
    <row r="114">
      <c r="A114" s="21" t="n">
        <v>496</v>
      </c>
      <c r="B114" s="21" t="inlineStr">
        <is>
          <t>Royal Leggings</t>
        </is>
      </c>
      <c r="C114" s="21" t="inlineStr">
        <is>
          <t>Pants</t>
        </is>
      </c>
      <c r="D114" s="21" t="inlineStr">
        <is>
          <t>Priest</t>
        </is>
      </c>
      <c r="E114" s="21" t="inlineStr">
        <is>
          <t>Priest</t>
        </is>
      </c>
      <c r="F114" s="21" t="inlineStr">
        <is>
          <t>Caster cloth</t>
        </is>
      </c>
      <c r="G114" s="21" t="inlineStr">
        <is>
          <t>craft</t>
        </is>
      </c>
      <c r="H114" s="37" t="n">
        <v>200000000</v>
      </c>
      <c r="I114" s="21" t="n">
        <v>8</v>
      </c>
      <c r="J114" s="19" t="inlineStr">
        <is>
          <t>Leave</t>
        </is>
      </c>
      <c r="K114" s="21" t="inlineStr">
        <is>
          <t>Crafted</t>
        </is>
      </c>
      <c r="L114" s="31">
        <f>INDEX('Item Budget'!$F$5:$F$13,MATCH(K114,'Item Budget'!$E$5:$E$13,0))+IF(E114="All",0,'Item Budget'!$F$15)+LOOKUP(H114,'Item Budget'!$E$19:$E$23,'Item Budget'!$F$19:$F$23)</f>
        <v/>
      </c>
      <c r="M114" s="21" t="n">
        <v>50</v>
      </c>
      <c r="N114" s="21" t="n">
        <v>1500</v>
      </c>
      <c r="O114" s="21" t="n">
        <v>2500</v>
      </c>
      <c r="P114" s="21" t="n">
        <v>225</v>
      </c>
      <c r="Q114" s="21" t="n">
        <v>0</v>
      </c>
      <c r="R114" s="21" t="n">
        <v>0</v>
      </c>
      <c r="S114" s="21" t="n">
        <v>0</v>
      </c>
      <c r="T114" s="21" t="n">
        <v>0</v>
      </c>
      <c r="U114" s="21" t="n">
        <v>0</v>
      </c>
      <c r="V114" s="21" t="inlineStr">
        <is>
          <t>Spell Critical and Damage III</t>
        </is>
      </c>
      <c r="W114" s="61">
        <f>N114*'Item Budget'!$B$5+R114*'Item Budget'!$B$7+P114*'Item Budget'!$B$11+S114*'Item Budget'!$B$10+Q114*'Item Budget'!$B$9+IFERROR(INDEX('Item Budget'!$M$25:$M$95,MATCH(V114,'Item Budget'!$B$25:$B$95,0)),0)+IF($C114="Weapon",U114*'Item Budget'!$B$9,0)</f>
        <v/>
      </c>
      <c r="X114" s="61">
        <f>N114*'Item Budget'!$B$5+R114*'Item Budget'!$B$7+P114*'Item Budget'!$B$11+S114*'Item Budget'!$B$10+O114*'Item Budget'!$B$6+T114*'Item Budget'!$B$8+IFERROR(INDEX('Item Budget'!$N$25:$N$95,MATCH(V114,'Item Budget'!$B$25:$B$95,0)),0)</f>
        <v/>
      </c>
      <c r="Y114" s="61">
        <f>MAX('Item Budget'!$F$16,INDEX('Gear Budget'!$C$8:$C$14,MATCH($C114,'Gear Budget'!$A$8:$A$14,0))*MIN(M114,50))*$L114</f>
        <v/>
      </c>
      <c r="Z114" s="41">
        <f>IF($C114="Caster weapon",X114,MAX(W114,X114))/Y114</f>
        <v/>
      </c>
      <c r="AA114" s="61">
        <f>IF(OR($C114="Weapon",$C114="Caster weapon"),"",'Gear Budget'!$B$5*MAX(1,MIN(M114,50))*INDEX('Gear Budget'!$B$8:$B$14,MATCH($C114,'Gear Budget'!$A$8:$A$14,0))*IF($C114="Shield",IF(D114="Warrior",1,IF(OR(D114="Rogue",D114="All"),0.38/0.6,0.25/0.6)),IFERROR(INDEX('Gear Budget'!$B$18:$B$21,MATCH($F114,'Gear Budget'!$A$18:$A$21,0)),1)))</f>
        <v/>
      </c>
      <c r="AB114" s="41">
        <f>IF(AA114="","",P114/AA114)</f>
        <v/>
      </c>
      <c r="AC114" s="21" t="n">
        <v>50</v>
      </c>
      <c r="AD114" s="21" t="n">
        <v>1500</v>
      </c>
      <c r="AE114" s="21" t="n">
        <v>2500</v>
      </c>
      <c r="AF114" s="21" t="n">
        <v>225</v>
      </c>
      <c r="AG114" s="21" t="n">
        <v>0</v>
      </c>
      <c r="AH114" s="21" t="n">
        <v>0</v>
      </c>
      <c r="AI114" s="21" t="n">
        <v>0</v>
      </c>
      <c r="AJ114" s="21" t="n">
        <v>0</v>
      </c>
      <c r="AK114" s="21" t="n">
        <v>0</v>
      </c>
      <c r="AL114" s="21" t="inlineStr">
        <is>
          <t>Spell Critical and Damage III</t>
        </is>
      </c>
      <c r="AM114" s="61">
        <f>AD114*'Item Budget'!$B$5+AH114*'Item Budget'!$B$7+AF114*'Item Budget'!$B$11+AI114*'Item Budget'!$B$10+AG114*'Item Budget'!$B$9+IFERROR(INDEX('Item Budget'!$M$25:$M$95,MATCH(AL114,'Item Budget'!$B$25:$B$95,0)),0)+IF($C114="Weapon",AK114*'Item Budget'!$B$9,0)</f>
        <v/>
      </c>
      <c r="AN114" s="61">
        <f>AD114*'Item Budget'!$B$5+AH114*'Item Budget'!$B$7+AF114*'Item Budget'!$B$11+AI114*'Item Budget'!$B$10+AE114*'Item Budget'!$B$6+AJ114*'Item Budget'!$B$8+IFERROR(INDEX('Item Budget'!$N$25:$N$95,MATCH(AL114,'Item Budget'!$B$25:$B$95,0)),0)</f>
        <v/>
      </c>
      <c r="AO114" s="61">
        <f>MAX('Item Budget'!$F$16,INDEX('Gear Budget'!$C$8:$C$14,MATCH($C114,'Gear Budget'!$A$8:$A$14,0))*MIN(AC114,50))*$L114</f>
        <v/>
      </c>
      <c r="AP114" s="41">
        <f>IF($C114="Caster weapon",AN114,MAX(AM114,AN114))/AO114</f>
        <v/>
      </c>
      <c r="AQ114" s="61">
        <f>IF(OR($C114="Weapon",$C114="Caster weapon"),"",'Gear Budget'!$B$5*MAX(1,MIN(AC114,50))*INDEX('Gear Budget'!$B$8:$B$14,MATCH($C114,'Gear Budget'!$A$8:$A$14,0))*IF($C114="Shield",IF(E114="Warrior",1,IF(OR(E114="Rogue",E114="All"),0.38/0.6,0.25/0.6)),IFERROR(INDEX('Gear Budget'!$B$18:$B$21,MATCH($F114,'Gear Budget'!$A$18:$A$21,0)),1)))</f>
        <v/>
      </c>
      <c r="AR114" s="41">
        <f>IF(AQ114="","",AF114/AQ114)</f>
        <v/>
      </c>
      <c r="AS114" s="64" t="n"/>
      <c r="AT114" s="44">
        <f>IF(OR($E114="All",ISNUMBER(SEARCH("Warrior",$E114))),IF($C114="Caster weapon",(AN114+AF114*('Item Budget'!$AB$14-'Item Budget'!$B$11)),(AM114+AF114*('Item Budget'!$AB$14-'Item Budget'!$B$11))),0)</f>
        <v/>
      </c>
      <c r="AU114" s="44">
        <f>IF(OR($E114="All",ISNUMBER(SEARCH("Rogue",$E114))),IF($C114="Caster weapon",(AN114+AF114*('Item Budget'!$AB$15-'Item Budget'!$B$11)),(AM114+AF114*('Item Budget'!$AB$15-'Item Budget'!$B$11))),0)</f>
        <v/>
      </c>
      <c r="AV114" s="44">
        <f>IF(OR($E114="All",ISNUMBER(SEARCH("Magus",$E114))),(AN114+AF114*('Item Budget'!$AB$16-'Item Budget'!$B$11)),0)</f>
        <v/>
      </c>
      <c r="AW114" s="44">
        <f>IF(OR($E114="All",ISNUMBER(SEARCH("Priest",$E114))),(AN114+AF114*('Item Budget'!$AB$17-'Item Budget'!$B$11)),0)</f>
        <v/>
      </c>
      <c r="AX114" s="44">
        <f>IF(AND(OR($E114="All",ISNUMBER(SEARCH("Warrior",$E114))),AC114&gt;='Item Budget'!$R$10),'Item Budget'!$R$7*100*('Item Budget'!$R$14*(AD114+25*AH114)+'Item Budget'!$S$14*(AE114+25*AJ114))/'Item Budget'!$Z$14+'Item Budget'!$R$9*AF114+IFERROR(INDEX('Item Budget'!$O$25:$O$95,MATCH(AL114,'Item Budget'!$B$25:$B$95,0)),0),0)</f>
        <v/>
      </c>
      <c r="AY114" s="44">
        <f>IF(AND(OR($E114="All",ISNUMBER(SEARCH("Rogue",$E114))),AC114&gt;='Item Budget'!$R$10),'Item Budget'!$R$7*100*('Item Budget'!$R$15*(AD114+25*AH114)+'Item Budget'!$S$15*(AE114+25*AJ114))/'Item Budget'!$Z$15+'Item Budget'!$R$9*AF114+IFERROR(INDEX('Item Budget'!$O$25:$O$95,MATCH(AL114,'Item Budget'!$B$25:$B$95,0)),0),0)</f>
        <v/>
      </c>
      <c r="AZ114" s="44">
        <f>IF(AND(OR($E114="All",ISNUMBER(SEARCH("Magus",$E114))),AC114&gt;='Item Budget'!$R$10),'Item Budget'!$R$7*100*('Item Budget'!$R$16*(AD114+25*AH114)+'Item Budget'!$S$16*(AE114+25*AJ114))/'Item Budget'!$Z$16+'Item Budget'!$R$9*AF114+IFERROR(INDEX('Item Budget'!$O$25:$O$95,MATCH(AL114,'Item Budget'!$B$25:$B$95,0)),0),0)</f>
        <v/>
      </c>
      <c r="BA114" s="44">
        <f>IF(AND(OR($E114="All",ISNUMBER(SEARCH("Priest",$E114))),AC114&gt;='Item Budget'!$R$10),'Item Budget'!$R$7*100*('Item Budget'!$R$17*(AD114+25*AH114)+'Item Budget'!$S$17*(AE114+25*AJ114))/'Item Budget'!$Z$17+'Item Budget'!$R$9*AF114+IFERROR(INDEX('Item Budget'!$O$25:$O$95,MATCH(AL114,'Item Budget'!$B$25:$B$95,0)),0),0)</f>
        <v/>
      </c>
      <c r="BB114" s="52">
        <f>IF(OR($I114&lt;1,IF($I114&gt;=6,AX114,AT114)&lt;=0),"",IF(SUMPRODUCT(MAX(($C$5:$C$215=$C114)*($I$5:$I$215&gt;=1)*($I$5:$I$215&lt;$I114)*IF($I114&gt;=6,$AX$5:$AX$215,$AT$5:$AT$215)))&lt;=0,"",SUMPRODUCT(MAX(($C$5:$C$215=$C114)*($I$5:$I$215=$I114)*IF($I114&gt;=6,$AX$5:$AX$215,$AT$5:$AT$215)))/SUMPRODUCT(MAX(($C$5:$C$215=$C114)*($I$5:$I$215&gt;=1)*($I$5:$I$215&lt;$I114)*IF($I114&gt;=6,$AX$5:$AX$215,$AT$5:$AT$215)))-1))</f>
        <v/>
      </c>
      <c r="BC114" s="52">
        <f>IF(OR($I114&lt;1,IF($I114&gt;=6,AY114,AU114)&lt;=0),"",IF(SUMPRODUCT(MAX(($C$5:$C$215=$C114)*($I$5:$I$215&gt;=1)*($I$5:$I$215&lt;$I114)*IF($I114&gt;=6,$AY$5:$AY$215,$AU$5:$AU$215)))&lt;=0,"",SUMPRODUCT(MAX(($C$5:$C$215=$C114)*($I$5:$I$215=$I114)*IF($I114&gt;=6,$AY$5:$AY$215,$AU$5:$AU$215)))/SUMPRODUCT(MAX(($C$5:$C$215=$C114)*($I$5:$I$215&gt;=1)*($I$5:$I$215&lt;$I114)*IF($I114&gt;=6,$AY$5:$AY$215,$AU$5:$AU$215)))-1))</f>
        <v/>
      </c>
      <c r="BD114" s="52">
        <f>IF(OR($I114&lt;1,IF($I114&gt;=6,AZ114,AV114)&lt;=0),"",IF(SUMPRODUCT(MAX(($C$5:$C$215=$C114)*($I$5:$I$215&gt;=1)*($I$5:$I$215&lt;$I114)*IF($I114&gt;=6,$AZ$5:$AZ$215,$AV$5:$AV$215)))&lt;=0,"",SUMPRODUCT(MAX(($C$5:$C$215=$C114)*($I$5:$I$215=$I114)*IF($I114&gt;=6,$AZ$5:$AZ$215,$AV$5:$AV$215)))/SUMPRODUCT(MAX(($C$5:$C$215=$C114)*($I$5:$I$215&gt;=1)*($I$5:$I$215&lt;$I114)*IF($I114&gt;=6,$AZ$5:$AZ$215,$AV$5:$AV$215)))-1))</f>
        <v/>
      </c>
      <c r="BE114" s="52">
        <f>IF(OR($I114&lt;1,IF($I114&gt;=6,BA114,AW114)&lt;=0),"",IF(SUMPRODUCT(MAX(($C$5:$C$215=$C114)*($I$5:$I$215&gt;=1)*($I$5:$I$215&lt;$I114)*IF($I114&gt;=6,$BA$5:$BA$215,$AW$5:$AW$215)))&lt;=0,"",SUMPRODUCT(MAX(($C$5:$C$215=$C114)*($I$5:$I$215=$I114)*IF($I114&gt;=6,$BA$5:$BA$215,$AW$5:$AW$215)))/SUMPRODUCT(MAX(($C$5:$C$215=$C114)*($I$5:$I$215&gt;=1)*($I$5:$I$215&lt;$I114)*IF($I114&gt;=6,$BA$5:$BA$215,$AW$5:$AW$215)))-1))</f>
        <v/>
      </c>
      <c r="BF114" s="19">
        <f>IF(AND(BB114="",BC114="",BD114="",BE114=""),"",IF(IF(AND(ISNUMBER(BB114),BB114&lt;'Item Budget'!$R$11),"W ","")&amp;IF(AND(ISNUMBER(BC114),BC114&lt;'Item Budget'!$R$11),"R ","")&amp;IF(AND(ISNUMBER(BD114),BD114&lt;'Item Budget'!$R$11),"M ","")&amp;IF(AND(ISNUMBER(BE114),BE114&lt;'Item Budget'!$R$11),"P ","")="","OK","Not above lower step: "&amp;IF(AND(ISNUMBER(BB114),BB114&lt;'Item Budget'!$R$11),"W ","")&amp;IF(AND(ISNUMBER(BC114),BC114&lt;'Item Budget'!$R$11),"R ","")&amp;IF(AND(ISNUMBER(BD114),BD114&lt;'Item Budget'!$R$11),"M ","")&amp;IF(AND(ISNUMBER(BE114),BE114&lt;'Item Budget'!$R$11),"P ","")))</f>
        <v/>
      </c>
    </row>
    <row r="115">
      <c r="A115" s="21" t="n">
        <v>497</v>
      </c>
      <c r="B115" s="21" t="inlineStr">
        <is>
          <t>Royal Leggings</t>
        </is>
      </c>
      <c r="C115" s="21" t="inlineStr">
        <is>
          <t>Pants</t>
        </is>
      </c>
      <c r="D115" s="21" t="inlineStr">
        <is>
          <t>Magus</t>
        </is>
      </c>
      <c r="E115" s="21" t="inlineStr">
        <is>
          <t>Magus</t>
        </is>
      </c>
      <c r="F115" s="21" t="inlineStr">
        <is>
          <t>Caster cloth</t>
        </is>
      </c>
      <c r="G115" s="21" t="inlineStr">
        <is>
          <t>craft</t>
        </is>
      </c>
      <c r="H115" s="37" t="n">
        <v>200000000</v>
      </c>
      <c r="I115" s="21" t="n">
        <v>8</v>
      </c>
      <c r="J115" s="19" t="inlineStr">
        <is>
          <t>Leave</t>
        </is>
      </c>
      <c r="K115" s="21" t="inlineStr">
        <is>
          <t>Crafted</t>
        </is>
      </c>
      <c r="L115" s="31">
        <f>INDEX('Item Budget'!$F$5:$F$13,MATCH(K115,'Item Budget'!$E$5:$E$13,0))+IF(E115="All",0,'Item Budget'!$F$15)+LOOKUP(H115,'Item Budget'!$E$19:$E$23,'Item Budget'!$F$19:$F$23)</f>
        <v/>
      </c>
      <c r="M115" s="21" t="n">
        <v>50</v>
      </c>
      <c r="N115" s="21" t="n">
        <v>0</v>
      </c>
      <c r="O115" s="21" t="n">
        <v>4000</v>
      </c>
      <c r="P115" s="21" t="n">
        <v>225</v>
      </c>
      <c r="Q115" s="21" t="n">
        <v>0</v>
      </c>
      <c r="R115" s="21" t="n">
        <v>0</v>
      </c>
      <c r="S115" s="21" t="n">
        <v>0</v>
      </c>
      <c r="T115" s="21" t="n">
        <v>0</v>
      </c>
      <c r="U115" s="21" t="n">
        <v>0</v>
      </c>
      <c r="V115" s="21" t="inlineStr">
        <is>
          <t>Increased Spell Damage V</t>
        </is>
      </c>
      <c r="W115" s="61">
        <f>N115*'Item Budget'!$B$5+R115*'Item Budget'!$B$7+P115*'Item Budget'!$B$11+S115*'Item Budget'!$B$10+Q115*'Item Budget'!$B$9+IFERROR(INDEX('Item Budget'!$M$25:$M$95,MATCH(V115,'Item Budget'!$B$25:$B$95,0)),0)+IF($C115="Weapon",U115*'Item Budget'!$B$9,0)</f>
        <v/>
      </c>
      <c r="X115" s="61">
        <f>N115*'Item Budget'!$B$5+R115*'Item Budget'!$B$7+P115*'Item Budget'!$B$11+S115*'Item Budget'!$B$10+O115*'Item Budget'!$B$6+T115*'Item Budget'!$B$8+IFERROR(INDEX('Item Budget'!$N$25:$N$95,MATCH(V115,'Item Budget'!$B$25:$B$95,0)),0)</f>
        <v/>
      </c>
      <c r="Y115" s="61">
        <f>MAX('Item Budget'!$F$16,INDEX('Gear Budget'!$C$8:$C$14,MATCH($C115,'Gear Budget'!$A$8:$A$14,0))*MIN(M115,50))*$L115</f>
        <v/>
      </c>
      <c r="Z115" s="41">
        <f>IF($C115="Caster weapon",X115,MAX(W115,X115))/Y115</f>
        <v/>
      </c>
      <c r="AA115" s="61">
        <f>IF(OR($C115="Weapon",$C115="Caster weapon"),"",'Gear Budget'!$B$5*MAX(1,MIN(M115,50))*INDEX('Gear Budget'!$B$8:$B$14,MATCH($C115,'Gear Budget'!$A$8:$A$14,0))*IF($C115="Shield",IF(D115="Warrior",1,IF(OR(D115="Rogue",D115="All"),0.38/0.6,0.25/0.6)),IFERROR(INDEX('Gear Budget'!$B$18:$B$21,MATCH($F115,'Gear Budget'!$A$18:$A$21,0)),1)))</f>
        <v/>
      </c>
      <c r="AB115" s="41">
        <f>IF(AA115="","",P115/AA115)</f>
        <v/>
      </c>
      <c r="AC115" s="21" t="n">
        <v>50</v>
      </c>
      <c r="AD115" s="21" t="n">
        <v>0</v>
      </c>
      <c r="AE115" s="21" t="n">
        <v>4000</v>
      </c>
      <c r="AF115" s="21" t="n">
        <v>225</v>
      </c>
      <c r="AG115" s="21" t="n">
        <v>0</v>
      </c>
      <c r="AH115" s="21" t="n">
        <v>0</v>
      </c>
      <c r="AI115" s="21" t="n">
        <v>0</v>
      </c>
      <c r="AJ115" s="21" t="n">
        <v>0</v>
      </c>
      <c r="AK115" s="21" t="n">
        <v>0</v>
      </c>
      <c r="AL115" s="21" t="inlineStr">
        <is>
          <t>Increased Spell Damage V</t>
        </is>
      </c>
      <c r="AM115" s="61">
        <f>AD115*'Item Budget'!$B$5+AH115*'Item Budget'!$B$7+AF115*'Item Budget'!$B$11+AI115*'Item Budget'!$B$10+AG115*'Item Budget'!$B$9+IFERROR(INDEX('Item Budget'!$M$25:$M$95,MATCH(AL115,'Item Budget'!$B$25:$B$95,0)),0)+IF($C115="Weapon",AK115*'Item Budget'!$B$9,0)</f>
        <v/>
      </c>
      <c r="AN115" s="61">
        <f>AD115*'Item Budget'!$B$5+AH115*'Item Budget'!$B$7+AF115*'Item Budget'!$B$11+AI115*'Item Budget'!$B$10+AE115*'Item Budget'!$B$6+AJ115*'Item Budget'!$B$8+IFERROR(INDEX('Item Budget'!$N$25:$N$95,MATCH(AL115,'Item Budget'!$B$25:$B$95,0)),0)</f>
        <v/>
      </c>
      <c r="AO115" s="61">
        <f>MAX('Item Budget'!$F$16,INDEX('Gear Budget'!$C$8:$C$14,MATCH($C115,'Gear Budget'!$A$8:$A$14,0))*MIN(AC115,50))*$L115</f>
        <v/>
      </c>
      <c r="AP115" s="41">
        <f>IF($C115="Caster weapon",AN115,MAX(AM115,AN115))/AO115</f>
        <v/>
      </c>
      <c r="AQ115" s="61">
        <f>IF(OR($C115="Weapon",$C115="Caster weapon"),"",'Gear Budget'!$B$5*MAX(1,MIN(AC115,50))*INDEX('Gear Budget'!$B$8:$B$14,MATCH($C115,'Gear Budget'!$A$8:$A$14,0))*IF($C115="Shield",IF(E115="Warrior",1,IF(OR(E115="Rogue",E115="All"),0.38/0.6,0.25/0.6)),IFERROR(INDEX('Gear Budget'!$B$18:$B$21,MATCH($F115,'Gear Budget'!$A$18:$A$21,0)),1)))</f>
        <v/>
      </c>
      <c r="AR115" s="41">
        <f>IF(AQ115="","",AF115/AQ115)</f>
        <v/>
      </c>
      <c r="AS115" s="64" t="n"/>
      <c r="AT115" s="44">
        <f>IF(OR($E115="All",ISNUMBER(SEARCH("Warrior",$E115))),IF($C115="Caster weapon",(AN115+AF115*('Item Budget'!$AB$14-'Item Budget'!$B$11)),(AM115+AF115*('Item Budget'!$AB$14-'Item Budget'!$B$11))),0)</f>
        <v/>
      </c>
      <c r="AU115" s="44">
        <f>IF(OR($E115="All",ISNUMBER(SEARCH("Rogue",$E115))),IF($C115="Caster weapon",(AN115+AF115*('Item Budget'!$AB$15-'Item Budget'!$B$11)),(AM115+AF115*('Item Budget'!$AB$15-'Item Budget'!$B$11))),0)</f>
        <v/>
      </c>
      <c r="AV115" s="44">
        <f>IF(OR($E115="All",ISNUMBER(SEARCH("Magus",$E115))),(AN115+AF115*('Item Budget'!$AB$16-'Item Budget'!$B$11)),0)</f>
        <v/>
      </c>
      <c r="AW115" s="44">
        <f>IF(OR($E115="All",ISNUMBER(SEARCH("Priest",$E115))),(AN115+AF115*('Item Budget'!$AB$17-'Item Budget'!$B$11)),0)</f>
        <v/>
      </c>
      <c r="AX115" s="44">
        <f>IF(AND(OR($E115="All",ISNUMBER(SEARCH("Warrior",$E115))),AC115&gt;='Item Budget'!$R$10),'Item Budget'!$R$7*100*('Item Budget'!$R$14*(AD115+25*AH115)+'Item Budget'!$S$14*(AE115+25*AJ115))/'Item Budget'!$Z$14+'Item Budget'!$R$9*AF115+IFERROR(INDEX('Item Budget'!$O$25:$O$95,MATCH(AL115,'Item Budget'!$B$25:$B$95,0)),0),0)</f>
        <v/>
      </c>
      <c r="AY115" s="44">
        <f>IF(AND(OR($E115="All",ISNUMBER(SEARCH("Rogue",$E115))),AC115&gt;='Item Budget'!$R$10),'Item Budget'!$R$7*100*('Item Budget'!$R$15*(AD115+25*AH115)+'Item Budget'!$S$15*(AE115+25*AJ115))/'Item Budget'!$Z$15+'Item Budget'!$R$9*AF115+IFERROR(INDEX('Item Budget'!$O$25:$O$95,MATCH(AL115,'Item Budget'!$B$25:$B$95,0)),0),0)</f>
        <v/>
      </c>
      <c r="AZ115" s="44">
        <f>IF(AND(OR($E115="All",ISNUMBER(SEARCH("Magus",$E115))),AC115&gt;='Item Budget'!$R$10),'Item Budget'!$R$7*100*('Item Budget'!$R$16*(AD115+25*AH115)+'Item Budget'!$S$16*(AE115+25*AJ115))/'Item Budget'!$Z$16+'Item Budget'!$R$9*AF115+IFERROR(INDEX('Item Budget'!$O$25:$O$95,MATCH(AL115,'Item Budget'!$B$25:$B$95,0)),0),0)</f>
        <v/>
      </c>
      <c r="BA115" s="44">
        <f>IF(AND(OR($E115="All",ISNUMBER(SEARCH("Priest",$E115))),AC115&gt;='Item Budget'!$R$10),'Item Budget'!$R$7*100*('Item Budget'!$R$17*(AD115+25*AH115)+'Item Budget'!$S$17*(AE115+25*AJ115))/'Item Budget'!$Z$17+'Item Budget'!$R$9*AF115+IFERROR(INDEX('Item Budget'!$O$25:$O$95,MATCH(AL115,'Item Budget'!$B$25:$B$95,0)),0),0)</f>
        <v/>
      </c>
      <c r="BB115" s="52">
        <f>IF(OR($I115&lt;1,IF($I115&gt;=6,AX115,AT115)&lt;=0),"",IF(SUMPRODUCT(MAX(($C$5:$C$215=$C115)*($I$5:$I$215&gt;=1)*($I$5:$I$215&lt;$I115)*IF($I115&gt;=6,$AX$5:$AX$215,$AT$5:$AT$215)))&lt;=0,"",SUMPRODUCT(MAX(($C$5:$C$215=$C115)*($I$5:$I$215=$I115)*IF($I115&gt;=6,$AX$5:$AX$215,$AT$5:$AT$215)))/SUMPRODUCT(MAX(($C$5:$C$215=$C115)*($I$5:$I$215&gt;=1)*($I$5:$I$215&lt;$I115)*IF($I115&gt;=6,$AX$5:$AX$215,$AT$5:$AT$215)))-1))</f>
        <v/>
      </c>
      <c r="BC115" s="52">
        <f>IF(OR($I115&lt;1,IF($I115&gt;=6,AY115,AU115)&lt;=0),"",IF(SUMPRODUCT(MAX(($C$5:$C$215=$C115)*($I$5:$I$215&gt;=1)*($I$5:$I$215&lt;$I115)*IF($I115&gt;=6,$AY$5:$AY$215,$AU$5:$AU$215)))&lt;=0,"",SUMPRODUCT(MAX(($C$5:$C$215=$C115)*($I$5:$I$215=$I115)*IF($I115&gt;=6,$AY$5:$AY$215,$AU$5:$AU$215)))/SUMPRODUCT(MAX(($C$5:$C$215=$C115)*($I$5:$I$215&gt;=1)*($I$5:$I$215&lt;$I115)*IF($I115&gt;=6,$AY$5:$AY$215,$AU$5:$AU$215)))-1))</f>
        <v/>
      </c>
      <c r="BD115" s="52">
        <f>IF(OR($I115&lt;1,IF($I115&gt;=6,AZ115,AV115)&lt;=0),"",IF(SUMPRODUCT(MAX(($C$5:$C$215=$C115)*($I$5:$I$215&gt;=1)*($I$5:$I$215&lt;$I115)*IF($I115&gt;=6,$AZ$5:$AZ$215,$AV$5:$AV$215)))&lt;=0,"",SUMPRODUCT(MAX(($C$5:$C$215=$C115)*($I$5:$I$215=$I115)*IF($I115&gt;=6,$AZ$5:$AZ$215,$AV$5:$AV$215)))/SUMPRODUCT(MAX(($C$5:$C$215=$C115)*($I$5:$I$215&gt;=1)*($I$5:$I$215&lt;$I115)*IF($I115&gt;=6,$AZ$5:$AZ$215,$AV$5:$AV$215)))-1))</f>
        <v/>
      </c>
      <c r="BE115" s="52">
        <f>IF(OR($I115&lt;1,IF($I115&gt;=6,BA115,AW115)&lt;=0),"",IF(SUMPRODUCT(MAX(($C$5:$C$215=$C115)*($I$5:$I$215&gt;=1)*($I$5:$I$215&lt;$I115)*IF($I115&gt;=6,$BA$5:$BA$215,$AW$5:$AW$215)))&lt;=0,"",SUMPRODUCT(MAX(($C$5:$C$215=$C115)*($I$5:$I$215=$I115)*IF($I115&gt;=6,$BA$5:$BA$215,$AW$5:$AW$215)))/SUMPRODUCT(MAX(($C$5:$C$215=$C115)*($I$5:$I$215&gt;=1)*($I$5:$I$215&lt;$I115)*IF($I115&gt;=6,$BA$5:$BA$215,$AW$5:$AW$215)))-1))</f>
        <v/>
      </c>
      <c r="BF115" s="19">
        <f>IF(AND(BB115="",BC115="",BD115="",BE115=""),"",IF(IF(AND(ISNUMBER(BB115),BB115&lt;'Item Budget'!$R$11),"W ","")&amp;IF(AND(ISNUMBER(BC115),BC115&lt;'Item Budget'!$R$11),"R ","")&amp;IF(AND(ISNUMBER(BD115),BD115&lt;'Item Budget'!$R$11),"M ","")&amp;IF(AND(ISNUMBER(BE115),BE115&lt;'Item Budget'!$R$11),"P ","")="","OK","Not above lower step: "&amp;IF(AND(ISNUMBER(BB115),BB115&lt;'Item Budget'!$R$11),"W ","")&amp;IF(AND(ISNUMBER(BC115),BC115&lt;'Item Budget'!$R$11),"R ","")&amp;IF(AND(ISNUMBER(BD115),BD115&lt;'Item Budget'!$R$11),"M ","")&amp;IF(AND(ISNUMBER(BE115),BE115&lt;'Item Budget'!$R$11),"P ","")))</f>
        <v/>
      </c>
    </row>
    <row r="116">
      <c r="A116" s="21" t="n">
        <v>260</v>
      </c>
      <c r="B116" s="21" t="inlineStr">
        <is>
          <t>Frays Flippers</t>
        </is>
      </c>
      <c r="C116" s="21" t="inlineStr">
        <is>
          <t>Shoes</t>
        </is>
      </c>
      <c r="D116" s="21" t="inlineStr">
        <is>
          <t>All</t>
        </is>
      </c>
      <c r="E116" s="21" t="inlineStr">
        <is>
          <t>All</t>
        </is>
      </c>
      <c r="F116" s="21" t="inlineStr">
        <is>
          <t>All classes</t>
        </is>
      </c>
      <c r="G116" s="21" t="inlineStr">
        <is>
          <t>drop: Fray 5%</t>
        </is>
      </c>
      <c r="H116" s="37" t="n">
        <v>0</v>
      </c>
      <c r="I116" s="21" t="n">
        <v>0</v>
      </c>
      <c r="J116" s="19" t="inlineStr">
        <is>
          <t>Leave</t>
        </is>
      </c>
      <c r="K116" s="21" t="inlineStr">
        <is>
          <t>Rare boss drop</t>
        </is>
      </c>
      <c r="L116" s="31">
        <f>INDEX('Item Budget'!$F$5:$F$13,MATCH(K116,'Item Budget'!$E$5:$E$13,0))+IF(E116="All",0,'Item Budget'!$F$15)+LOOKUP(H116,'Item Budget'!$E$19:$E$23,'Item Budget'!$F$19:$F$23)</f>
        <v/>
      </c>
      <c r="M116" s="21" t="n">
        <v>0</v>
      </c>
      <c r="N116" s="21" t="n">
        <v>50</v>
      </c>
      <c r="O116" s="21" t="n">
        <v>100</v>
      </c>
      <c r="P116" s="21" t="n">
        <v>30</v>
      </c>
      <c r="Q116" s="21" t="n">
        <v>5</v>
      </c>
      <c r="R116" s="21" t="n">
        <v>5</v>
      </c>
      <c r="S116" s="21" t="n">
        <v>0</v>
      </c>
      <c r="T116" s="21" t="n">
        <v>5</v>
      </c>
      <c r="U116" s="21" t="n">
        <v>0</v>
      </c>
      <c r="V116" s="21" t="inlineStr">
        <is>
          <t>(none)</t>
        </is>
      </c>
      <c r="W116" s="61">
        <f>N116*'Item Budget'!$B$5+R116*'Item Budget'!$B$7+P116*'Item Budget'!$B$11+S116*'Item Budget'!$B$10+Q116*'Item Budget'!$B$9+IFERROR(INDEX('Item Budget'!$M$25:$M$95,MATCH(V116,'Item Budget'!$B$25:$B$95,0)),0)+IF($C116="Weapon",U116*'Item Budget'!$B$9,0)</f>
        <v/>
      </c>
      <c r="X116" s="61">
        <f>N116*'Item Budget'!$B$5+R116*'Item Budget'!$B$7+P116*'Item Budget'!$B$11+S116*'Item Budget'!$B$10+O116*'Item Budget'!$B$6+T116*'Item Budget'!$B$8+IFERROR(INDEX('Item Budget'!$N$25:$N$95,MATCH(V116,'Item Budget'!$B$25:$B$95,0)),0)</f>
        <v/>
      </c>
      <c r="Y116" s="61">
        <f>MAX('Item Budget'!$F$16,INDEX('Gear Budget'!$C$8:$C$14,MATCH($C116,'Gear Budget'!$A$8:$A$14,0))*MIN(M116,50))*$L116</f>
        <v/>
      </c>
      <c r="Z116" s="41">
        <f>IF($C116="Caster weapon",X116,MAX(W116,X116))/Y116</f>
        <v/>
      </c>
      <c r="AA116" s="61">
        <f>IF(OR($C116="Weapon",$C116="Caster weapon"),"",'Gear Budget'!$B$5*MAX(1,MIN(M116,50))*INDEX('Gear Budget'!$B$8:$B$14,MATCH($C116,'Gear Budget'!$A$8:$A$14,0))*IF($C116="Shield",IF(D116="Warrior",1,IF(OR(D116="Rogue",D116="All"),0.38/0.6,0.25/0.6)),IFERROR(INDEX('Gear Budget'!$B$18:$B$21,MATCH($F116,'Gear Budget'!$A$18:$A$21,0)),1)))</f>
        <v/>
      </c>
      <c r="AB116" s="41">
        <f>IF(AA116="","",P116/AA116)</f>
        <v/>
      </c>
      <c r="AC116" s="21" t="n">
        <v>0</v>
      </c>
      <c r="AD116" s="21" t="n">
        <v>50</v>
      </c>
      <c r="AE116" s="21" t="n">
        <v>100</v>
      </c>
      <c r="AF116" s="21" t="n">
        <v>30</v>
      </c>
      <c r="AG116" s="21" t="n">
        <v>5</v>
      </c>
      <c r="AH116" s="21" t="n">
        <v>5</v>
      </c>
      <c r="AI116" s="21" t="n">
        <v>0</v>
      </c>
      <c r="AJ116" s="21" t="n">
        <v>5</v>
      </c>
      <c r="AK116" s="21" t="n">
        <v>0</v>
      </c>
      <c r="AL116" s="21" t="inlineStr">
        <is>
          <t>(none)</t>
        </is>
      </c>
      <c r="AM116" s="61">
        <f>AD116*'Item Budget'!$B$5+AH116*'Item Budget'!$B$7+AF116*'Item Budget'!$B$11+AI116*'Item Budget'!$B$10+AG116*'Item Budget'!$B$9+IFERROR(INDEX('Item Budget'!$M$25:$M$95,MATCH(AL116,'Item Budget'!$B$25:$B$95,0)),0)+IF($C116="Weapon",AK116*'Item Budget'!$B$9,0)</f>
        <v/>
      </c>
      <c r="AN116" s="61">
        <f>AD116*'Item Budget'!$B$5+AH116*'Item Budget'!$B$7+AF116*'Item Budget'!$B$11+AI116*'Item Budget'!$B$10+AE116*'Item Budget'!$B$6+AJ116*'Item Budget'!$B$8+IFERROR(INDEX('Item Budget'!$N$25:$N$95,MATCH(AL116,'Item Budget'!$B$25:$B$95,0)),0)</f>
        <v/>
      </c>
      <c r="AO116" s="61">
        <f>MAX('Item Budget'!$F$16,INDEX('Gear Budget'!$C$8:$C$14,MATCH($C116,'Gear Budget'!$A$8:$A$14,0))*MIN(AC116,50))*$L116</f>
        <v/>
      </c>
      <c r="AP116" s="41">
        <f>IF($C116="Caster weapon",AN116,MAX(AM116,AN116))/AO116</f>
        <v/>
      </c>
      <c r="AQ116" s="61">
        <f>IF(OR($C116="Weapon",$C116="Caster weapon"),"",'Gear Budget'!$B$5*MAX(1,MIN(AC116,50))*INDEX('Gear Budget'!$B$8:$B$14,MATCH($C116,'Gear Budget'!$A$8:$A$14,0))*IF($C116="Shield",IF(E116="Warrior",1,IF(OR(E116="Rogue",E116="All"),0.38/0.6,0.25/0.6)),IFERROR(INDEX('Gear Budget'!$B$18:$B$21,MATCH($F116,'Gear Budget'!$A$18:$A$21,0)),1)))</f>
        <v/>
      </c>
      <c r="AR116" s="41">
        <f>IF(AQ116="","",AF116/AQ116)</f>
        <v/>
      </c>
      <c r="AS116" s="64" t="inlineStr">
        <is>
          <t>Pass 1 (applied): Gear for alts (L0 item from a L50 boss). Not rebalanced.</t>
        </is>
      </c>
      <c r="AT116" s="44">
        <f>IF(OR($E116="All",ISNUMBER(SEARCH("Warrior",$E116))),IF($C116="Caster weapon",(AN116+AF116*('Item Budget'!$AB$14-'Item Budget'!$B$11)),(AM116+AF116*('Item Budget'!$AB$14-'Item Budget'!$B$11))),0)</f>
        <v/>
      </c>
      <c r="AU116" s="44">
        <f>IF(OR($E116="All",ISNUMBER(SEARCH("Rogue",$E116))),IF($C116="Caster weapon",(AN116+AF116*('Item Budget'!$AB$15-'Item Budget'!$B$11)),(AM116+AF116*('Item Budget'!$AB$15-'Item Budget'!$B$11))),0)</f>
        <v/>
      </c>
      <c r="AV116" s="44">
        <f>IF(OR($E116="All",ISNUMBER(SEARCH("Magus",$E116))),(AN116+AF116*('Item Budget'!$AB$16-'Item Budget'!$B$11)),0)</f>
        <v/>
      </c>
      <c r="AW116" s="44">
        <f>IF(OR($E116="All",ISNUMBER(SEARCH("Priest",$E116))),(AN116+AF116*('Item Budget'!$AB$17-'Item Budget'!$B$11)),0)</f>
        <v/>
      </c>
      <c r="AX116" s="44">
        <f>IF(AND(OR($E116="All",ISNUMBER(SEARCH("Warrior",$E116))),AC116&gt;='Item Budget'!$R$10),'Item Budget'!$R$7*100*('Item Budget'!$R$14*(AD116+25*AH116)+'Item Budget'!$S$14*(AE116+25*AJ116))/'Item Budget'!$Z$14+'Item Budget'!$R$9*AF116+IFERROR(INDEX('Item Budget'!$O$25:$O$95,MATCH(AL116,'Item Budget'!$B$25:$B$95,0)),0),0)</f>
        <v/>
      </c>
      <c r="AY116" s="44">
        <f>IF(AND(OR($E116="All",ISNUMBER(SEARCH("Rogue",$E116))),AC116&gt;='Item Budget'!$R$10),'Item Budget'!$R$7*100*('Item Budget'!$R$15*(AD116+25*AH116)+'Item Budget'!$S$15*(AE116+25*AJ116))/'Item Budget'!$Z$15+'Item Budget'!$R$9*AF116+IFERROR(INDEX('Item Budget'!$O$25:$O$95,MATCH(AL116,'Item Budget'!$B$25:$B$95,0)),0),0)</f>
        <v/>
      </c>
      <c r="AZ116" s="44">
        <f>IF(AND(OR($E116="All",ISNUMBER(SEARCH("Magus",$E116))),AC116&gt;='Item Budget'!$R$10),'Item Budget'!$R$7*100*('Item Budget'!$R$16*(AD116+25*AH116)+'Item Budget'!$S$16*(AE116+25*AJ116))/'Item Budget'!$Z$16+'Item Budget'!$R$9*AF116+IFERROR(INDEX('Item Budget'!$O$25:$O$95,MATCH(AL116,'Item Budget'!$B$25:$B$95,0)),0),0)</f>
        <v/>
      </c>
      <c r="BA116" s="44">
        <f>IF(AND(OR($E116="All",ISNUMBER(SEARCH("Priest",$E116))),AC116&gt;='Item Budget'!$R$10),'Item Budget'!$R$7*100*('Item Budget'!$R$17*(AD116+25*AH116)+'Item Budget'!$S$17*(AE116+25*AJ116))/'Item Budget'!$Z$17+'Item Budget'!$R$9*AF116+IFERROR(INDEX('Item Budget'!$O$25:$O$95,MATCH(AL116,'Item Budget'!$B$25:$B$95,0)),0),0)</f>
        <v/>
      </c>
      <c r="BB116" s="52">
        <f>IF(OR($I116&lt;1,IF($I116&gt;=6,AX116,AT116)&lt;=0),"",IF(SUMPRODUCT(MAX(($C$5:$C$215=$C116)*($I$5:$I$215&gt;=1)*($I$5:$I$215&lt;$I116)*IF($I116&gt;=6,$AX$5:$AX$215,$AT$5:$AT$215)))&lt;=0,"",SUMPRODUCT(MAX(($C$5:$C$215=$C116)*($I$5:$I$215=$I116)*IF($I116&gt;=6,$AX$5:$AX$215,$AT$5:$AT$215)))/SUMPRODUCT(MAX(($C$5:$C$215=$C116)*($I$5:$I$215&gt;=1)*($I$5:$I$215&lt;$I116)*IF($I116&gt;=6,$AX$5:$AX$215,$AT$5:$AT$215)))-1))</f>
        <v/>
      </c>
      <c r="BC116" s="52">
        <f>IF(OR($I116&lt;1,IF($I116&gt;=6,AY116,AU116)&lt;=0),"",IF(SUMPRODUCT(MAX(($C$5:$C$215=$C116)*($I$5:$I$215&gt;=1)*($I$5:$I$215&lt;$I116)*IF($I116&gt;=6,$AY$5:$AY$215,$AU$5:$AU$215)))&lt;=0,"",SUMPRODUCT(MAX(($C$5:$C$215=$C116)*($I$5:$I$215=$I116)*IF($I116&gt;=6,$AY$5:$AY$215,$AU$5:$AU$215)))/SUMPRODUCT(MAX(($C$5:$C$215=$C116)*($I$5:$I$215&gt;=1)*($I$5:$I$215&lt;$I116)*IF($I116&gt;=6,$AY$5:$AY$215,$AU$5:$AU$215)))-1))</f>
        <v/>
      </c>
      <c r="BD116" s="52">
        <f>IF(OR($I116&lt;1,IF($I116&gt;=6,AZ116,AV116)&lt;=0),"",IF(SUMPRODUCT(MAX(($C$5:$C$215=$C116)*($I$5:$I$215&gt;=1)*($I$5:$I$215&lt;$I116)*IF($I116&gt;=6,$AZ$5:$AZ$215,$AV$5:$AV$215)))&lt;=0,"",SUMPRODUCT(MAX(($C$5:$C$215=$C116)*($I$5:$I$215=$I116)*IF($I116&gt;=6,$AZ$5:$AZ$215,$AV$5:$AV$215)))/SUMPRODUCT(MAX(($C$5:$C$215=$C116)*($I$5:$I$215&gt;=1)*($I$5:$I$215&lt;$I116)*IF($I116&gt;=6,$AZ$5:$AZ$215,$AV$5:$AV$215)))-1))</f>
        <v/>
      </c>
      <c r="BE116" s="52">
        <f>IF(OR($I116&lt;1,IF($I116&gt;=6,BA116,AW116)&lt;=0),"",IF(SUMPRODUCT(MAX(($C$5:$C$215=$C116)*($I$5:$I$215&gt;=1)*($I$5:$I$215&lt;$I116)*IF($I116&gt;=6,$BA$5:$BA$215,$AW$5:$AW$215)))&lt;=0,"",SUMPRODUCT(MAX(($C$5:$C$215=$C116)*($I$5:$I$215=$I116)*IF($I116&gt;=6,$BA$5:$BA$215,$AW$5:$AW$215)))/SUMPRODUCT(MAX(($C$5:$C$215=$C116)*($I$5:$I$215&gt;=1)*($I$5:$I$215&lt;$I116)*IF($I116&gt;=6,$BA$5:$BA$215,$AW$5:$AW$215)))-1))</f>
        <v/>
      </c>
      <c r="BF116" s="19">
        <f>IF(AND(BB116="",BC116="",BD116="",BE116=""),"",IF(IF(AND(ISNUMBER(BB116),BB116&lt;'Item Budget'!$R$11),"W ","")&amp;IF(AND(ISNUMBER(BC116),BC116&lt;'Item Budget'!$R$11),"R ","")&amp;IF(AND(ISNUMBER(BD116),BD116&lt;'Item Budget'!$R$11),"M ","")&amp;IF(AND(ISNUMBER(BE116),BE116&lt;'Item Budget'!$R$11),"P ","")="","OK","Not above lower step: "&amp;IF(AND(ISNUMBER(BB116),BB116&lt;'Item Budget'!$R$11),"W ","")&amp;IF(AND(ISNUMBER(BC116),BC116&lt;'Item Budget'!$R$11),"R ","")&amp;IF(AND(ISNUMBER(BD116),BD116&lt;'Item Budget'!$R$11),"M ","")&amp;IF(AND(ISNUMBER(BE116),BE116&lt;'Item Budget'!$R$11),"P ","")))</f>
        <v/>
      </c>
    </row>
    <row r="117">
      <c r="A117" s="21" t="n">
        <v>124</v>
      </c>
      <c r="B117" s="21" t="inlineStr">
        <is>
          <t>Cloth Shoes</t>
        </is>
      </c>
      <c r="C117" s="21" t="inlineStr">
        <is>
          <t>Shoes</t>
        </is>
      </c>
      <c r="D117" s="21" t="inlineStr">
        <is>
          <t>All</t>
        </is>
      </c>
      <c r="E117" s="21" t="inlineStr">
        <is>
          <t>All</t>
        </is>
      </c>
      <c r="F117" s="21" t="inlineStr">
        <is>
          <t>All classes</t>
        </is>
      </c>
      <c r="G117" s="21" t="inlineStr">
        <is>
          <t>vendor: Cloth Armor Guy</t>
        </is>
      </c>
      <c r="H117" s="37" t="n">
        <v>0</v>
      </c>
      <c r="I117" s="21" t="n">
        <v>0</v>
      </c>
      <c r="J117" s="3" t="inlineStr">
        <is>
          <t>Applied</t>
        </is>
      </c>
      <c r="K117" s="21" t="inlineStr">
        <is>
          <t>Vendor</t>
        </is>
      </c>
      <c r="L117" s="31">
        <f>INDEX('Item Budget'!$F$5:$F$13,MATCH(K117,'Item Budget'!$E$5:$E$13,0))+IF(E117="All",0,'Item Budget'!$F$15)+LOOKUP(H117,'Item Budget'!$E$19:$E$23,'Item Budget'!$F$19:$F$23)</f>
        <v/>
      </c>
      <c r="M117" s="21" t="n">
        <v>1</v>
      </c>
      <c r="N117" s="21" t="n">
        <v>0</v>
      </c>
      <c r="O117" s="21" t="n">
        <v>0</v>
      </c>
      <c r="P117" s="21" t="n">
        <v>4</v>
      </c>
      <c r="Q117" s="21" t="n">
        <v>0</v>
      </c>
      <c r="R117" s="21" t="n">
        <v>0</v>
      </c>
      <c r="S117" s="21" t="n">
        <v>2</v>
      </c>
      <c r="T117" s="21" t="n">
        <v>0</v>
      </c>
      <c r="U117" s="21" t="n">
        <v>0</v>
      </c>
      <c r="V117" s="21" t="inlineStr">
        <is>
          <t>(none)</t>
        </is>
      </c>
      <c r="W117" s="61">
        <f>N117*'Item Budget'!$B$5+R117*'Item Budget'!$B$7+P117*'Item Budget'!$B$11+S117*'Item Budget'!$B$10+Q117*'Item Budget'!$B$9+IFERROR(INDEX('Item Budget'!$M$25:$M$95,MATCH(V117,'Item Budget'!$B$25:$B$95,0)),0)+IF($C117="Weapon",U117*'Item Budget'!$B$9,0)</f>
        <v/>
      </c>
      <c r="X117" s="61">
        <f>N117*'Item Budget'!$B$5+R117*'Item Budget'!$B$7+P117*'Item Budget'!$B$11+S117*'Item Budget'!$B$10+O117*'Item Budget'!$B$6+T117*'Item Budget'!$B$8+IFERROR(INDEX('Item Budget'!$N$25:$N$95,MATCH(V117,'Item Budget'!$B$25:$B$95,0)),0)</f>
        <v/>
      </c>
      <c r="Y117" s="61">
        <f>MAX('Item Budget'!$F$16,INDEX('Gear Budget'!$C$8:$C$14,MATCH($C117,'Gear Budget'!$A$8:$A$14,0))*MIN(M117,50))*$L117</f>
        <v/>
      </c>
      <c r="Z117" s="41">
        <f>IF($C117="Caster weapon",X117,MAX(W117,X117))/Y117</f>
        <v/>
      </c>
      <c r="AA117" s="61">
        <f>IF(OR($C117="Weapon",$C117="Caster weapon"),"",'Gear Budget'!$B$5*MAX(1,MIN(M117,50))*INDEX('Gear Budget'!$B$8:$B$14,MATCH($C117,'Gear Budget'!$A$8:$A$14,0))*IF($C117="Shield",IF(D117="Warrior",1,IF(OR(D117="Rogue",D117="All"),0.38/0.6,0.25/0.6)),IFERROR(INDEX('Gear Budget'!$B$18:$B$21,MATCH($F117,'Gear Budget'!$A$18:$A$21,0)),1)))</f>
        <v/>
      </c>
      <c r="AB117" s="41">
        <f>IF(AA117="","",P117/AA117)</f>
        <v/>
      </c>
      <c r="AC117" s="21" t="n">
        <v>1</v>
      </c>
      <c r="AD117" s="21" t="n">
        <v>0</v>
      </c>
      <c r="AE117" s="21" t="n">
        <v>0</v>
      </c>
      <c r="AF117" s="21" t="n">
        <v>4</v>
      </c>
      <c r="AG117" s="21" t="n">
        <v>0</v>
      </c>
      <c r="AH117" s="21" t="n">
        <v>0</v>
      </c>
      <c r="AI117" s="21" t="n">
        <v>2</v>
      </c>
      <c r="AJ117" s="21" t="n">
        <v>0</v>
      </c>
      <c r="AK117" s="21" t="n">
        <v>0</v>
      </c>
      <c r="AL117" s="21" t="inlineStr">
        <is>
          <t>(none)</t>
        </is>
      </c>
      <c r="AM117" s="61">
        <f>AD117*'Item Budget'!$B$5+AH117*'Item Budget'!$B$7+AF117*'Item Budget'!$B$11+AI117*'Item Budget'!$B$10+AG117*'Item Budget'!$B$9+IFERROR(INDEX('Item Budget'!$M$25:$M$95,MATCH(AL117,'Item Budget'!$B$25:$B$95,0)),0)+IF($C117="Weapon",AK117*'Item Budget'!$B$9,0)</f>
        <v/>
      </c>
      <c r="AN117" s="61">
        <f>AD117*'Item Budget'!$B$5+AH117*'Item Budget'!$B$7+AF117*'Item Budget'!$B$11+AI117*'Item Budget'!$B$10+AE117*'Item Budget'!$B$6+AJ117*'Item Budget'!$B$8+IFERROR(INDEX('Item Budget'!$N$25:$N$95,MATCH(AL117,'Item Budget'!$B$25:$B$95,0)),0)</f>
        <v/>
      </c>
      <c r="AO117" s="61">
        <f>MAX('Item Budget'!$F$16,INDEX('Gear Budget'!$C$8:$C$14,MATCH($C117,'Gear Budget'!$A$8:$A$14,0))*MIN(AC117,50))*$L117</f>
        <v/>
      </c>
      <c r="AP117" s="41">
        <f>IF($C117="Caster weapon",AN117,MAX(AM117,AN117))/AO117</f>
        <v/>
      </c>
      <c r="AQ117" s="61">
        <f>IF(OR($C117="Weapon",$C117="Caster weapon"),"",'Gear Budget'!$B$5*MAX(1,MIN(AC117,50))*INDEX('Gear Budget'!$B$8:$B$14,MATCH($C117,'Gear Budget'!$A$8:$A$14,0))*IF($C117="Shield",IF(E117="Warrior",1,IF(OR(E117="Rogue",E117="All"),0.38/0.6,0.25/0.6)),IFERROR(INDEX('Gear Budget'!$B$18:$B$21,MATCH($F117,'Gear Budget'!$A$18:$A$21,0)),1)))</f>
        <v/>
      </c>
      <c r="AR117" s="41">
        <f>IF(AQ117="","",AF117/AQ117)</f>
        <v/>
      </c>
      <c r="AS117" s="64" t="inlineStr">
        <is>
          <t>Pass 1 (applied): Token +2 DEX.</t>
        </is>
      </c>
      <c r="AT117" s="44">
        <f>IF(OR($E117="All",ISNUMBER(SEARCH("Warrior",$E117))),IF($C117="Caster weapon",(AN117+AF117*('Item Budget'!$AB$14-'Item Budget'!$B$11)),(AM117+AF117*('Item Budget'!$AB$14-'Item Budget'!$B$11))),0)</f>
        <v/>
      </c>
      <c r="AU117" s="44">
        <f>IF(OR($E117="All",ISNUMBER(SEARCH("Rogue",$E117))),IF($C117="Caster weapon",(AN117+AF117*('Item Budget'!$AB$15-'Item Budget'!$B$11)),(AM117+AF117*('Item Budget'!$AB$15-'Item Budget'!$B$11))),0)</f>
        <v/>
      </c>
      <c r="AV117" s="44">
        <f>IF(OR($E117="All",ISNUMBER(SEARCH("Magus",$E117))),(AN117+AF117*('Item Budget'!$AB$16-'Item Budget'!$B$11)),0)</f>
        <v/>
      </c>
      <c r="AW117" s="44">
        <f>IF(OR($E117="All",ISNUMBER(SEARCH("Priest",$E117))),(AN117+AF117*('Item Budget'!$AB$17-'Item Budget'!$B$11)),0)</f>
        <v/>
      </c>
      <c r="AX117" s="44">
        <f>IF(AND(OR($E117="All",ISNUMBER(SEARCH("Warrior",$E117))),AC117&gt;='Item Budget'!$R$10),'Item Budget'!$R$7*100*('Item Budget'!$R$14*(AD117+25*AH117)+'Item Budget'!$S$14*(AE117+25*AJ117))/'Item Budget'!$Z$14+'Item Budget'!$R$9*AF117+IFERROR(INDEX('Item Budget'!$O$25:$O$95,MATCH(AL117,'Item Budget'!$B$25:$B$95,0)),0),0)</f>
        <v/>
      </c>
      <c r="AY117" s="44">
        <f>IF(AND(OR($E117="All",ISNUMBER(SEARCH("Rogue",$E117))),AC117&gt;='Item Budget'!$R$10),'Item Budget'!$R$7*100*('Item Budget'!$R$15*(AD117+25*AH117)+'Item Budget'!$S$15*(AE117+25*AJ117))/'Item Budget'!$Z$15+'Item Budget'!$R$9*AF117+IFERROR(INDEX('Item Budget'!$O$25:$O$95,MATCH(AL117,'Item Budget'!$B$25:$B$95,0)),0),0)</f>
        <v/>
      </c>
      <c r="AZ117" s="44">
        <f>IF(AND(OR($E117="All",ISNUMBER(SEARCH("Magus",$E117))),AC117&gt;='Item Budget'!$R$10),'Item Budget'!$R$7*100*('Item Budget'!$R$16*(AD117+25*AH117)+'Item Budget'!$S$16*(AE117+25*AJ117))/'Item Budget'!$Z$16+'Item Budget'!$R$9*AF117+IFERROR(INDEX('Item Budget'!$O$25:$O$95,MATCH(AL117,'Item Budget'!$B$25:$B$95,0)),0),0)</f>
        <v/>
      </c>
      <c r="BA117" s="44">
        <f>IF(AND(OR($E117="All",ISNUMBER(SEARCH("Priest",$E117))),AC117&gt;='Item Budget'!$R$10),'Item Budget'!$R$7*100*('Item Budget'!$R$17*(AD117+25*AH117)+'Item Budget'!$S$17*(AE117+25*AJ117))/'Item Budget'!$Z$17+'Item Budget'!$R$9*AF117+IFERROR(INDEX('Item Budget'!$O$25:$O$95,MATCH(AL117,'Item Budget'!$B$25:$B$95,0)),0),0)</f>
        <v/>
      </c>
      <c r="BB117" s="52">
        <f>IF(OR($I117&lt;1,IF($I117&gt;=6,AX117,AT117)&lt;=0),"",IF(SUMPRODUCT(MAX(($C$5:$C$215=$C117)*($I$5:$I$215&gt;=1)*($I$5:$I$215&lt;$I117)*IF($I117&gt;=6,$AX$5:$AX$215,$AT$5:$AT$215)))&lt;=0,"",SUMPRODUCT(MAX(($C$5:$C$215=$C117)*($I$5:$I$215=$I117)*IF($I117&gt;=6,$AX$5:$AX$215,$AT$5:$AT$215)))/SUMPRODUCT(MAX(($C$5:$C$215=$C117)*($I$5:$I$215&gt;=1)*($I$5:$I$215&lt;$I117)*IF($I117&gt;=6,$AX$5:$AX$215,$AT$5:$AT$215)))-1))</f>
        <v/>
      </c>
      <c r="BC117" s="52">
        <f>IF(OR($I117&lt;1,IF($I117&gt;=6,AY117,AU117)&lt;=0),"",IF(SUMPRODUCT(MAX(($C$5:$C$215=$C117)*($I$5:$I$215&gt;=1)*($I$5:$I$215&lt;$I117)*IF($I117&gt;=6,$AY$5:$AY$215,$AU$5:$AU$215)))&lt;=0,"",SUMPRODUCT(MAX(($C$5:$C$215=$C117)*($I$5:$I$215=$I117)*IF($I117&gt;=6,$AY$5:$AY$215,$AU$5:$AU$215)))/SUMPRODUCT(MAX(($C$5:$C$215=$C117)*($I$5:$I$215&gt;=1)*($I$5:$I$215&lt;$I117)*IF($I117&gt;=6,$AY$5:$AY$215,$AU$5:$AU$215)))-1))</f>
        <v/>
      </c>
      <c r="BD117" s="52">
        <f>IF(OR($I117&lt;1,IF($I117&gt;=6,AZ117,AV117)&lt;=0),"",IF(SUMPRODUCT(MAX(($C$5:$C$215=$C117)*($I$5:$I$215&gt;=1)*($I$5:$I$215&lt;$I117)*IF($I117&gt;=6,$AZ$5:$AZ$215,$AV$5:$AV$215)))&lt;=0,"",SUMPRODUCT(MAX(($C$5:$C$215=$C117)*($I$5:$I$215=$I117)*IF($I117&gt;=6,$AZ$5:$AZ$215,$AV$5:$AV$215)))/SUMPRODUCT(MAX(($C$5:$C$215=$C117)*($I$5:$I$215&gt;=1)*($I$5:$I$215&lt;$I117)*IF($I117&gt;=6,$AZ$5:$AZ$215,$AV$5:$AV$215)))-1))</f>
        <v/>
      </c>
      <c r="BE117" s="52">
        <f>IF(OR($I117&lt;1,IF($I117&gt;=6,BA117,AW117)&lt;=0),"",IF(SUMPRODUCT(MAX(($C$5:$C$215=$C117)*($I$5:$I$215&gt;=1)*($I$5:$I$215&lt;$I117)*IF($I117&gt;=6,$BA$5:$BA$215,$AW$5:$AW$215)))&lt;=0,"",SUMPRODUCT(MAX(($C$5:$C$215=$C117)*($I$5:$I$215=$I117)*IF($I117&gt;=6,$BA$5:$BA$215,$AW$5:$AW$215)))/SUMPRODUCT(MAX(($C$5:$C$215=$C117)*($I$5:$I$215&gt;=1)*($I$5:$I$215&lt;$I117)*IF($I117&gt;=6,$BA$5:$BA$215,$AW$5:$AW$215)))-1))</f>
        <v/>
      </c>
      <c r="BF117" s="19">
        <f>IF(AND(BB117="",BC117="",BD117="",BE117=""),"",IF(IF(AND(ISNUMBER(BB117),BB117&lt;'Item Budget'!$R$11),"W ","")&amp;IF(AND(ISNUMBER(BC117),BC117&lt;'Item Budget'!$R$11),"R ","")&amp;IF(AND(ISNUMBER(BD117),BD117&lt;'Item Budget'!$R$11),"M ","")&amp;IF(AND(ISNUMBER(BE117),BE117&lt;'Item Budget'!$R$11),"P ","")="","OK","Not above lower step: "&amp;IF(AND(ISNUMBER(BB117),BB117&lt;'Item Budget'!$R$11),"W ","")&amp;IF(AND(ISNUMBER(BC117),BC117&lt;'Item Budget'!$R$11),"R ","")&amp;IF(AND(ISNUMBER(BD117),BD117&lt;'Item Budget'!$R$11),"M ","")&amp;IF(AND(ISNUMBER(BE117),BE117&lt;'Item Budget'!$R$11),"P ","")))</f>
        <v/>
      </c>
    </row>
    <row r="118">
      <c r="A118" s="21" t="n">
        <v>644</v>
      </c>
      <c r="B118" s="21" t="inlineStr">
        <is>
          <t>Dusty Shoes</t>
        </is>
      </c>
      <c r="C118" s="21" t="inlineStr">
        <is>
          <t>Shoes</t>
        </is>
      </c>
      <c r="D118" s="21" t="inlineStr">
        <is>
          <t>All</t>
        </is>
      </c>
      <c r="E118" s="21" t="inlineStr">
        <is>
          <t>All</t>
        </is>
      </c>
      <c r="F118" s="21" t="inlineStr">
        <is>
          <t>All classes</t>
        </is>
      </c>
      <c r="G118" s="21" t="inlineStr">
        <is>
          <t>quest</t>
        </is>
      </c>
      <c r="H118" s="37" t="n">
        <v>0</v>
      </c>
      <c r="I118" s="21" t="n">
        <v>0</v>
      </c>
      <c r="J118" s="19" t="inlineStr">
        <is>
          <t>Leave</t>
        </is>
      </c>
      <c r="K118" s="21" t="inlineStr">
        <is>
          <t>Common drop</t>
        </is>
      </c>
      <c r="L118" s="31">
        <f>INDEX('Item Budget'!$F$5:$F$13,MATCH(K118,'Item Budget'!$E$5:$E$13,0))+IF(E118="All",0,'Item Budget'!$F$15)+LOOKUP(H118,'Item Budget'!$E$19:$E$23,'Item Budget'!$F$19:$F$23)</f>
        <v/>
      </c>
      <c r="M118" s="21" t="n">
        <v>1</v>
      </c>
      <c r="N118" s="21" t="n">
        <v>0</v>
      </c>
      <c r="O118" s="21" t="n">
        <v>0</v>
      </c>
      <c r="P118" s="21" t="n">
        <v>2</v>
      </c>
      <c r="Q118" s="21" t="n">
        <v>0</v>
      </c>
      <c r="R118" s="21" t="n">
        <v>0</v>
      </c>
      <c r="S118" s="21" t="n">
        <v>0</v>
      </c>
      <c r="T118" s="21" t="n">
        <v>0</v>
      </c>
      <c r="U118" s="21" t="n">
        <v>0</v>
      </c>
      <c r="V118" s="21" t="inlineStr">
        <is>
          <t>(none)</t>
        </is>
      </c>
      <c r="W118" s="61">
        <f>N118*'Item Budget'!$B$5+R118*'Item Budget'!$B$7+P118*'Item Budget'!$B$11+S118*'Item Budget'!$B$10+Q118*'Item Budget'!$B$9+IFERROR(INDEX('Item Budget'!$M$25:$M$95,MATCH(V118,'Item Budget'!$B$25:$B$95,0)),0)+IF($C118="Weapon",U118*'Item Budget'!$B$9,0)</f>
        <v/>
      </c>
      <c r="X118" s="61">
        <f>N118*'Item Budget'!$B$5+R118*'Item Budget'!$B$7+P118*'Item Budget'!$B$11+S118*'Item Budget'!$B$10+O118*'Item Budget'!$B$6+T118*'Item Budget'!$B$8+IFERROR(INDEX('Item Budget'!$N$25:$N$95,MATCH(V118,'Item Budget'!$B$25:$B$95,0)),0)</f>
        <v/>
      </c>
      <c r="Y118" s="61">
        <f>MAX('Item Budget'!$F$16,INDEX('Gear Budget'!$C$8:$C$14,MATCH($C118,'Gear Budget'!$A$8:$A$14,0))*MIN(M118,50))*$L118</f>
        <v/>
      </c>
      <c r="Z118" s="41">
        <f>IF($C118="Caster weapon",X118,MAX(W118,X118))/Y118</f>
        <v/>
      </c>
      <c r="AA118" s="61">
        <f>IF(OR($C118="Weapon",$C118="Caster weapon"),"",'Gear Budget'!$B$5*MAX(1,MIN(M118,50))*INDEX('Gear Budget'!$B$8:$B$14,MATCH($C118,'Gear Budget'!$A$8:$A$14,0))*IF($C118="Shield",IF(D118="Warrior",1,IF(OR(D118="Rogue",D118="All"),0.38/0.6,0.25/0.6)),IFERROR(INDEX('Gear Budget'!$B$18:$B$21,MATCH($F118,'Gear Budget'!$A$18:$A$21,0)),1)))</f>
        <v/>
      </c>
      <c r="AB118" s="41">
        <f>IF(AA118="","",P118/AA118)</f>
        <v/>
      </c>
      <c r="AC118" s="21" t="n">
        <v>1</v>
      </c>
      <c r="AD118" s="21" t="n">
        <v>0</v>
      </c>
      <c r="AE118" s="21" t="n">
        <v>0</v>
      </c>
      <c r="AF118" s="21" t="n">
        <v>2</v>
      </c>
      <c r="AG118" s="21" t="n">
        <v>0</v>
      </c>
      <c r="AH118" s="21" t="n">
        <v>0</v>
      </c>
      <c r="AI118" s="21" t="n">
        <v>0</v>
      </c>
      <c r="AJ118" s="21" t="n">
        <v>0</v>
      </c>
      <c r="AK118" s="21" t="n">
        <v>0</v>
      </c>
      <c r="AL118" s="21" t="inlineStr">
        <is>
          <t>(none)</t>
        </is>
      </c>
      <c r="AM118" s="61">
        <f>AD118*'Item Budget'!$B$5+AH118*'Item Budget'!$B$7+AF118*'Item Budget'!$B$11+AI118*'Item Budget'!$B$10+AG118*'Item Budget'!$B$9+IFERROR(INDEX('Item Budget'!$M$25:$M$95,MATCH(AL118,'Item Budget'!$B$25:$B$95,0)),0)+IF($C118="Weapon",AK118*'Item Budget'!$B$9,0)</f>
        <v/>
      </c>
      <c r="AN118" s="61">
        <f>AD118*'Item Budget'!$B$5+AH118*'Item Budget'!$B$7+AF118*'Item Budget'!$B$11+AI118*'Item Budget'!$B$10+AE118*'Item Budget'!$B$6+AJ118*'Item Budget'!$B$8+IFERROR(INDEX('Item Budget'!$N$25:$N$95,MATCH(AL118,'Item Budget'!$B$25:$B$95,0)),0)</f>
        <v/>
      </c>
      <c r="AO118" s="61">
        <f>MAX('Item Budget'!$F$16,INDEX('Gear Budget'!$C$8:$C$14,MATCH($C118,'Gear Budget'!$A$8:$A$14,0))*MIN(AC118,50))*$L118</f>
        <v/>
      </c>
      <c r="AP118" s="41">
        <f>IF($C118="Caster weapon",AN118,MAX(AM118,AN118))/AO118</f>
        <v/>
      </c>
      <c r="AQ118" s="61">
        <f>IF(OR($C118="Weapon",$C118="Caster weapon"),"",'Gear Budget'!$B$5*MAX(1,MIN(AC118,50))*INDEX('Gear Budget'!$B$8:$B$14,MATCH($C118,'Gear Budget'!$A$8:$A$14,0))*IF($C118="Shield",IF(E118="Warrior",1,IF(OR(E118="Rogue",E118="All"),0.38/0.6,0.25/0.6)),IFERROR(INDEX('Gear Budget'!$B$18:$B$21,MATCH($F118,'Gear Budget'!$A$18:$A$21,0)),1)))</f>
        <v/>
      </c>
      <c r="AR118" s="41">
        <f>IF(AQ118="","",AF118/AQ118)</f>
        <v/>
      </c>
      <c r="AS118" s="64" t="inlineStr">
        <is>
          <t>Pass 1 (applied): Quest starter shoes.</t>
        </is>
      </c>
      <c r="AT118" s="44">
        <f>IF(OR($E118="All",ISNUMBER(SEARCH("Warrior",$E118))),IF($C118="Caster weapon",(AN118+AF118*('Item Budget'!$AB$14-'Item Budget'!$B$11)),(AM118+AF118*('Item Budget'!$AB$14-'Item Budget'!$B$11))),0)</f>
        <v/>
      </c>
      <c r="AU118" s="44">
        <f>IF(OR($E118="All",ISNUMBER(SEARCH("Rogue",$E118))),IF($C118="Caster weapon",(AN118+AF118*('Item Budget'!$AB$15-'Item Budget'!$B$11)),(AM118+AF118*('Item Budget'!$AB$15-'Item Budget'!$B$11))),0)</f>
        <v/>
      </c>
      <c r="AV118" s="44">
        <f>IF(OR($E118="All",ISNUMBER(SEARCH("Magus",$E118))),(AN118+AF118*('Item Budget'!$AB$16-'Item Budget'!$B$11)),0)</f>
        <v/>
      </c>
      <c r="AW118" s="44">
        <f>IF(OR($E118="All",ISNUMBER(SEARCH("Priest",$E118))),(AN118+AF118*('Item Budget'!$AB$17-'Item Budget'!$B$11)),0)</f>
        <v/>
      </c>
      <c r="AX118" s="44">
        <f>IF(AND(OR($E118="All",ISNUMBER(SEARCH("Warrior",$E118))),AC118&gt;='Item Budget'!$R$10),'Item Budget'!$R$7*100*('Item Budget'!$R$14*(AD118+25*AH118)+'Item Budget'!$S$14*(AE118+25*AJ118))/'Item Budget'!$Z$14+'Item Budget'!$R$9*AF118+IFERROR(INDEX('Item Budget'!$O$25:$O$95,MATCH(AL118,'Item Budget'!$B$25:$B$95,0)),0),0)</f>
        <v/>
      </c>
      <c r="AY118" s="44">
        <f>IF(AND(OR($E118="All",ISNUMBER(SEARCH("Rogue",$E118))),AC118&gt;='Item Budget'!$R$10),'Item Budget'!$R$7*100*('Item Budget'!$R$15*(AD118+25*AH118)+'Item Budget'!$S$15*(AE118+25*AJ118))/'Item Budget'!$Z$15+'Item Budget'!$R$9*AF118+IFERROR(INDEX('Item Budget'!$O$25:$O$95,MATCH(AL118,'Item Budget'!$B$25:$B$95,0)),0),0)</f>
        <v/>
      </c>
      <c r="AZ118" s="44">
        <f>IF(AND(OR($E118="All",ISNUMBER(SEARCH("Magus",$E118))),AC118&gt;='Item Budget'!$R$10),'Item Budget'!$R$7*100*('Item Budget'!$R$16*(AD118+25*AH118)+'Item Budget'!$S$16*(AE118+25*AJ118))/'Item Budget'!$Z$16+'Item Budget'!$R$9*AF118+IFERROR(INDEX('Item Budget'!$O$25:$O$95,MATCH(AL118,'Item Budget'!$B$25:$B$95,0)),0),0)</f>
        <v/>
      </c>
      <c r="BA118" s="44">
        <f>IF(AND(OR($E118="All",ISNUMBER(SEARCH("Priest",$E118))),AC118&gt;='Item Budget'!$R$10),'Item Budget'!$R$7*100*('Item Budget'!$R$17*(AD118+25*AH118)+'Item Budget'!$S$17*(AE118+25*AJ118))/'Item Budget'!$Z$17+'Item Budget'!$R$9*AF118+IFERROR(INDEX('Item Budget'!$O$25:$O$95,MATCH(AL118,'Item Budget'!$B$25:$B$95,0)),0),0)</f>
        <v/>
      </c>
      <c r="BB118" s="52">
        <f>IF(OR($I118&lt;1,IF($I118&gt;=6,AX118,AT118)&lt;=0),"",IF(SUMPRODUCT(MAX(($C$5:$C$215=$C118)*($I$5:$I$215&gt;=1)*($I$5:$I$215&lt;$I118)*IF($I118&gt;=6,$AX$5:$AX$215,$AT$5:$AT$215)))&lt;=0,"",SUMPRODUCT(MAX(($C$5:$C$215=$C118)*($I$5:$I$215=$I118)*IF($I118&gt;=6,$AX$5:$AX$215,$AT$5:$AT$215)))/SUMPRODUCT(MAX(($C$5:$C$215=$C118)*($I$5:$I$215&gt;=1)*($I$5:$I$215&lt;$I118)*IF($I118&gt;=6,$AX$5:$AX$215,$AT$5:$AT$215)))-1))</f>
        <v/>
      </c>
      <c r="BC118" s="52">
        <f>IF(OR($I118&lt;1,IF($I118&gt;=6,AY118,AU118)&lt;=0),"",IF(SUMPRODUCT(MAX(($C$5:$C$215=$C118)*($I$5:$I$215&gt;=1)*($I$5:$I$215&lt;$I118)*IF($I118&gt;=6,$AY$5:$AY$215,$AU$5:$AU$215)))&lt;=0,"",SUMPRODUCT(MAX(($C$5:$C$215=$C118)*($I$5:$I$215=$I118)*IF($I118&gt;=6,$AY$5:$AY$215,$AU$5:$AU$215)))/SUMPRODUCT(MAX(($C$5:$C$215=$C118)*($I$5:$I$215&gt;=1)*($I$5:$I$215&lt;$I118)*IF($I118&gt;=6,$AY$5:$AY$215,$AU$5:$AU$215)))-1))</f>
        <v/>
      </c>
      <c r="BD118" s="52">
        <f>IF(OR($I118&lt;1,IF($I118&gt;=6,AZ118,AV118)&lt;=0),"",IF(SUMPRODUCT(MAX(($C$5:$C$215=$C118)*($I$5:$I$215&gt;=1)*($I$5:$I$215&lt;$I118)*IF($I118&gt;=6,$AZ$5:$AZ$215,$AV$5:$AV$215)))&lt;=0,"",SUMPRODUCT(MAX(($C$5:$C$215=$C118)*($I$5:$I$215=$I118)*IF($I118&gt;=6,$AZ$5:$AZ$215,$AV$5:$AV$215)))/SUMPRODUCT(MAX(($C$5:$C$215=$C118)*($I$5:$I$215&gt;=1)*($I$5:$I$215&lt;$I118)*IF($I118&gt;=6,$AZ$5:$AZ$215,$AV$5:$AV$215)))-1))</f>
        <v/>
      </c>
      <c r="BE118" s="52">
        <f>IF(OR($I118&lt;1,IF($I118&gt;=6,BA118,AW118)&lt;=0),"",IF(SUMPRODUCT(MAX(($C$5:$C$215=$C118)*($I$5:$I$215&gt;=1)*($I$5:$I$215&lt;$I118)*IF($I118&gt;=6,$BA$5:$BA$215,$AW$5:$AW$215)))&lt;=0,"",SUMPRODUCT(MAX(($C$5:$C$215=$C118)*($I$5:$I$215=$I118)*IF($I118&gt;=6,$BA$5:$BA$215,$AW$5:$AW$215)))/SUMPRODUCT(MAX(($C$5:$C$215=$C118)*($I$5:$I$215&gt;=1)*($I$5:$I$215&lt;$I118)*IF($I118&gt;=6,$BA$5:$BA$215,$AW$5:$AW$215)))-1))</f>
        <v/>
      </c>
      <c r="BF118" s="19">
        <f>IF(AND(BB118="",BC118="",BD118="",BE118=""),"",IF(IF(AND(ISNUMBER(BB118),BB118&lt;'Item Budget'!$R$11),"W ","")&amp;IF(AND(ISNUMBER(BC118),BC118&lt;'Item Budget'!$R$11),"R ","")&amp;IF(AND(ISNUMBER(BD118),BD118&lt;'Item Budget'!$R$11),"M ","")&amp;IF(AND(ISNUMBER(BE118),BE118&lt;'Item Budget'!$R$11),"P ","")="","OK","Not above lower step: "&amp;IF(AND(ISNUMBER(BB118),BB118&lt;'Item Budget'!$R$11),"W ","")&amp;IF(AND(ISNUMBER(BC118),BC118&lt;'Item Budget'!$R$11),"R ","")&amp;IF(AND(ISNUMBER(BD118),BD118&lt;'Item Budget'!$R$11),"M ","")&amp;IF(AND(ISNUMBER(BE118),BE118&lt;'Item Budget'!$R$11),"P ","")))</f>
        <v/>
      </c>
    </row>
    <row r="119">
      <c r="A119" s="21" t="n">
        <v>129</v>
      </c>
      <c r="B119" s="21" t="inlineStr">
        <is>
          <t>Leather Boots</t>
        </is>
      </c>
      <c r="C119" s="21" t="inlineStr">
        <is>
          <t>Shoes</t>
        </is>
      </c>
      <c r="D119" s="21" t="inlineStr">
        <is>
          <t>All</t>
        </is>
      </c>
      <c r="E119" s="21" t="inlineStr">
        <is>
          <t>All</t>
        </is>
      </c>
      <c r="F119" s="21" t="inlineStr">
        <is>
          <t>Warrior plate</t>
        </is>
      </c>
      <c r="G119" s="21" t="inlineStr">
        <is>
          <t>vendor: Leather Armor Guy</t>
        </is>
      </c>
      <c r="H119" s="37" t="n">
        <v>0</v>
      </c>
      <c r="I119" s="21" t="n">
        <v>0</v>
      </c>
      <c r="J119" s="3" t="inlineStr">
        <is>
          <t>Applied</t>
        </is>
      </c>
      <c r="K119" s="21" t="inlineStr">
        <is>
          <t>Vendor</t>
        </is>
      </c>
      <c r="L119" s="31">
        <f>INDEX('Item Budget'!$F$5:$F$13,MATCH(K119,'Item Budget'!$E$5:$E$13,0))+IF(E119="All",0,'Item Budget'!$F$15)+LOOKUP(H119,'Item Budget'!$E$19:$E$23,'Item Budget'!$F$19:$F$23)</f>
        <v/>
      </c>
      <c r="M119" s="21" t="n">
        <v>10</v>
      </c>
      <c r="N119" s="21" t="n">
        <v>0</v>
      </c>
      <c r="O119" s="21" t="n">
        <v>10</v>
      </c>
      <c r="P119" s="21" t="n">
        <v>10</v>
      </c>
      <c r="Q119" s="21" t="n">
        <v>0</v>
      </c>
      <c r="R119" s="21" t="n">
        <v>2</v>
      </c>
      <c r="S119" s="21" t="n">
        <v>5</v>
      </c>
      <c r="T119" s="21" t="n">
        <v>0</v>
      </c>
      <c r="U119" s="21" t="n">
        <v>0</v>
      </c>
      <c r="V119" s="21" t="inlineStr">
        <is>
          <t>(none)</t>
        </is>
      </c>
      <c r="W119" s="61">
        <f>N119*'Item Budget'!$B$5+R119*'Item Budget'!$B$7+P119*'Item Budget'!$B$11+S119*'Item Budget'!$B$10+Q119*'Item Budget'!$B$9+IFERROR(INDEX('Item Budget'!$M$25:$M$95,MATCH(V119,'Item Budget'!$B$25:$B$95,0)),0)+IF($C119="Weapon",U119*'Item Budget'!$B$9,0)</f>
        <v/>
      </c>
      <c r="X119" s="61">
        <f>N119*'Item Budget'!$B$5+R119*'Item Budget'!$B$7+P119*'Item Budget'!$B$11+S119*'Item Budget'!$B$10+O119*'Item Budget'!$B$6+T119*'Item Budget'!$B$8+IFERROR(INDEX('Item Budget'!$N$25:$N$95,MATCH(V119,'Item Budget'!$B$25:$B$95,0)),0)</f>
        <v/>
      </c>
      <c r="Y119" s="61">
        <f>MAX('Item Budget'!$F$16,INDEX('Gear Budget'!$C$8:$C$14,MATCH($C119,'Gear Budget'!$A$8:$A$14,0))*MIN(M119,50))*$L119</f>
        <v/>
      </c>
      <c r="Z119" s="41">
        <f>IF($C119="Caster weapon",X119,MAX(W119,X119))/Y119</f>
        <v/>
      </c>
      <c r="AA119" s="61">
        <f>IF(OR($C119="Weapon",$C119="Caster weapon"),"",'Gear Budget'!$B$5*MAX(1,MIN(M119,50))*INDEX('Gear Budget'!$B$8:$B$14,MATCH($C119,'Gear Budget'!$A$8:$A$14,0))*IF($C119="Shield",IF(D119="Warrior",1,IF(OR(D119="Rogue",D119="All"),0.38/0.6,0.25/0.6)),IFERROR(INDEX('Gear Budget'!$B$18:$B$21,MATCH($F119,'Gear Budget'!$A$18:$A$21,0)),1)))</f>
        <v/>
      </c>
      <c r="AB119" s="41">
        <f>IF(AA119="","",P119/AA119)</f>
        <v/>
      </c>
      <c r="AC119" s="21" t="n">
        <v>10</v>
      </c>
      <c r="AD119" s="21" t="n">
        <v>0</v>
      </c>
      <c r="AE119" s="21" t="n">
        <v>10</v>
      </c>
      <c r="AF119" s="21" t="n">
        <v>10</v>
      </c>
      <c r="AG119" s="21" t="n">
        <v>0</v>
      </c>
      <c r="AH119" s="21" t="n">
        <v>2</v>
      </c>
      <c r="AI119" s="21" t="n">
        <v>5</v>
      </c>
      <c r="AJ119" s="21" t="n">
        <v>0</v>
      </c>
      <c r="AK119" s="21" t="n">
        <v>0</v>
      </c>
      <c r="AL119" s="21" t="inlineStr">
        <is>
          <t>(none)</t>
        </is>
      </c>
      <c r="AM119" s="61">
        <f>AD119*'Item Budget'!$B$5+AH119*'Item Budget'!$B$7+AF119*'Item Budget'!$B$11+AI119*'Item Budget'!$B$10+AG119*'Item Budget'!$B$9+IFERROR(INDEX('Item Budget'!$M$25:$M$95,MATCH(AL119,'Item Budget'!$B$25:$B$95,0)),0)+IF($C119="Weapon",AK119*'Item Budget'!$B$9,0)</f>
        <v/>
      </c>
      <c r="AN119" s="61">
        <f>AD119*'Item Budget'!$B$5+AH119*'Item Budget'!$B$7+AF119*'Item Budget'!$B$11+AI119*'Item Budget'!$B$10+AE119*'Item Budget'!$B$6+AJ119*'Item Budget'!$B$8+IFERROR(INDEX('Item Budget'!$N$25:$N$95,MATCH(AL119,'Item Budget'!$B$25:$B$95,0)),0)</f>
        <v/>
      </c>
      <c r="AO119" s="61">
        <f>MAX('Item Budget'!$F$16,INDEX('Gear Budget'!$C$8:$C$14,MATCH($C119,'Gear Budget'!$A$8:$A$14,0))*MIN(AC119,50))*$L119</f>
        <v/>
      </c>
      <c r="AP119" s="41">
        <f>IF($C119="Caster weapon",AN119,MAX(AM119,AN119))/AO119</f>
        <v/>
      </c>
      <c r="AQ119" s="61">
        <f>IF(OR($C119="Weapon",$C119="Caster weapon"),"",'Gear Budget'!$B$5*MAX(1,MIN(AC119,50))*INDEX('Gear Budget'!$B$8:$B$14,MATCH($C119,'Gear Budget'!$A$8:$A$14,0))*IF($C119="Shield",IF(E119="Warrior",1,IF(OR(E119="Rogue",E119="All"),0.38/0.6,0.25/0.6)),IFERROR(INDEX('Gear Budget'!$B$18:$B$21,MATCH($F119,'Gear Budget'!$A$18:$A$21,0)),1)))</f>
        <v/>
      </c>
      <c r="AR119" s="41">
        <f>IF(AQ119="","",AF119/AQ119)</f>
        <v/>
      </c>
      <c r="AS119" s="64" t="inlineStr">
        <is>
          <t>Pass 1 (applied): All classes. Token STA/DEX.</t>
        </is>
      </c>
      <c r="AT119" s="44">
        <f>IF(OR($E119="All",ISNUMBER(SEARCH("Warrior",$E119))),IF($C119="Caster weapon",(AN119+AF119*('Item Budget'!$AB$14-'Item Budget'!$B$11)),(AM119+AF119*('Item Budget'!$AB$14-'Item Budget'!$B$11))),0)</f>
        <v/>
      </c>
      <c r="AU119" s="44">
        <f>IF(OR($E119="All",ISNUMBER(SEARCH("Rogue",$E119))),IF($C119="Caster weapon",(AN119+AF119*('Item Budget'!$AB$15-'Item Budget'!$B$11)),(AM119+AF119*('Item Budget'!$AB$15-'Item Budget'!$B$11))),0)</f>
        <v/>
      </c>
      <c r="AV119" s="44">
        <f>IF(OR($E119="All",ISNUMBER(SEARCH("Magus",$E119))),(AN119+AF119*('Item Budget'!$AB$16-'Item Budget'!$B$11)),0)</f>
        <v/>
      </c>
      <c r="AW119" s="44">
        <f>IF(OR($E119="All",ISNUMBER(SEARCH("Priest",$E119))),(AN119+AF119*('Item Budget'!$AB$17-'Item Budget'!$B$11)),0)</f>
        <v/>
      </c>
      <c r="AX119" s="44">
        <f>IF(AND(OR($E119="All",ISNUMBER(SEARCH("Warrior",$E119))),AC119&gt;='Item Budget'!$R$10),'Item Budget'!$R$7*100*('Item Budget'!$R$14*(AD119+25*AH119)+'Item Budget'!$S$14*(AE119+25*AJ119))/'Item Budget'!$Z$14+'Item Budget'!$R$9*AF119+IFERROR(INDEX('Item Budget'!$O$25:$O$95,MATCH(AL119,'Item Budget'!$B$25:$B$95,0)),0),0)</f>
        <v/>
      </c>
      <c r="AY119" s="44">
        <f>IF(AND(OR($E119="All",ISNUMBER(SEARCH("Rogue",$E119))),AC119&gt;='Item Budget'!$R$10),'Item Budget'!$R$7*100*('Item Budget'!$R$15*(AD119+25*AH119)+'Item Budget'!$S$15*(AE119+25*AJ119))/'Item Budget'!$Z$15+'Item Budget'!$R$9*AF119+IFERROR(INDEX('Item Budget'!$O$25:$O$95,MATCH(AL119,'Item Budget'!$B$25:$B$95,0)),0),0)</f>
        <v/>
      </c>
      <c r="AZ119" s="44">
        <f>IF(AND(OR($E119="All",ISNUMBER(SEARCH("Magus",$E119))),AC119&gt;='Item Budget'!$R$10),'Item Budget'!$R$7*100*('Item Budget'!$R$16*(AD119+25*AH119)+'Item Budget'!$S$16*(AE119+25*AJ119))/'Item Budget'!$Z$16+'Item Budget'!$R$9*AF119+IFERROR(INDEX('Item Budget'!$O$25:$O$95,MATCH(AL119,'Item Budget'!$B$25:$B$95,0)),0),0)</f>
        <v/>
      </c>
      <c r="BA119" s="44">
        <f>IF(AND(OR($E119="All",ISNUMBER(SEARCH("Priest",$E119))),AC119&gt;='Item Budget'!$R$10),'Item Budget'!$R$7*100*('Item Budget'!$R$17*(AD119+25*AH119)+'Item Budget'!$S$17*(AE119+25*AJ119))/'Item Budget'!$Z$17+'Item Budget'!$R$9*AF119+IFERROR(INDEX('Item Budget'!$O$25:$O$95,MATCH(AL119,'Item Budget'!$B$25:$B$95,0)),0),0)</f>
        <v/>
      </c>
      <c r="BB119" s="52">
        <f>IF(OR($I119&lt;1,IF($I119&gt;=6,AX119,AT119)&lt;=0),"",IF(SUMPRODUCT(MAX(($C$5:$C$215=$C119)*($I$5:$I$215&gt;=1)*($I$5:$I$215&lt;$I119)*IF($I119&gt;=6,$AX$5:$AX$215,$AT$5:$AT$215)))&lt;=0,"",SUMPRODUCT(MAX(($C$5:$C$215=$C119)*($I$5:$I$215=$I119)*IF($I119&gt;=6,$AX$5:$AX$215,$AT$5:$AT$215)))/SUMPRODUCT(MAX(($C$5:$C$215=$C119)*($I$5:$I$215&gt;=1)*($I$5:$I$215&lt;$I119)*IF($I119&gt;=6,$AX$5:$AX$215,$AT$5:$AT$215)))-1))</f>
        <v/>
      </c>
      <c r="BC119" s="52">
        <f>IF(OR($I119&lt;1,IF($I119&gt;=6,AY119,AU119)&lt;=0),"",IF(SUMPRODUCT(MAX(($C$5:$C$215=$C119)*($I$5:$I$215&gt;=1)*($I$5:$I$215&lt;$I119)*IF($I119&gt;=6,$AY$5:$AY$215,$AU$5:$AU$215)))&lt;=0,"",SUMPRODUCT(MAX(($C$5:$C$215=$C119)*($I$5:$I$215=$I119)*IF($I119&gt;=6,$AY$5:$AY$215,$AU$5:$AU$215)))/SUMPRODUCT(MAX(($C$5:$C$215=$C119)*($I$5:$I$215&gt;=1)*($I$5:$I$215&lt;$I119)*IF($I119&gt;=6,$AY$5:$AY$215,$AU$5:$AU$215)))-1))</f>
        <v/>
      </c>
      <c r="BD119" s="52">
        <f>IF(OR($I119&lt;1,IF($I119&gt;=6,AZ119,AV119)&lt;=0),"",IF(SUMPRODUCT(MAX(($C$5:$C$215=$C119)*($I$5:$I$215&gt;=1)*($I$5:$I$215&lt;$I119)*IF($I119&gt;=6,$AZ$5:$AZ$215,$AV$5:$AV$215)))&lt;=0,"",SUMPRODUCT(MAX(($C$5:$C$215=$C119)*($I$5:$I$215=$I119)*IF($I119&gt;=6,$AZ$5:$AZ$215,$AV$5:$AV$215)))/SUMPRODUCT(MAX(($C$5:$C$215=$C119)*($I$5:$I$215&gt;=1)*($I$5:$I$215&lt;$I119)*IF($I119&gt;=6,$AZ$5:$AZ$215,$AV$5:$AV$215)))-1))</f>
        <v/>
      </c>
      <c r="BE119" s="52">
        <f>IF(OR($I119&lt;1,IF($I119&gt;=6,BA119,AW119)&lt;=0),"",IF(SUMPRODUCT(MAX(($C$5:$C$215=$C119)*($I$5:$I$215&gt;=1)*($I$5:$I$215&lt;$I119)*IF($I119&gt;=6,$BA$5:$BA$215,$AW$5:$AW$215)))&lt;=0,"",SUMPRODUCT(MAX(($C$5:$C$215=$C119)*($I$5:$I$215=$I119)*IF($I119&gt;=6,$BA$5:$BA$215,$AW$5:$AW$215)))/SUMPRODUCT(MAX(($C$5:$C$215=$C119)*($I$5:$I$215&gt;=1)*($I$5:$I$215&lt;$I119)*IF($I119&gt;=6,$BA$5:$BA$215,$AW$5:$AW$215)))-1))</f>
        <v/>
      </c>
      <c r="BF119" s="19">
        <f>IF(AND(BB119="",BC119="",BD119="",BE119=""),"",IF(IF(AND(ISNUMBER(BB119),BB119&lt;'Item Budget'!$R$11),"W ","")&amp;IF(AND(ISNUMBER(BC119),BC119&lt;'Item Budget'!$R$11),"R ","")&amp;IF(AND(ISNUMBER(BD119),BD119&lt;'Item Budget'!$R$11),"M ","")&amp;IF(AND(ISNUMBER(BE119),BE119&lt;'Item Budget'!$R$11),"P ","")="","OK","Not above lower step: "&amp;IF(AND(ISNUMBER(BB119),BB119&lt;'Item Budget'!$R$11),"W ","")&amp;IF(AND(ISNUMBER(BC119),BC119&lt;'Item Budget'!$R$11),"R ","")&amp;IF(AND(ISNUMBER(BD119),BD119&lt;'Item Budget'!$R$11),"M ","")&amp;IF(AND(ISNUMBER(BE119),BE119&lt;'Item Budget'!$R$11),"P ","")))</f>
        <v/>
      </c>
    </row>
    <row r="120">
      <c r="A120" s="21" t="n">
        <v>132</v>
      </c>
      <c r="B120" s="21" t="inlineStr">
        <is>
          <t>Slippers of the Poo Flinger</t>
        </is>
      </c>
      <c r="C120" s="21" t="inlineStr">
        <is>
          <t>Shoes</t>
        </is>
      </c>
      <c r="D120" s="21" t="inlineStr">
        <is>
          <t>All</t>
        </is>
      </c>
      <c r="E120" s="21" t="inlineStr">
        <is>
          <t>All</t>
        </is>
      </c>
      <c r="F120" s="21" t="inlineStr">
        <is>
          <t>All classes</t>
        </is>
      </c>
      <c r="G120" s="21" t="inlineStr">
        <is>
          <t>drop: Frantic Monkey 8%</t>
        </is>
      </c>
      <c r="H120" s="37" t="n">
        <v>0</v>
      </c>
      <c r="I120" s="21" t="n">
        <v>0</v>
      </c>
      <c r="J120" s="19" t="inlineStr">
        <is>
          <t>Leave</t>
        </is>
      </c>
      <c r="K120" s="21" t="inlineStr">
        <is>
          <t>Rare boss drop</t>
        </is>
      </c>
      <c r="L120" s="31">
        <f>INDEX('Item Budget'!$F$5:$F$13,MATCH(K120,'Item Budget'!$E$5:$E$13,0))+IF(E120="All",0,'Item Budget'!$F$15)+LOOKUP(H120,'Item Budget'!$E$19:$E$23,'Item Budget'!$F$19:$F$23)</f>
        <v/>
      </c>
      <c r="M120" s="21" t="n">
        <v>15</v>
      </c>
      <c r="N120" s="21" t="n">
        <v>50</v>
      </c>
      <c r="O120" s="21" t="n">
        <v>25</v>
      </c>
      <c r="P120" s="21" t="n">
        <v>18</v>
      </c>
      <c r="Q120" s="21" t="n">
        <v>5</v>
      </c>
      <c r="R120" s="21" t="n">
        <v>10</v>
      </c>
      <c r="S120" s="21" t="n">
        <v>10</v>
      </c>
      <c r="T120" s="21" t="n">
        <v>5</v>
      </c>
      <c r="U120" s="21" t="n">
        <v>0</v>
      </c>
      <c r="V120" s="21" t="inlineStr">
        <is>
          <t>(none)</t>
        </is>
      </c>
      <c r="W120" s="61">
        <f>N120*'Item Budget'!$B$5+R120*'Item Budget'!$B$7+P120*'Item Budget'!$B$11+S120*'Item Budget'!$B$10+Q120*'Item Budget'!$B$9+IFERROR(INDEX('Item Budget'!$M$25:$M$95,MATCH(V120,'Item Budget'!$B$25:$B$95,0)),0)+IF($C120="Weapon",U120*'Item Budget'!$B$9,0)</f>
        <v/>
      </c>
      <c r="X120" s="61">
        <f>N120*'Item Budget'!$B$5+R120*'Item Budget'!$B$7+P120*'Item Budget'!$B$11+S120*'Item Budget'!$B$10+O120*'Item Budget'!$B$6+T120*'Item Budget'!$B$8+IFERROR(INDEX('Item Budget'!$N$25:$N$95,MATCH(V120,'Item Budget'!$B$25:$B$95,0)),0)</f>
        <v/>
      </c>
      <c r="Y120" s="61">
        <f>MAX('Item Budget'!$F$16,INDEX('Gear Budget'!$C$8:$C$14,MATCH($C120,'Gear Budget'!$A$8:$A$14,0))*MIN(M120,50))*$L120</f>
        <v/>
      </c>
      <c r="Z120" s="41">
        <f>IF($C120="Caster weapon",X120,MAX(W120,X120))/Y120</f>
        <v/>
      </c>
      <c r="AA120" s="61">
        <f>IF(OR($C120="Weapon",$C120="Caster weapon"),"",'Gear Budget'!$B$5*MAX(1,MIN(M120,50))*INDEX('Gear Budget'!$B$8:$B$14,MATCH($C120,'Gear Budget'!$A$8:$A$14,0))*IF($C120="Shield",IF(D120="Warrior",1,IF(OR(D120="Rogue",D120="All"),0.38/0.6,0.25/0.6)),IFERROR(INDEX('Gear Budget'!$B$18:$B$21,MATCH($F120,'Gear Budget'!$A$18:$A$21,0)),1)))</f>
        <v/>
      </c>
      <c r="AB120" s="41">
        <f>IF(AA120="","",P120/AA120)</f>
        <v/>
      </c>
      <c r="AC120" s="21" t="n">
        <v>15</v>
      </c>
      <c r="AD120" s="21" t="n">
        <v>50</v>
      </c>
      <c r="AE120" s="21" t="n">
        <v>25</v>
      </c>
      <c r="AF120" s="21" t="n">
        <v>18</v>
      </c>
      <c r="AG120" s="21" t="n">
        <v>5</v>
      </c>
      <c r="AH120" s="21" t="n">
        <v>10</v>
      </c>
      <c r="AI120" s="21" t="n">
        <v>10</v>
      </c>
      <c r="AJ120" s="21" t="n">
        <v>5</v>
      </c>
      <c r="AK120" s="21" t="n">
        <v>0</v>
      </c>
      <c r="AL120" s="21" t="inlineStr">
        <is>
          <t>(none)</t>
        </is>
      </c>
      <c r="AM120" s="61">
        <f>AD120*'Item Budget'!$B$5+AH120*'Item Budget'!$B$7+AF120*'Item Budget'!$B$11+AI120*'Item Budget'!$B$10+AG120*'Item Budget'!$B$9+IFERROR(INDEX('Item Budget'!$M$25:$M$95,MATCH(AL120,'Item Budget'!$B$25:$B$95,0)),0)+IF($C120="Weapon",AK120*'Item Budget'!$B$9,0)</f>
        <v/>
      </c>
      <c r="AN120" s="61">
        <f>AD120*'Item Budget'!$B$5+AH120*'Item Budget'!$B$7+AF120*'Item Budget'!$B$11+AI120*'Item Budget'!$B$10+AE120*'Item Budget'!$B$6+AJ120*'Item Budget'!$B$8+IFERROR(INDEX('Item Budget'!$N$25:$N$95,MATCH(AL120,'Item Budget'!$B$25:$B$95,0)),0)</f>
        <v/>
      </c>
      <c r="AO120" s="61">
        <f>MAX('Item Budget'!$F$16,INDEX('Gear Budget'!$C$8:$C$14,MATCH($C120,'Gear Budget'!$A$8:$A$14,0))*MIN(AC120,50))*$L120</f>
        <v/>
      </c>
      <c r="AP120" s="41">
        <f>IF($C120="Caster weapon",AN120,MAX(AM120,AN120))/AO120</f>
        <v/>
      </c>
      <c r="AQ120" s="61">
        <f>IF(OR($C120="Weapon",$C120="Caster weapon"),"",'Gear Budget'!$B$5*MAX(1,MIN(AC120,50))*INDEX('Gear Budget'!$B$8:$B$14,MATCH($C120,'Gear Budget'!$A$8:$A$14,0))*IF($C120="Shield",IF(E120="Warrior",1,IF(OR(E120="Rogue",E120="All"),0.38/0.6,0.25/0.6)),IFERROR(INDEX('Gear Budget'!$B$18:$B$21,MATCH($F120,'Gear Budget'!$A$18:$A$21,0)),1)))</f>
        <v/>
      </c>
      <c r="AR120" s="41">
        <f>IF(AQ120="","",AF120/AQ120)</f>
        <v/>
      </c>
      <c r="AS120" s="64" t="inlineStr">
        <is>
          <t>Pass 1 (applied): Poo Flinger: ignored for comparison.</t>
        </is>
      </c>
      <c r="AT120" s="44">
        <f>IF(OR($E120="All",ISNUMBER(SEARCH("Warrior",$E120))),IF($C120="Caster weapon",(AN120+AF120*('Item Budget'!$AB$14-'Item Budget'!$B$11)),(AM120+AF120*('Item Budget'!$AB$14-'Item Budget'!$B$11))),0)</f>
        <v/>
      </c>
      <c r="AU120" s="44">
        <f>IF(OR($E120="All",ISNUMBER(SEARCH("Rogue",$E120))),IF($C120="Caster weapon",(AN120+AF120*('Item Budget'!$AB$15-'Item Budget'!$B$11)),(AM120+AF120*('Item Budget'!$AB$15-'Item Budget'!$B$11))),0)</f>
        <v/>
      </c>
      <c r="AV120" s="44">
        <f>IF(OR($E120="All",ISNUMBER(SEARCH("Magus",$E120))),(AN120+AF120*('Item Budget'!$AB$16-'Item Budget'!$B$11)),0)</f>
        <v/>
      </c>
      <c r="AW120" s="44">
        <f>IF(OR($E120="All",ISNUMBER(SEARCH("Priest",$E120))),(AN120+AF120*('Item Budget'!$AB$17-'Item Budget'!$B$11)),0)</f>
        <v/>
      </c>
      <c r="AX120" s="44">
        <f>IF(AND(OR($E120="All",ISNUMBER(SEARCH("Warrior",$E120))),AC120&gt;='Item Budget'!$R$10),'Item Budget'!$R$7*100*('Item Budget'!$R$14*(AD120+25*AH120)+'Item Budget'!$S$14*(AE120+25*AJ120))/'Item Budget'!$Z$14+'Item Budget'!$R$9*AF120+IFERROR(INDEX('Item Budget'!$O$25:$O$95,MATCH(AL120,'Item Budget'!$B$25:$B$95,0)),0),0)</f>
        <v/>
      </c>
      <c r="AY120" s="44">
        <f>IF(AND(OR($E120="All",ISNUMBER(SEARCH("Rogue",$E120))),AC120&gt;='Item Budget'!$R$10),'Item Budget'!$R$7*100*('Item Budget'!$R$15*(AD120+25*AH120)+'Item Budget'!$S$15*(AE120+25*AJ120))/'Item Budget'!$Z$15+'Item Budget'!$R$9*AF120+IFERROR(INDEX('Item Budget'!$O$25:$O$95,MATCH(AL120,'Item Budget'!$B$25:$B$95,0)),0),0)</f>
        <v/>
      </c>
      <c r="AZ120" s="44">
        <f>IF(AND(OR($E120="All",ISNUMBER(SEARCH("Magus",$E120))),AC120&gt;='Item Budget'!$R$10),'Item Budget'!$R$7*100*('Item Budget'!$R$16*(AD120+25*AH120)+'Item Budget'!$S$16*(AE120+25*AJ120))/'Item Budget'!$Z$16+'Item Budget'!$R$9*AF120+IFERROR(INDEX('Item Budget'!$O$25:$O$95,MATCH(AL120,'Item Budget'!$B$25:$B$95,0)),0),0)</f>
        <v/>
      </c>
      <c r="BA120" s="44">
        <f>IF(AND(OR($E120="All",ISNUMBER(SEARCH("Priest",$E120))),AC120&gt;='Item Budget'!$R$10),'Item Budget'!$R$7*100*('Item Budget'!$R$17*(AD120+25*AH120)+'Item Budget'!$S$17*(AE120+25*AJ120))/'Item Budget'!$Z$17+'Item Budget'!$R$9*AF120+IFERROR(INDEX('Item Budget'!$O$25:$O$95,MATCH(AL120,'Item Budget'!$B$25:$B$95,0)),0),0)</f>
        <v/>
      </c>
      <c r="BB120" s="52">
        <f>IF(OR($I120&lt;1,IF($I120&gt;=6,AX120,AT120)&lt;=0),"",IF(SUMPRODUCT(MAX(($C$5:$C$215=$C120)*($I$5:$I$215&gt;=1)*($I$5:$I$215&lt;$I120)*IF($I120&gt;=6,$AX$5:$AX$215,$AT$5:$AT$215)))&lt;=0,"",SUMPRODUCT(MAX(($C$5:$C$215=$C120)*($I$5:$I$215=$I120)*IF($I120&gt;=6,$AX$5:$AX$215,$AT$5:$AT$215)))/SUMPRODUCT(MAX(($C$5:$C$215=$C120)*($I$5:$I$215&gt;=1)*($I$5:$I$215&lt;$I120)*IF($I120&gt;=6,$AX$5:$AX$215,$AT$5:$AT$215)))-1))</f>
        <v/>
      </c>
      <c r="BC120" s="52">
        <f>IF(OR($I120&lt;1,IF($I120&gt;=6,AY120,AU120)&lt;=0),"",IF(SUMPRODUCT(MAX(($C$5:$C$215=$C120)*($I$5:$I$215&gt;=1)*($I$5:$I$215&lt;$I120)*IF($I120&gt;=6,$AY$5:$AY$215,$AU$5:$AU$215)))&lt;=0,"",SUMPRODUCT(MAX(($C$5:$C$215=$C120)*($I$5:$I$215=$I120)*IF($I120&gt;=6,$AY$5:$AY$215,$AU$5:$AU$215)))/SUMPRODUCT(MAX(($C$5:$C$215=$C120)*($I$5:$I$215&gt;=1)*($I$5:$I$215&lt;$I120)*IF($I120&gt;=6,$AY$5:$AY$215,$AU$5:$AU$215)))-1))</f>
        <v/>
      </c>
      <c r="BD120" s="52">
        <f>IF(OR($I120&lt;1,IF($I120&gt;=6,AZ120,AV120)&lt;=0),"",IF(SUMPRODUCT(MAX(($C$5:$C$215=$C120)*($I$5:$I$215&gt;=1)*($I$5:$I$215&lt;$I120)*IF($I120&gt;=6,$AZ$5:$AZ$215,$AV$5:$AV$215)))&lt;=0,"",SUMPRODUCT(MAX(($C$5:$C$215=$C120)*($I$5:$I$215=$I120)*IF($I120&gt;=6,$AZ$5:$AZ$215,$AV$5:$AV$215)))/SUMPRODUCT(MAX(($C$5:$C$215=$C120)*($I$5:$I$215&gt;=1)*($I$5:$I$215&lt;$I120)*IF($I120&gt;=6,$AZ$5:$AZ$215,$AV$5:$AV$215)))-1))</f>
        <v/>
      </c>
      <c r="BE120" s="52">
        <f>IF(OR($I120&lt;1,IF($I120&gt;=6,BA120,AW120)&lt;=0),"",IF(SUMPRODUCT(MAX(($C$5:$C$215=$C120)*($I$5:$I$215&gt;=1)*($I$5:$I$215&lt;$I120)*IF($I120&gt;=6,$BA$5:$BA$215,$AW$5:$AW$215)))&lt;=0,"",SUMPRODUCT(MAX(($C$5:$C$215=$C120)*($I$5:$I$215=$I120)*IF($I120&gt;=6,$BA$5:$BA$215,$AW$5:$AW$215)))/SUMPRODUCT(MAX(($C$5:$C$215=$C120)*($I$5:$I$215&gt;=1)*($I$5:$I$215&lt;$I120)*IF($I120&gt;=6,$BA$5:$BA$215,$AW$5:$AW$215)))-1))</f>
        <v/>
      </c>
      <c r="BF120" s="19">
        <f>IF(AND(BB120="",BC120="",BD120="",BE120=""),"",IF(IF(AND(ISNUMBER(BB120),BB120&lt;'Item Budget'!$R$11),"W ","")&amp;IF(AND(ISNUMBER(BC120),BC120&lt;'Item Budget'!$R$11),"R ","")&amp;IF(AND(ISNUMBER(BD120),BD120&lt;'Item Budget'!$R$11),"M ","")&amp;IF(AND(ISNUMBER(BE120),BE120&lt;'Item Budget'!$R$11),"P ","")="","OK","Not above lower step: "&amp;IF(AND(ISNUMBER(BB120),BB120&lt;'Item Budget'!$R$11),"W ","")&amp;IF(AND(ISNUMBER(BC120),BC120&lt;'Item Budget'!$R$11),"R ","")&amp;IF(AND(ISNUMBER(BD120),BD120&lt;'Item Budget'!$R$11),"M ","")&amp;IF(AND(ISNUMBER(BE120),BE120&lt;'Item Budget'!$R$11),"P ","")))</f>
        <v/>
      </c>
    </row>
    <row r="121">
      <c r="A121" s="21" t="n">
        <v>123</v>
      </c>
      <c r="B121" s="21" t="inlineStr">
        <is>
          <t>Bronze Boots</t>
        </is>
      </c>
      <c r="C121" s="21" t="inlineStr">
        <is>
          <t>Shoes</t>
        </is>
      </c>
      <c r="D121" s="21" t="inlineStr">
        <is>
          <t>Rogue/Warrior</t>
        </is>
      </c>
      <c r="E121" s="21" t="inlineStr">
        <is>
          <t>Rogue/Warrior</t>
        </is>
      </c>
      <c r="F121" s="21" t="inlineStr">
        <is>
          <t>Warrior plate</t>
        </is>
      </c>
      <c r="G121" s="21" t="inlineStr">
        <is>
          <t>vendor: Bronze Armor Guy</t>
        </is>
      </c>
      <c r="H121" s="37" t="n">
        <v>0</v>
      </c>
      <c r="I121" s="21" t="n">
        <v>0</v>
      </c>
      <c r="J121" s="3" t="inlineStr">
        <is>
          <t>Applied</t>
        </is>
      </c>
      <c r="K121" s="21" t="inlineStr">
        <is>
          <t>Vendor</t>
        </is>
      </c>
      <c r="L121" s="31">
        <f>INDEX('Item Budget'!$F$5:$F$13,MATCH(K121,'Item Budget'!$E$5:$E$13,0))+IF(E121="All",0,'Item Budget'!$F$15)+LOOKUP(H121,'Item Budget'!$E$19:$E$23,'Item Budget'!$F$19:$F$23)</f>
        <v/>
      </c>
      <c r="M121" s="21" t="n">
        <v>20</v>
      </c>
      <c r="N121" s="21" t="n">
        <v>0</v>
      </c>
      <c r="O121" s="21" t="n">
        <v>0</v>
      </c>
      <c r="P121" s="21" t="n">
        <v>16</v>
      </c>
      <c r="Q121" s="21" t="n">
        <v>2</v>
      </c>
      <c r="R121" s="21" t="n">
        <v>2</v>
      </c>
      <c r="S121" s="21" t="n">
        <v>5</v>
      </c>
      <c r="T121" s="21" t="n">
        <v>0</v>
      </c>
      <c r="U121" s="21" t="n">
        <v>0</v>
      </c>
      <c r="V121" s="21" t="inlineStr">
        <is>
          <t>(none)</t>
        </is>
      </c>
      <c r="W121" s="61">
        <f>N121*'Item Budget'!$B$5+R121*'Item Budget'!$B$7+P121*'Item Budget'!$B$11+S121*'Item Budget'!$B$10+Q121*'Item Budget'!$B$9+IFERROR(INDEX('Item Budget'!$M$25:$M$95,MATCH(V121,'Item Budget'!$B$25:$B$95,0)),0)+IF($C121="Weapon",U121*'Item Budget'!$B$9,0)</f>
        <v/>
      </c>
      <c r="X121" s="61">
        <f>N121*'Item Budget'!$B$5+R121*'Item Budget'!$B$7+P121*'Item Budget'!$B$11+S121*'Item Budget'!$B$10+O121*'Item Budget'!$B$6+T121*'Item Budget'!$B$8+IFERROR(INDEX('Item Budget'!$N$25:$N$95,MATCH(V121,'Item Budget'!$B$25:$B$95,0)),0)</f>
        <v/>
      </c>
      <c r="Y121" s="61">
        <f>MAX('Item Budget'!$F$16,INDEX('Gear Budget'!$C$8:$C$14,MATCH($C121,'Gear Budget'!$A$8:$A$14,0))*MIN(M121,50))*$L121</f>
        <v/>
      </c>
      <c r="Z121" s="41">
        <f>IF($C121="Caster weapon",X121,MAX(W121,X121))/Y121</f>
        <v/>
      </c>
      <c r="AA121" s="61">
        <f>IF(OR($C121="Weapon",$C121="Caster weapon"),"",'Gear Budget'!$B$5*MAX(1,MIN(M121,50))*INDEX('Gear Budget'!$B$8:$B$14,MATCH($C121,'Gear Budget'!$A$8:$A$14,0))*IF($C121="Shield",IF(D121="Warrior",1,IF(OR(D121="Rogue",D121="All"),0.38/0.6,0.25/0.6)),IFERROR(INDEX('Gear Budget'!$B$18:$B$21,MATCH($F121,'Gear Budget'!$A$18:$A$21,0)),1)))</f>
        <v/>
      </c>
      <c r="AB121" s="41">
        <f>IF(AA121="","",P121/AA121)</f>
        <v/>
      </c>
      <c r="AC121" s="21" t="n">
        <v>20</v>
      </c>
      <c r="AD121" s="21" t="n">
        <v>0</v>
      </c>
      <c r="AE121" s="21" t="n">
        <v>0</v>
      </c>
      <c r="AF121" s="21" t="n">
        <v>16</v>
      </c>
      <c r="AG121" s="21" t="n">
        <v>2</v>
      </c>
      <c r="AH121" s="21" t="n">
        <v>2</v>
      </c>
      <c r="AI121" s="21" t="n">
        <v>5</v>
      </c>
      <c r="AJ121" s="21" t="n">
        <v>0</v>
      </c>
      <c r="AK121" s="21" t="n">
        <v>0</v>
      </c>
      <c r="AL121" s="21" t="inlineStr">
        <is>
          <t>(none)</t>
        </is>
      </c>
      <c r="AM121" s="61">
        <f>AD121*'Item Budget'!$B$5+AH121*'Item Budget'!$B$7+AF121*'Item Budget'!$B$11+AI121*'Item Budget'!$B$10+AG121*'Item Budget'!$B$9+IFERROR(INDEX('Item Budget'!$M$25:$M$95,MATCH(AL121,'Item Budget'!$B$25:$B$95,0)),0)+IF($C121="Weapon",AK121*'Item Budget'!$B$9,0)</f>
        <v/>
      </c>
      <c r="AN121" s="61">
        <f>AD121*'Item Budget'!$B$5+AH121*'Item Budget'!$B$7+AF121*'Item Budget'!$B$11+AI121*'Item Budget'!$B$10+AE121*'Item Budget'!$B$6+AJ121*'Item Budget'!$B$8+IFERROR(INDEX('Item Budget'!$N$25:$N$95,MATCH(AL121,'Item Budget'!$B$25:$B$95,0)),0)</f>
        <v/>
      </c>
      <c r="AO121" s="61">
        <f>MAX('Item Budget'!$F$16,INDEX('Gear Budget'!$C$8:$C$14,MATCH($C121,'Gear Budget'!$A$8:$A$14,0))*MIN(AC121,50))*$L121</f>
        <v/>
      </c>
      <c r="AP121" s="41">
        <f>IF($C121="Caster weapon",AN121,MAX(AM121,AN121))/AO121</f>
        <v/>
      </c>
      <c r="AQ121" s="61">
        <f>IF(OR($C121="Weapon",$C121="Caster weapon"),"",'Gear Budget'!$B$5*MAX(1,MIN(AC121,50))*INDEX('Gear Budget'!$B$8:$B$14,MATCH($C121,'Gear Budget'!$A$8:$A$14,0))*IF($C121="Shield",IF(E121="Warrior",1,IF(OR(E121="Rogue",E121="All"),0.38/0.6,0.25/0.6)),IFERROR(INDEX('Gear Budget'!$B$18:$B$21,MATCH($F121,'Gear Budget'!$A$18:$A$21,0)),1)))</f>
        <v/>
      </c>
      <c r="AR121" s="41">
        <f>IF(AQ121="","",AF121/AQ121)</f>
        <v/>
      </c>
      <c r="AS121" s="64" t="inlineStr">
        <is>
          <t>Pass 1 (applied): Moved to L20.</t>
        </is>
      </c>
      <c r="AT121" s="44">
        <f>IF(OR($E121="All",ISNUMBER(SEARCH("Warrior",$E121))),IF($C121="Caster weapon",(AN121+AF121*('Item Budget'!$AB$14-'Item Budget'!$B$11)),(AM121+AF121*('Item Budget'!$AB$14-'Item Budget'!$B$11))),0)</f>
        <v/>
      </c>
      <c r="AU121" s="44">
        <f>IF(OR($E121="All",ISNUMBER(SEARCH("Rogue",$E121))),IF($C121="Caster weapon",(AN121+AF121*('Item Budget'!$AB$15-'Item Budget'!$B$11)),(AM121+AF121*('Item Budget'!$AB$15-'Item Budget'!$B$11))),0)</f>
        <v/>
      </c>
      <c r="AV121" s="44">
        <f>IF(OR($E121="All",ISNUMBER(SEARCH("Magus",$E121))),(AN121+AF121*('Item Budget'!$AB$16-'Item Budget'!$B$11)),0)</f>
        <v/>
      </c>
      <c r="AW121" s="44">
        <f>IF(OR($E121="All",ISNUMBER(SEARCH("Priest",$E121))),(AN121+AF121*('Item Budget'!$AB$17-'Item Budget'!$B$11)),0)</f>
        <v/>
      </c>
      <c r="AX121" s="44">
        <f>IF(AND(OR($E121="All",ISNUMBER(SEARCH("Warrior",$E121))),AC121&gt;='Item Budget'!$R$10),'Item Budget'!$R$7*100*('Item Budget'!$R$14*(AD121+25*AH121)+'Item Budget'!$S$14*(AE121+25*AJ121))/'Item Budget'!$Z$14+'Item Budget'!$R$9*AF121+IFERROR(INDEX('Item Budget'!$O$25:$O$95,MATCH(AL121,'Item Budget'!$B$25:$B$95,0)),0),0)</f>
        <v/>
      </c>
      <c r="AY121" s="44">
        <f>IF(AND(OR($E121="All",ISNUMBER(SEARCH("Rogue",$E121))),AC121&gt;='Item Budget'!$R$10),'Item Budget'!$R$7*100*('Item Budget'!$R$15*(AD121+25*AH121)+'Item Budget'!$S$15*(AE121+25*AJ121))/'Item Budget'!$Z$15+'Item Budget'!$R$9*AF121+IFERROR(INDEX('Item Budget'!$O$25:$O$95,MATCH(AL121,'Item Budget'!$B$25:$B$95,0)),0),0)</f>
        <v/>
      </c>
      <c r="AZ121" s="44">
        <f>IF(AND(OR($E121="All",ISNUMBER(SEARCH("Magus",$E121))),AC121&gt;='Item Budget'!$R$10),'Item Budget'!$R$7*100*('Item Budget'!$R$16*(AD121+25*AH121)+'Item Budget'!$S$16*(AE121+25*AJ121))/'Item Budget'!$Z$16+'Item Budget'!$R$9*AF121+IFERROR(INDEX('Item Budget'!$O$25:$O$95,MATCH(AL121,'Item Budget'!$B$25:$B$95,0)),0),0)</f>
        <v/>
      </c>
      <c r="BA121" s="44">
        <f>IF(AND(OR($E121="All",ISNUMBER(SEARCH("Priest",$E121))),AC121&gt;='Item Budget'!$R$10),'Item Budget'!$R$7*100*('Item Budget'!$R$17*(AD121+25*AH121)+'Item Budget'!$S$17*(AE121+25*AJ121))/'Item Budget'!$Z$17+'Item Budget'!$R$9*AF121+IFERROR(INDEX('Item Budget'!$O$25:$O$95,MATCH(AL121,'Item Budget'!$B$25:$B$95,0)),0),0)</f>
        <v/>
      </c>
      <c r="BB121" s="52">
        <f>IF(OR($I121&lt;1,IF($I121&gt;=6,AX121,AT121)&lt;=0),"",IF(SUMPRODUCT(MAX(($C$5:$C$215=$C121)*($I$5:$I$215&gt;=1)*($I$5:$I$215&lt;$I121)*IF($I121&gt;=6,$AX$5:$AX$215,$AT$5:$AT$215)))&lt;=0,"",SUMPRODUCT(MAX(($C$5:$C$215=$C121)*($I$5:$I$215=$I121)*IF($I121&gt;=6,$AX$5:$AX$215,$AT$5:$AT$215)))/SUMPRODUCT(MAX(($C$5:$C$215=$C121)*($I$5:$I$215&gt;=1)*($I$5:$I$215&lt;$I121)*IF($I121&gt;=6,$AX$5:$AX$215,$AT$5:$AT$215)))-1))</f>
        <v/>
      </c>
      <c r="BC121" s="52">
        <f>IF(OR($I121&lt;1,IF($I121&gt;=6,AY121,AU121)&lt;=0),"",IF(SUMPRODUCT(MAX(($C$5:$C$215=$C121)*($I$5:$I$215&gt;=1)*($I$5:$I$215&lt;$I121)*IF($I121&gt;=6,$AY$5:$AY$215,$AU$5:$AU$215)))&lt;=0,"",SUMPRODUCT(MAX(($C$5:$C$215=$C121)*($I$5:$I$215=$I121)*IF($I121&gt;=6,$AY$5:$AY$215,$AU$5:$AU$215)))/SUMPRODUCT(MAX(($C$5:$C$215=$C121)*($I$5:$I$215&gt;=1)*($I$5:$I$215&lt;$I121)*IF($I121&gt;=6,$AY$5:$AY$215,$AU$5:$AU$215)))-1))</f>
        <v/>
      </c>
      <c r="BD121" s="52">
        <f>IF(OR($I121&lt;1,IF($I121&gt;=6,AZ121,AV121)&lt;=0),"",IF(SUMPRODUCT(MAX(($C$5:$C$215=$C121)*($I$5:$I$215&gt;=1)*($I$5:$I$215&lt;$I121)*IF($I121&gt;=6,$AZ$5:$AZ$215,$AV$5:$AV$215)))&lt;=0,"",SUMPRODUCT(MAX(($C$5:$C$215=$C121)*($I$5:$I$215=$I121)*IF($I121&gt;=6,$AZ$5:$AZ$215,$AV$5:$AV$215)))/SUMPRODUCT(MAX(($C$5:$C$215=$C121)*($I$5:$I$215&gt;=1)*($I$5:$I$215&lt;$I121)*IF($I121&gt;=6,$AZ$5:$AZ$215,$AV$5:$AV$215)))-1))</f>
        <v/>
      </c>
      <c r="BE121" s="52">
        <f>IF(OR($I121&lt;1,IF($I121&gt;=6,BA121,AW121)&lt;=0),"",IF(SUMPRODUCT(MAX(($C$5:$C$215=$C121)*($I$5:$I$215&gt;=1)*($I$5:$I$215&lt;$I121)*IF($I121&gt;=6,$BA$5:$BA$215,$AW$5:$AW$215)))&lt;=0,"",SUMPRODUCT(MAX(($C$5:$C$215=$C121)*($I$5:$I$215=$I121)*IF($I121&gt;=6,$BA$5:$BA$215,$AW$5:$AW$215)))/SUMPRODUCT(MAX(($C$5:$C$215=$C121)*($I$5:$I$215&gt;=1)*($I$5:$I$215&lt;$I121)*IF($I121&gt;=6,$BA$5:$BA$215,$AW$5:$AW$215)))-1))</f>
        <v/>
      </c>
      <c r="BF121" s="19">
        <f>IF(AND(BB121="",BC121="",BD121="",BE121=""),"",IF(IF(AND(ISNUMBER(BB121),BB121&lt;'Item Budget'!$R$11),"W ","")&amp;IF(AND(ISNUMBER(BC121),BC121&lt;'Item Budget'!$R$11),"R ","")&amp;IF(AND(ISNUMBER(BD121),BD121&lt;'Item Budget'!$R$11),"M ","")&amp;IF(AND(ISNUMBER(BE121),BE121&lt;'Item Budget'!$R$11),"P ","")="","OK","Not above lower step: "&amp;IF(AND(ISNUMBER(BB121),BB121&lt;'Item Budget'!$R$11),"W ","")&amp;IF(AND(ISNUMBER(BC121),BC121&lt;'Item Budget'!$R$11),"R ","")&amp;IF(AND(ISNUMBER(BD121),BD121&lt;'Item Budget'!$R$11),"M ","")&amp;IF(AND(ISNUMBER(BE121),BE121&lt;'Item Budget'!$R$11),"P ","")))</f>
        <v/>
      </c>
    </row>
    <row r="122">
      <c r="A122" s="21" t="n">
        <v>131</v>
      </c>
      <c r="B122" s="21" t="inlineStr">
        <is>
          <t>Silk Slippers</t>
        </is>
      </c>
      <c r="C122" s="21" t="inlineStr">
        <is>
          <t>Shoes</t>
        </is>
      </c>
      <c r="D122" s="21" t="inlineStr">
        <is>
          <t>Magus/Priest</t>
        </is>
      </c>
      <c r="E122" s="21" t="inlineStr">
        <is>
          <t>Magus/Priest</t>
        </is>
      </c>
      <c r="F122" s="21" t="inlineStr">
        <is>
          <t>Caster cloth</t>
        </is>
      </c>
      <c r="G122" s="21" t="inlineStr">
        <is>
          <t>vendor: Silk Armor Guy</t>
        </is>
      </c>
      <c r="H122" s="37" t="n">
        <v>0</v>
      </c>
      <c r="I122" s="21" t="n">
        <v>0</v>
      </c>
      <c r="J122" s="3" t="inlineStr">
        <is>
          <t>Applied</t>
        </is>
      </c>
      <c r="K122" s="21" t="inlineStr">
        <is>
          <t>Vendor</t>
        </is>
      </c>
      <c r="L122" s="31">
        <f>INDEX('Item Budget'!$F$5:$F$13,MATCH(K122,'Item Budget'!$E$5:$E$13,0))+IF(E122="All",0,'Item Budget'!$F$15)+LOOKUP(H122,'Item Budget'!$E$19:$E$23,'Item Budget'!$F$19:$F$23)</f>
        <v/>
      </c>
      <c r="M122" s="21" t="n">
        <v>20</v>
      </c>
      <c r="N122" s="21" t="n">
        <v>0</v>
      </c>
      <c r="O122" s="21" t="n">
        <v>50</v>
      </c>
      <c r="P122" s="21" t="n">
        <v>8</v>
      </c>
      <c r="Q122" s="21" t="n">
        <v>0</v>
      </c>
      <c r="R122" s="21" t="n">
        <v>3</v>
      </c>
      <c r="S122" s="21" t="n">
        <v>0</v>
      </c>
      <c r="T122" s="21" t="n">
        <v>4</v>
      </c>
      <c r="U122" s="21" t="n">
        <v>0</v>
      </c>
      <c r="V122" s="21" t="inlineStr">
        <is>
          <t>(none)</t>
        </is>
      </c>
      <c r="W122" s="61">
        <f>N122*'Item Budget'!$B$5+R122*'Item Budget'!$B$7+P122*'Item Budget'!$B$11+S122*'Item Budget'!$B$10+Q122*'Item Budget'!$B$9+IFERROR(INDEX('Item Budget'!$M$25:$M$95,MATCH(V122,'Item Budget'!$B$25:$B$95,0)),0)+IF($C122="Weapon",U122*'Item Budget'!$B$9,0)</f>
        <v/>
      </c>
      <c r="X122" s="61">
        <f>N122*'Item Budget'!$B$5+R122*'Item Budget'!$B$7+P122*'Item Budget'!$B$11+S122*'Item Budget'!$B$10+O122*'Item Budget'!$B$6+T122*'Item Budget'!$B$8+IFERROR(INDEX('Item Budget'!$N$25:$N$95,MATCH(V122,'Item Budget'!$B$25:$B$95,0)),0)</f>
        <v/>
      </c>
      <c r="Y122" s="61">
        <f>MAX('Item Budget'!$F$16,INDEX('Gear Budget'!$C$8:$C$14,MATCH($C122,'Gear Budget'!$A$8:$A$14,0))*MIN(M122,50))*$L122</f>
        <v/>
      </c>
      <c r="Z122" s="41">
        <f>IF($C122="Caster weapon",X122,MAX(W122,X122))/Y122</f>
        <v/>
      </c>
      <c r="AA122" s="61">
        <f>IF(OR($C122="Weapon",$C122="Caster weapon"),"",'Gear Budget'!$B$5*MAX(1,MIN(M122,50))*INDEX('Gear Budget'!$B$8:$B$14,MATCH($C122,'Gear Budget'!$A$8:$A$14,0))*IF($C122="Shield",IF(D122="Warrior",1,IF(OR(D122="Rogue",D122="All"),0.38/0.6,0.25/0.6)),IFERROR(INDEX('Gear Budget'!$B$18:$B$21,MATCH($F122,'Gear Budget'!$A$18:$A$21,0)),1)))</f>
        <v/>
      </c>
      <c r="AB122" s="41">
        <f>IF(AA122="","",P122/AA122)</f>
        <v/>
      </c>
      <c r="AC122" s="21" t="n">
        <v>20</v>
      </c>
      <c r="AD122" s="21" t="n">
        <v>0</v>
      </c>
      <c r="AE122" s="21" t="n">
        <v>50</v>
      </c>
      <c r="AF122" s="21" t="n">
        <v>8</v>
      </c>
      <c r="AG122" s="21" t="n">
        <v>0</v>
      </c>
      <c r="AH122" s="21" t="n">
        <v>3</v>
      </c>
      <c r="AI122" s="21" t="n">
        <v>0</v>
      </c>
      <c r="AJ122" s="21" t="n">
        <v>4</v>
      </c>
      <c r="AK122" s="21" t="n">
        <v>0</v>
      </c>
      <c r="AL122" s="21" t="inlineStr">
        <is>
          <t>(none)</t>
        </is>
      </c>
      <c r="AM122" s="61">
        <f>AD122*'Item Budget'!$B$5+AH122*'Item Budget'!$B$7+AF122*'Item Budget'!$B$11+AI122*'Item Budget'!$B$10+AG122*'Item Budget'!$B$9+IFERROR(INDEX('Item Budget'!$M$25:$M$95,MATCH(AL122,'Item Budget'!$B$25:$B$95,0)),0)+IF($C122="Weapon",AK122*'Item Budget'!$B$9,0)</f>
        <v/>
      </c>
      <c r="AN122" s="61">
        <f>AD122*'Item Budget'!$B$5+AH122*'Item Budget'!$B$7+AF122*'Item Budget'!$B$11+AI122*'Item Budget'!$B$10+AE122*'Item Budget'!$B$6+AJ122*'Item Budget'!$B$8+IFERROR(INDEX('Item Budget'!$N$25:$N$95,MATCH(AL122,'Item Budget'!$B$25:$B$95,0)),0)</f>
        <v/>
      </c>
      <c r="AO122" s="61">
        <f>MAX('Item Budget'!$F$16,INDEX('Gear Budget'!$C$8:$C$14,MATCH($C122,'Gear Budget'!$A$8:$A$14,0))*MIN(AC122,50))*$L122</f>
        <v/>
      </c>
      <c r="AP122" s="41">
        <f>IF($C122="Caster weapon",AN122,MAX(AM122,AN122))/AO122</f>
        <v/>
      </c>
      <c r="AQ122" s="61">
        <f>IF(OR($C122="Weapon",$C122="Caster weapon"),"",'Gear Budget'!$B$5*MAX(1,MIN(AC122,50))*INDEX('Gear Budget'!$B$8:$B$14,MATCH($C122,'Gear Budget'!$A$8:$A$14,0))*IF($C122="Shield",IF(E122="Warrior",1,IF(OR(E122="Rogue",E122="All"),0.38/0.6,0.25/0.6)),IFERROR(INDEX('Gear Budget'!$B$18:$B$21,MATCH($F122,'Gear Budget'!$A$18:$A$21,0)),1)))</f>
        <v/>
      </c>
      <c r="AR122" s="41">
        <f>IF(AQ122="","",AF122/AQ122)</f>
        <v/>
      </c>
      <c r="AS122" s="64" t="inlineStr">
        <is>
          <t>Pass 1 (applied): Caster L20 set. AC 7 -&gt; 8 (matches the cap). Was usable by all classes; now Magus/Priest like the rest of Silk.</t>
        </is>
      </c>
      <c r="AT122" s="44">
        <f>IF(OR($E122="All",ISNUMBER(SEARCH("Warrior",$E122))),IF($C122="Caster weapon",(AN122+AF122*('Item Budget'!$AB$14-'Item Budget'!$B$11)),(AM122+AF122*('Item Budget'!$AB$14-'Item Budget'!$B$11))),0)</f>
        <v/>
      </c>
      <c r="AU122" s="44">
        <f>IF(OR($E122="All",ISNUMBER(SEARCH("Rogue",$E122))),IF($C122="Caster weapon",(AN122+AF122*('Item Budget'!$AB$15-'Item Budget'!$B$11)),(AM122+AF122*('Item Budget'!$AB$15-'Item Budget'!$B$11))),0)</f>
        <v/>
      </c>
      <c r="AV122" s="44">
        <f>IF(OR($E122="All",ISNUMBER(SEARCH("Magus",$E122))),(AN122+AF122*('Item Budget'!$AB$16-'Item Budget'!$B$11)),0)</f>
        <v/>
      </c>
      <c r="AW122" s="44">
        <f>IF(OR($E122="All",ISNUMBER(SEARCH("Priest",$E122))),(AN122+AF122*('Item Budget'!$AB$17-'Item Budget'!$B$11)),0)</f>
        <v/>
      </c>
      <c r="AX122" s="44">
        <f>IF(AND(OR($E122="All",ISNUMBER(SEARCH("Warrior",$E122))),AC122&gt;='Item Budget'!$R$10),'Item Budget'!$R$7*100*('Item Budget'!$R$14*(AD122+25*AH122)+'Item Budget'!$S$14*(AE122+25*AJ122))/'Item Budget'!$Z$14+'Item Budget'!$R$9*AF122+IFERROR(INDEX('Item Budget'!$O$25:$O$95,MATCH(AL122,'Item Budget'!$B$25:$B$95,0)),0),0)</f>
        <v/>
      </c>
      <c r="AY122" s="44">
        <f>IF(AND(OR($E122="All",ISNUMBER(SEARCH("Rogue",$E122))),AC122&gt;='Item Budget'!$R$10),'Item Budget'!$R$7*100*('Item Budget'!$R$15*(AD122+25*AH122)+'Item Budget'!$S$15*(AE122+25*AJ122))/'Item Budget'!$Z$15+'Item Budget'!$R$9*AF122+IFERROR(INDEX('Item Budget'!$O$25:$O$95,MATCH(AL122,'Item Budget'!$B$25:$B$95,0)),0),0)</f>
        <v/>
      </c>
      <c r="AZ122" s="44">
        <f>IF(AND(OR($E122="All",ISNUMBER(SEARCH("Magus",$E122))),AC122&gt;='Item Budget'!$R$10),'Item Budget'!$R$7*100*('Item Budget'!$R$16*(AD122+25*AH122)+'Item Budget'!$S$16*(AE122+25*AJ122))/'Item Budget'!$Z$16+'Item Budget'!$R$9*AF122+IFERROR(INDEX('Item Budget'!$O$25:$O$95,MATCH(AL122,'Item Budget'!$B$25:$B$95,0)),0),0)</f>
        <v/>
      </c>
      <c r="BA122" s="44">
        <f>IF(AND(OR($E122="All",ISNUMBER(SEARCH("Priest",$E122))),AC122&gt;='Item Budget'!$R$10),'Item Budget'!$R$7*100*('Item Budget'!$R$17*(AD122+25*AH122)+'Item Budget'!$S$17*(AE122+25*AJ122))/'Item Budget'!$Z$17+'Item Budget'!$R$9*AF122+IFERROR(INDEX('Item Budget'!$O$25:$O$95,MATCH(AL122,'Item Budget'!$B$25:$B$95,0)),0),0)</f>
        <v/>
      </c>
      <c r="BB122" s="52">
        <f>IF(OR($I122&lt;1,IF($I122&gt;=6,AX122,AT122)&lt;=0),"",IF(SUMPRODUCT(MAX(($C$5:$C$215=$C122)*($I$5:$I$215&gt;=1)*($I$5:$I$215&lt;$I122)*IF($I122&gt;=6,$AX$5:$AX$215,$AT$5:$AT$215)))&lt;=0,"",SUMPRODUCT(MAX(($C$5:$C$215=$C122)*($I$5:$I$215=$I122)*IF($I122&gt;=6,$AX$5:$AX$215,$AT$5:$AT$215)))/SUMPRODUCT(MAX(($C$5:$C$215=$C122)*($I$5:$I$215&gt;=1)*($I$5:$I$215&lt;$I122)*IF($I122&gt;=6,$AX$5:$AX$215,$AT$5:$AT$215)))-1))</f>
        <v/>
      </c>
      <c r="BC122" s="52">
        <f>IF(OR($I122&lt;1,IF($I122&gt;=6,AY122,AU122)&lt;=0),"",IF(SUMPRODUCT(MAX(($C$5:$C$215=$C122)*($I$5:$I$215&gt;=1)*($I$5:$I$215&lt;$I122)*IF($I122&gt;=6,$AY$5:$AY$215,$AU$5:$AU$215)))&lt;=0,"",SUMPRODUCT(MAX(($C$5:$C$215=$C122)*($I$5:$I$215=$I122)*IF($I122&gt;=6,$AY$5:$AY$215,$AU$5:$AU$215)))/SUMPRODUCT(MAX(($C$5:$C$215=$C122)*($I$5:$I$215&gt;=1)*($I$5:$I$215&lt;$I122)*IF($I122&gt;=6,$AY$5:$AY$215,$AU$5:$AU$215)))-1))</f>
        <v/>
      </c>
      <c r="BD122" s="52">
        <f>IF(OR($I122&lt;1,IF($I122&gt;=6,AZ122,AV122)&lt;=0),"",IF(SUMPRODUCT(MAX(($C$5:$C$215=$C122)*($I$5:$I$215&gt;=1)*($I$5:$I$215&lt;$I122)*IF($I122&gt;=6,$AZ$5:$AZ$215,$AV$5:$AV$215)))&lt;=0,"",SUMPRODUCT(MAX(($C$5:$C$215=$C122)*($I$5:$I$215=$I122)*IF($I122&gt;=6,$AZ$5:$AZ$215,$AV$5:$AV$215)))/SUMPRODUCT(MAX(($C$5:$C$215=$C122)*($I$5:$I$215&gt;=1)*($I$5:$I$215&lt;$I122)*IF($I122&gt;=6,$AZ$5:$AZ$215,$AV$5:$AV$215)))-1))</f>
        <v/>
      </c>
      <c r="BE122" s="52">
        <f>IF(OR($I122&lt;1,IF($I122&gt;=6,BA122,AW122)&lt;=0),"",IF(SUMPRODUCT(MAX(($C$5:$C$215=$C122)*($I$5:$I$215&gt;=1)*($I$5:$I$215&lt;$I122)*IF($I122&gt;=6,$BA$5:$BA$215,$AW$5:$AW$215)))&lt;=0,"",SUMPRODUCT(MAX(($C$5:$C$215=$C122)*($I$5:$I$215=$I122)*IF($I122&gt;=6,$BA$5:$BA$215,$AW$5:$AW$215)))/SUMPRODUCT(MAX(($C$5:$C$215=$C122)*($I$5:$I$215&gt;=1)*($I$5:$I$215&lt;$I122)*IF($I122&gt;=6,$BA$5:$BA$215,$AW$5:$AW$215)))-1))</f>
        <v/>
      </c>
      <c r="BF122" s="19">
        <f>IF(AND(BB122="",BC122="",BD122="",BE122=""),"",IF(IF(AND(ISNUMBER(BB122),BB122&lt;'Item Budget'!$R$11),"W ","")&amp;IF(AND(ISNUMBER(BC122),BC122&lt;'Item Budget'!$R$11),"R ","")&amp;IF(AND(ISNUMBER(BD122),BD122&lt;'Item Budget'!$R$11),"M ","")&amp;IF(AND(ISNUMBER(BE122),BE122&lt;'Item Budget'!$R$11),"P ","")="","OK","Not above lower step: "&amp;IF(AND(ISNUMBER(BB122),BB122&lt;'Item Budget'!$R$11),"W ","")&amp;IF(AND(ISNUMBER(BC122),BC122&lt;'Item Budget'!$R$11),"R ","")&amp;IF(AND(ISNUMBER(BD122),BD122&lt;'Item Budget'!$R$11),"M ","")&amp;IF(AND(ISNUMBER(BE122),BE122&lt;'Item Budget'!$R$11),"P ","")))</f>
        <v/>
      </c>
    </row>
    <row r="123">
      <c r="A123" s="21" t="n">
        <v>412</v>
      </c>
      <c r="B123" s="21" t="inlineStr">
        <is>
          <t>Sandals</t>
        </is>
      </c>
      <c r="C123" s="21" t="inlineStr">
        <is>
          <t>Shoes</t>
        </is>
      </c>
      <c r="D123" s="21" t="inlineStr">
        <is>
          <t>All</t>
        </is>
      </c>
      <c r="E123" s="21" t="inlineStr">
        <is>
          <t>All</t>
        </is>
      </c>
      <c r="F123" s="21" t="inlineStr">
        <is>
          <t>All classes</t>
        </is>
      </c>
      <c r="G123" s="21" t="inlineStr">
        <is>
          <t>drop: Disciple Von Bangs 20%</t>
        </is>
      </c>
      <c r="H123" s="37" t="n">
        <v>100000000</v>
      </c>
      <c r="I123" s="21" t="n">
        <v>7</v>
      </c>
      <c r="J123" s="19" t="inlineStr">
        <is>
          <t>Leave</t>
        </is>
      </c>
      <c r="K123" s="21" t="inlineStr">
        <is>
          <t>Rare boss drop</t>
        </is>
      </c>
      <c r="L123" s="31">
        <f>INDEX('Item Budget'!$F$5:$F$13,MATCH(K123,'Item Budget'!$E$5:$E$13,0))+IF(E123="All",0,'Item Budget'!$F$15)+LOOKUP(H123,'Item Budget'!$E$19:$E$23,'Item Budget'!$F$19:$F$23)</f>
        <v/>
      </c>
      <c r="M123" s="21" t="n">
        <v>25</v>
      </c>
      <c r="N123" s="21" t="n">
        <v>100</v>
      </c>
      <c r="O123" s="21" t="n">
        <v>100</v>
      </c>
      <c r="P123" s="21" t="n">
        <v>50</v>
      </c>
      <c r="Q123" s="21" t="n">
        <v>10</v>
      </c>
      <c r="R123" s="21" t="n">
        <v>10</v>
      </c>
      <c r="S123" s="21" t="n">
        <v>10</v>
      </c>
      <c r="T123" s="21" t="n">
        <v>10</v>
      </c>
      <c r="U123" s="21" t="n">
        <v>0</v>
      </c>
      <c r="V123" s="21" t="inlineStr">
        <is>
          <t>(none)</t>
        </is>
      </c>
      <c r="W123" s="61">
        <f>N123*'Item Budget'!$B$5+R123*'Item Budget'!$B$7+P123*'Item Budget'!$B$11+S123*'Item Budget'!$B$10+Q123*'Item Budget'!$B$9+IFERROR(INDEX('Item Budget'!$M$25:$M$95,MATCH(V123,'Item Budget'!$B$25:$B$95,0)),0)+IF($C123="Weapon",U123*'Item Budget'!$B$9,0)</f>
        <v/>
      </c>
      <c r="X123" s="61">
        <f>N123*'Item Budget'!$B$5+R123*'Item Budget'!$B$7+P123*'Item Budget'!$B$11+S123*'Item Budget'!$B$10+O123*'Item Budget'!$B$6+T123*'Item Budget'!$B$8+IFERROR(INDEX('Item Budget'!$N$25:$N$95,MATCH(V123,'Item Budget'!$B$25:$B$95,0)),0)</f>
        <v/>
      </c>
      <c r="Y123" s="61">
        <f>MAX('Item Budget'!$F$16,INDEX('Gear Budget'!$C$8:$C$14,MATCH($C123,'Gear Budget'!$A$8:$A$14,0))*MIN(M123,50))*$L123</f>
        <v/>
      </c>
      <c r="Z123" s="41">
        <f>IF($C123="Caster weapon",X123,MAX(W123,X123))/Y123</f>
        <v/>
      </c>
      <c r="AA123" s="61">
        <f>IF(OR($C123="Weapon",$C123="Caster weapon"),"",'Gear Budget'!$B$5*MAX(1,MIN(M123,50))*INDEX('Gear Budget'!$B$8:$B$14,MATCH($C123,'Gear Budget'!$A$8:$A$14,0))*IF($C123="Shield",IF(D123="Warrior",1,IF(OR(D123="Rogue",D123="All"),0.38/0.6,0.25/0.6)),IFERROR(INDEX('Gear Budget'!$B$18:$B$21,MATCH($F123,'Gear Budget'!$A$18:$A$21,0)),1)))</f>
        <v/>
      </c>
      <c r="AB123" s="41">
        <f>IF(AA123="","",P123/AA123)</f>
        <v/>
      </c>
      <c r="AC123" s="21" t="n">
        <v>25</v>
      </c>
      <c r="AD123" s="21" t="n">
        <v>100</v>
      </c>
      <c r="AE123" s="21" t="n">
        <v>100</v>
      </c>
      <c r="AF123" s="21" t="n">
        <v>50</v>
      </c>
      <c r="AG123" s="21" t="n">
        <v>10</v>
      </c>
      <c r="AH123" s="21" t="n">
        <v>10</v>
      </c>
      <c r="AI123" s="21" t="n">
        <v>10</v>
      </c>
      <c r="AJ123" s="21" t="n">
        <v>10</v>
      </c>
      <c r="AK123" s="21" t="n">
        <v>0</v>
      </c>
      <c r="AL123" s="21" t="inlineStr">
        <is>
          <t>(none)</t>
        </is>
      </c>
      <c r="AM123" s="61">
        <f>AD123*'Item Budget'!$B$5+AH123*'Item Budget'!$B$7+AF123*'Item Budget'!$B$11+AI123*'Item Budget'!$B$10+AG123*'Item Budget'!$B$9+IFERROR(INDEX('Item Budget'!$M$25:$M$95,MATCH(AL123,'Item Budget'!$B$25:$B$95,0)),0)+IF($C123="Weapon",AK123*'Item Budget'!$B$9,0)</f>
        <v/>
      </c>
      <c r="AN123" s="61">
        <f>AD123*'Item Budget'!$B$5+AH123*'Item Budget'!$B$7+AF123*'Item Budget'!$B$11+AI123*'Item Budget'!$B$10+AE123*'Item Budget'!$B$6+AJ123*'Item Budget'!$B$8+IFERROR(INDEX('Item Budget'!$N$25:$N$95,MATCH(AL123,'Item Budget'!$B$25:$B$95,0)),0)</f>
        <v/>
      </c>
      <c r="AO123" s="61">
        <f>MAX('Item Budget'!$F$16,INDEX('Gear Budget'!$C$8:$C$14,MATCH($C123,'Gear Budget'!$A$8:$A$14,0))*MIN(AC123,50))*$L123</f>
        <v/>
      </c>
      <c r="AP123" s="41">
        <f>IF($C123="Caster weapon",AN123,MAX(AM123,AN123))/AO123</f>
        <v/>
      </c>
      <c r="AQ123" s="61">
        <f>IF(OR($C123="Weapon",$C123="Caster weapon"),"",'Gear Budget'!$B$5*MAX(1,MIN(AC123,50))*INDEX('Gear Budget'!$B$8:$B$14,MATCH($C123,'Gear Budget'!$A$8:$A$14,0))*IF($C123="Shield",IF(E123="Warrior",1,IF(OR(E123="Rogue",E123="All"),0.38/0.6,0.25/0.6)),IFERROR(INDEX('Gear Budget'!$B$18:$B$21,MATCH($F123,'Gear Budget'!$A$18:$A$21,0)),1)))</f>
        <v/>
      </c>
      <c r="AR123" s="41">
        <f>IF(AQ123="","",AF123/AQ123)</f>
        <v/>
      </c>
      <c r="AS123" s="64" t="n"/>
      <c r="AT123" s="44">
        <f>IF(OR($E123="All",ISNUMBER(SEARCH("Warrior",$E123))),IF($C123="Caster weapon",(AN123+AF123*('Item Budget'!$AB$14-'Item Budget'!$B$11)),(AM123+AF123*('Item Budget'!$AB$14-'Item Budget'!$B$11))),0)</f>
        <v/>
      </c>
      <c r="AU123" s="44">
        <f>IF(OR($E123="All",ISNUMBER(SEARCH("Rogue",$E123))),IF($C123="Caster weapon",(AN123+AF123*('Item Budget'!$AB$15-'Item Budget'!$B$11)),(AM123+AF123*('Item Budget'!$AB$15-'Item Budget'!$B$11))),0)</f>
        <v/>
      </c>
      <c r="AV123" s="44">
        <f>IF(OR($E123="All",ISNUMBER(SEARCH("Magus",$E123))),(AN123+AF123*('Item Budget'!$AB$16-'Item Budget'!$B$11)),0)</f>
        <v/>
      </c>
      <c r="AW123" s="44">
        <f>IF(OR($E123="All",ISNUMBER(SEARCH("Priest",$E123))),(AN123+AF123*('Item Budget'!$AB$17-'Item Budget'!$B$11)),0)</f>
        <v/>
      </c>
      <c r="AX123" s="44">
        <f>IF(AND(OR($E123="All",ISNUMBER(SEARCH("Warrior",$E123))),AC123&gt;='Item Budget'!$R$10),'Item Budget'!$R$7*100*('Item Budget'!$R$14*(AD123+25*AH123)+'Item Budget'!$S$14*(AE123+25*AJ123))/'Item Budget'!$Z$14+'Item Budget'!$R$9*AF123+IFERROR(INDEX('Item Budget'!$O$25:$O$95,MATCH(AL123,'Item Budget'!$B$25:$B$95,0)),0),0)</f>
        <v/>
      </c>
      <c r="AY123" s="44">
        <f>IF(AND(OR($E123="All",ISNUMBER(SEARCH("Rogue",$E123))),AC123&gt;='Item Budget'!$R$10),'Item Budget'!$R$7*100*('Item Budget'!$R$15*(AD123+25*AH123)+'Item Budget'!$S$15*(AE123+25*AJ123))/'Item Budget'!$Z$15+'Item Budget'!$R$9*AF123+IFERROR(INDEX('Item Budget'!$O$25:$O$95,MATCH(AL123,'Item Budget'!$B$25:$B$95,0)),0),0)</f>
        <v/>
      </c>
      <c r="AZ123" s="44">
        <f>IF(AND(OR($E123="All",ISNUMBER(SEARCH("Magus",$E123))),AC123&gt;='Item Budget'!$R$10),'Item Budget'!$R$7*100*('Item Budget'!$R$16*(AD123+25*AH123)+'Item Budget'!$S$16*(AE123+25*AJ123))/'Item Budget'!$Z$16+'Item Budget'!$R$9*AF123+IFERROR(INDEX('Item Budget'!$O$25:$O$95,MATCH(AL123,'Item Budget'!$B$25:$B$95,0)),0),0)</f>
        <v/>
      </c>
      <c r="BA123" s="44">
        <f>IF(AND(OR($E123="All",ISNUMBER(SEARCH("Priest",$E123))),AC123&gt;='Item Budget'!$R$10),'Item Budget'!$R$7*100*('Item Budget'!$R$17*(AD123+25*AH123)+'Item Budget'!$S$17*(AE123+25*AJ123))/'Item Budget'!$Z$17+'Item Budget'!$R$9*AF123+IFERROR(INDEX('Item Budget'!$O$25:$O$95,MATCH(AL123,'Item Budget'!$B$25:$B$95,0)),0),0)</f>
        <v/>
      </c>
      <c r="BB123" s="52">
        <f>IF(OR($I123&lt;1,IF($I123&gt;=6,AX123,AT123)&lt;=0),"",IF(SUMPRODUCT(MAX(($C$5:$C$215=$C123)*($I$5:$I$215&gt;=1)*($I$5:$I$215&lt;$I123)*IF($I123&gt;=6,$AX$5:$AX$215,$AT$5:$AT$215)))&lt;=0,"",SUMPRODUCT(MAX(($C$5:$C$215=$C123)*($I$5:$I$215=$I123)*IF($I123&gt;=6,$AX$5:$AX$215,$AT$5:$AT$215)))/SUMPRODUCT(MAX(($C$5:$C$215=$C123)*($I$5:$I$215&gt;=1)*($I$5:$I$215&lt;$I123)*IF($I123&gt;=6,$AX$5:$AX$215,$AT$5:$AT$215)))-1))</f>
        <v/>
      </c>
      <c r="BC123" s="52">
        <f>IF(OR($I123&lt;1,IF($I123&gt;=6,AY123,AU123)&lt;=0),"",IF(SUMPRODUCT(MAX(($C$5:$C$215=$C123)*($I$5:$I$215&gt;=1)*($I$5:$I$215&lt;$I123)*IF($I123&gt;=6,$AY$5:$AY$215,$AU$5:$AU$215)))&lt;=0,"",SUMPRODUCT(MAX(($C$5:$C$215=$C123)*($I$5:$I$215=$I123)*IF($I123&gt;=6,$AY$5:$AY$215,$AU$5:$AU$215)))/SUMPRODUCT(MAX(($C$5:$C$215=$C123)*($I$5:$I$215&gt;=1)*($I$5:$I$215&lt;$I123)*IF($I123&gt;=6,$AY$5:$AY$215,$AU$5:$AU$215)))-1))</f>
        <v/>
      </c>
      <c r="BD123" s="52">
        <f>IF(OR($I123&lt;1,IF($I123&gt;=6,AZ123,AV123)&lt;=0),"",IF(SUMPRODUCT(MAX(($C$5:$C$215=$C123)*($I$5:$I$215&gt;=1)*($I$5:$I$215&lt;$I123)*IF($I123&gt;=6,$AZ$5:$AZ$215,$AV$5:$AV$215)))&lt;=0,"",SUMPRODUCT(MAX(($C$5:$C$215=$C123)*($I$5:$I$215=$I123)*IF($I123&gt;=6,$AZ$5:$AZ$215,$AV$5:$AV$215)))/SUMPRODUCT(MAX(($C$5:$C$215=$C123)*($I$5:$I$215&gt;=1)*($I$5:$I$215&lt;$I123)*IF($I123&gt;=6,$AZ$5:$AZ$215,$AV$5:$AV$215)))-1))</f>
        <v/>
      </c>
      <c r="BE123" s="52">
        <f>IF(OR($I123&lt;1,IF($I123&gt;=6,BA123,AW123)&lt;=0),"",IF(SUMPRODUCT(MAX(($C$5:$C$215=$C123)*($I$5:$I$215&gt;=1)*($I$5:$I$215&lt;$I123)*IF($I123&gt;=6,$BA$5:$BA$215,$AW$5:$AW$215)))&lt;=0,"",SUMPRODUCT(MAX(($C$5:$C$215=$C123)*($I$5:$I$215=$I123)*IF($I123&gt;=6,$BA$5:$BA$215,$AW$5:$AW$215)))/SUMPRODUCT(MAX(($C$5:$C$215=$C123)*($I$5:$I$215&gt;=1)*($I$5:$I$215&lt;$I123)*IF($I123&gt;=6,$BA$5:$BA$215,$AW$5:$AW$215)))-1))</f>
        <v/>
      </c>
      <c r="BF123" s="19">
        <f>IF(AND(BB123="",BC123="",BD123="",BE123=""),"",IF(IF(AND(ISNUMBER(BB123),BB123&lt;'Item Budget'!$R$11),"W ","")&amp;IF(AND(ISNUMBER(BC123),BC123&lt;'Item Budget'!$R$11),"R ","")&amp;IF(AND(ISNUMBER(BD123),BD123&lt;'Item Budget'!$R$11),"M ","")&amp;IF(AND(ISNUMBER(BE123),BE123&lt;'Item Budget'!$R$11),"P ","")="","OK","Not above lower step: "&amp;IF(AND(ISNUMBER(BB123),BB123&lt;'Item Budget'!$R$11),"W ","")&amp;IF(AND(ISNUMBER(BC123),BC123&lt;'Item Budget'!$R$11),"R ","")&amp;IF(AND(ISNUMBER(BD123),BD123&lt;'Item Budget'!$R$11),"M ","")&amp;IF(AND(ISNUMBER(BE123),BE123&lt;'Item Budget'!$R$11),"P ","")))</f>
        <v/>
      </c>
    </row>
    <row r="124">
      <c r="A124" s="21" t="n">
        <v>128</v>
      </c>
      <c r="B124" s="21" t="inlineStr">
        <is>
          <t>Iron Boots</t>
        </is>
      </c>
      <c r="C124" s="21" t="inlineStr">
        <is>
          <t>Shoes</t>
        </is>
      </c>
      <c r="D124" s="21" t="inlineStr">
        <is>
          <t>Rogue</t>
        </is>
      </c>
      <c r="E124" s="21" t="inlineStr">
        <is>
          <t>Rogue</t>
        </is>
      </c>
      <c r="F124" s="21" t="inlineStr">
        <is>
          <t>Rogue</t>
        </is>
      </c>
      <c r="G124" s="21" t="inlineStr">
        <is>
          <t>vendor: Iron Armor Guy</t>
        </is>
      </c>
      <c r="H124" s="37" t="n">
        <v>0</v>
      </c>
      <c r="I124" s="21" t="n">
        <v>0</v>
      </c>
      <c r="J124" s="3" t="inlineStr">
        <is>
          <t>Pass 2</t>
        </is>
      </c>
      <c r="K124" s="21" t="inlineStr">
        <is>
          <t>Vendor</t>
        </is>
      </c>
      <c r="L124" s="31">
        <f>INDEX('Item Budget'!$F$5:$F$13,MATCH(K124,'Item Budget'!$E$5:$E$13,0))+IF(E124="All",0,'Item Budget'!$F$15)+LOOKUP(H124,'Item Budget'!$E$19:$E$23,'Item Budget'!$F$19:$F$23)</f>
        <v/>
      </c>
      <c r="M124" s="21" t="n">
        <v>30</v>
      </c>
      <c r="N124" s="21" t="n">
        <v>25</v>
      </c>
      <c r="O124" s="21" t="n">
        <v>0</v>
      </c>
      <c r="P124" s="21" t="n">
        <v>19</v>
      </c>
      <c r="Q124" s="21" t="n">
        <v>3</v>
      </c>
      <c r="R124" s="21" t="n">
        <v>3</v>
      </c>
      <c r="S124" s="21" t="n">
        <v>10</v>
      </c>
      <c r="T124" s="21" t="n">
        <v>0</v>
      </c>
      <c r="U124" s="21" t="n">
        <v>0</v>
      </c>
      <c r="V124" s="21" t="inlineStr">
        <is>
          <t>(none)</t>
        </is>
      </c>
      <c r="W124" s="61">
        <f>N124*'Item Budget'!$B$5+R124*'Item Budget'!$B$7+P124*'Item Budget'!$B$11+S124*'Item Budget'!$B$10+Q124*'Item Budget'!$B$9+IFERROR(INDEX('Item Budget'!$M$25:$M$95,MATCH(V124,'Item Budget'!$B$25:$B$95,0)),0)+IF($C124="Weapon",U124*'Item Budget'!$B$9,0)</f>
        <v/>
      </c>
      <c r="X124" s="61">
        <f>N124*'Item Budget'!$B$5+R124*'Item Budget'!$B$7+P124*'Item Budget'!$B$11+S124*'Item Budget'!$B$10+O124*'Item Budget'!$B$6+T124*'Item Budget'!$B$8+IFERROR(INDEX('Item Budget'!$N$25:$N$95,MATCH(V124,'Item Budget'!$B$25:$B$95,0)),0)</f>
        <v/>
      </c>
      <c r="Y124" s="61">
        <f>MAX('Item Budget'!$F$16,INDEX('Gear Budget'!$C$8:$C$14,MATCH($C124,'Gear Budget'!$A$8:$A$14,0))*MIN(M124,50))*$L124</f>
        <v/>
      </c>
      <c r="Z124" s="41">
        <f>IF($C124="Caster weapon",X124,MAX(W124,X124))/Y124</f>
        <v/>
      </c>
      <c r="AA124" s="61">
        <f>IF(OR($C124="Weapon",$C124="Caster weapon"),"",'Gear Budget'!$B$5*MAX(1,MIN(M124,50))*INDEX('Gear Budget'!$B$8:$B$14,MATCH($C124,'Gear Budget'!$A$8:$A$14,0))*IF($C124="Shield",IF(D124="Warrior",1,IF(OR(D124="Rogue",D124="All"),0.38/0.6,0.25/0.6)),IFERROR(INDEX('Gear Budget'!$B$18:$B$21,MATCH($F124,'Gear Budget'!$A$18:$A$21,0)),1)))</f>
        <v/>
      </c>
      <c r="AB124" s="41">
        <f>IF(AA124="","",P124/AA124)</f>
        <v/>
      </c>
      <c r="AC124" s="21" t="n">
        <v>30</v>
      </c>
      <c r="AD124" s="20" t="n">
        <v>30</v>
      </c>
      <c r="AE124" s="21" t="n">
        <v>0</v>
      </c>
      <c r="AF124" s="20" t="n">
        <v>23</v>
      </c>
      <c r="AG124" s="20" t="n">
        <v>4</v>
      </c>
      <c r="AH124" s="20" t="n">
        <v>4</v>
      </c>
      <c r="AI124" s="20" t="n">
        <v>12</v>
      </c>
      <c r="AJ124" s="21" t="n">
        <v>0</v>
      </c>
      <c r="AK124" s="21" t="n">
        <v>0</v>
      </c>
      <c r="AL124" s="21" t="inlineStr">
        <is>
          <t>(none)</t>
        </is>
      </c>
      <c r="AM124" s="61">
        <f>AD124*'Item Budget'!$B$5+AH124*'Item Budget'!$B$7+AF124*'Item Budget'!$B$11+AI124*'Item Budget'!$B$10+AG124*'Item Budget'!$B$9+IFERROR(INDEX('Item Budget'!$M$25:$M$95,MATCH(AL124,'Item Budget'!$B$25:$B$95,0)),0)+IF($C124="Weapon",AK124*'Item Budget'!$B$9,0)</f>
        <v/>
      </c>
      <c r="AN124" s="61">
        <f>AD124*'Item Budget'!$B$5+AH124*'Item Budget'!$B$7+AF124*'Item Budget'!$B$11+AI124*'Item Budget'!$B$10+AE124*'Item Budget'!$B$6+AJ124*'Item Budget'!$B$8+IFERROR(INDEX('Item Budget'!$N$25:$N$95,MATCH(AL124,'Item Budget'!$B$25:$B$95,0)),0)</f>
        <v/>
      </c>
      <c r="AO124" s="61">
        <f>MAX('Item Budget'!$F$16,INDEX('Gear Budget'!$C$8:$C$14,MATCH($C124,'Gear Budget'!$A$8:$A$14,0))*MIN(AC124,50))*$L124</f>
        <v/>
      </c>
      <c r="AP124" s="41">
        <f>IF($C124="Caster weapon",AN124,MAX(AM124,AN124))/AO124</f>
        <v/>
      </c>
      <c r="AQ124" s="61">
        <f>IF(OR($C124="Weapon",$C124="Caster weapon"),"",'Gear Budget'!$B$5*MAX(1,MIN(AC124,50))*INDEX('Gear Budget'!$B$8:$B$14,MATCH($C124,'Gear Budget'!$A$8:$A$14,0))*IF($C124="Shield",IF(E124="Warrior",1,IF(OR(E124="Rogue",E124="All"),0.38/0.6,0.25/0.6)),IFERROR(INDEX('Gear Budget'!$B$18:$B$21,MATCH($F124,'Gear Budget'!$A$18:$A$21,0)),1)))</f>
        <v/>
      </c>
      <c r="AR124" s="41">
        <f>IF(AQ124="","",AF124/AQ124)</f>
        <v/>
      </c>
      <c r="AS124" s="64" t="inlineStr">
        <is>
          <t>L30 vendor: 1.85x the matching L20 vendor piece (Bronze Boots) so it is a clear upgrade</t>
        </is>
      </c>
      <c r="AT124" s="44">
        <f>IF(OR($E124="All",ISNUMBER(SEARCH("Warrior",$E124))),IF($C124="Caster weapon",(AN124+AF124*('Item Budget'!$AB$14-'Item Budget'!$B$11)),(AM124+AF124*('Item Budget'!$AB$14-'Item Budget'!$B$11))),0)</f>
        <v/>
      </c>
      <c r="AU124" s="44">
        <f>IF(OR($E124="All",ISNUMBER(SEARCH("Rogue",$E124))),IF($C124="Caster weapon",(AN124+AF124*('Item Budget'!$AB$15-'Item Budget'!$B$11)),(AM124+AF124*('Item Budget'!$AB$15-'Item Budget'!$B$11))),0)</f>
        <v/>
      </c>
      <c r="AV124" s="44">
        <f>IF(OR($E124="All",ISNUMBER(SEARCH("Magus",$E124))),(AN124+AF124*('Item Budget'!$AB$16-'Item Budget'!$B$11)),0)</f>
        <v/>
      </c>
      <c r="AW124" s="44">
        <f>IF(OR($E124="All",ISNUMBER(SEARCH("Priest",$E124))),(AN124+AF124*('Item Budget'!$AB$17-'Item Budget'!$B$11)),0)</f>
        <v/>
      </c>
      <c r="AX124" s="44">
        <f>IF(AND(OR($E124="All",ISNUMBER(SEARCH("Warrior",$E124))),AC124&gt;='Item Budget'!$R$10),'Item Budget'!$R$7*100*('Item Budget'!$R$14*(AD124+25*AH124)+'Item Budget'!$S$14*(AE124+25*AJ124))/'Item Budget'!$Z$14+'Item Budget'!$R$9*AF124+IFERROR(INDEX('Item Budget'!$O$25:$O$95,MATCH(AL124,'Item Budget'!$B$25:$B$95,0)),0),0)</f>
        <v/>
      </c>
      <c r="AY124" s="44">
        <f>IF(AND(OR($E124="All",ISNUMBER(SEARCH("Rogue",$E124))),AC124&gt;='Item Budget'!$R$10),'Item Budget'!$R$7*100*('Item Budget'!$R$15*(AD124+25*AH124)+'Item Budget'!$S$15*(AE124+25*AJ124))/'Item Budget'!$Z$15+'Item Budget'!$R$9*AF124+IFERROR(INDEX('Item Budget'!$O$25:$O$95,MATCH(AL124,'Item Budget'!$B$25:$B$95,0)),0),0)</f>
        <v/>
      </c>
      <c r="AZ124" s="44">
        <f>IF(AND(OR($E124="All",ISNUMBER(SEARCH("Magus",$E124))),AC124&gt;='Item Budget'!$R$10),'Item Budget'!$R$7*100*('Item Budget'!$R$16*(AD124+25*AH124)+'Item Budget'!$S$16*(AE124+25*AJ124))/'Item Budget'!$Z$16+'Item Budget'!$R$9*AF124+IFERROR(INDEX('Item Budget'!$O$25:$O$95,MATCH(AL124,'Item Budget'!$B$25:$B$95,0)),0),0)</f>
        <v/>
      </c>
      <c r="BA124" s="44">
        <f>IF(AND(OR($E124="All",ISNUMBER(SEARCH("Priest",$E124))),AC124&gt;='Item Budget'!$R$10),'Item Budget'!$R$7*100*('Item Budget'!$R$17*(AD124+25*AH124)+'Item Budget'!$S$17*(AE124+25*AJ124))/'Item Budget'!$Z$17+'Item Budget'!$R$9*AF124+IFERROR(INDEX('Item Budget'!$O$25:$O$95,MATCH(AL124,'Item Budget'!$B$25:$B$95,0)),0),0)</f>
        <v/>
      </c>
      <c r="BB124" s="52">
        <f>IF(OR($I124&lt;1,IF($I124&gt;=6,AX124,AT124)&lt;=0),"",IF(SUMPRODUCT(MAX(($C$5:$C$215=$C124)*($I$5:$I$215&gt;=1)*($I$5:$I$215&lt;$I124)*IF($I124&gt;=6,$AX$5:$AX$215,$AT$5:$AT$215)))&lt;=0,"",SUMPRODUCT(MAX(($C$5:$C$215=$C124)*($I$5:$I$215=$I124)*IF($I124&gt;=6,$AX$5:$AX$215,$AT$5:$AT$215)))/SUMPRODUCT(MAX(($C$5:$C$215=$C124)*($I$5:$I$215&gt;=1)*($I$5:$I$215&lt;$I124)*IF($I124&gt;=6,$AX$5:$AX$215,$AT$5:$AT$215)))-1))</f>
        <v/>
      </c>
      <c r="BC124" s="52">
        <f>IF(OR($I124&lt;1,IF($I124&gt;=6,AY124,AU124)&lt;=0),"",IF(SUMPRODUCT(MAX(($C$5:$C$215=$C124)*($I$5:$I$215&gt;=1)*($I$5:$I$215&lt;$I124)*IF($I124&gt;=6,$AY$5:$AY$215,$AU$5:$AU$215)))&lt;=0,"",SUMPRODUCT(MAX(($C$5:$C$215=$C124)*($I$5:$I$215=$I124)*IF($I124&gt;=6,$AY$5:$AY$215,$AU$5:$AU$215)))/SUMPRODUCT(MAX(($C$5:$C$215=$C124)*($I$5:$I$215&gt;=1)*($I$5:$I$215&lt;$I124)*IF($I124&gt;=6,$AY$5:$AY$215,$AU$5:$AU$215)))-1))</f>
        <v/>
      </c>
      <c r="BD124" s="52">
        <f>IF(OR($I124&lt;1,IF($I124&gt;=6,AZ124,AV124)&lt;=0),"",IF(SUMPRODUCT(MAX(($C$5:$C$215=$C124)*($I$5:$I$215&gt;=1)*($I$5:$I$215&lt;$I124)*IF($I124&gt;=6,$AZ$5:$AZ$215,$AV$5:$AV$215)))&lt;=0,"",SUMPRODUCT(MAX(($C$5:$C$215=$C124)*($I$5:$I$215=$I124)*IF($I124&gt;=6,$AZ$5:$AZ$215,$AV$5:$AV$215)))/SUMPRODUCT(MAX(($C$5:$C$215=$C124)*($I$5:$I$215&gt;=1)*($I$5:$I$215&lt;$I124)*IF($I124&gt;=6,$AZ$5:$AZ$215,$AV$5:$AV$215)))-1))</f>
        <v/>
      </c>
      <c r="BE124" s="52">
        <f>IF(OR($I124&lt;1,IF($I124&gt;=6,BA124,AW124)&lt;=0),"",IF(SUMPRODUCT(MAX(($C$5:$C$215=$C124)*($I$5:$I$215&gt;=1)*($I$5:$I$215&lt;$I124)*IF($I124&gt;=6,$BA$5:$BA$215,$AW$5:$AW$215)))&lt;=0,"",SUMPRODUCT(MAX(($C$5:$C$215=$C124)*($I$5:$I$215=$I124)*IF($I124&gt;=6,$BA$5:$BA$215,$AW$5:$AW$215)))/SUMPRODUCT(MAX(($C$5:$C$215=$C124)*($I$5:$I$215&gt;=1)*($I$5:$I$215&lt;$I124)*IF($I124&gt;=6,$BA$5:$BA$215,$AW$5:$AW$215)))-1))</f>
        <v/>
      </c>
      <c r="BF124" s="19">
        <f>IF(AND(BB124="",BC124="",BD124="",BE124=""),"",IF(IF(AND(ISNUMBER(BB124),BB124&lt;'Item Budget'!$R$11),"W ","")&amp;IF(AND(ISNUMBER(BC124),BC124&lt;'Item Budget'!$R$11),"R ","")&amp;IF(AND(ISNUMBER(BD124),BD124&lt;'Item Budget'!$R$11),"M ","")&amp;IF(AND(ISNUMBER(BE124),BE124&lt;'Item Budget'!$R$11),"P ","")="","OK","Not above lower step: "&amp;IF(AND(ISNUMBER(BB124),BB124&lt;'Item Budget'!$R$11),"W ","")&amp;IF(AND(ISNUMBER(BC124),BC124&lt;'Item Budget'!$R$11),"R ","")&amp;IF(AND(ISNUMBER(BD124),BD124&lt;'Item Budget'!$R$11),"M ","")&amp;IF(AND(ISNUMBER(BE124),BE124&lt;'Item Budget'!$R$11),"P ","")))</f>
        <v/>
      </c>
    </row>
    <row r="125">
      <c r="A125" s="21" t="n">
        <v>133</v>
      </c>
      <c r="B125" s="21" t="inlineStr">
        <is>
          <t>Steel Boots</t>
        </is>
      </c>
      <c r="C125" s="21" t="inlineStr">
        <is>
          <t>Shoes</t>
        </is>
      </c>
      <c r="D125" s="21" t="inlineStr">
        <is>
          <t>Warrior</t>
        </is>
      </c>
      <c r="E125" s="21" t="inlineStr">
        <is>
          <t>Warrior</t>
        </is>
      </c>
      <c r="F125" s="21" t="inlineStr">
        <is>
          <t>Warrior plate</t>
        </is>
      </c>
      <c r="G125" s="21" t="inlineStr">
        <is>
          <t>vendor: Steel Armor Guy</t>
        </is>
      </c>
      <c r="H125" s="37" t="n">
        <v>0</v>
      </c>
      <c r="I125" s="21" t="n">
        <v>0</v>
      </c>
      <c r="J125" s="3" t="inlineStr">
        <is>
          <t>Pass 2</t>
        </is>
      </c>
      <c r="K125" s="21" t="inlineStr">
        <is>
          <t>Vendor</t>
        </is>
      </c>
      <c r="L125" s="31">
        <f>INDEX('Item Budget'!$F$5:$F$13,MATCH(K125,'Item Budget'!$E$5:$E$13,0))+IF(E125="All",0,'Item Budget'!$F$15)+LOOKUP(H125,'Item Budget'!$E$19:$E$23,'Item Budget'!$F$19:$F$23)</f>
        <v/>
      </c>
      <c r="M125" s="21" t="n">
        <v>30</v>
      </c>
      <c r="N125" s="21" t="n">
        <v>25</v>
      </c>
      <c r="O125" s="21" t="n">
        <v>0</v>
      </c>
      <c r="P125" s="21" t="n">
        <v>25</v>
      </c>
      <c r="Q125" s="21" t="n">
        <v>3</v>
      </c>
      <c r="R125" s="21" t="n">
        <v>4</v>
      </c>
      <c r="S125" s="21" t="n">
        <v>0</v>
      </c>
      <c r="T125" s="21" t="n">
        <v>0</v>
      </c>
      <c r="U125" s="21" t="n">
        <v>0</v>
      </c>
      <c r="V125" s="21" t="inlineStr">
        <is>
          <t>(none)</t>
        </is>
      </c>
      <c r="W125" s="61">
        <f>N125*'Item Budget'!$B$5+R125*'Item Budget'!$B$7+P125*'Item Budget'!$B$11+S125*'Item Budget'!$B$10+Q125*'Item Budget'!$B$9+IFERROR(INDEX('Item Budget'!$M$25:$M$95,MATCH(V125,'Item Budget'!$B$25:$B$95,0)),0)+IF($C125="Weapon",U125*'Item Budget'!$B$9,0)</f>
        <v/>
      </c>
      <c r="X125" s="61">
        <f>N125*'Item Budget'!$B$5+R125*'Item Budget'!$B$7+P125*'Item Budget'!$B$11+S125*'Item Budget'!$B$10+O125*'Item Budget'!$B$6+T125*'Item Budget'!$B$8+IFERROR(INDEX('Item Budget'!$N$25:$N$95,MATCH(V125,'Item Budget'!$B$25:$B$95,0)),0)</f>
        <v/>
      </c>
      <c r="Y125" s="61">
        <f>MAX('Item Budget'!$F$16,INDEX('Gear Budget'!$C$8:$C$14,MATCH($C125,'Gear Budget'!$A$8:$A$14,0))*MIN(M125,50))*$L125</f>
        <v/>
      </c>
      <c r="Z125" s="41">
        <f>IF($C125="Caster weapon",X125,MAX(W125,X125))/Y125</f>
        <v/>
      </c>
      <c r="AA125" s="61">
        <f>IF(OR($C125="Weapon",$C125="Caster weapon"),"",'Gear Budget'!$B$5*MAX(1,MIN(M125,50))*INDEX('Gear Budget'!$B$8:$B$14,MATCH($C125,'Gear Budget'!$A$8:$A$14,0))*IF($C125="Shield",IF(D125="Warrior",1,IF(OR(D125="Rogue",D125="All"),0.38/0.6,0.25/0.6)),IFERROR(INDEX('Gear Budget'!$B$18:$B$21,MATCH($F125,'Gear Budget'!$A$18:$A$21,0)),1)))</f>
        <v/>
      </c>
      <c r="AB125" s="41">
        <f>IF(AA125="","",P125/AA125)</f>
        <v/>
      </c>
      <c r="AC125" s="21" t="n">
        <v>30</v>
      </c>
      <c r="AD125" s="20" t="n">
        <v>30</v>
      </c>
      <c r="AE125" s="21" t="n">
        <v>0</v>
      </c>
      <c r="AF125" s="20" t="n">
        <v>30</v>
      </c>
      <c r="AG125" s="20" t="n">
        <v>4</v>
      </c>
      <c r="AH125" s="20" t="n">
        <v>5</v>
      </c>
      <c r="AI125" s="21" t="n">
        <v>0</v>
      </c>
      <c r="AJ125" s="21" t="n">
        <v>0</v>
      </c>
      <c r="AK125" s="21" t="n">
        <v>0</v>
      </c>
      <c r="AL125" s="21" t="inlineStr">
        <is>
          <t>(none)</t>
        </is>
      </c>
      <c r="AM125" s="61">
        <f>AD125*'Item Budget'!$B$5+AH125*'Item Budget'!$B$7+AF125*'Item Budget'!$B$11+AI125*'Item Budget'!$B$10+AG125*'Item Budget'!$B$9+IFERROR(INDEX('Item Budget'!$M$25:$M$95,MATCH(AL125,'Item Budget'!$B$25:$B$95,0)),0)+IF($C125="Weapon",AK125*'Item Budget'!$B$9,0)</f>
        <v/>
      </c>
      <c r="AN125" s="61">
        <f>AD125*'Item Budget'!$B$5+AH125*'Item Budget'!$B$7+AF125*'Item Budget'!$B$11+AI125*'Item Budget'!$B$10+AE125*'Item Budget'!$B$6+AJ125*'Item Budget'!$B$8+IFERROR(INDEX('Item Budget'!$N$25:$N$95,MATCH(AL125,'Item Budget'!$B$25:$B$95,0)),0)</f>
        <v/>
      </c>
      <c r="AO125" s="61">
        <f>MAX('Item Budget'!$F$16,INDEX('Gear Budget'!$C$8:$C$14,MATCH($C125,'Gear Budget'!$A$8:$A$14,0))*MIN(AC125,50))*$L125</f>
        <v/>
      </c>
      <c r="AP125" s="41">
        <f>IF($C125="Caster weapon",AN125,MAX(AM125,AN125))/AO125</f>
        <v/>
      </c>
      <c r="AQ125" s="61">
        <f>IF(OR($C125="Weapon",$C125="Caster weapon"),"",'Gear Budget'!$B$5*MAX(1,MIN(AC125,50))*INDEX('Gear Budget'!$B$8:$B$14,MATCH($C125,'Gear Budget'!$A$8:$A$14,0))*IF($C125="Shield",IF(E125="Warrior",1,IF(OR(E125="Rogue",E125="All"),0.38/0.6,0.25/0.6)),IFERROR(INDEX('Gear Budget'!$B$18:$B$21,MATCH($F125,'Gear Budget'!$A$18:$A$21,0)),1)))</f>
        <v/>
      </c>
      <c r="AR125" s="41">
        <f>IF(AQ125="","",AF125/AQ125)</f>
        <v/>
      </c>
      <c r="AS125" s="64" t="inlineStr">
        <is>
          <t>L30 vendor: 1.85x the matching L20 vendor piece (Bronze Boots) so it is a clear upgrade</t>
        </is>
      </c>
      <c r="AT125" s="44">
        <f>IF(OR($E125="All",ISNUMBER(SEARCH("Warrior",$E125))),IF($C125="Caster weapon",(AN125+AF125*('Item Budget'!$AB$14-'Item Budget'!$B$11)),(AM125+AF125*('Item Budget'!$AB$14-'Item Budget'!$B$11))),0)</f>
        <v/>
      </c>
      <c r="AU125" s="44">
        <f>IF(OR($E125="All",ISNUMBER(SEARCH("Rogue",$E125))),IF($C125="Caster weapon",(AN125+AF125*('Item Budget'!$AB$15-'Item Budget'!$B$11)),(AM125+AF125*('Item Budget'!$AB$15-'Item Budget'!$B$11))),0)</f>
        <v/>
      </c>
      <c r="AV125" s="44">
        <f>IF(OR($E125="All",ISNUMBER(SEARCH("Magus",$E125))),(AN125+AF125*('Item Budget'!$AB$16-'Item Budget'!$B$11)),0)</f>
        <v/>
      </c>
      <c r="AW125" s="44">
        <f>IF(OR($E125="All",ISNUMBER(SEARCH("Priest",$E125))),(AN125+AF125*('Item Budget'!$AB$17-'Item Budget'!$B$11)),0)</f>
        <v/>
      </c>
      <c r="AX125" s="44">
        <f>IF(AND(OR($E125="All",ISNUMBER(SEARCH("Warrior",$E125))),AC125&gt;='Item Budget'!$R$10),'Item Budget'!$R$7*100*('Item Budget'!$R$14*(AD125+25*AH125)+'Item Budget'!$S$14*(AE125+25*AJ125))/'Item Budget'!$Z$14+'Item Budget'!$R$9*AF125+IFERROR(INDEX('Item Budget'!$O$25:$O$95,MATCH(AL125,'Item Budget'!$B$25:$B$95,0)),0),0)</f>
        <v/>
      </c>
      <c r="AY125" s="44">
        <f>IF(AND(OR($E125="All",ISNUMBER(SEARCH("Rogue",$E125))),AC125&gt;='Item Budget'!$R$10),'Item Budget'!$R$7*100*('Item Budget'!$R$15*(AD125+25*AH125)+'Item Budget'!$S$15*(AE125+25*AJ125))/'Item Budget'!$Z$15+'Item Budget'!$R$9*AF125+IFERROR(INDEX('Item Budget'!$O$25:$O$95,MATCH(AL125,'Item Budget'!$B$25:$B$95,0)),0),0)</f>
        <v/>
      </c>
      <c r="AZ125" s="44">
        <f>IF(AND(OR($E125="All",ISNUMBER(SEARCH("Magus",$E125))),AC125&gt;='Item Budget'!$R$10),'Item Budget'!$R$7*100*('Item Budget'!$R$16*(AD125+25*AH125)+'Item Budget'!$S$16*(AE125+25*AJ125))/'Item Budget'!$Z$16+'Item Budget'!$R$9*AF125+IFERROR(INDEX('Item Budget'!$O$25:$O$95,MATCH(AL125,'Item Budget'!$B$25:$B$95,0)),0),0)</f>
        <v/>
      </c>
      <c r="BA125" s="44">
        <f>IF(AND(OR($E125="All",ISNUMBER(SEARCH("Priest",$E125))),AC125&gt;='Item Budget'!$R$10),'Item Budget'!$R$7*100*('Item Budget'!$R$17*(AD125+25*AH125)+'Item Budget'!$S$17*(AE125+25*AJ125))/'Item Budget'!$Z$17+'Item Budget'!$R$9*AF125+IFERROR(INDEX('Item Budget'!$O$25:$O$95,MATCH(AL125,'Item Budget'!$B$25:$B$95,0)),0),0)</f>
        <v/>
      </c>
      <c r="BB125" s="52">
        <f>IF(OR($I125&lt;1,IF($I125&gt;=6,AX125,AT125)&lt;=0),"",IF(SUMPRODUCT(MAX(($C$5:$C$215=$C125)*($I$5:$I$215&gt;=1)*($I$5:$I$215&lt;$I125)*IF($I125&gt;=6,$AX$5:$AX$215,$AT$5:$AT$215)))&lt;=0,"",SUMPRODUCT(MAX(($C$5:$C$215=$C125)*($I$5:$I$215=$I125)*IF($I125&gt;=6,$AX$5:$AX$215,$AT$5:$AT$215)))/SUMPRODUCT(MAX(($C$5:$C$215=$C125)*($I$5:$I$215&gt;=1)*($I$5:$I$215&lt;$I125)*IF($I125&gt;=6,$AX$5:$AX$215,$AT$5:$AT$215)))-1))</f>
        <v/>
      </c>
      <c r="BC125" s="52">
        <f>IF(OR($I125&lt;1,IF($I125&gt;=6,AY125,AU125)&lt;=0),"",IF(SUMPRODUCT(MAX(($C$5:$C$215=$C125)*($I$5:$I$215&gt;=1)*($I$5:$I$215&lt;$I125)*IF($I125&gt;=6,$AY$5:$AY$215,$AU$5:$AU$215)))&lt;=0,"",SUMPRODUCT(MAX(($C$5:$C$215=$C125)*($I$5:$I$215=$I125)*IF($I125&gt;=6,$AY$5:$AY$215,$AU$5:$AU$215)))/SUMPRODUCT(MAX(($C$5:$C$215=$C125)*($I$5:$I$215&gt;=1)*($I$5:$I$215&lt;$I125)*IF($I125&gt;=6,$AY$5:$AY$215,$AU$5:$AU$215)))-1))</f>
        <v/>
      </c>
      <c r="BD125" s="52">
        <f>IF(OR($I125&lt;1,IF($I125&gt;=6,AZ125,AV125)&lt;=0),"",IF(SUMPRODUCT(MAX(($C$5:$C$215=$C125)*($I$5:$I$215&gt;=1)*($I$5:$I$215&lt;$I125)*IF($I125&gt;=6,$AZ$5:$AZ$215,$AV$5:$AV$215)))&lt;=0,"",SUMPRODUCT(MAX(($C$5:$C$215=$C125)*($I$5:$I$215=$I125)*IF($I125&gt;=6,$AZ$5:$AZ$215,$AV$5:$AV$215)))/SUMPRODUCT(MAX(($C$5:$C$215=$C125)*($I$5:$I$215&gt;=1)*($I$5:$I$215&lt;$I125)*IF($I125&gt;=6,$AZ$5:$AZ$215,$AV$5:$AV$215)))-1))</f>
        <v/>
      </c>
      <c r="BE125" s="52">
        <f>IF(OR($I125&lt;1,IF($I125&gt;=6,BA125,AW125)&lt;=0),"",IF(SUMPRODUCT(MAX(($C$5:$C$215=$C125)*($I$5:$I$215&gt;=1)*($I$5:$I$215&lt;$I125)*IF($I125&gt;=6,$BA$5:$BA$215,$AW$5:$AW$215)))&lt;=0,"",SUMPRODUCT(MAX(($C$5:$C$215=$C125)*($I$5:$I$215=$I125)*IF($I125&gt;=6,$BA$5:$BA$215,$AW$5:$AW$215)))/SUMPRODUCT(MAX(($C$5:$C$215=$C125)*($I$5:$I$215&gt;=1)*($I$5:$I$215&lt;$I125)*IF($I125&gt;=6,$BA$5:$BA$215,$AW$5:$AW$215)))-1))</f>
        <v/>
      </c>
      <c r="BF125" s="19">
        <f>IF(AND(BB125="",BC125="",BD125="",BE125=""),"",IF(IF(AND(ISNUMBER(BB125),BB125&lt;'Item Budget'!$R$11),"W ","")&amp;IF(AND(ISNUMBER(BC125),BC125&lt;'Item Budget'!$R$11),"R ","")&amp;IF(AND(ISNUMBER(BD125),BD125&lt;'Item Budget'!$R$11),"M ","")&amp;IF(AND(ISNUMBER(BE125),BE125&lt;'Item Budget'!$R$11),"P ","")="","OK","Not above lower step: "&amp;IF(AND(ISNUMBER(BB125),BB125&lt;'Item Budget'!$R$11),"W ","")&amp;IF(AND(ISNUMBER(BC125),BC125&lt;'Item Budget'!$R$11),"R ","")&amp;IF(AND(ISNUMBER(BD125),BD125&lt;'Item Budget'!$R$11),"M ","")&amp;IF(AND(ISNUMBER(BE125),BE125&lt;'Item Budget'!$R$11),"P ","")))</f>
        <v/>
      </c>
    </row>
    <row r="126">
      <c r="A126" s="53" t="n">
        <v>703</v>
      </c>
      <c r="B126" s="53" t="inlineStr">
        <is>
          <t>Woven Silk Slippers</t>
        </is>
      </c>
      <c r="C126" s="53" t="inlineStr">
        <is>
          <t>Shoes</t>
        </is>
      </c>
      <c r="D126" s="53" t="inlineStr">
        <is>
          <t>Magus/Priest</t>
        </is>
      </c>
      <c r="E126" s="21" t="inlineStr">
        <is>
          <t>Magus/Priest</t>
        </is>
      </c>
      <c r="F126" s="53" t="inlineStr">
        <is>
          <t>Caster cloth</t>
        </is>
      </c>
      <c r="G126" s="53" t="inlineStr">
        <is>
          <t>vendor: Silk Armor Guy</t>
        </is>
      </c>
      <c r="H126" s="54" t="n">
        <v>0</v>
      </c>
      <c r="I126" s="53" t="n">
        <v>0</v>
      </c>
      <c r="J126" s="55" t="inlineStr">
        <is>
          <t>Pass 2</t>
        </is>
      </c>
      <c r="K126" s="53" t="inlineStr">
        <is>
          <t>Vendor</t>
        </is>
      </c>
      <c r="L126" s="56">
        <f>INDEX('Item Budget'!$F$5:$F$13,MATCH(K126,'Item Budget'!$E$5:$E$13,0))+IF(E126="All",0,'Item Budget'!$F$15)+LOOKUP(H126,'Item Budget'!$E$19:$E$23,'Item Budget'!$F$19:$F$23)</f>
        <v/>
      </c>
      <c r="M126" s="21" t="n">
        <v>30</v>
      </c>
      <c r="N126" s="21" t="n">
        <v>0</v>
      </c>
      <c r="O126" s="21" t="n">
        <v>75</v>
      </c>
      <c r="P126" s="21" t="n">
        <v>13</v>
      </c>
      <c r="Q126" s="21" t="n">
        <v>0</v>
      </c>
      <c r="R126" s="21" t="n">
        <v>4</v>
      </c>
      <c r="S126" s="21" t="n">
        <v>0</v>
      </c>
      <c r="T126" s="21" t="n">
        <v>7</v>
      </c>
      <c r="U126" s="21" t="n">
        <v>0</v>
      </c>
      <c r="V126" s="21" t="inlineStr">
        <is>
          <t>(none)</t>
        </is>
      </c>
      <c r="W126" s="61">
        <f>N126*'Item Budget'!$B$5+R126*'Item Budget'!$B$7+P126*'Item Budget'!$B$11+S126*'Item Budget'!$B$10+Q126*'Item Budget'!$B$9+IFERROR(INDEX('Item Budget'!$M$25:$M$95,MATCH(V126,'Item Budget'!$B$25:$B$95,0)),0)+IF($C126="Weapon",U126*'Item Budget'!$B$9,0)</f>
        <v/>
      </c>
      <c r="X126" s="61">
        <f>N126*'Item Budget'!$B$5+R126*'Item Budget'!$B$7+P126*'Item Budget'!$B$11+S126*'Item Budget'!$B$10+O126*'Item Budget'!$B$6+T126*'Item Budget'!$B$8+IFERROR(INDEX('Item Budget'!$N$25:$N$95,MATCH(V126,'Item Budget'!$B$25:$B$95,0)),0)</f>
        <v/>
      </c>
      <c r="Y126" s="61">
        <f>MAX('Item Budget'!$F$16,INDEX('Gear Budget'!$C$8:$C$14,MATCH($C126,'Gear Budget'!$A$8:$A$14,0))*MIN(M126,50))*$L126</f>
        <v/>
      </c>
      <c r="Z126" s="41">
        <f>IF($C126="Caster weapon",X126,MAX(W126,X126))/Y126</f>
        <v/>
      </c>
      <c r="AA126" s="61">
        <f>IF(OR($C126="Weapon",$C126="Caster weapon"),"",'Gear Budget'!$B$5*MAX(1,MIN(M126,50))*INDEX('Gear Budget'!$B$8:$B$14,MATCH($C126,'Gear Budget'!$A$8:$A$14,0))*IF($C126="Shield",IF(D126="Warrior",1,IF(OR(D126="Rogue",D126="All"),0.38/0.6,0.25/0.6)),IFERROR(INDEX('Gear Budget'!$B$18:$B$21,MATCH($F126,'Gear Budget'!$A$18:$A$21,0)),1)))</f>
        <v/>
      </c>
      <c r="AB126" s="41">
        <f>IF(AA126="","",P126/AA126)</f>
        <v/>
      </c>
      <c r="AC126" s="21" t="n">
        <v>30</v>
      </c>
      <c r="AD126" s="21" t="n">
        <v>0</v>
      </c>
      <c r="AE126" s="20" t="n">
        <v>90</v>
      </c>
      <c r="AF126" s="20" t="n">
        <v>15</v>
      </c>
      <c r="AG126" s="21" t="n">
        <v>0</v>
      </c>
      <c r="AH126" s="20" t="n">
        <v>5</v>
      </c>
      <c r="AI126" s="21" t="n">
        <v>0</v>
      </c>
      <c r="AJ126" s="20" t="n">
        <v>8</v>
      </c>
      <c r="AK126" s="21" t="n">
        <v>0</v>
      </c>
      <c r="AL126" s="21" t="inlineStr">
        <is>
          <t>(none)</t>
        </is>
      </c>
      <c r="AM126" s="61">
        <f>AD126*'Item Budget'!$B$5+AH126*'Item Budget'!$B$7+AF126*'Item Budget'!$B$11+AI126*'Item Budget'!$B$10+AG126*'Item Budget'!$B$9+IFERROR(INDEX('Item Budget'!$M$25:$M$95,MATCH(AL126,'Item Budget'!$B$25:$B$95,0)),0)+IF($C126="Weapon",AK126*'Item Budget'!$B$9,0)</f>
        <v/>
      </c>
      <c r="AN126" s="61">
        <f>AD126*'Item Budget'!$B$5+AH126*'Item Budget'!$B$7+AF126*'Item Budget'!$B$11+AI126*'Item Budget'!$B$10+AE126*'Item Budget'!$B$6+AJ126*'Item Budget'!$B$8+IFERROR(INDEX('Item Budget'!$N$25:$N$95,MATCH(AL126,'Item Budget'!$B$25:$B$95,0)),0)</f>
        <v/>
      </c>
      <c r="AO126" s="61">
        <f>MAX('Item Budget'!$F$16,INDEX('Gear Budget'!$C$8:$C$14,MATCH($C126,'Gear Budget'!$A$8:$A$14,0))*MIN(AC126,50))*$L126</f>
        <v/>
      </c>
      <c r="AP126" s="41">
        <f>IF($C126="Caster weapon",AN126,MAX(AM126,AN126))/AO126</f>
        <v/>
      </c>
      <c r="AQ126" s="61">
        <f>IF(OR($C126="Weapon",$C126="Caster weapon"),"",'Gear Budget'!$B$5*MAX(1,MIN(AC126,50))*INDEX('Gear Budget'!$B$8:$B$14,MATCH($C126,'Gear Budget'!$A$8:$A$14,0))*IF($C126="Shield",IF(E126="Warrior",1,IF(OR(E126="Rogue",E126="All"),0.38/0.6,0.25/0.6)),IFERROR(INDEX('Gear Budget'!$B$18:$B$21,MATCH($F126,'Gear Budget'!$A$18:$A$21,0)),1)))</f>
        <v/>
      </c>
      <c r="AR126" s="41">
        <f>IF(AQ126="","",AF126/AQ126)</f>
        <v/>
      </c>
      <c r="AS126" s="64" t="inlineStr">
        <is>
          <t>L30 vendor: 1.85x the matching L20 vendor piece (Silk Slippers) so it is a clear upgrade</t>
        </is>
      </c>
      <c r="AT126" s="44">
        <f>IF(OR($E126="All",ISNUMBER(SEARCH("Warrior",$E126))),IF($C126="Caster weapon",(AN126+AF126*('Item Budget'!$AB$14-'Item Budget'!$B$11)),(AM126+AF126*('Item Budget'!$AB$14-'Item Budget'!$B$11))),0)</f>
        <v/>
      </c>
      <c r="AU126" s="44">
        <f>IF(OR($E126="All",ISNUMBER(SEARCH("Rogue",$E126))),IF($C126="Caster weapon",(AN126+AF126*('Item Budget'!$AB$15-'Item Budget'!$B$11)),(AM126+AF126*('Item Budget'!$AB$15-'Item Budget'!$B$11))),0)</f>
        <v/>
      </c>
      <c r="AV126" s="44">
        <f>IF(OR($E126="All",ISNUMBER(SEARCH("Magus",$E126))),(AN126+AF126*('Item Budget'!$AB$16-'Item Budget'!$B$11)),0)</f>
        <v/>
      </c>
      <c r="AW126" s="44">
        <f>IF(OR($E126="All",ISNUMBER(SEARCH("Priest",$E126))),(AN126+AF126*('Item Budget'!$AB$17-'Item Budget'!$B$11)),0)</f>
        <v/>
      </c>
      <c r="AX126" s="44">
        <f>IF(AND(OR($E126="All",ISNUMBER(SEARCH("Warrior",$E126))),AC126&gt;='Item Budget'!$R$10),'Item Budget'!$R$7*100*('Item Budget'!$R$14*(AD126+25*AH126)+'Item Budget'!$S$14*(AE126+25*AJ126))/'Item Budget'!$Z$14+'Item Budget'!$R$9*AF126+IFERROR(INDEX('Item Budget'!$O$25:$O$95,MATCH(AL126,'Item Budget'!$B$25:$B$95,0)),0),0)</f>
        <v/>
      </c>
      <c r="AY126" s="44">
        <f>IF(AND(OR($E126="All",ISNUMBER(SEARCH("Rogue",$E126))),AC126&gt;='Item Budget'!$R$10),'Item Budget'!$R$7*100*('Item Budget'!$R$15*(AD126+25*AH126)+'Item Budget'!$S$15*(AE126+25*AJ126))/'Item Budget'!$Z$15+'Item Budget'!$R$9*AF126+IFERROR(INDEX('Item Budget'!$O$25:$O$95,MATCH(AL126,'Item Budget'!$B$25:$B$95,0)),0),0)</f>
        <v/>
      </c>
      <c r="AZ126" s="44">
        <f>IF(AND(OR($E126="All",ISNUMBER(SEARCH("Magus",$E126))),AC126&gt;='Item Budget'!$R$10),'Item Budget'!$R$7*100*('Item Budget'!$R$16*(AD126+25*AH126)+'Item Budget'!$S$16*(AE126+25*AJ126))/'Item Budget'!$Z$16+'Item Budget'!$R$9*AF126+IFERROR(INDEX('Item Budget'!$O$25:$O$95,MATCH(AL126,'Item Budget'!$B$25:$B$95,0)),0),0)</f>
        <v/>
      </c>
      <c r="BA126" s="44">
        <f>IF(AND(OR($E126="All",ISNUMBER(SEARCH("Priest",$E126))),AC126&gt;='Item Budget'!$R$10),'Item Budget'!$R$7*100*('Item Budget'!$R$17*(AD126+25*AH126)+'Item Budget'!$S$17*(AE126+25*AJ126))/'Item Budget'!$Z$17+'Item Budget'!$R$9*AF126+IFERROR(INDEX('Item Budget'!$O$25:$O$95,MATCH(AL126,'Item Budget'!$B$25:$B$95,0)),0),0)</f>
        <v/>
      </c>
      <c r="BB126" s="52">
        <f>IF(OR($I126&lt;1,IF($I126&gt;=6,AX126,AT126)&lt;=0),"",IF(SUMPRODUCT(MAX(($C$5:$C$215=$C126)*($I$5:$I$215&gt;=1)*($I$5:$I$215&lt;$I126)*IF($I126&gt;=6,$AX$5:$AX$215,$AT$5:$AT$215)))&lt;=0,"",SUMPRODUCT(MAX(($C$5:$C$215=$C126)*($I$5:$I$215=$I126)*IF($I126&gt;=6,$AX$5:$AX$215,$AT$5:$AT$215)))/SUMPRODUCT(MAX(($C$5:$C$215=$C126)*($I$5:$I$215&gt;=1)*($I$5:$I$215&lt;$I126)*IF($I126&gt;=6,$AX$5:$AX$215,$AT$5:$AT$215)))-1))</f>
        <v/>
      </c>
      <c r="BC126" s="52">
        <f>IF(OR($I126&lt;1,IF($I126&gt;=6,AY126,AU126)&lt;=0),"",IF(SUMPRODUCT(MAX(($C$5:$C$215=$C126)*($I$5:$I$215&gt;=1)*($I$5:$I$215&lt;$I126)*IF($I126&gt;=6,$AY$5:$AY$215,$AU$5:$AU$215)))&lt;=0,"",SUMPRODUCT(MAX(($C$5:$C$215=$C126)*($I$5:$I$215=$I126)*IF($I126&gt;=6,$AY$5:$AY$215,$AU$5:$AU$215)))/SUMPRODUCT(MAX(($C$5:$C$215=$C126)*($I$5:$I$215&gt;=1)*($I$5:$I$215&lt;$I126)*IF($I126&gt;=6,$AY$5:$AY$215,$AU$5:$AU$215)))-1))</f>
        <v/>
      </c>
      <c r="BD126" s="52">
        <f>IF(OR($I126&lt;1,IF($I126&gt;=6,AZ126,AV126)&lt;=0),"",IF(SUMPRODUCT(MAX(($C$5:$C$215=$C126)*($I$5:$I$215&gt;=1)*($I$5:$I$215&lt;$I126)*IF($I126&gt;=6,$AZ$5:$AZ$215,$AV$5:$AV$215)))&lt;=0,"",SUMPRODUCT(MAX(($C$5:$C$215=$C126)*($I$5:$I$215=$I126)*IF($I126&gt;=6,$AZ$5:$AZ$215,$AV$5:$AV$215)))/SUMPRODUCT(MAX(($C$5:$C$215=$C126)*($I$5:$I$215&gt;=1)*($I$5:$I$215&lt;$I126)*IF($I126&gt;=6,$AZ$5:$AZ$215,$AV$5:$AV$215)))-1))</f>
        <v/>
      </c>
      <c r="BE126" s="52">
        <f>IF(OR($I126&lt;1,IF($I126&gt;=6,BA126,AW126)&lt;=0),"",IF(SUMPRODUCT(MAX(($C$5:$C$215=$C126)*($I$5:$I$215&gt;=1)*($I$5:$I$215&lt;$I126)*IF($I126&gt;=6,$BA$5:$BA$215,$AW$5:$AW$215)))&lt;=0,"",SUMPRODUCT(MAX(($C$5:$C$215=$C126)*($I$5:$I$215=$I126)*IF($I126&gt;=6,$BA$5:$BA$215,$AW$5:$AW$215)))/SUMPRODUCT(MAX(($C$5:$C$215=$C126)*($I$5:$I$215&gt;=1)*($I$5:$I$215&lt;$I126)*IF($I126&gt;=6,$BA$5:$BA$215,$AW$5:$AW$215)))-1))</f>
        <v/>
      </c>
      <c r="BF126" s="19">
        <f>IF(AND(BB126="",BC126="",BD126="",BE126=""),"",IF(IF(AND(ISNUMBER(BB126),BB126&lt;'Item Budget'!$R$11),"W ","")&amp;IF(AND(ISNUMBER(BC126),BC126&lt;'Item Budget'!$R$11),"R ","")&amp;IF(AND(ISNUMBER(BD126),BD126&lt;'Item Budget'!$R$11),"M ","")&amp;IF(AND(ISNUMBER(BE126),BE126&lt;'Item Budget'!$R$11),"P ","")="","OK","Not above lower step: "&amp;IF(AND(ISNUMBER(BB126),BB126&lt;'Item Budget'!$R$11),"W ","")&amp;IF(AND(ISNUMBER(BC126),BC126&lt;'Item Budget'!$R$11),"R ","")&amp;IF(AND(ISNUMBER(BD126),BD126&lt;'Item Budget'!$R$11),"M ","")&amp;IF(AND(ISNUMBER(BE126),BE126&lt;'Item Budget'!$R$11),"P ","")))</f>
        <v/>
      </c>
    </row>
    <row r="127">
      <c r="A127" s="21" t="n">
        <v>225</v>
      </c>
      <c r="B127" s="21" t="inlineStr">
        <is>
          <t>Priests Shoes</t>
        </is>
      </c>
      <c r="C127" s="21" t="inlineStr">
        <is>
          <t>Shoes</t>
        </is>
      </c>
      <c r="D127" s="21" t="inlineStr">
        <is>
          <t>Priest</t>
        </is>
      </c>
      <c r="E127" s="21" t="inlineStr">
        <is>
          <t>Priest</t>
        </is>
      </c>
      <c r="F127" s="21" t="inlineStr">
        <is>
          <t>Caster cloth</t>
        </is>
      </c>
      <c r="G127" s="21" t="inlineStr">
        <is>
          <t>drop: Boney 7%</t>
        </is>
      </c>
      <c r="H127" s="37" t="n">
        <v>0</v>
      </c>
      <c r="I127" s="21" t="n">
        <v>0</v>
      </c>
      <c r="J127" s="3" t="inlineStr">
        <is>
          <t>Pass 2</t>
        </is>
      </c>
      <c r="K127" s="21" t="inlineStr">
        <is>
          <t>Rare boss drop</t>
        </is>
      </c>
      <c r="L127" s="31">
        <f>INDEX('Item Budget'!$F$5:$F$13,MATCH(K127,'Item Budget'!$E$5:$E$13,0))+IF(E127="All",0,'Item Budget'!$F$15)+LOOKUP(H127,'Item Budget'!$E$19:$E$23,'Item Budget'!$F$19:$F$23)</f>
        <v/>
      </c>
      <c r="M127" s="21" t="n">
        <v>40</v>
      </c>
      <c r="N127" s="21" t="n">
        <v>75</v>
      </c>
      <c r="O127" s="21" t="n">
        <v>150</v>
      </c>
      <c r="P127" s="21" t="n">
        <v>20</v>
      </c>
      <c r="Q127" s="21" t="n">
        <v>0</v>
      </c>
      <c r="R127" s="21" t="n">
        <v>7</v>
      </c>
      <c r="S127" s="21" t="n">
        <v>0</v>
      </c>
      <c r="T127" s="21" t="n">
        <v>12</v>
      </c>
      <c r="U127" s="21" t="n">
        <v>0</v>
      </c>
      <c r="V127" s="21" t="inlineStr">
        <is>
          <t>(none)</t>
        </is>
      </c>
      <c r="W127" s="61">
        <f>N127*'Item Budget'!$B$5+R127*'Item Budget'!$B$7+P127*'Item Budget'!$B$11+S127*'Item Budget'!$B$10+Q127*'Item Budget'!$B$9+IFERROR(INDEX('Item Budget'!$M$25:$M$95,MATCH(V127,'Item Budget'!$B$25:$B$95,0)),0)+IF($C127="Weapon",U127*'Item Budget'!$B$9,0)</f>
        <v/>
      </c>
      <c r="X127" s="61">
        <f>N127*'Item Budget'!$B$5+R127*'Item Budget'!$B$7+P127*'Item Budget'!$B$11+S127*'Item Budget'!$B$10+O127*'Item Budget'!$B$6+T127*'Item Budget'!$B$8+IFERROR(INDEX('Item Budget'!$N$25:$N$95,MATCH(V127,'Item Budget'!$B$25:$B$95,0)),0)</f>
        <v/>
      </c>
      <c r="Y127" s="61">
        <f>MAX('Item Budget'!$F$16,INDEX('Gear Budget'!$C$8:$C$14,MATCH($C127,'Gear Budget'!$A$8:$A$14,0))*MIN(M127,50))*$L127</f>
        <v/>
      </c>
      <c r="Z127" s="41">
        <f>IF($C127="Caster weapon",X127,MAX(W127,X127))/Y127</f>
        <v/>
      </c>
      <c r="AA127" s="61">
        <f>IF(OR($C127="Weapon",$C127="Caster weapon"),"",'Gear Budget'!$B$5*MAX(1,MIN(M127,50))*INDEX('Gear Budget'!$B$8:$B$14,MATCH($C127,'Gear Budget'!$A$8:$A$14,0))*IF($C127="Shield",IF(D127="Warrior",1,IF(OR(D127="Rogue",D127="All"),0.38/0.6,0.25/0.6)),IFERROR(INDEX('Gear Budget'!$B$18:$B$21,MATCH($F127,'Gear Budget'!$A$18:$A$21,0)),1)))</f>
        <v/>
      </c>
      <c r="AB127" s="41">
        <f>IF(AA127="","",P127/AA127)</f>
        <v/>
      </c>
      <c r="AC127" s="21" t="n">
        <v>40</v>
      </c>
      <c r="AD127" s="20" t="n">
        <v>70</v>
      </c>
      <c r="AE127" s="20" t="n">
        <v>140</v>
      </c>
      <c r="AF127" s="20" t="n">
        <v>18</v>
      </c>
      <c r="AG127" s="21" t="n">
        <v>0</v>
      </c>
      <c r="AH127" s="20" t="n">
        <v>6</v>
      </c>
      <c r="AI127" s="21" t="n">
        <v>0</v>
      </c>
      <c r="AJ127" s="20" t="n">
        <v>11</v>
      </c>
      <c r="AK127" s="21" t="n">
        <v>0</v>
      </c>
      <c r="AL127" s="21" t="inlineStr">
        <is>
          <t>(none)</t>
        </is>
      </c>
      <c r="AM127" s="61">
        <f>AD127*'Item Budget'!$B$5+AH127*'Item Budget'!$B$7+AF127*'Item Budget'!$B$11+AI127*'Item Budget'!$B$10+AG127*'Item Budget'!$B$9+IFERROR(INDEX('Item Budget'!$M$25:$M$95,MATCH(AL127,'Item Budget'!$B$25:$B$95,0)),0)+IF($C127="Weapon",AK127*'Item Budget'!$B$9,0)</f>
        <v/>
      </c>
      <c r="AN127" s="61">
        <f>AD127*'Item Budget'!$B$5+AH127*'Item Budget'!$B$7+AF127*'Item Budget'!$B$11+AI127*'Item Budget'!$B$10+AE127*'Item Budget'!$B$6+AJ127*'Item Budget'!$B$8+IFERROR(INDEX('Item Budget'!$N$25:$N$95,MATCH(AL127,'Item Budget'!$B$25:$B$95,0)),0)</f>
        <v/>
      </c>
      <c r="AO127" s="61">
        <f>MAX('Item Budget'!$F$16,INDEX('Gear Budget'!$C$8:$C$14,MATCH($C127,'Gear Budget'!$A$8:$A$14,0))*MIN(AC127,50))*$L127</f>
        <v/>
      </c>
      <c r="AP127" s="41">
        <f>IF($C127="Caster weapon",AN127,MAX(AM127,AN127))/AO127</f>
        <v/>
      </c>
      <c r="AQ127" s="61">
        <f>IF(OR($C127="Weapon",$C127="Caster weapon"),"",'Gear Budget'!$B$5*MAX(1,MIN(AC127,50))*INDEX('Gear Budget'!$B$8:$B$14,MATCH($C127,'Gear Budget'!$A$8:$A$14,0))*IF($C127="Shield",IF(E127="Warrior",1,IF(OR(E127="Rogue",E127="All"),0.38/0.6,0.25/0.6)),IFERROR(INDEX('Gear Budget'!$B$18:$B$21,MATCH($F127,'Gear Budget'!$A$18:$A$21,0)),1)))</f>
        <v/>
      </c>
      <c r="AR127" s="41">
        <f>IF(AQ127="","",AF127/AQ127)</f>
        <v/>
      </c>
      <c r="AS127" s="64" t="inlineStr">
        <is>
          <t>L40 boss set: lowered so Punchy is a clear (+25%) upgrade</t>
        </is>
      </c>
      <c r="AT127" s="44">
        <f>IF(OR($E127="All",ISNUMBER(SEARCH("Warrior",$E127))),IF($C127="Caster weapon",(AN127+AF127*('Item Budget'!$AB$14-'Item Budget'!$B$11)),(AM127+AF127*('Item Budget'!$AB$14-'Item Budget'!$B$11))),0)</f>
        <v/>
      </c>
      <c r="AU127" s="44">
        <f>IF(OR($E127="All",ISNUMBER(SEARCH("Rogue",$E127))),IF($C127="Caster weapon",(AN127+AF127*('Item Budget'!$AB$15-'Item Budget'!$B$11)),(AM127+AF127*('Item Budget'!$AB$15-'Item Budget'!$B$11))),0)</f>
        <v/>
      </c>
      <c r="AV127" s="44">
        <f>IF(OR($E127="All",ISNUMBER(SEARCH("Magus",$E127))),(AN127+AF127*('Item Budget'!$AB$16-'Item Budget'!$B$11)),0)</f>
        <v/>
      </c>
      <c r="AW127" s="44">
        <f>IF(OR($E127="All",ISNUMBER(SEARCH("Priest",$E127))),(AN127+AF127*('Item Budget'!$AB$17-'Item Budget'!$B$11)),0)</f>
        <v/>
      </c>
      <c r="AX127" s="44">
        <f>IF(AND(OR($E127="All",ISNUMBER(SEARCH("Warrior",$E127))),AC127&gt;='Item Budget'!$R$10),'Item Budget'!$R$7*100*('Item Budget'!$R$14*(AD127+25*AH127)+'Item Budget'!$S$14*(AE127+25*AJ127))/'Item Budget'!$Z$14+'Item Budget'!$R$9*AF127+IFERROR(INDEX('Item Budget'!$O$25:$O$95,MATCH(AL127,'Item Budget'!$B$25:$B$95,0)),0),0)</f>
        <v/>
      </c>
      <c r="AY127" s="44">
        <f>IF(AND(OR($E127="All",ISNUMBER(SEARCH("Rogue",$E127))),AC127&gt;='Item Budget'!$R$10),'Item Budget'!$R$7*100*('Item Budget'!$R$15*(AD127+25*AH127)+'Item Budget'!$S$15*(AE127+25*AJ127))/'Item Budget'!$Z$15+'Item Budget'!$R$9*AF127+IFERROR(INDEX('Item Budget'!$O$25:$O$95,MATCH(AL127,'Item Budget'!$B$25:$B$95,0)),0),0)</f>
        <v/>
      </c>
      <c r="AZ127" s="44">
        <f>IF(AND(OR($E127="All",ISNUMBER(SEARCH("Magus",$E127))),AC127&gt;='Item Budget'!$R$10),'Item Budget'!$R$7*100*('Item Budget'!$R$16*(AD127+25*AH127)+'Item Budget'!$S$16*(AE127+25*AJ127))/'Item Budget'!$Z$16+'Item Budget'!$R$9*AF127+IFERROR(INDEX('Item Budget'!$O$25:$O$95,MATCH(AL127,'Item Budget'!$B$25:$B$95,0)),0),0)</f>
        <v/>
      </c>
      <c r="BA127" s="44">
        <f>IF(AND(OR($E127="All",ISNUMBER(SEARCH("Priest",$E127))),AC127&gt;='Item Budget'!$R$10),'Item Budget'!$R$7*100*('Item Budget'!$R$17*(AD127+25*AH127)+'Item Budget'!$S$17*(AE127+25*AJ127))/'Item Budget'!$Z$17+'Item Budget'!$R$9*AF127+IFERROR(INDEX('Item Budget'!$O$25:$O$95,MATCH(AL127,'Item Budget'!$B$25:$B$95,0)),0),0)</f>
        <v/>
      </c>
      <c r="BB127" s="52">
        <f>IF(OR($I127&lt;1,IF($I127&gt;=6,AX127,AT127)&lt;=0),"",IF(SUMPRODUCT(MAX(($C$5:$C$215=$C127)*($I$5:$I$215&gt;=1)*($I$5:$I$215&lt;$I127)*IF($I127&gt;=6,$AX$5:$AX$215,$AT$5:$AT$215)))&lt;=0,"",SUMPRODUCT(MAX(($C$5:$C$215=$C127)*($I$5:$I$215=$I127)*IF($I127&gt;=6,$AX$5:$AX$215,$AT$5:$AT$215)))/SUMPRODUCT(MAX(($C$5:$C$215=$C127)*($I$5:$I$215&gt;=1)*($I$5:$I$215&lt;$I127)*IF($I127&gt;=6,$AX$5:$AX$215,$AT$5:$AT$215)))-1))</f>
        <v/>
      </c>
      <c r="BC127" s="52">
        <f>IF(OR($I127&lt;1,IF($I127&gt;=6,AY127,AU127)&lt;=0),"",IF(SUMPRODUCT(MAX(($C$5:$C$215=$C127)*($I$5:$I$215&gt;=1)*($I$5:$I$215&lt;$I127)*IF($I127&gt;=6,$AY$5:$AY$215,$AU$5:$AU$215)))&lt;=0,"",SUMPRODUCT(MAX(($C$5:$C$215=$C127)*($I$5:$I$215=$I127)*IF($I127&gt;=6,$AY$5:$AY$215,$AU$5:$AU$215)))/SUMPRODUCT(MAX(($C$5:$C$215=$C127)*($I$5:$I$215&gt;=1)*($I$5:$I$215&lt;$I127)*IF($I127&gt;=6,$AY$5:$AY$215,$AU$5:$AU$215)))-1))</f>
        <v/>
      </c>
      <c r="BD127" s="52">
        <f>IF(OR($I127&lt;1,IF($I127&gt;=6,AZ127,AV127)&lt;=0),"",IF(SUMPRODUCT(MAX(($C$5:$C$215=$C127)*($I$5:$I$215&gt;=1)*($I$5:$I$215&lt;$I127)*IF($I127&gt;=6,$AZ$5:$AZ$215,$AV$5:$AV$215)))&lt;=0,"",SUMPRODUCT(MAX(($C$5:$C$215=$C127)*($I$5:$I$215=$I127)*IF($I127&gt;=6,$AZ$5:$AZ$215,$AV$5:$AV$215)))/SUMPRODUCT(MAX(($C$5:$C$215=$C127)*($I$5:$I$215&gt;=1)*($I$5:$I$215&lt;$I127)*IF($I127&gt;=6,$AZ$5:$AZ$215,$AV$5:$AV$215)))-1))</f>
        <v/>
      </c>
      <c r="BE127" s="52">
        <f>IF(OR($I127&lt;1,IF($I127&gt;=6,BA127,AW127)&lt;=0),"",IF(SUMPRODUCT(MAX(($C$5:$C$215=$C127)*($I$5:$I$215&gt;=1)*($I$5:$I$215&lt;$I127)*IF($I127&gt;=6,$BA$5:$BA$215,$AW$5:$AW$215)))&lt;=0,"",SUMPRODUCT(MAX(($C$5:$C$215=$C127)*($I$5:$I$215=$I127)*IF($I127&gt;=6,$BA$5:$BA$215,$AW$5:$AW$215)))/SUMPRODUCT(MAX(($C$5:$C$215=$C127)*($I$5:$I$215&gt;=1)*($I$5:$I$215&lt;$I127)*IF($I127&gt;=6,$BA$5:$BA$215,$AW$5:$AW$215)))-1))</f>
        <v/>
      </c>
      <c r="BF127" s="19">
        <f>IF(AND(BB127="",BC127="",BD127="",BE127=""),"",IF(IF(AND(ISNUMBER(BB127),BB127&lt;'Item Budget'!$R$11),"W ","")&amp;IF(AND(ISNUMBER(BC127),BC127&lt;'Item Budget'!$R$11),"R ","")&amp;IF(AND(ISNUMBER(BD127),BD127&lt;'Item Budget'!$R$11),"M ","")&amp;IF(AND(ISNUMBER(BE127),BE127&lt;'Item Budget'!$R$11),"P ","")="","OK","Not above lower step: "&amp;IF(AND(ISNUMBER(BB127),BB127&lt;'Item Budget'!$R$11),"W ","")&amp;IF(AND(ISNUMBER(BC127),BC127&lt;'Item Budget'!$R$11),"R ","")&amp;IF(AND(ISNUMBER(BD127),BD127&lt;'Item Budget'!$R$11),"M ","")&amp;IF(AND(ISNUMBER(BE127),BE127&lt;'Item Budget'!$R$11),"P ","")))</f>
        <v/>
      </c>
    </row>
    <row r="128">
      <c r="A128" s="21" t="n">
        <v>228</v>
      </c>
      <c r="B128" s="21" t="inlineStr">
        <is>
          <t>Magus Shoes</t>
        </is>
      </c>
      <c r="C128" s="21" t="inlineStr">
        <is>
          <t>Shoes</t>
        </is>
      </c>
      <c r="D128" s="21" t="inlineStr">
        <is>
          <t>Magus</t>
        </is>
      </c>
      <c r="E128" s="21" t="inlineStr">
        <is>
          <t>Magus</t>
        </is>
      </c>
      <c r="F128" s="21" t="inlineStr">
        <is>
          <t>Caster cloth</t>
        </is>
      </c>
      <c r="G128" s="21" t="inlineStr">
        <is>
          <t>drop: Boney 7%</t>
        </is>
      </c>
      <c r="H128" s="37" t="n">
        <v>0</v>
      </c>
      <c r="I128" s="21" t="n">
        <v>0</v>
      </c>
      <c r="J128" s="3" t="inlineStr">
        <is>
          <t>Pass 2</t>
        </is>
      </c>
      <c r="K128" s="21" t="inlineStr">
        <is>
          <t>Rare boss drop</t>
        </is>
      </c>
      <c r="L128" s="31">
        <f>INDEX('Item Budget'!$F$5:$F$13,MATCH(K128,'Item Budget'!$E$5:$E$13,0))+IF(E128="All",0,'Item Budget'!$F$15)+LOOKUP(H128,'Item Budget'!$E$19:$E$23,'Item Budget'!$F$19:$F$23)</f>
        <v/>
      </c>
      <c r="M128" s="21" t="n">
        <v>40</v>
      </c>
      <c r="N128" s="21" t="n">
        <v>25</v>
      </c>
      <c r="O128" s="21" t="n">
        <v>200</v>
      </c>
      <c r="P128" s="21" t="n">
        <v>20</v>
      </c>
      <c r="Q128" s="21" t="n">
        <v>0</v>
      </c>
      <c r="R128" s="21" t="n">
        <v>4</v>
      </c>
      <c r="S128" s="21" t="n">
        <v>0</v>
      </c>
      <c r="T128" s="21" t="n">
        <v>14</v>
      </c>
      <c r="U128" s="21" t="n">
        <v>0</v>
      </c>
      <c r="V128" s="21" t="inlineStr">
        <is>
          <t>(none)</t>
        </is>
      </c>
      <c r="W128" s="61">
        <f>N128*'Item Budget'!$B$5+R128*'Item Budget'!$B$7+P128*'Item Budget'!$B$11+S128*'Item Budget'!$B$10+Q128*'Item Budget'!$B$9+IFERROR(INDEX('Item Budget'!$M$25:$M$95,MATCH(V128,'Item Budget'!$B$25:$B$95,0)),0)+IF($C128="Weapon",U128*'Item Budget'!$B$9,0)</f>
        <v/>
      </c>
      <c r="X128" s="61">
        <f>N128*'Item Budget'!$B$5+R128*'Item Budget'!$B$7+P128*'Item Budget'!$B$11+S128*'Item Budget'!$B$10+O128*'Item Budget'!$B$6+T128*'Item Budget'!$B$8+IFERROR(INDEX('Item Budget'!$N$25:$N$95,MATCH(V128,'Item Budget'!$B$25:$B$95,0)),0)</f>
        <v/>
      </c>
      <c r="Y128" s="61">
        <f>MAX('Item Budget'!$F$16,INDEX('Gear Budget'!$C$8:$C$14,MATCH($C128,'Gear Budget'!$A$8:$A$14,0))*MIN(M128,50))*$L128</f>
        <v/>
      </c>
      <c r="Z128" s="41">
        <f>IF($C128="Caster weapon",X128,MAX(W128,X128))/Y128</f>
        <v/>
      </c>
      <c r="AA128" s="61">
        <f>IF(OR($C128="Weapon",$C128="Caster weapon"),"",'Gear Budget'!$B$5*MAX(1,MIN(M128,50))*INDEX('Gear Budget'!$B$8:$B$14,MATCH($C128,'Gear Budget'!$A$8:$A$14,0))*IF($C128="Shield",IF(D128="Warrior",1,IF(OR(D128="Rogue",D128="All"),0.38/0.6,0.25/0.6)),IFERROR(INDEX('Gear Budget'!$B$18:$B$21,MATCH($F128,'Gear Budget'!$A$18:$A$21,0)),1)))</f>
        <v/>
      </c>
      <c r="AB128" s="41">
        <f>IF(AA128="","",P128/AA128)</f>
        <v/>
      </c>
      <c r="AC128" s="21" t="n">
        <v>40</v>
      </c>
      <c r="AD128" s="21" t="n">
        <v>25</v>
      </c>
      <c r="AE128" s="20" t="n">
        <v>185</v>
      </c>
      <c r="AF128" s="20" t="n">
        <v>18</v>
      </c>
      <c r="AG128" s="21" t="n">
        <v>0</v>
      </c>
      <c r="AH128" s="21" t="n">
        <v>4</v>
      </c>
      <c r="AI128" s="21" t="n">
        <v>0</v>
      </c>
      <c r="AJ128" s="20" t="n">
        <v>13</v>
      </c>
      <c r="AK128" s="21" t="n">
        <v>0</v>
      </c>
      <c r="AL128" s="21" t="inlineStr">
        <is>
          <t>(none)</t>
        </is>
      </c>
      <c r="AM128" s="61">
        <f>AD128*'Item Budget'!$B$5+AH128*'Item Budget'!$B$7+AF128*'Item Budget'!$B$11+AI128*'Item Budget'!$B$10+AG128*'Item Budget'!$B$9+IFERROR(INDEX('Item Budget'!$M$25:$M$95,MATCH(AL128,'Item Budget'!$B$25:$B$95,0)),0)+IF($C128="Weapon",AK128*'Item Budget'!$B$9,0)</f>
        <v/>
      </c>
      <c r="AN128" s="61">
        <f>AD128*'Item Budget'!$B$5+AH128*'Item Budget'!$B$7+AF128*'Item Budget'!$B$11+AI128*'Item Budget'!$B$10+AE128*'Item Budget'!$B$6+AJ128*'Item Budget'!$B$8+IFERROR(INDEX('Item Budget'!$N$25:$N$95,MATCH(AL128,'Item Budget'!$B$25:$B$95,0)),0)</f>
        <v/>
      </c>
      <c r="AO128" s="61">
        <f>MAX('Item Budget'!$F$16,INDEX('Gear Budget'!$C$8:$C$14,MATCH($C128,'Gear Budget'!$A$8:$A$14,0))*MIN(AC128,50))*$L128</f>
        <v/>
      </c>
      <c r="AP128" s="41">
        <f>IF($C128="Caster weapon",AN128,MAX(AM128,AN128))/AO128</f>
        <v/>
      </c>
      <c r="AQ128" s="61">
        <f>IF(OR($C128="Weapon",$C128="Caster weapon"),"",'Gear Budget'!$B$5*MAX(1,MIN(AC128,50))*INDEX('Gear Budget'!$B$8:$B$14,MATCH($C128,'Gear Budget'!$A$8:$A$14,0))*IF($C128="Shield",IF(E128="Warrior",1,IF(OR(E128="Rogue",E128="All"),0.38/0.6,0.25/0.6)),IFERROR(INDEX('Gear Budget'!$B$18:$B$21,MATCH($F128,'Gear Budget'!$A$18:$A$21,0)),1)))</f>
        <v/>
      </c>
      <c r="AR128" s="41">
        <f>IF(AQ128="","",AF128/AQ128)</f>
        <v/>
      </c>
      <c r="AS128" s="64" t="inlineStr">
        <is>
          <t>L40 boss set: lowered so Punchy is a clear (+25%) upgrade</t>
        </is>
      </c>
      <c r="AT128" s="44">
        <f>IF(OR($E128="All",ISNUMBER(SEARCH("Warrior",$E128))),IF($C128="Caster weapon",(AN128+AF128*('Item Budget'!$AB$14-'Item Budget'!$B$11)),(AM128+AF128*('Item Budget'!$AB$14-'Item Budget'!$B$11))),0)</f>
        <v/>
      </c>
      <c r="AU128" s="44">
        <f>IF(OR($E128="All",ISNUMBER(SEARCH("Rogue",$E128))),IF($C128="Caster weapon",(AN128+AF128*('Item Budget'!$AB$15-'Item Budget'!$B$11)),(AM128+AF128*('Item Budget'!$AB$15-'Item Budget'!$B$11))),0)</f>
        <v/>
      </c>
      <c r="AV128" s="44">
        <f>IF(OR($E128="All",ISNUMBER(SEARCH("Magus",$E128))),(AN128+AF128*('Item Budget'!$AB$16-'Item Budget'!$B$11)),0)</f>
        <v/>
      </c>
      <c r="AW128" s="44">
        <f>IF(OR($E128="All",ISNUMBER(SEARCH("Priest",$E128))),(AN128+AF128*('Item Budget'!$AB$17-'Item Budget'!$B$11)),0)</f>
        <v/>
      </c>
      <c r="AX128" s="44">
        <f>IF(AND(OR($E128="All",ISNUMBER(SEARCH("Warrior",$E128))),AC128&gt;='Item Budget'!$R$10),'Item Budget'!$R$7*100*('Item Budget'!$R$14*(AD128+25*AH128)+'Item Budget'!$S$14*(AE128+25*AJ128))/'Item Budget'!$Z$14+'Item Budget'!$R$9*AF128+IFERROR(INDEX('Item Budget'!$O$25:$O$95,MATCH(AL128,'Item Budget'!$B$25:$B$95,0)),0),0)</f>
        <v/>
      </c>
      <c r="AY128" s="44">
        <f>IF(AND(OR($E128="All",ISNUMBER(SEARCH("Rogue",$E128))),AC128&gt;='Item Budget'!$R$10),'Item Budget'!$R$7*100*('Item Budget'!$R$15*(AD128+25*AH128)+'Item Budget'!$S$15*(AE128+25*AJ128))/'Item Budget'!$Z$15+'Item Budget'!$R$9*AF128+IFERROR(INDEX('Item Budget'!$O$25:$O$95,MATCH(AL128,'Item Budget'!$B$25:$B$95,0)),0),0)</f>
        <v/>
      </c>
      <c r="AZ128" s="44">
        <f>IF(AND(OR($E128="All",ISNUMBER(SEARCH("Magus",$E128))),AC128&gt;='Item Budget'!$R$10),'Item Budget'!$R$7*100*('Item Budget'!$R$16*(AD128+25*AH128)+'Item Budget'!$S$16*(AE128+25*AJ128))/'Item Budget'!$Z$16+'Item Budget'!$R$9*AF128+IFERROR(INDEX('Item Budget'!$O$25:$O$95,MATCH(AL128,'Item Budget'!$B$25:$B$95,0)),0),0)</f>
        <v/>
      </c>
      <c r="BA128" s="44">
        <f>IF(AND(OR($E128="All",ISNUMBER(SEARCH("Priest",$E128))),AC128&gt;='Item Budget'!$R$10),'Item Budget'!$R$7*100*('Item Budget'!$R$17*(AD128+25*AH128)+'Item Budget'!$S$17*(AE128+25*AJ128))/'Item Budget'!$Z$17+'Item Budget'!$R$9*AF128+IFERROR(INDEX('Item Budget'!$O$25:$O$95,MATCH(AL128,'Item Budget'!$B$25:$B$95,0)),0),0)</f>
        <v/>
      </c>
      <c r="BB128" s="52">
        <f>IF(OR($I128&lt;1,IF($I128&gt;=6,AX128,AT128)&lt;=0),"",IF(SUMPRODUCT(MAX(($C$5:$C$215=$C128)*($I$5:$I$215&gt;=1)*($I$5:$I$215&lt;$I128)*IF($I128&gt;=6,$AX$5:$AX$215,$AT$5:$AT$215)))&lt;=0,"",SUMPRODUCT(MAX(($C$5:$C$215=$C128)*($I$5:$I$215=$I128)*IF($I128&gt;=6,$AX$5:$AX$215,$AT$5:$AT$215)))/SUMPRODUCT(MAX(($C$5:$C$215=$C128)*($I$5:$I$215&gt;=1)*($I$5:$I$215&lt;$I128)*IF($I128&gt;=6,$AX$5:$AX$215,$AT$5:$AT$215)))-1))</f>
        <v/>
      </c>
      <c r="BC128" s="52">
        <f>IF(OR($I128&lt;1,IF($I128&gt;=6,AY128,AU128)&lt;=0),"",IF(SUMPRODUCT(MAX(($C$5:$C$215=$C128)*($I$5:$I$215&gt;=1)*($I$5:$I$215&lt;$I128)*IF($I128&gt;=6,$AY$5:$AY$215,$AU$5:$AU$215)))&lt;=0,"",SUMPRODUCT(MAX(($C$5:$C$215=$C128)*($I$5:$I$215=$I128)*IF($I128&gt;=6,$AY$5:$AY$215,$AU$5:$AU$215)))/SUMPRODUCT(MAX(($C$5:$C$215=$C128)*($I$5:$I$215&gt;=1)*($I$5:$I$215&lt;$I128)*IF($I128&gt;=6,$AY$5:$AY$215,$AU$5:$AU$215)))-1))</f>
        <v/>
      </c>
      <c r="BD128" s="52">
        <f>IF(OR($I128&lt;1,IF($I128&gt;=6,AZ128,AV128)&lt;=0),"",IF(SUMPRODUCT(MAX(($C$5:$C$215=$C128)*($I$5:$I$215&gt;=1)*($I$5:$I$215&lt;$I128)*IF($I128&gt;=6,$AZ$5:$AZ$215,$AV$5:$AV$215)))&lt;=0,"",SUMPRODUCT(MAX(($C$5:$C$215=$C128)*($I$5:$I$215=$I128)*IF($I128&gt;=6,$AZ$5:$AZ$215,$AV$5:$AV$215)))/SUMPRODUCT(MAX(($C$5:$C$215=$C128)*($I$5:$I$215&gt;=1)*($I$5:$I$215&lt;$I128)*IF($I128&gt;=6,$AZ$5:$AZ$215,$AV$5:$AV$215)))-1))</f>
        <v/>
      </c>
      <c r="BE128" s="52">
        <f>IF(OR($I128&lt;1,IF($I128&gt;=6,BA128,AW128)&lt;=0),"",IF(SUMPRODUCT(MAX(($C$5:$C$215=$C128)*($I$5:$I$215&gt;=1)*($I$5:$I$215&lt;$I128)*IF($I128&gt;=6,$BA$5:$BA$215,$AW$5:$AW$215)))&lt;=0,"",SUMPRODUCT(MAX(($C$5:$C$215=$C128)*($I$5:$I$215=$I128)*IF($I128&gt;=6,$BA$5:$BA$215,$AW$5:$AW$215)))/SUMPRODUCT(MAX(($C$5:$C$215=$C128)*($I$5:$I$215&gt;=1)*($I$5:$I$215&lt;$I128)*IF($I128&gt;=6,$BA$5:$BA$215,$AW$5:$AW$215)))-1))</f>
        <v/>
      </c>
      <c r="BF128" s="19">
        <f>IF(AND(BB128="",BC128="",BD128="",BE128=""),"",IF(IF(AND(ISNUMBER(BB128),BB128&lt;'Item Budget'!$R$11),"W ","")&amp;IF(AND(ISNUMBER(BC128),BC128&lt;'Item Budget'!$R$11),"R ","")&amp;IF(AND(ISNUMBER(BD128),BD128&lt;'Item Budget'!$R$11),"M ","")&amp;IF(AND(ISNUMBER(BE128),BE128&lt;'Item Budget'!$R$11),"P ","")="","OK","Not above lower step: "&amp;IF(AND(ISNUMBER(BB128),BB128&lt;'Item Budget'!$R$11),"W ","")&amp;IF(AND(ISNUMBER(BC128),BC128&lt;'Item Budget'!$R$11),"R ","")&amp;IF(AND(ISNUMBER(BD128),BD128&lt;'Item Budget'!$R$11),"M ","")&amp;IF(AND(ISNUMBER(BE128),BE128&lt;'Item Budget'!$R$11),"P ","")))</f>
        <v/>
      </c>
    </row>
    <row r="129">
      <c r="A129" s="21" t="n">
        <v>233</v>
      </c>
      <c r="B129" s="21" t="inlineStr">
        <is>
          <t>Warriors Boots</t>
        </is>
      </c>
      <c r="C129" s="21" t="inlineStr">
        <is>
          <t>Shoes</t>
        </is>
      </c>
      <c r="D129" s="21" t="inlineStr">
        <is>
          <t>Warrior</t>
        </is>
      </c>
      <c r="E129" s="21" t="inlineStr">
        <is>
          <t>Warrior</t>
        </is>
      </c>
      <c r="F129" s="21" t="inlineStr">
        <is>
          <t>Warrior plate</t>
        </is>
      </c>
      <c r="G129" s="21" t="inlineStr">
        <is>
          <t>drop: Boney 7%</t>
        </is>
      </c>
      <c r="H129" s="37" t="n">
        <v>0</v>
      </c>
      <c r="I129" s="21" t="n">
        <v>0</v>
      </c>
      <c r="J129" s="3" t="inlineStr">
        <is>
          <t>Pass 2</t>
        </is>
      </c>
      <c r="K129" s="21" t="inlineStr">
        <is>
          <t>Rare boss drop</t>
        </is>
      </c>
      <c r="L129" s="31">
        <f>INDEX('Item Budget'!$F$5:$F$13,MATCH(K129,'Item Budget'!$E$5:$E$13,0))+IF(E129="All",0,'Item Budget'!$F$15)+LOOKUP(H129,'Item Budget'!$E$19:$E$23,'Item Budget'!$F$19:$F$23)</f>
        <v/>
      </c>
      <c r="M129" s="21" t="n">
        <v>40</v>
      </c>
      <c r="N129" s="21" t="n">
        <v>100</v>
      </c>
      <c r="O129" s="21" t="n">
        <v>0</v>
      </c>
      <c r="P129" s="21" t="n">
        <v>34</v>
      </c>
      <c r="Q129" s="21" t="n">
        <v>6</v>
      </c>
      <c r="R129" s="21" t="n">
        <v>10</v>
      </c>
      <c r="S129" s="21" t="n">
        <v>2</v>
      </c>
      <c r="T129" s="21" t="n">
        <v>0</v>
      </c>
      <c r="U129" s="21" t="n">
        <v>0</v>
      </c>
      <c r="V129" s="21" t="inlineStr">
        <is>
          <t>(none)</t>
        </is>
      </c>
      <c r="W129" s="61">
        <f>N129*'Item Budget'!$B$5+R129*'Item Budget'!$B$7+P129*'Item Budget'!$B$11+S129*'Item Budget'!$B$10+Q129*'Item Budget'!$B$9+IFERROR(INDEX('Item Budget'!$M$25:$M$95,MATCH(V129,'Item Budget'!$B$25:$B$95,0)),0)+IF($C129="Weapon",U129*'Item Budget'!$B$9,0)</f>
        <v/>
      </c>
      <c r="X129" s="61">
        <f>N129*'Item Budget'!$B$5+R129*'Item Budget'!$B$7+P129*'Item Budget'!$B$11+S129*'Item Budget'!$B$10+O129*'Item Budget'!$B$6+T129*'Item Budget'!$B$8+IFERROR(INDEX('Item Budget'!$N$25:$N$95,MATCH(V129,'Item Budget'!$B$25:$B$95,0)),0)</f>
        <v/>
      </c>
      <c r="Y129" s="61">
        <f>MAX('Item Budget'!$F$16,INDEX('Gear Budget'!$C$8:$C$14,MATCH($C129,'Gear Budget'!$A$8:$A$14,0))*MIN(M129,50))*$L129</f>
        <v/>
      </c>
      <c r="Z129" s="41">
        <f>IF($C129="Caster weapon",X129,MAX(W129,X129))/Y129</f>
        <v/>
      </c>
      <c r="AA129" s="61">
        <f>IF(OR($C129="Weapon",$C129="Caster weapon"),"",'Gear Budget'!$B$5*MAX(1,MIN(M129,50))*INDEX('Gear Budget'!$B$8:$B$14,MATCH($C129,'Gear Budget'!$A$8:$A$14,0))*IF($C129="Shield",IF(D129="Warrior",1,IF(OR(D129="Rogue",D129="All"),0.38/0.6,0.25/0.6)),IFERROR(INDEX('Gear Budget'!$B$18:$B$21,MATCH($F129,'Gear Budget'!$A$18:$A$21,0)),1)))</f>
        <v/>
      </c>
      <c r="AB129" s="41">
        <f>IF(AA129="","",P129/AA129)</f>
        <v/>
      </c>
      <c r="AC129" s="21" t="n">
        <v>40</v>
      </c>
      <c r="AD129" s="20" t="n">
        <v>90</v>
      </c>
      <c r="AE129" s="21" t="n">
        <v>0</v>
      </c>
      <c r="AF129" s="20" t="n">
        <v>31</v>
      </c>
      <c r="AG129" s="21" t="n">
        <v>6</v>
      </c>
      <c r="AH129" s="20" t="n">
        <v>9</v>
      </c>
      <c r="AI129" s="21" t="n">
        <v>2</v>
      </c>
      <c r="AJ129" s="21" t="n">
        <v>0</v>
      </c>
      <c r="AK129" s="21" t="n">
        <v>0</v>
      </c>
      <c r="AL129" s="21" t="inlineStr">
        <is>
          <t>(none)</t>
        </is>
      </c>
      <c r="AM129" s="61">
        <f>AD129*'Item Budget'!$B$5+AH129*'Item Budget'!$B$7+AF129*'Item Budget'!$B$11+AI129*'Item Budget'!$B$10+AG129*'Item Budget'!$B$9+IFERROR(INDEX('Item Budget'!$M$25:$M$95,MATCH(AL129,'Item Budget'!$B$25:$B$95,0)),0)+IF($C129="Weapon",AK129*'Item Budget'!$B$9,0)</f>
        <v/>
      </c>
      <c r="AN129" s="61">
        <f>AD129*'Item Budget'!$B$5+AH129*'Item Budget'!$B$7+AF129*'Item Budget'!$B$11+AI129*'Item Budget'!$B$10+AE129*'Item Budget'!$B$6+AJ129*'Item Budget'!$B$8+IFERROR(INDEX('Item Budget'!$N$25:$N$95,MATCH(AL129,'Item Budget'!$B$25:$B$95,0)),0)</f>
        <v/>
      </c>
      <c r="AO129" s="61">
        <f>MAX('Item Budget'!$F$16,INDEX('Gear Budget'!$C$8:$C$14,MATCH($C129,'Gear Budget'!$A$8:$A$14,0))*MIN(AC129,50))*$L129</f>
        <v/>
      </c>
      <c r="AP129" s="41">
        <f>IF($C129="Caster weapon",AN129,MAX(AM129,AN129))/AO129</f>
        <v/>
      </c>
      <c r="AQ129" s="61">
        <f>IF(OR($C129="Weapon",$C129="Caster weapon"),"",'Gear Budget'!$B$5*MAX(1,MIN(AC129,50))*INDEX('Gear Budget'!$B$8:$B$14,MATCH($C129,'Gear Budget'!$A$8:$A$14,0))*IF($C129="Shield",IF(E129="Warrior",1,IF(OR(E129="Rogue",E129="All"),0.38/0.6,0.25/0.6)),IFERROR(INDEX('Gear Budget'!$B$18:$B$21,MATCH($F129,'Gear Budget'!$A$18:$A$21,0)),1)))</f>
        <v/>
      </c>
      <c r="AR129" s="41">
        <f>IF(AQ129="","",AF129/AQ129)</f>
        <v/>
      </c>
      <c r="AS129" s="64" t="inlineStr">
        <is>
          <t>L40 boss set: lowered so Punchy is a clear (+25%) upgrade</t>
        </is>
      </c>
      <c r="AT129" s="44">
        <f>IF(OR($E129="All",ISNUMBER(SEARCH("Warrior",$E129))),IF($C129="Caster weapon",(AN129+AF129*('Item Budget'!$AB$14-'Item Budget'!$B$11)),(AM129+AF129*('Item Budget'!$AB$14-'Item Budget'!$B$11))),0)</f>
        <v/>
      </c>
      <c r="AU129" s="44">
        <f>IF(OR($E129="All",ISNUMBER(SEARCH("Rogue",$E129))),IF($C129="Caster weapon",(AN129+AF129*('Item Budget'!$AB$15-'Item Budget'!$B$11)),(AM129+AF129*('Item Budget'!$AB$15-'Item Budget'!$B$11))),0)</f>
        <v/>
      </c>
      <c r="AV129" s="44">
        <f>IF(OR($E129="All",ISNUMBER(SEARCH("Magus",$E129))),(AN129+AF129*('Item Budget'!$AB$16-'Item Budget'!$B$11)),0)</f>
        <v/>
      </c>
      <c r="AW129" s="44">
        <f>IF(OR($E129="All",ISNUMBER(SEARCH("Priest",$E129))),(AN129+AF129*('Item Budget'!$AB$17-'Item Budget'!$B$11)),0)</f>
        <v/>
      </c>
      <c r="AX129" s="44">
        <f>IF(AND(OR($E129="All",ISNUMBER(SEARCH("Warrior",$E129))),AC129&gt;='Item Budget'!$R$10),'Item Budget'!$R$7*100*('Item Budget'!$R$14*(AD129+25*AH129)+'Item Budget'!$S$14*(AE129+25*AJ129))/'Item Budget'!$Z$14+'Item Budget'!$R$9*AF129+IFERROR(INDEX('Item Budget'!$O$25:$O$95,MATCH(AL129,'Item Budget'!$B$25:$B$95,0)),0),0)</f>
        <v/>
      </c>
      <c r="AY129" s="44">
        <f>IF(AND(OR($E129="All",ISNUMBER(SEARCH("Rogue",$E129))),AC129&gt;='Item Budget'!$R$10),'Item Budget'!$R$7*100*('Item Budget'!$R$15*(AD129+25*AH129)+'Item Budget'!$S$15*(AE129+25*AJ129))/'Item Budget'!$Z$15+'Item Budget'!$R$9*AF129+IFERROR(INDEX('Item Budget'!$O$25:$O$95,MATCH(AL129,'Item Budget'!$B$25:$B$95,0)),0),0)</f>
        <v/>
      </c>
      <c r="AZ129" s="44">
        <f>IF(AND(OR($E129="All",ISNUMBER(SEARCH("Magus",$E129))),AC129&gt;='Item Budget'!$R$10),'Item Budget'!$R$7*100*('Item Budget'!$R$16*(AD129+25*AH129)+'Item Budget'!$S$16*(AE129+25*AJ129))/'Item Budget'!$Z$16+'Item Budget'!$R$9*AF129+IFERROR(INDEX('Item Budget'!$O$25:$O$95,MATCH(AL129,'Item Budget'!$B$25:$B$95,0)),0),0)</f>
        <v/>
      </c>
      <c r="BA129" s="44">
        <f>IF(AND(OR($E129="All",ISNUMBER(SEARCH("Priest",$E129))),AC129&gt;='Item Budget'!$R$10),'Item Budget'!$R$7*100*('Item Budget'!$R$17*(AD129+25*AH129)+'Item Budget'!$S$17*(AE129+25*AJ129))/'Item Budget'!$Z$17+'Item Budget'!$R$9*AF129+IFERROR(INDEX('Item Budget'!$O$25:$O$95,MATCH(AL129,'Item Budget'!$B$25:$B$95,0)),0),0)</f>
        <v/>
      </c>
      <c r="BB129" s="52">
        <f>IF(OR($I129&lt;1,IF($I129&gt;=6,AX129,AT129)&lt;=0),"",IF(SUMPRODUCT(MAX(($C$5:$C$215=$C129)*($I$5:$I$215&gt;=1)*($I$5:$I$215&lt;$I129)*IF($I129&gt;=6,$AX$5:$AX$215,$AT$5:$AT$215)))&lt;=0,"",SUMPRODUCT(MAX(($C$5:$C$215=$C129)*($I$5:$I$215=$I129)*IF($I129&gt;=6,$AX$5:$AX$215,$AT$5:$AT$215)))/SUMPRODUCT(MAX(($C$5:$C$215=$C129)*($I$5:$I$215&gt;=1)*($I$5:$I$215&lt;$I129)*IF($I129&gt;=6,$AX$5:$AX$215,$AT$5:$AT$215)))-1))</f>
        <v/>
      </c>
      <c r="BC129" s="52">
        <f>IF(OR($I129&lt;1,IF($I129&gt;=6,AY129,AU129)&lt;=0),"",IF(SUMPRODUCT(MAX(($C$5:$C$215=$C129)*($I$5:$I$215&gt;=1)*($I$5:$I$215&lt;$I129)*IF($I129&gt;=6,$AY$5:$AY$215,$AU$5:$AU$215)))&lt;=0,"",SUMPRODUCT(MAX(($C$5:$C$215=$C129)*($I$5:$I$215=$I129)*IF($I129&gt;=6,$AY$5:$AY$215,$AU$5:$AU$215)))/SUMPRODUCT(MAX(($C$5:$C$215=$C129)*($I$5:$I$215&gt;=1)*($I$5:$I$215&lt;$I129)*IF($I129&gt;=6,$AY$5:$AY$215,$AU$5:$AU$215)))-1))</f>
        <v/>
      </c>
      <c r="BD129" s="52">
        <f>IF(OR($I129&lt;1,IF($I129&gt;=6,AZ129,AV129)&lt;=0),"",IF(SUMPRODUCT(MAX(($C$5:$C$215=$C129)*($I$5:$I$215&gt;=1)*($I$5:$I$215&lt;$I129)*IF($I129&gt;=6,$AZ$5:$AZ$215,$AV$5:$AV$215)))&lt;=0,"",SUMPRODUCT(MAX(($C$5:$C$215=$C129)*($I$5:$I$215=$I129)*IF($I129&gt;=6,$AZ$5:$AZ$215,$AV$5:$AV$215)))/SUMPRODUCT(MAX(($C$5:$C$215=$C129)*($I$5:$I$215&gt;=1)*($I$5:$I$215&lt;$I129)*IF($I129&gt;=6,$AZ$5:$AZ$215,$AV$5:$AV$215)))-1))</f>
        <v/>
      </c>
      <c r="BE129" s="52">
        <f>IF(OR($I129&lt;1,IF($I129&gt;=6,BA129,AW129)&lt;=0),"",IF(SUMPRODUCT(MAX(($C$5:$C$215=$C129)*($I$5:$I$215&gt;=1)*($I$5:$I$215&lt;$I129)*IF($I129&gt;=6,$BA$5:$BA$215,$AW$5:$AW$215)))&lt;=0,"",SUMPRODUCT(MAX(($C$5:$C$215=$C129)*($I$5:$I$215=$I129)*IF($I129&gt;=6,$BA$5:$BA$215,$AW$5:$AW$215)))/SUMPRODUCT(MAX(($C$5:$C$215=$C129)*($I$5:$I$215&gt;=1)*($I$5:$I$215&lt;$I129)*IF($I129&gt;=6,$BA$5:$BA$215,$AW$5:$AW$215)))-1))</f>
        <v/>
      </c>
      <c r="BF129" s="19">
        <f>IF(AND(BB129="",BC129="",BD129="",BE129=""),"",IF(IF(AND(ISNUMBER(BB129),BB129&lt;'Item Budget'!$R$11),"W ","")&amp;IF(AND(ISNUMBER(BC129),BC129&lt;'Item Budget'!$R$11),"R ","")&amp;IF(AND(ISNUMBER(BD129),BD129&lt;'Item Budget'!$R$11),"M ","")&amp;IF(AND(ISNUMBER(BE129),BE129&lt;'Item Budget'!$R$11),"P ","")="","OK","Not above lower step: "&amp;IF(AND(ISNUMBER(BB129),BB129&lt;'Item Budget'!$R$11),"W ","")&amp;IF(AND(ISNUMBER(BC129),BC129&lt;'Item Budget'!$R$11),"R ","")&amp;IF(AND(ISNUMBER(BD129),BD129&lt;'Item Budget'!$R$11),"M ","")&amp;IF(AND(ISNUMBER(BE129),BE129&lt;'Item Budget'!$R$11),"P ","")))</f>
        <v/>
      </c>
    </row>
    <row r="130">
      <c r="A130" s="21" t="n">
        <v>237</v>
      </c>
      <c r="B130" s="21" t="inlineStr">
        <is>
          <t>Rogues Boots</t>
        </is>
      </c>
      <c r="C130" s="21" t="inlineStr">
        <is>
          <t>Shoes</t>
        </is>
      </c>
      <c r="D130" s="21" t="inlineStr">
        <is>
          <t>Rogue</t>
        </is>
      </c>
      <c r="E130" s="21" t="inlineStr">
        <is>
          <t>Rogue</t>
        </is>
      </c>
      <c r="F130" s="21" t="inlineStr">
        <is>
          <t>Rogue</t>
        </is>
      </c>
      <c r="G130" s="21" t="inlineStr">
        <is>
          <t>drop: Boney 7%</t>
        </is>
      </c>
      <c r="H130" s="37" t="n">
        <v>0</v>
      </c>
      <c r="I130" s="21" t="n">
        <v>0</v>
      </c>
      <c r="J130" s="3" t="inlineStr">
        <is>
          <t>Pass 2</t>
        </is>
      </c>
      <c r="K130" s="21" t="inlineStr">
        <is>
          <t>Rare boss drop</t>
        </is>
      </c>
      <c r="L130" s="31">
        <f>INDEX('Item Budget'!$F$5:$F$13,MATCH(K130,'Item Budget'!$E$5:$E$13,0))+IF(E130="All",0,'Item Budget'!$F$15)+LOOKUP(H130,'Item Budget'!$E$19:$E$23,'Item Budget'!$F$19:$F$23)</f>
        <v/>
      </c>
      <c r="M130" s="21" t="n">
        <v>40</v>
      </c>
      <c r="N130" s="21" t="n">
        <v>75</v>
      </c>
      <c r="O130" s="21" t="n">
        <v>0</v>
      </c>
      <c r="P130" s="21" t="n">
        <v>26</v>
      </c>
      <c r="Q130" s="21" t="n">
        <v>6</v>
      </c>
      <c r="R130" s="21" t="n">
        <v>9</v>
      </c>
      <c r="S130" s="21" t="n">
        <v>15</v>
      </c>
      <c r="T130" s="21" t="n">
        <v>0</v>
      </c>
      <c r="U130" s="21" t="n">
        <v>0</v>
      </c>
      <c r="V130" s="21" t="inlineStr">
        <is>
          <t>(none)</t>
        </is>
      </c>
      <c r="W130" s="61">
        <f>N130*'Item Budget'!$B$5+R130*'Item Budget'!$B$7+P130*'Item Budget'!$B$11+S130*'Item Budget'!$B$10+Q130*'Item Budget'!$B$9+IFERROR(INDEX('Item Budget'!$M$25:$M$95,MATCH(V130,'Item Budget'!$B$25:$B$95,0)),0)+IF($C130="Weapon",U130*'Item Budget'!$B$9,0)</f>
        <v/>
      </c>
      <c r="X130" s="61">
        <f>N130*'Item Budget'!$B$5+R130*'Item Budget'!$B$7+P130*'Item Budget'!$B$11+S130*'Item Budget'!$B$10+O130*'Item Budget'!$B$6+T130*'Item Budget'!$B$8+IFERROR(INDEX('Item Budget'!$N$25:$N$95,MATCH(V130,'Item Budget'!$B$25:$B$95,0)),0)</f>
        <v/>
      </c>
      <c r="Y130" s="61">
        <f>MAX('Item Budget'!$F$16,INDEX('Gear Budget'!$C$8:$C$14,MATCH($C130,'Gear Budget'!$A$8:$A$14,0))*MIN(M130,50))*$L130</f>
        <v/>
      </c>
      <c r="Z130" s="41">
        <f>IF($C130="Caster weapon",X130,MAX(W130,X130))/Y130</f>
        <v/>
      </c>
      <c r="AA130" s="61">
        <f>IF(OR($C130="Weapon",$C130="Caster weapon"),"",'Gear Budget'!$B$5*MAX(1,MIN(M130,50))*INDEX('Gear Budget'!$B$8:$B$14,MATCH($C130,'Gear Budget'!$A$8:$A$14,0))*IF($C130="Shield",IF(D130="Warrior",1,IF(OR(D130="Rogue",D130="All"),0.38/0.6,0.25/0.6)),IFERROR(INDEX('Gear Budget'!$B$18:$B$21,MATCH($F130,'Gear Budget'!$A$18:$A$21,0)),1)))</f>
        <v/>
      </c>
      <c r="AB130" s="41">
        <f>IF(AA130="","",P130/AA130)</f>
        <v/>
      </c>
      <c r="AC130" s="21" t="n">
        <v>40</v>
      </c>
      <c r="AD130" s="20" t="n">
        <v>70</v>
      </c>
      <c r="AE130" s="21" t="n">
        <v>0</v>
      </c>
      <c r="AF130" s="20" t="n">
        <v>24</v>
      </c>
      <c r="AG130" s="21" t="n">
        <v>6</v>
      </c>
      <c r="AH130" s="20" t="n">
        <v>8</v>
      </c>
      <c r="AI130" s="20" t="n">
        <v>14</v>
      </c>
      <c r="AJ130" s="21" t="n">
        <v>0</v>
      </c>
      <c r="AK130" s="21" t="n">
        <v>0</v>
      </c>
      <c r="AL130" s="21" t="inlineStr">
        <is>
          <t>(none)</t>
        </is>
      </c>
      <c r="AM130" s="61">
        <f>AD130*'Item Budget'!$B$5+AH130*'Item Budget'!$B$7+AF130*'Item Budget'!$B$11+AI130*'Item Budget'!$B$10+AG130*'Item Budget'!$B$9+IFERROR(INDEX('Item Budget'!$M$25:$M$95,MATCH(AL130,'Item Budget'!$B$25:$B$95,0)),0)+IF($C130="Weapon",AK130*'Item Budget'!$B$9,0)</f>
        <v/>
      </c>
      <c r="AN130" s="61">
        <f>AD130*'Item Budget'!$B$5+AH130*'Item Budget'!$B$7+AF130*'Item Budget'!$B$11+AI130*'Item Budget'!$B$10+AE130*'Item Budget'!$B$6+AJ130*'Item Budget'!$B$8+IFERROR(INDEX('Item Budget'!$N$25:$N$95,MATCH(AL130,'Item Budget'!$B$25:$B$95,0)),0)</f>
        <v/>
      </c>
      <c r="AO130" s="61">
        <f>MAX('Item Budget'!$F$16,INDEX('Gear Budget'!$C$8:$C$14,MATCH($C130,'Gear Budget'!$A$8:$A$14,0))*MIN(AC130,50))*$L130</f>
        <v/>
      </c>
      <c r="AP130" s="41">
        <f>IF($C130="Caster weapon",AN130,MAX(AM130,AN130))/AO130</f>
        <v/>
      </c>
      <c r="AQ130" s="61">
        <f>IF(OR($C130="Weapon",$C130="Caster weapon"),"",'Gear Budget'!$B$5*MAX(1,MIN(AC130,50))*INDEX('Gear Budget'!$B$8:$B$14,MATCH($C130,'Gear Budget'!$A$8:$A$14,0))*IF($C130="Shield",IF(E130="Warrior",1,IF(OR(E130="Rogue",E130="All"),0.38/0.6,0.25/0.6)),IFERROR(INDEX('Gear Budget'!$B$18:$B$21,MATCH($F130,'Gear Budget'!$A$18:$A$21,0)),1)))</f>
        <v/>
      </c>
      <c r="AR130" s="41">
        <f>IF(AQ130="","",AF130/AQ130)</f>
        <v/>
      </c>
      <c r="AS130" s="64" t="inlineStr">
        <is>
          <t>L40 boss set: lowered so Punchy is a clear (+25%) upgrade</t>
        </is>
      </c>
      <c r="AT130" s="44">
        <f>IF(OR($E130="All",ISNUMBER(SEARCH("Warrior",$E130))),IF($C130="Caster weapon",(AN130+AF130*('Item Budget'!$AB$14-'Item Budget'!$B$11)),(AM130+AF130*('Item Budget'!$AB$14-'Item Budget'!$B$11))),0)</f>
        <v/>
      </c>
      <c r="AU130" s="44">
        <f>IF(OR($E130="All",ISNUMBER(SEARCH("Rogue",$E130))),IF($C130="Caster weapon",(AN130+AF130*('Item Budget'!$AB$15-'Item Budget'!$B$11)),(AM130+AF130*('Item Budget'!$AB$15-'Item Budget'!$B$11))),0)</f>
        <v/>
      </c>
      <c r="AV130" s="44">
        <f>IF(OR($E130="All",ISNUMBER(SEARCH("Magus",$E130))),(AN130+AF130*('Item Budget'!$AB$16-'Item Budget'!$B$11)),0)</f>
        <v/>
      </c>
      <c r="AW130" s="44">
        <f>IF(OR($E130="All",ISNUMBER(SEARCH("Priest",$E130))),(AN130+AF130*('Item Budget'!$AB$17-'Item Budget'!$B$11)),0)</f>
        <v/>
      </c>
      <c r="AX130" s="44">
        <f>IF(AND(OR($E130="All",ISNUMBER(SEARCH("Warrior",$E130))),AC130&gt;='Item Budget'!$R$10),'Item Budget'!$R$7*100*('Item Budget'!$R$14*(AD130+25*AH130)+'Item Budget'!$S$14*(AE130+25*AJ130))/'Item Budget'!$Z$14+'Item Budget'!$R$9*AF130+IFERROR(INDEX('Item Budget'!$O$25:$O$95,MATCH(AL130,'Item Budget'!$B$25:$B$95,0)),0),0)</f>
        <v/>
      </c>
      <c r="AY130" s="44">
        <f>IF(AND(OR($E130="All",ISNUMBER(SEARCH("Rogue",$E130))),AC130&gt;='Item Budget'!$R$10),'Item Budget'!$R$7*100*('Item Budget'!$R$15*(AD130+25*AH130)+'Item Budget'!$S$15*(AE130+25*AJ130))/'Item Budget'!$Z$15+'Item Budget'!$R$9*AF130+IFERROR(INDEX('Item Budget'!$O$25:$O$95,MATCH(AL130,'Item Budget'!$B$25:$B$95,0)),0),0)</f>
        <v/>
      </c>
      <c r="AZ130" s="44">
        <f>IF(AND(OR($E130="All",ISNUMBER(SEARCH("Magus",$E130))),AC130&gt;='Item Budget'!$R$10),'Item Budget'!$R$7*100*('Item Budget'!$R$16*(AD130+25*AH130)+'Item Budget'!$S$16*(AE130+25*AJ130))/'Item Budget'!$Z$16+'Item Budget'!$R$9*AF130+IFERROR(INDEX('Item Budget'!$O$25:$O$95,MATCH(AL130,'Item Budget'!$B$25:$B$95,0)),0),0)</f>
        <v/>
      </c>
      <c r="BA130" s="44">
        <f>IF(AND(OR($E130="All",ISNUMBER(SEARCH("Priest",$E130))),AC130&gt;='Item Budget'!$R$10),'Item Budget'!$R$7*100*('Item Budget'!$R$17*(AD130+25*AH130)+'Item Budget'!$S$17*(AE130+25*AJ130))/'Item Budget'!$Z$17+'Item Budget'!$R$9*AF130+IFERROR(INDEX('Item Budget'!$O$25:$O$95,MATCH(AL130,'Item Budget'!$B$25:$B$95,0)),0),0)</f>
        <v/>
      </c>
      <c r="BB130" s="52">
        <f>IF(OR($I130&lt;1,IF($I130&gt;=6,AX130,AT130)&lt;=0),"",IF(SUMPRODUCT(MAX(($C$5:$C$215=$C130)*($I$5:$I$215&gt;=1)*($I$5:$I$215&lt;$I130)*IF($I130&gt;=6,$AX$5:$AX$215,$AT$5:$AT$215)))&lt;=0,"",SUMPRODUCT(MAX(($C$5:$C$215=$C130)*($I$5:$I$215=$I130)*IF($I130&gt;=6,$AX$5:$AX$215,$AT$5:$AT$215)))/SUMPRODUCT(MAX(($C$5:$C$215=$C130)*($I$5:$I$215&gt;=1)*($I$5:$I$215&lt;$I130)*IF($I130&gt;=6,$AX$5:$AX$215,$AT$5:$AT$215)))-1))</f>
        <v/>
      </c>
      <c r="BC130" s="52">
        <f>IF(OR($I130&lt;1,IF($I130&gt;=6,AY130,AU130)&lt;=0),"",IF(SUMPRODUCT(MAX(($C$5:$C$215=$C130)*($I$5:$I$215&gt;=1)*($I$5:$I$215&lt;$I130)*IF($I130&gt;=6,$AY$5:$AY$215,$AU$5:$AU$215)))&lt;=0,"",SUMPRODUCT(MAX(($C$5:$C$215=$C130)*($I$5:$I$215=$I130)*IF($I130&gt;=6,$AY$5:$AY$215,$AU$5:$AU$215)))/SUMPRODUCT(MAX(($C$5:$C$215=$C130)*($I$5:$I$215&gt;=1)*($I$5:$I$215&lt;$I130)*IF($I130&gt;=6,$AY$5:$AY$215,$AU$5:$AU$215)))-1))</f>
        <v/>
      </c>
      <c r="BD130" s="52">
        <f>IF(OR($I130&lt;1,IF($I130&gt;=6,AZ130,AV130)&lt;=0),"",IF(SUMPRODUCT(MAX(($C$5:$C$215=$C130)*($I$5:$I$215&gt;=1)*($I$5:$I$215&lt;$I130)*IF($I130&gt;=6,$AZ$5:$AZ$215,$AV$5:$AV$215)))&lt;=0,"",SUMPRODUCT(MAX(($C$5:$C$215=$C130)*($I$5:$I$215=$I130)*IF($I130&gt;=6,$AZ$5:$AZ$215,$AV$5:$AV$215)))/SUMPRODUCT(MAX(($C$5:$C$215=$C130)*($I$5:$I$215&gt;=1)*($I$5:$I$215&lt;$I130)*IF($I130&gt;=6,$AZ$5:$AZ$215,$AV$5:$AV$215)))-1))</f>
        <v/>
      </c>
      <c r="BE130" s="52">
        <f>IF(OR($I130&lt;1,IF($I130&gt;=6,BA130,AW130)&lt;=0),"",IF(SUMPRODUCT(MAX(($C$5:$C$215=$C130)*($I$5:$I$215&gt;=1)*($I$5:$I$215&lt;$I130)*IF($I130&gt;=6,$BA$5:$BA$215,$AW$5:$AW$215)))&lt;=0,"",SUMPRODUCT(MAX(($C$5:$C$215=$C130)*($I$5:$I$215=$I130)*IF($I130&gt;=6,$BA$5:$BA$215,$AW$5:$AW$215)))/SUMPRODUCT(MAX(($C$5:$C$215=$C130)*($I$5:$I$215&gt;=1)*($I$5:$I$215&lt;$I130)*IF($I130&gt;=6,$BA$5:$BA$215,$AW$5:$AW$215)))-1))</f>
        <v/>
      </c>
      <c r="BF130" s="19">
        <f>IF(AND(BB130="",BC130="",BD130="",BE130=""),"",IF(IF(AND(ISNUMBER(BB130),BB130&lt;'Item Budget'!$R$11),"W ","")&amp;IF(AND(ISNUMBER(BC130),BC130&lt;'Item Budget'!$R$11),"R ","")&amp;IF(AND(ISNUMBER(BD130),BD130&lt;'Item Budget'!$R$11),"M ","")&amp;IF(AND(ISNUMBER(BE130),BE130&lt;'Item Budget'!$R$11),"P ","")="","OK","Not above lower step: "&amp;IF(AND(ISNUMBER(BB130),BB130&lt;'Item Budget'!$R$11),"W ","")&amp;IF(AND(ISNUMBER(BC130),BC130&lt;'Item Budget'!$R$11),"R ","")&amp;IF(AND(ISNUMBER(BD130),BD130&lt;'Item Budget'!$R$11),"M ","")&amp;IF(AND(ISNUMBER(BE130),BE130&lt;'Item Budget'!$R$11),"P ","")))</f>
        <v/>
      </c>
    </row>
    <row r="131">
      <c r="A131" s="21" t="n">
        <v>126</v>
      </c>
      <c r="B131" s="21" t="inlineStr">
        <is>
          <t>Devastators Boots</t>
        </is>
      </c>
      <c r="C131" s="21" t="inlineStr">
        <is>
          <t>Shoes</t>
        </is>
      </c>
      <c r="D131" s="21" t="inlineStr">
        <is>
          <t>All</t>
        </is>
      </c>
      <c r="E131" s="21" t="inlineStr">
        <is>
          <t>All</t>
        </is>
      </c>
      <c r="F131" s="21" t="inlineStr">
        <is>
          <t>All classes</t>
        </is>
      </c>
      <c r="G131" s="21" t="inlineStr">
        <is>
          <t>drop: Showboat 10%</t>
        </is>
      </c>
      <c r="H131" s="37" t="n">
        <v>0</v>
      </c>
      <c r="I131" s="21" t="n">
        <v>4</v>
      </c>
      <c r="J131" s="3" t="inlineStr">
        <is>
          <t>Pass 2</t>
        </is>
      </c>
      <c r="K131" s="21" t="inlineStr">
        <is>
          <t>Rare boss drop</t>
        </is>
      </c>
      <c r="L131" s="31">
        <f>INDEX('Item Budget'!$F$5:$F$13,MATCH(K131,'Item Budget'!$E$5:$E$13,0))+IF(E131="All",0,'Item Budget'!$F$15)+LOOKUP(H131,'Item Budget'!$E$19:$E$23,'Item Budget'!$F$19:$F$23)</f>
        <v/>
      </c>
      <c r="M131" s="21" t="n">
        <v>50</v>
      </c>
      <c r="N131" s="21" t="n">
        <v>100</v>
      </c>
      <c r="O131" s="21" t="n">
        <v>125</v>
      </c>
      <c r="P131" s="21" t="n">
        <v>50</v>
      </c>
      <c r="Q131" s="21" t="n">
        <v>9</v>
      </c>
      <c r="R131" s="21" t="n">
        <v>7</v>
      </c>
      <c r="S131" s="21" t="n">
        <v>15</v>
      </c>
      <c r="T131" s="21" t="n">
        <v>9</v>
      </c>
      <c r="U131" s="21" t="n">
        <v>0</v>
      </c>
      <c r="V131" s="21" t="inlineStr">
        <is>
          <t>(none)</t>
        </is>
      </c>
      <c r="W131" s="61">
        <f>N131*'Item Budget'!$B$5+R131*'Item Budget'!$B$7+P131*'Item Budget'!$B$11+S131*'Item Budget'!$B$10+Q131*'Item Budget'!$B$9+IFERROR(INDEX('Item Budget'!$M$25:$M$95,MATCH(V131,'Item Budget'!$B$25:$B$95,0)),0)+IF($C131="Weapon",U131*'Item Budget'!$B$9,0)</f>
        <v/>
      </c>
      <c r="X131" s="61">
        <f>N131*'Item Budget'!$B$5+R131*'Item Budget'!$B$7+P131*'Item Budget'!$B$11+S131*'Item Budget'!$B$10+O131*'Item Budget'!$B$6+T131*'Item Budget'!$B$8+IFERROR(INDEX('Item Budget'!$N$25:$N$95,MATCH(V131,'Item Budget'!$B$25:$B$95,0)),0)</f>
        <v/>
      </c>
      <c r="Y131" s="61">
        <f>MAX('Item Budget'!$F$16,INDEX('Gear Budget'!$C$8:$C$14,MATCH($C131,'Gear Budget'!$A$8:$A$14,0))*MIN(M131,50))*$L131</f>
        <v/>
      </c>
      <c r="Z131" s="41">
        <f>IF($C131="Caster weapon",X131,MAX(W131,X131))/Y131</f>
        <v/>
      </c>
      <c r="AA131" s="61">
        <f>IF(OR($C131="Weapon",$C131="Caster weapon"),"",'Gear Budget'!$B$5*MAX(1,MIN(M131,50))*INDEX('Gear Budget'!$B$8:$B$14,MATCH($C131,'Gear Budget'!$A$8:$A$14,0))*IF($C131="Shield",IF(D131="Warrior",1,IF(OR(D131="Rogue",D131="All"),0.38/0.6,0.25/0.6)),IFERROR(INDEX('Gear Budget'!$B$18:$B$21,MATCH($F131,'Gear Budget'!$A$18:$A$21,0)),1)))</f>
        <v/>
      </c>
      <c r="AB131" s="41">
        <f>IF(AA131="","",P131/AA131)</f>
        <v/>
      </c>
      <c r="AC131" s="21" t="n">
        <v>50</v>
      </c>
      <c r="AD131" s="21" t="n">
        <v>100</v>
      </c>
      <c r="AE131" s="21" t="n">
        <v>125</v>
      </c>
      <c r="AF131" s="21" t="n">
        <v>50</v>
      </c>
      <c r="AG131" s="21" t="n">
        <v>9</v>
      </c>
      <c r="AH131" s="21" t="n">
        <v>7</v>
      </c>
      <c r="AI131" s="21" t="n">
        <v>15</v>
      </c>
      <c r="AJ131" s="21" t="n">
        <v>9</v>
      </c>
      <c r="AK131" s="21" t="n">
        <v>0</v>
      </c>
      <c r="AL131" s="21" t="inlineStr">
        <is>
          <t>(none)</t>
        </is>
      </c>
      <c r="AM131" s="61">
        <f>AD131*'Item Budget'!$B$5+AH131*'Item Budget'!$B$7+AF131*'Item Budget'!$B$11+AI131*'Item Budget'!$B$10+AG131*'Item Budget'!$B$9+IFERROR(INDEX('Item Budget'!$M$25:$M$95,MATCH(AL131,'Item Budget'!$B$25:$B$95,0)),0)+IF($C131="Weapon",AK131*'Item Budget'!$B$9,0)</f>
        <v/>
      </c>
      <c r="AN131" s="61">
        <f>AD131*'Item Budget'!$B$5+AH131*'Item Budget'!$B$7+AF131*'Item Budget'!$B$11+AI131*'Item Budget'!$B$10+AE131*'Item Budget'!$B$6+AJ131*'Item Budget'!$B$8+IFERROR(INDEX('Item Budget'!$N$25:$N$95,MATCH(AL131,'Item Budget'!$B$25:$B$95,0)),0)</f>
        <v/>
      </c>
      <c r="AO131" s="61">
        <f>MAX('Item Budget'!$F$16,INDEX('Gear Budget'!$C$8:$C$14,MATCH($C131,'Gear Budget'!$A$8:$A$14,0))*MIN(AC131,50))*$L131</f>
        <v/>
      </c>
      <c r="AP131" s="41">
        <f>IF($C131="Caster weapon",AN131,MAX(AM131,AN131))/AO131</f>
        <v/>
      </c>
      <c r="AQ131" s="61">
        <f>IF(OR($C131="Weapon",$C131="Caster weapon"),"",'Gear Budget'!$B$5*MAX(1,MIN(AC131,50))*INDEX('Gear Budget'!$B$8:$B$14,MATCH($C131,'Gear Budget'!$A$8:$A$14,0))*IF($C131="Shield",IF(E131="Warrior",1,IF(OR(E131="Rogue",E131="All"),0.38/0.6,0.25/0.6)),IFERROR(INDEX('Gear Budget'!$B$18:$B$21,MATCH($F131,'Gear Budget'!$A$18:$A$21,0)),1)))</f>
        <v/>
      </c>
      <c r="AR131" s="41">
        <f>IF(AQ131="","",AF131/AQ131)</f>
        <v/>
      </c>
      <c r="AS131" s="64" t="inlineStr">
        <is>
          <t>Pass 1 (applied): Devastators Boots: stays 10% above the raised Punchy caster shoes</t>
        </is>
      </c>
      <c r="AT131" s="44">
        <f>IF(OR($E131="All",ISNUMBER(SEARCH("Warrior",$E131))),IF($C131="Caster weapon",(AN131+AF131*('Item Budget'!$AB$14-'Item Budget'!$B$11)),(AM131+AF131*('Item Budget'!$AB$14-'Item Budget'!$B$11))),0)</f>
        <v/>
      </c>
      <c r="AU131" s="44">
        <f>IF(OR($E131="All",ISNUMBER(SEARCH("Rogue",$E131))),IF($C131="Caster weapon",(AN131+AF131*('Item Budget'!$AB$15-'Item Budget'!$B$11)),(AM131+AF131*('Item Budget'!$AB$15-'Item Budget'!$B$11))),0)</f>
        <v/>
      </c>
      <c r="AV131" s="44">
        <f>IF(OR($E131="All",ISNUMBER(SEARCH("Magus",$E131))),(AN131+AF131*('Item Budget'!$AB$16-'Item Budget'!$B$11)),0)</f>
        <v/>
      </c>
      <c r="AW131" s="44">
        <f>IF(OR($E131="All",ISNUMBER(SEARCH("Priest",$E131))),(AN131+AF131*('Item Budget'!$AB$17-'Item Budget'!$B$11)),0)</f>
        <v/>
      </c>
      <c r="AX131" s="44">
        <f>IF(AND(OR($E131="All",ISNUMBER(SEARCH("Warrior",$E131))),AC131&gt;='Item Budget'!$R$10),'Item Budget'!$R$7*100*('Item Budget'!$R$14*(AD131+25*AH131)+'Item Budget'!$S$14*(AE131+25*AJ131))/'Item Budget'!$Z$14+'Item Budget'!$R$9*AF131+IFERROR(INDEX('Item Budget'!$O$25:$O$95,MATCH(AL131,'Item Budget'!$B$25:$B$95,0)),0),0)</f>
        <v/>
      </c>
      <c r="AY131" s="44">
        <f>IF(AND(OR($E131="All",ISNUMBER(SEARCH("Rogue",$E131))),AC131&gt;='Item Budget'!$R$10),'Item Budget'!$R$7*100*('Item Budget'!$R$15*(AD131+25*AH131)+'Item Budget'!$S$15*(AE131+25*AJ131))/'Item Budget'!$Z$15+'Item Budget'!$R$9*AF131+IFERROR(INDEX('Item Budget'!$O$25:$O$95,MATCH(AL131,'Item Budget'!$B$25:$B$95,0)),0),0)</f>
        <v/>
      </c>
      <c r="AZ131" s="44">
        <f>IF(AND(OR($E131="All",ISNUMBER(SEARCH("Magus",$E131))),AC131&gt;='Item Budget'!$R$10),'Item Budget'!$R$7*100*('Item Budget'!$R$16*(AD131+25*AH131)+'Item Budget'!$S$16*(AE131+25*AJ131))/'Item Budget'!$Z$16+'Item Budget'!$R$9*AF131+IFERROR(INDEX('Item Budget'!$O$25:$O$95,MATCH(AL131,'Item Budget'!$B$25:$B$95,0)),0),0)</f>
        <v/>
      </c>
      <c r="BA131" s="44">
        <f>IF(AND(OR($E131="All",ISNUMBER(SEARCH("Priest",$E131))),AC131&gt;='Item Budget'!$R$10),'Item Budget'!$R$7*100*('Item Budget'!$R$17*(AD131+25*AH131)+'Item Budget'!$S$17*(AE131+25*AJ131))/'Item Budget'!$Z$17+'Item Budget'!$R$9*AF131+IFERROR(INDEX('Item Budget'!$O$25:$O$95,MATCH(AL131,'Item Budget'!$B$25:$B$95,0)),0),0)</f>
        <v/>
      </c>
      <c r="BB131" s="52">
        <f>IF(OR($I131&lt;1,IF($I131&gt;=6,AX131,AT131)&lt;=0),"",IF(SUMPRODUCT(MAX(($C$5:$C$215=$C131)*($I$5:$I$215&gt;=1)*($I$5:$I$215&lt;$I131)*IF($I131&gt;=6,$AX$5:$AX$215,$AT$5:$AT$215)))&lt;=0,"",SUMPRODUCT(MAX(($C$5:$C$215=$C131)*($I$5:$I$215=$I131)*IF($I131&gt;=6,$AX$5:$AX$215,$AT$5:$AT$215)))/SUMPRODUCT(MAX(($C$5:$C$215=$C131)*($I$5:$I$215&gt;=1)*($I$5:$I$215&lt;$I131)*IF($I131&gt;=6,$AX$5:$AX$215,$AT$5:$AT$215)))-1))</f>
        <v/>
      </c>
      <c r="BC131" s="52">
        <f>IF(OR($I131&lt;1,IF($I131&gt;=6,AY131,AU131)&lt;=0),"",IF(SUMPRODUCT(MAX(($C$5:$C$215=$C131)*($I$5:$I$215&gt;=1)*($I$5:$I$215&lt;$I131)*IF($I131&gt;=6,$AY$5:$AY$215,$AU$5:$AU$215)))&lt;=0,"",SUMPRODUCT(MAX(($C$5:$C$215=$C131)*($I$5:$I$215=$I131)*IF($I131&gt;=6,$AY$5:$AY$215,$AU$5:$AU$215)))/SUMPRODUCT(MAX(($C$5:$C$215=$C131)*($I$5:$I$215&gt;=1)*($I$5:$I$215&lt;$I131)*IF($I131&gt;=6,$AY$5:$AY$215,$AU$5:$AU$215)))-1))</f>
        <v/>
      </c>
      <c r="BD131" s="52">
        <f>IF(OR($I131&lt;1,IF($I131&gt;=6,AZ131,AV131)&lt;=0),"",IF(SUMPRODUCT(MAX(($C$5:$C$215=$C131)*($I$5:$I$215&gt;=1)*($I$5:$I$215&lt;$I131)*IF($I131&gt;=6,$AZ$5:$AZ$215,$AV$5:$AV$215)))&lt;=0,"",SUMPRODUCT(MAX(($C$5:$C$215=$C131)*($I$5:$I$215=$I131)*IF($I131&gt;=6,$AZ$5:$AZ$215,$AV$5:$AV$215)))/SUMPRODUCT(MAX(($C$5:$C$215=$C131)*($I$5:$I$215&gt;=1)*($I$5:$I$215&lt;$I131)*IF($I131&gt;=6,$AZ$5:$AZ$215,$AV$5:$AV$215)))-1))</f>
        <v/>
      </c>
      <c r="BE131" s="52">
        <f>IF(OR($I131&lt;1,IF($I131&gt;=6,BA131,AW131)&lt;=0),"",IF(SUMPRODUCT(MAX(($C$5:$C$215=$C131)*($I$5:$I$215&gt;=1)*($I$5:$I$215&lt;$I131)*IF($I131&gt;=6,$BA$5:$BA$215,$AW$5:$AW$215)))&lt;=0,"",SUMPRODUCT(MAX(($C$5:$C$215=$C131)*($I$5:$I$215=$I131)*IF($I131&gt;=6,$BA$5:$BA$215,$AW$5:$AW$215)))/SUMPRODUCT(MAX(($C$5:$C$215=$C131)*($I$5:$I$215&gt;=1)*($I$5:$I$215&lt;$I131)*IF($I131&gt;=6,$BA$5:$BA$215,$AW$5:$AW$215)))-1))</f>
        <v/>
      </c>
      <c r="BF131" s="19">
        <f>IF(AND(BB131="",BC131="",BD131="",BE131=""),"",IF(IF(AND(ISNUMBER(BB131),BB131&lt;'Item Budget'!$R$11),"W ","")&amp;IF(AND(ISNUMBER(BC131),BC131&lt;'Item Budget'!$R$11),"R ","")&amp;IF(AND(ISNUMBER(BD131),BD131&lt;'Item Budget'!$R$11),"M ","")&amp;IF(AND(ISNUMBER(BE131),BE131&lt;'Item Budget'!$R$11),"P ","")="","OK","Not above lower step: "&amp;IF(AND(ISNUMBER(BB131),BB131&lt;'Item Budget'!$R$11),"W ","")&amp;IF(AND(ISNUMBER(BC131),BC131&lt;'Item Budget'!$R$11),"R ","")&amp;IF(AND(ISNUMBER(BD131),BD131&lt;'Item Budget'!$R$11),"M ","")&amp;IF(AND(ISNUMBER(BE131),BE131&lt;'Item Budget'!$R$11),"P ","")))</f>
        <v/>
      </c>
    </row>
    <row r="132">
      <c r="A132" s="21" t="n">
        <v>125</v>
      </c>
      <c r="B132" s="21" t="inlineStr">
        <is>
          <t>Deceivers Boots</t>
        </is>
      </c>
      <c r="C132" s="21" t="inlineStr">
        <is>
          <t>Shoes</t>
        </is>
      </c>
      <c r="D132" s="21" t="inlineStr">
        <is>
          <t>Rogue</t>
        </is>
      </c>
      <c r="E132" s="21" t="inlineStr">
        <is>
          <t>Rogue</t>
        </is>
      </c>
      <c r="F132" s="21" t="inlineStr">
        <is>
          <t>Rogue</t>
        </is>
      </c>
      <c r="G132" s="21" t="inlineStr">
        <is>
          <t>drop: Punchy 7%</t>
        </is>
      </c>
      <c r="H132" s="37" t="n">
        <v>0</v>
      </c>
      <c r="I132" s="21" t="n">
        <v>1</v>
      </c>
      <c r="J132" s="3" t="inlineStr">
        <is>
          <t>Pass 2</t>
        </is>
      </c>
      <c r="K132" s="21" t="inlineStr">
        <is>
          <t>Rare boss drop</t>
        </is>
      </c>
      <c r="L132" s="31">
        <f>INDEX('Item Budget'!$F$5:$F$13,MATCH(K132,'Item Budget'!$E$5:$E$13,0))+IF(E132="All",0,'Item Budget'!$F$15)+LOOKUP(H132,'Item Budget'!$E$19:$E$23,'Item Budget'!$F$19:$F$23)</f>
        <v/>
      </c>
      <c r="M132" s="21" t="n">
        <v>50</v>
      </c>
      <c r="N132" s="21" t="n">
        <v>75</v>
      </c>
      <c r="O132" s="21" t="n">
        <v>0</v>
      </c>
      <c r="P132" s="21" t="n">
        <v>38</v>
      </c>
      <c r="Q132" s="21" t="n">
        <v>6</v>
      </c>
      <c r="R132" s="21" t="n">
        <v>8</v>
      </c>
      <c r="S132" s="21" t="n">
        <v>15</v>
      </c>
      <c r="T132" s="21" t="n">
        <v>0</v>
      </c>
      <c r="U132" s="21" t="n">
        <v>0</v>
      </c>
      <c r="V132" s="21" t="inlineStr">
        <is>
          <t>(none)</t>
        </is>
      </c>
      <c r="W132" s="61">
        <f>N132*'Item Budget'!$B$5+R132*'Item Budget'!$B$7+P132*'Item Budget'!$B$11+S132*'Item Budget'!$B$10+Q132*'Item Budget'!$B$9+IFERROR(INDEX('Item Budget'!$M$25:$M$95,MATCH(V132,'Item Budget'!$B$25:$B$95,0)),0)+IF($C132="Weapon",U132*'Item Budget'!$B$9,0)</f>
        <v/>
      </c>
      <c r="X132" s="61">
        <f>N132*'Item Budget'!$B$5+R132*'Item Budget'!$B$7+P132*'Item Budget'!$B$11+S132*'Item Budget'!$B$10+O132*'Item Budget'!$B$6+T132*'Item Budget'!$B$8+IFERROR(INDEX('Item Budget'!$N$25:$N$95,MATCH(V132,'Item Budget'!$B$25:$B$95,0)),0)</f>
        <v/>
      </c>
      <c r="Y132" s="61">
        <f>MAX('Item Budget'!$F$16,INDEX('Gear Budget'!$C$8:$C$14,MATCH($C132,'Gear Budget'!$A$8:$A$14,0))*MIN(M132,50))*$L132</f>
        <v/>
      </c>
      <c r="Z132" s="41">
        <f>IF($C132="Caster weapon",X132,MAX(W132,X132))/Y132</f>
        <v/>
      </c>
      <c r="AA132" s="61">
        <f>IF(OR($C132="Weapon",$C132="Caster weapon"),"",'Gear Budget'!$B$5*MAX(1,MIN(M132,50))*INDEX('Gear Budget'!$B$8:$B$14,MATCH($C132,'Gear Budget'!$A$8:$A$14,0))*IF($C132="Shield",IF(D132="Warrior",1,IF(OR(D132="Rogue",D132="All"),0.38/0.6,0.25/0.6)),IFERROR(INDEX('Gear Budget'!$B$18:$B$21,MATCH($F132,'Gear Budget'!$A$18:$A$21,0)),1)))</f>
        <v/>
      </c>
      <c r="AB132" s="41">
        <f>IF(AA132="","",P132/AA132)</f>
        <v/>
      </c>
      <c r="AC132" s="21" t="n">
        <v>50</v>
      </c>
      <c r="AD132" s="20" t="n">
        <v>80</v>
      </c>
      <c r="AE132" s="21" t="n">
        <v>0</v>
      </c>
      <c r="AF132" s="20" t="n">
        <v>42</v>
      </c>
      <c r="AG132" s="20" t="n">
        <v>7</v>
      </c>
      <c r="AH132" s="20" t="n">
        <v>9</v>
      </c>
      <c r="AI132" s="20" t="n">
        <v>16</v>
      </c>
      <c r="AJ132" s="21" t="n">
        <v>0</v>
      </c>
      <c r="AK132" s="21" t="n">
        <v>0</v>
      </c>
      <c r="AL132" s="21" t="inlineStr">
        <is>
          <t>(none)</t>
        </is>
      </c>
      <c r="AM132" s="61">
        <f>AD132*'Item Budget'!$B$5+AH132*'Item Budget'!$B$7+AF132*'Item Budget'!$B$11+AI132*'Item Budget'!$B$10+AG132*'Item Budget'!$B$9+IFERROR(INDEX('Item Budget'!$M$25:$M$95,MATCH(AL132,'Item Budget'!$B$25:$B$95,0)),0)+IF($C132="Weapon",AK132*'Item Budget'!$B$9,0)</f>
        <v/>
      </c>
      <c r="AN132" s="61">
        <f>AD132*'Item Budget'!$B$5+AH132*'Item Budget'!$B$7+AF132*'Item Budget'!$B$11+AI132*'Item Budget'!$B$10+AE132*'Item Budget'!$B$6+AJ132*'Item Budget'!$B$8+IFERROR(INDEX('Item Budget'!$N$25:$N$95,MATCH(AL132,'Item Budget'!$B$25:$B$95,0)),0)</f>
        <v/>
      </c>
      <c r="AO132" s="61">
        <f>MAX('Item Budget'!$F$16,INDEX('Gear Budget'!$C$8:$C$14,MATCH($C132,'Gear Budget'!$A$8:$A$14,0))*MIN(AC132,50))*$L132</f>
        <v/>
      </c>
      <c r="AP132" s="41">
        <f>IF($C132="Caster weapon",AN132,MAX(AM132,AN132))/AO132</f>
        <v/>
      </c>
      <c r="AQ132" s="61">
        <f>IF(OR($C132="Weapon",$C132="Caster weapon"),"",'Gear Budget'!$B$5*MAX(1,MIN(AC132,50))*INDEX('Gear Budget'!$B$8:$B$14,MATCH($C132,'Gear Budget'!$A$8:$A$14,0))*IF($C132="Shield",IF(E132="Warrior",1,IF(OR(E132="Rogue",E132="All"),0.38/0.6,0.25/0.6)),IFERROR(INDEX('Gear Budget'!$B$18:$B$21,MATCH($F132,'Gear Budget'!$A$18:$A$21,0)),1)))</f>
        <v/>
      </c>
      <c r="AR132" s="41">
        <f>IF(AQ132="","",AF132/AQ132)</f>
        <v/>
      </c>
      <c r="AS132" s="64" t="inlineStr">
        <is>
          <t>Punchy set: raised to +25% over the L40 boss set</t>
        </is>
      </c>
      <c r="AT132" s="44">
        <f>IF(OR($E132="All",ISNUMBER(SEARCH("Warrior",$E132))),IF($C132="Caster weapon",(AN132+AF132*('Item Budget'!$AB$14-'Item Budget'!$B$11)),(AM132+AF132*('Item Budget'!$AB$14-'Item Budget'!$B$11))),0)</f>
        <v/>
      </c>
      <c r="AU132" s="44">
        <f>IF(OR($E132="All",ISNUMBER(SEARCH("Rogue",$E132))),IF($C132="Caster weapon",(AN132+AF132*('Item Budget'!$AB$15-'Item Budget'!$B$11)),(AM132+AF132*('Item Budget'!$AB$15-'Item Budget'!$B$11))),0)</f>
        <v/>
      </c>
      <c r="AV132" s="44">
        <f>IF(OR($E132="All",ISNUMBER(SEARCH("Magus",$E132))),(AN132+AF132*('Item Budget'!$AB$16-'Item Budget'!$B$11)),0)</f>
        <v/>
      </c>
      <c r="AW132" s="44">
        <f>IF(OR($E132="All",ISNUMBER(SEARCH("Priest",$E132))),(AN132+AF132*('Item Budget'!$AB$17-'Item Budget'!$B$11)),0)</f>
        <v/>
      </c>
      <c r="AX132" s="44">
        <f>IF(AND(OR($E132="All",ISNUMBER(SEARCH("Warrior",$E132))),AC132&gt;='Item Budget'!$R$10),'Item Budget'!$R$7*100*('Item Budget'!$R$14*(AD132+25*AH132)+'Item Budget'!$S$14*(AE132+25*AJ132))/'Item Budget'!$Z$14+'Item Budget'!$R$9*AF132+IFERROR(INDEX('Item Budget'!$O$25:$O$95,MATCH(AL132,'Item Budget'!$B$25:$B$95,0)),0),0)</f>
        <v/>
      </c>
      <c r="AY132" s="44">
        <f>IF(AND(OR($E132="All",ISNUMBER(SEARCH("Rogue",$E132))),AC132&gt;='Item Budget'!$R$10),'Item Budget'!$R$7*100*('Item Budget'!$R$15*(AD132+25*AH132)+'Item Budget'!$S$15*(AE132+25*AJ132))/'Item Budget'!$Z$15+'Item Budget'!$R$9*AF132+IFERROR(INDEX('Item Budget'!$O$25:$O$95,MATCH(AL132,'Item Budget'!$B$25:$B$95,0)),0),0)</f>
        <v/>
      </c>
      <c r="AZ132" s="44">
        <f>IF(AND(OR($E132="All",ISNUMBER(SEARCH("Magus",$E132))),AC132&gt;='Item Budget'!$R$10),'Item Budget'!$R$7*100*('Item Budget'!$R$16*(AD132+25*AH132)+'Item Budget'!$S$16*(AE132+25*AJ132))/'Item Budget'!$Z$16+'Item Budget'!$R$9*AF132+IFERROR(INDEX('Item Budget'!$O$25:$O$95,MATCH(AL132,'Item Budget'!$B$25:$B$95,0)),0),0)</f>
        <v/>
      </c>
      <c r="BA132" s="44">
        <f>IF(AND(OR($E132="All",ISNUMBER(SEARCH("Priest",$E132))),AC132&gt;='Item Budget'!$R$10),'Item Budget'!$R$7*100*('Item Budget'!$R$17*(AD132+25*AH132)+'Item Budget'!$S$17*(AE132+25*AJ132))/'Item Budget'!$Z$17+'Item Budget'!$R$9*AF132+IFERROR(INDEX('Item Budget'!$O$25:$O$95,MATCH(AL132,'Item Budget'!$B$25:$B$95,0)),0),0)</f>
        <v/>
      </c>
      <c r="BB132" s="52">
        <f>IF(OR($I132&lt;1,IF($I132&gt;=6,AX132,AT132)&lt;=0),"",IF(SUMPRODUCT(MAX(($C$5:$C$215=$C132)*($I$5:$I$215&gt;=1)*($I$5:$I$215&lt;$I132)*IF($I132&gt;=6,$AX$5:$AX$215,$AT$5:$AT$215)))&lt;=0,"",SUMPRODUCT(MAX(($C$5:$C$215=$C132)*($I$5:$I$215=$I132)*IF($I132&gt;=6,$AX$5:$AX$215,$AT$5:$AT$215)))/SUMPRODUCT(MAX(($C$5:$C$215=$C132)*($I$5:$I$215&gt;=1)*($I$5:$I$215&lt;$I132)*IF($I132&gt;=6,$AX$5:$AX$215,$AT$5:$AT$215)))-1))</f>
        <v/>
      </c>
      <c r="BC132" s="52">
        <f>IF(OR($I132&lt;1,IF($I132&gt;=6,AY132,AU132)&lt;=0),"",IF(SUMPRODUCT(MAX(($C$5:$C$215=$C132)*($I$5:$I$215&gt;=1)*($I$5:$I$215&lt;$I132)*IF($I132&gt;=6,$AY$5:$AY$215,$AU$5:$AU$215)))&lt;=0,"",SUMPRODUCT(MAX(($C$5:$C$215=$C132)*($I$5:$I$215=$I132)*IF($I132&gt;=6,$AY$5:$AY$215,$AU$5:$AU$215)))/SUMPRODUCT(MAX(($C$5:$C$215=$C132)*($I$5:$I$215&gt;=1)*($I$5:$I$215&lt;$I132)*IF($I132&gt;=6,$AY$5:$AY$215,$AU$5:$AU$215)))-1))</f>
        <v/>
      </c>
      <c r="BD132" s="52">
        <f>IF(OR($I132&lt;1,IF($I132&gt;=6,AZ132,AV132)&lt;=0),"",IF(SUMPRODUCT(MAX(($C$5:$C$215=$C132)*($I$5:$I$215&gt;=1)*($I$5:$I$215&lt;$I132)*IF($I132&gt;=6,$AZ$5:$AZ$215,$AV$5:$AV$215)))&lt;=0,"",SUMPRODUCT(MAX(($C$5:$C$215=$C132)*($I$5:$I$215=$I132)*IF($I132&gt;=6,$AZ$5:$AZ$215,$AV$5:$AV$215)))/SUMPRODUCT(MAX(($C$5:$C$215=$C132)*($I$5:$I$215&gt;=1)*($I$5:$I$215&lt;$I132)*IF($I132&gt;=6,$AZ$5:$AZ$215,$AV$5:$AV$215)))-1))</f>
        <v/>
      </c>
      <c r="BE132" s="52">
        <f>IF(OR($I132&lt;1,IF($I132&gt;=6,BA132,AW132)&lt;=0),"",IF(SUMPRODUCT(MAX(($C$5:$C$215=$C132)*($I$5:$I$215&gt;=1)*($I$5:$I$215&lt;$I132)*IF($I132&gt;=6,$BA$5:$BA$215,$AW$5:$AW$215)))&lt;=0,"",SUMPRODUCT(MAX(($C$5:$C$215=$C132)*($I$5:$I$215=$I132)*IF($I132&gt;=6,$BA$5:$BA$215,$AW$5:$AW$215)))/SUMPRODUCT(MAX(($C$5:$C$215=$C132)*($I$5:$I$215&gt;=1)*($I$5:$I$215&lt;$I132)*IF($I132&gt;=6,$BA$5:$BA$215,$AW$5:$AW$215)))-1))</f>
        <v/>
      </c>
      <c r="BF132" s="19">
        <f>IF(AND(BB132="",BC132="",BD132="",BE132=""),"",IF(IF(AND(ISNUMBER(BB132),BB132&lt;'Item Budget'!$R$11),"W ","")&amp;IF(AND(ISNUMBER(BC132),BC132&lt;'Item Budget'!$R$11),"R ","")&amp;IF(AND(ISNUMBER(BD132),BD132&lt;'Item Budget'!$R$11),"M ","")&amp;IF(AND(ISNUMBER(BE132),BE132&lt;'Item Budget'!$R$11),"P ","")="","OK","Not above lower step: "&amp;IF(AND(ISNUMBER(BB132),BB132&lt;'Item Budget'!$R$11),"W ","")&amp;IF(AND(ISNUMBER(BC132),BC132&lt;'Item Budget'!$R$11),"R ","")&amp;IF(AND(ISNUMBER(BD132),BD132&lt;'Item Budget'!$R$11),"M ","")&amp;IF(AND(ISNUMBER(BE132),BE132&lt;'Item Budget'!$R$11),"P ","")))</f>
        <v/>
      </c>
    </row>
    <row r="133">
      <c r="A133" s="21" t="n">
        <v>164</v>
      </c>
      <c r="B133" s="21" t="inlineStr">
        <is>
          <t>Champions Boots</t>
        </is>
      </c>
      <c r="C133" s="21" t="inlineStr">
        <is>
          <t>Shoes</t>
        </is>
      </c>
      <c r="D133" s="21" t="inlineStr">
        <is>
          <t>Warrior</t>
        </is>
      </c>
      <c r="E133" s="21" t="inlineStr">
        <is>
          <t>Warrior</t>
        </is>
      </c>
      <c r="F133" s="21" t="inlineStr">
        <is>
          <t>Warrior plate</t>
        </is>
      </c>
      <c r="G133" s="21" t="inlineStr">
        <is>
          <t>drop: Punchy 7%</t>
        </is>
      </c>
      <c r="H133" s="37" t="n">
        <v>0</v>
      </c>
      <c r="I133" s="21" t="n">
        <v>1</v>
      </c>
      <c r="J133" s="3" t="inlineStr">
        <is>
          <t>Pass 2</t>
        </is>
      </c>
      <c r="K133" s="21" t="inlineStr">
        <is>
          <t>Rare boss drop</t>
        </is>
      </c>
      <c r="L133" s="31">
        <f>INDEX('Item Budget'!$F$5:$F$13,MATCH(K133,'Item Budget'!$E$5:$E$13,0))+IF(E133="All",0,'Item Budget'!$F$15)+LOOKUP(H133,'Item Budget'!$E$19:$E$23,'Item Budget'!$F$19:$F$23)</f>
        <v/>
      </c>
      <c r="M133" s="21" t="n">
        <v>50</v>
      </c>
      <c r="N133" s="21" t="n">
        <v>75</v>
      </c>
      <c r="O133" s="21" t="n">
        <v>0</v>
      </c>
      <c r="P133" s="21" t="n">
        <v>50</v>
      </c>
      <c r="Q133" s="21" t="n">
        <v>6</v>
      </c>
      <c r="R133" s="21" t="n">
        <v>8</v>
      </c>
      <c r="S133" s="21" t="n">
        <v>3</v>
      </c>
      <c r="T133" s="21" t="n">
        <v>0</v>
      </c>
      <c r="U133" s="21" t="n">
        <v>0</v>
      </c>
      <c r="V133" s="21" t="inlineStr">
        <is>
          <t>(none)</t>
        </is>
      </c>
      <c r="W133" s="61">
        <f>N133*'Item Budget'!$B$5+R133*'Item Budget'!$B$7+P133*'Item Budget'!$B$11+S133*'Item Budget'!$B$10+Q133*'Item Budget'!$B$9+IFERROR(INDEX('Item Budget'!$M$25:$M$95,MATCH(V133,'Item Budget'!$B$25:$B$95,0)),0)+IF($C133="Weapon",U133*'Item Budget'!$B$9,0)</f>
        <v/>
      </c>
      <c r="X133" s="61">
        <f>N133*'Item Budget'!$B$5+R133*'Item Budget'!$B$7+P133*'Item Budget'!$B$11+S133*'Item Budget'!$B$10+O133*'Item Budget'!$B$6+T133*'Item Budget'!$B$8+IFERROR(INDEX('Item Budget'!$N$25:$N$95,MATCH(V133,'Item Budget'!$B$25:$B$95,0)),0)</f>
        <v/>
      </c>
      <c r="Y133" s="61">
        <f>MAX('Item Budget'!$F$16,INDEX('Gear Budget'!$C$8:$C$14,MATCH($C133,'Gear Budget'!$A$8:$A$14,0))*MIN(M133,50))*$L133</f>
        <v/>
      </c>
      <c r="Z133" s="41">
        <f>IF($C133="Caster weapon",X133,MAX(W133,X133))/Y133</f>
        <v/>
      </c>
      <c r="AA133" s="61">
        <f>IF(OR($C133="Weapon",$C133="Caster weapon"),"",'Gear Budget'!$B$5*MAX(1,MIN(M133,50))*INDEX('Gear Budget'!$B$8:$B$14,MATCH($C133,'Gear Budget'!$A$8:$A$14,0))*IF($C133="Shield",IF(D133="Warrior",1,IF(OR(D133="Rogue",D133="All"),0.38/0.6,0.25/0.6)),IFERROR(INDEX('Gear Budget'!$B$18:$B$21,MATCH($F133,'Gear Budget'!$A$18:$A$21,0)),1)))</f>
        <v/>
      </c>
      <c r="AB133" s="41">
        <f>IF(AA133="","",P133/AA133)</f>
        <v/>
      </c>
      <c r="AC133" s="21" t="n">
        <v>50</v>
      </c>
      <c r="AD133" s="20" t="n">
        <v>80</v>
      </c>
      <c r="AE133" s="21" t="n">
        <v>0</v>
      </c>
      <c r="AF133" s="20" t="n">
        <v>55</v>
      </c>
      <c r="AG133" s="20" t="n">
        <v>7</v>
      </c>
      <c r="AH133" s="20" t="n">
        <v>9</v>
      </c>
      <c r="AI133" s="21" t="n">
        <v>3</v>
      </c>
      <c r="AJ133" s="21" t="n">
        <v>0</v>
      </c>
      <c r="AK133" s="21" t="n">
        <v>0</v>
      </c>
      <c r="AL133" s="21" t="inlineStr">
        <is>
          <t>(none)</t>
        </is>
      </c>
      <c r="AM133" s="61">
        <f>AD133*'Item Budget'!$B$5+AH133*'Item Budget'!$B$7+AF133*'Item Budget'!$B$11+AI133*'Item Budget'!$B$10+AG133*'Item Budget'!$B$9+IFERROR(INDEX('Item Budget'!$M$25:$M$95,MATCH(AL133,'Item Budget'!$B$25:$B$95,0)),0)+IF($C133="Weapon",AK133*'Item Budget'!$B$9,0)</f>
        <v/>
      </c>
      <c r="AN133" s="61">
        <f>AD133*'Item Budget'!$B$5+AH133*'Item Budget'!$B$7+AF133*'Item Budget'!$B$11+AI133*'Item Budget'!$B$10+AE133*'Item Budget'!$B$6+AJ133*'Item Budget'!$B$8+IFERROR(INDEX('Item Budget'!$N$25:$N$95,MATCH(AL133,'Item Budget'!$B$25:$B$95,0)),0)</f>
        <v/>
      </c>
      <c r="AO133" s="61">
        <f>MAX('Item Budget'!$F$16,INDEX('Gear Budget'!$C$8:$C$14,MATCH($C133,'Gear Budget'!$A$8:$A$14,0))*MIN(AC133,50))*$L133</f>
        <v/>
      </c>
      <c r="AP133" s="41">
        <f>IF($C133="Caster weapon",AN133,MAX(AM133,AN133))/AO133</f>
        <v/>
      </c>
      <c r="AQ133" s="61">
        <f>IF(OR($C133="Weapon",$C133="Caster weapon"),"",'Gear Budget'!$B$5*MAX(1,MIN(AC133,50))*INDEX('Gear Budget'!$B$8:$B$14,MATCH($C133,'Gear Budget'!$A$8:$A$14,0))*IF($C133="Shield",IF(E133="Warrior",1,IF(OR(E133="Rogue",E133="All"),0.38/0.6,0.25/0.6)),IFERROR(INDEX('Gear Budget'!$B$18:$B$21,MATCH($F133,'Gear Budget'!$A$18:$A$21,0)),1)))</f>
        <v/>
      </c>
      <c r="AR133" s="41">
        <f>IF(AQ133="","",AF133/AQ133)</f>
        <v/>
      </c>
      <c r="AS133" s="64" t="inlineStr">
        <is>
          <t>Punchy set: raised to +25% over the L40 boss set</t>
        </is>
      </c>
      <c r="AT133" s="44">
        <f>IF(OR($E133="All",ISNUMBER(SEARCH("Warrior",$E133))),IF($C133="Caster weapon",(AN133+AF133*('Item Budget'!$AB$14-'Item Budget'!$B$11)),(AM133+AF133*('Item Budget'!$AB$14-'Item Budget'!$B$11))),0)</f>
        <v/>
      </c>
      <c r="AU133" s="44">
        <f>IF(OR($E133="All",ISNUMBER(SEARCH("Rogue",$E133))),IF($C133="Caster weapon",(AN133+AF133*('Item Budget'!$AB$15-'Item Budget'!$B$11)),(AM133+AF133*('Item Budget'!$AB$15-'Item Budget'!$B$11))),0)</f>
        <v/>
      </c>
      <c r="AV133" s="44">
        <f>IF(OR($E133="All",ISNUMBER(SEARCH("Magus",$E133))),(AN133+AF133*('Item Budget'!$AB$16-'Item Budget'!$B$11)),0)</f>
        <v/>
      </c>
      <c r="AW133" s="44">
        <f>IF(OR($E133="All",ISNUMBER(SEARCH("Priest",$E133))),(AN133+AF133*('Item Budget'!$AB$17-'Item Budget'!$B$11)),0)</f>
        <v/>
      </c>
      <c r="AX133" s="44">
        <f>IF(AND(OR($E133="All",ISNUMBER(SEARCH("Warrior",$E133))),AC133&gt;='Item Budget'!$R$10),'Item Budget'!$R$7*100*('Item Budget'!$R$14*(AD133+25*AH133)+'Item Budget'!$S$14*(AE133+25*AJ133))/'Item Budget'!$Z$14+'Item Budget'!$R$9*AF133+IFERROR(INDEX('Item Budget'!$O$25:$O$95,MATCH(AL133,'Item Budget'!$B$25:$B$95,0)),0),0)</f>
        <v/>
      </c>
      <c r="AY133" s="44">
        <f>IF(AND(OR($E133="All",ISNUMBER(SEARCH("Rogue",$E133))),AC133&gt;='Item Budget'!$R$10),'Item Budget'!$R$7*100*('Item Budget'!$R$15*(AD133+25*AH133)+'Item Budget'!$S$15*(AE133+25*AJ133))/'Item Budget'!$Z$15+'Item Budget'!$R$9*AF133+IFERROR(INDEX('Item Budget'!$O$25:$O$95,MATCH(AL133,'Item Budget'!$B$25:$B$95,0)),0),0)</f>
        <v/>
      </c>
      <c r="AZ133" s="44">
        <f>IF(AND(OR($E133="All",ISNUMBER(SEARCH("Magus",$E133))),AC133&gt;='Item Budget'!$R$10),'Item Budget'!$R$7*100*('Item Budget'!$R$16*(AD133+25*AH133)+'Item Budget'!$S$16*(AE133+25*AJ133))/'Item Budget'!$Z$16+'Item Budget'!$R$9*AF133+IFERROR(INDEX('Item Budget'!$O$25:$O$95,MATCH(AL133,'Item Budget'!$B$25:$B$95,0)),0),0)</f>
        <v/>
      </c>
      <c r="BA133" s="44">
        <f>IF(AND(OR($E133="All",ISNUMBER(SEARCH("Priest",$E133))),AC133&gt;='Item Budget'!$R$10),'Item Budget'!$R$7*100*('Item Budget'!$R$17*(AD133+25*AH133)+'Item Budget'!$S$17*(AE133+25*AJ133))/'Item Budget'!$Z$17+'Item Budget'!$R$9*AF133+IFERROR(INDEX('Item Budget'!$O$25:$O$95,MATCH(AL133,'Item Budget'!$B$25:$B$95,0)),0),0)</f>
        <v/>
      </c>
      <c r="BB133" s="52">
        <f>IF(OR($I133&lt;1,IF($I133&gt;=6,AX133,AT133)&lt;=0),"",IF(SUMPRODUCT(MAX(($C$5:$C$215=$C133)*($I$5:$I$215&gt;=1)*($I$5:$I$215&lt;$I133)*IF($I133&gt;=6,$AX$5:$AX$215,$AT$5:$AT$215)))&lt;=0,"",SUMPRODUCT(MAX(($C$5:$C$215=$C133)*($I$5:$I$215=$I133)*IF($I133&gt;=6,$AX$5:$AX$215,$AT$5:$AT$215)))/SUMPRODUCT(MAX(($C$5:$C$215=$C133)*($I$5:$I$215&gt;=1)*($I$5:$I$215&lt;$I133)*IF($I133&gt;=6,$AX$5:$AX$215,$AT$5:$AT$215)))-1))</f>
        <v/>
      </c>
      <c r="BC133" s="52">
        <f>IF(OR($I133&lt;1,IF($I133&gt;=6,AY133,AU133)&lt;=0),"",IF(SUMPRODUCT(MAX(($C$5:$C$215=$C133)*($I$5:$I$215&gt;=1)*($I$5:$I$215&lt;$I133)*IF($I133&gt;=6,$AY$5:$AY$215,$AU$5:$AU$215)))&lt;=0,"",SUMPRODUCT(MAX(($C$5:$C$215=$C133)*($I$5:$I$215=$I133)*IF($I133&gt;=6,$AY$5:$AY$215,$AU$5:$AU$215)))/SUMPRODUCT(MAX(($C$5:$C$215=$C133)*($I$5:$I$215&gt;=1)*($I$5:$I$215&lt;$I133)*IF($I133&gt;=6,$AY$5:$AY$215,$AU$5:$AU$215)))-1))</f>
        <v/>
      </c>
      <c r="BD133" s="52">
        <f>IF(OR($I133&lt;1,IF($I133&gt;=6,AZ133,AV133)&lt;=0),"",IF(SUMPRODUCT(MAX(($C$5:$C$215=$C133)*($I$5:$I$215&gt;=1)*($I$5:$I$215&lt;$I133)*IF($I133&gt;=6,$AZ$5:$AZ$215,$AV$5:$AV$215)))&lt;=0,"",SUMPRODUCT(MAX(($C$5:$C$215=$C133)*($I$5:$I$215=$I133)*IF($I133&gt;=6,$AZ$5:$AZ$215,$AV$5:$AV$215)))/SUMPRODUCT(MAX(($C$5:$C$215=$C133)*($I$5:$I$215&gt;=1)*($I$5:$I$215&lt;$I133)*IF($I133&gt;=6,$AZ$5:$AZ$215,$AV$5:$AV$215)))-1))</f>
        <v/>
      </c>
      <c r="BE133" s="52">
        <f>IF(OR($I133&lt;1,IF($I133&gt;=6,BA133,AW133)&lt;=0),"",IF(SUMPRODUCT(MAX(($C$5:$C$215=$C133)*($I$5:$I$215&gt;=1)*($I$5:$I$215&lt;$I133)*IF($I133&gt;=6,$BA$5:$BA$215,$AW$5:$AW$215)))&lt;=0,"",SUMPRODUCT(MAX(($C$5:$C$215=$C133)*($I$5:$I$215=$I133)*IF($I133&gt;=6,$BA$5:$BA$215,$AW$5:$AW$215)))/SUMPRODUCT(MAX(($C$5:$C$215=$C133)*($I$5:$I$215&gt;=1)*($I$5:$I$215&lt;$I133)*IF($I133&gt;=6,$BA$5:$BA$215,$AW$5:$AW$215)))-1))</f>
        <v/>
      </c>
      <c r="BF133" s="19">
        <f>IF(AND(BB133="",BC133="",BD133="",BE133=""),"",IF(IF(AND(ISNUMBER(BB133),BB133&lt;'Item Budget'!$R$11),"W ","")&amp;IF(AND(ISNUMBER(BC133),BC133&lt;'Item Budget'!$R$11),"R ","")&amp;IF(AND(ISNUMBER(BD133),BD133&lt;'Item Budget'!$R$11),"M ","")&amp;IF(AND(ISNUMBER(BE133),BE133&lt;'Item Budget'!$R$11),"P ","")="","OK","Not above lower step: "&amp;IF(AND(ISNUMBER(BB133),BB133&lt;'Item Budget'!$R$11),"W ","")&amp;IF(AND(ISNUMBER(BC133),BC133&lt;'Item Budget'!$R$11),"R ","")&amp;IF(AND(ISNUMBER(BD133),BD133&lt;'Item Budget'!$R$11),"M ","")&amp;IF(AND(ISNUMBER(BE133),BE133&lt;'Item Budget'!$R$11),"P ","")))</f>
        <v/>
      </c>
    </row>
    <row r="134">
      <c r="A134" s="21" t="n">
        <v>240</v>
      </c>
      <c r="B134" s="21" t="inlineStr">
        <is>
          <t>High Priests Shoes</t>
        </is>
      </c>
      <c r="C134" s="21" t="inlineStr">
        <is>
          <t>Shoes</t>
        </is>
      </c>
      <c r="D134" s="21" t="inlineStr">
        <is>
          <t>Priest</t>
        </is>
      </c>
      <c r="E134" s="21" t="inlineStr">
        <is>
          <t>Priest</t>
        </is>
      </c>
      <c r="F134" s="21" t="inlineStr">
        <is>
          <t>Caster cloth</t>
        </is>
      </c>
      <c r="G134" s="21" t="inlineStr">
        <is>
          <t>drop: Punchy 7%</t>
        </is>
      </c>
      <c r="H134" s="37" t="n">
        <v>0</v>
      </c>
      <c r="I134" s="21" t="n">
        <v>1</v>
      </c>
      <c r="J134" s="3" t="inlineStr">
        <is>
          <t>Pass 2</t>
        </is>
      </c>
      <c r="K134" s="21" t="inlineStr">
        <is>
          <t>Rare boss drop</t>
        </is>
      </c>
      <c r="L134" s="31">
        <f>INDEX('Item Budget'!$F$5:$F$13,MATCH(K134,'Item Budget'!$E$5:$E$13,0))+IF(E134="All",0,'Item Budget'!$F$15)+LOOKUP(H134,'Item Budget'!$E$19:$E$23,'Item Budget'!$F$19:$F$23)</f>
        <v/>
      </c>
      <c r="M134" s="21" t="n">
        <v>50</v>
      </c>
      <c r="N134" s="21" t="n">
        <v>75</v>
      </c>
      <c r="O134" s="21" t="n">
        <v>150</v>
      </c>
      <c r="P134" s="21" t="n">
        <v>26</v>
      </c>
      <c r="Q134" s="21" t="n">
        <v>0</v>
      </c>
      <c r="R134" s="21" t="n">
        <v>8</v>
      </c>
      <c r="S134" s="21" t="n">
        <v>0</v>
      </c>
      <c r="T134" s="21" t="n">
        <v>13</v>
      </c>
      <c r="U134" s="21" t="n">
        <v>0</v>
      </c>
      <c r="V134" s="21" t="inlineStr">
        <is>
          <t>(none)</t>
        </is>
      </c>
      <c r="W134" s="61">
        <f>N134*'Item Budget'!$B$5+R134*'Item Budget'!$B$7+P134*'Item Budget'!$B$11+S134*'Item Budget'!$B$10+Q134*'Item Budget'!$B$9+IFERROR(INDEX('Item Budget'!$M$25:$M$95,MATCH(V134,'Item Budget'!$B$25:$B$95,0)),0)+IF($C134="Weapon",U134*'Item Budget'!$B$9,0)</f>
        <v/>
      </c>
      <c r="X134" s="61">
        <f>N134*'Item Budget'!$B$5+R134*'Item Budget'!$B$7+P134*'Item Budget'!$B$11+S134*'Item Budget'!$B$10+O134*'Item Budget'!$B$6+T134*'Item Budget'!$B$8+IFERROR(INDEX('Item Budget'!$N$25:$N$95,MATCH(V134,'Item Budget'!$B$25:$B$95,0)),0)</f>
        <v/>
      </c>
      <c r="Y134" s="61">
        <f>MAX('Item Budget'!$F$16,INDEX('Gear Budget'!$C$8:$C$14,MATCH($C134,'Gear Budget'!$A$8:$A$14,0))*MIN(M134,50))*$L134</f>
        <v/>
      </c>
      <c r="Z134" s="41">
        <f>IF($C134="Caster weapon",X134,MAX(W134,X134))/Y134</f>
        <v/>
      </c>
      <c r="AA134" s="61">
        <f>IF(OR($C134="Weapon",$C134="Caster weapon"),"",'Gear Budget'!$B$5*MAX(1,MIN(M134,50))*INDEX('Gear Budget'!$B$8:$B$14,MATCH($C134,'Gear Budget'!$A$8:$A$14,0))*IF($C134="Shield",IF(D134="Warrior",1,IF(OR(D134="Rogue",D134="All"),0.38/0.6,0.25/0.6)),IFERROR(INDEX('Gear Budget'!$B$18:$B$21,MATCH($F134,'Gear Budget'!$A$18:$A$21,0)),1)))</f>
        <v/>
      </c>
      <c r="AB134" s="41">
        <f>IF(AA134="","",P134/AA134)</f>
        <v/>
      </c>
      <c r="AC134" s="21" t="n">
        <v>50</v>
      </c>
      <c r="AD134" s="20" t="n">
        <v>80</v>
      </c>
      <c r="AE134" s="20" t="n">
        <v>165</v>
      </c>
      <c r="AF134" s="20" t="n">
        <v>29</v>
      </c>
      <c r="AG134" s="21" t="n">
        <v>0</v>
      </c>
      <c r="AH134" s="20" t="n">
        <v>9</v>
      </c>
      <c r="AI134" s="21" t="n">
        <v>0</v>
      </c>
      <c r="AJ134" s="20" t="n">
        <v>14</v>
      </c>
      <c r="AK134" s="21" t="n">
        <v>0</v>
      </c>
      <c r="AL134" s="21" t="inlineStr">
        <is>
          <t>(none)</t>
        </is>
      </c>
      <c r="AM134" s="61">
        <f>AD134*'Item Budget'!$B$5+AH134*'Item Budget'!$B$7+AF134*'Item Budget'!$B$11+AI134*'Item Budget'!$B$10+AG134*'Item Budget'!$B$9+IFERROR(INDEX('Item Budget'!$M$25:$M$95,MATCH(AL134,'Item Budget'!$B$25:$B$95,0)),0)+IF($C134="Weapon",AK134*'Item Budget'!$B$9,0)</f>
        <v/>
      </c>
      <c r="AN134" s="61">
        <f>AD134*'Item Budget'!$B$5+AH134*'Item Budget'!$B$7+AF134*'Item Budget'!$B$11+AI134*'Item Budget'!$B$10+AE134*'Item Budget'!$B$6+AJ134*'Item Budget'!$B$8+IFERROR(INDEX('Item Budget'!$N$25:$N$95,MATCH(AL134,'Item Budget'!$B$25:$B$95,0)),0)</f>
        <v/>
      </c>
      <c r="AO134" s="61">
        <f>MAX('Item Budget'!$F$16,INDEX('Gear Budget'!$C$8:$C$14,MATCH($C134,'Gear Budget'!$A$8:$A$14,0))*MIN(AC134,50))*$L134</f>
        <v/>
      </c>
      <c r="AP134" s="41">
        <f>IF($C134="Caster weapon",AN134,MAX(AM134,AN134))/AO134</f>
        <v/>
      </c>
      <c r="AQ134" s="61">
        <f>IF(OR($C134="Weapon",$C134="Caster weapon"),"",'Gear Budget'!$B$5*MAX(1,MIN(AC134,50))*INDEX('Gear Budget'!$B$8:$B$14,MATCH($C134,'Gear Budget'!$A$8:$A$14,0))*IF($C134="Shield",IF(E134="Warrior",1,IF(OR(E134="Rogue",E134="All"),0.38/0.6,0.25/0.6)),IFERROR(INDEX('Gear Budget'!$B$18:$B$21,MATCH($F134,'Gear Budget'!$A$18:$A$21,0)),1)))</f>
        <v/>
      </c>
      <c r="AR134" s="41">
        <f>IF(AQ134="","",AF134/AQ134)</f>
        <v/>
      </c>
      <c r="AS134" s="64" t="inlineStr">
        <is>
          <t>Punchy set: raised to +25% over the L40 boss set</t>
        </is>
      </c>
      <c r="AT134" s="44">
        <f>IF(OR($E134="All",ISNUMBER(SEARCH("Warrior",$E134))),IF($C134="Caster weapon",(AN134+AF134*('Item Budget'!$AB$14-'Item Budget'!$B$11)),(AM134+AF134*('Item Budget'!$AB$14-'Item Budget'!$B$11))),0)</f>
        <v/>
      </c>
      <c r="AU134" s="44">
        <f>IF(OR($E134="All",ISNUMBER(SEARCH("Rogue",$E134))),IF($C134="Caster weapon",(AN134+AF134*('Item Budget'!$AB$15-'Item Budget'!$B$11)),(AM134+AF134*('Item Budget'!$AB$15-'Item Budget'!$B$11))),0)</f>
        <v/>
      </c>
      <c r="AV134" s="44">
        <f>IF(OR($E134="All",ISNUMBER(SEARCH("Magus",$E134))),(AN134+AF134*('Item Budget'!$AB$16-'Item Budget'!$B$11)),0)</f>
        <v/>
      </c>
      <c r="AW134" s="44">
        <f>IF(OR($E134="All",ISNUMBER(SEARCH("Priest",$E134))),(AN134+AF134*('Item Budget'!$AB$17-'Item Budget'!$B$11)),0)</f>
        <v/>
      </c>
      <c r="AX134" s="44">
        <f>IF(AND(OR($E134="All",ISNUMBER(SEARCH("Warrior",$E134))),AC134&gt;='Item Budget'!$R$10),'Item Budget'!$R$7*100*('Item Budget'!$R$14*(AD134+25*AH134)+'Item Budget'!$S$14*(AE134+25*AJ134))/'Item Budget'!$Z$14+'Item Budget'!$R$9*AF134+IFERROR(INDEX('Item Budget'!$O$25:$O$95,MATCH(AL134,'Item Budget'!$B$25:$B$95,0)),0),0)</f>
        <v/>
      </c>
      <c r="AY134" s="44">
        <f>IF(AND(OR($E134="All",ISNUMBER(SEARCH("Rogue",$E134))),AC134&gt;='Item Budget'!$R$10),'Item Budget'!$R$7*100*('Item Budget'!$R$15*(AD134+25*AH134)+'Item Budget'!$S$15*(AE134+25*AJ134))/'Item Budget'!$Z$15+'Item Budget'!$R$9*AF134+IFERROR(INDEX('Item Budget'!$O$25:$O$95,MATCH(AL134,'Item Budget'!$B$25:$B$95,0)),0),0)</f>
        <v/>
      </c>
      <c r="AZ134" s="44">
        <f>IF(AND(OR($E134="All",ISNUMBER(SEARCH("Magus",$E134))),AC134&gt;='Item Budget'!$R$10),'Item Budget'!$R$7*100*('Item Budget'!$R$16*(AD134+25*AH134)+'Item Budget'!$S$16*(AE134+25*AJ134))/'Item Budget'!$Z$16+'Item Budget'!$R$9*AF134+IFERROR(INDEX('Item Budget'!$O$25:$O$95,MATCH(AL134,'Item Budget'!$B$25:$B$95,0)),0),0)</f>
        <v/>
      </c>
      <c r="BA134" s="44">
        <f>IF(AND(OR($E134="All",ISNUMBER(SEARCH("Priest",$E134))),AC134&gt;='Item Budget'!$R$10),'Item Budget'!$R$7*100*('Item Budget'!$R$17*(AD134+25*AH134)+'Item Budget'!$S$17*(AE134+25*AJ134))/'Item Budget'!$Z$17+'Item Budget'!$R$9*AF134+IFERROR(INDEX('Item Budget'!$O$25:$O$95,MATCH(AL134,'Item Budget'!$B$25:$B$95,0)),0),0)</f>
        <v/>
      </c>
      <c r="BB134" s="52">
        <f>IF(OR($I134&lt;1,IF($I134&gt;=6,AX134,AT134)&lt;=0),"",IF(SUMPRODUCT(MAX(($C$5:$C$215=$C134)*($I$5:$I$215&gt;=1)*($I$5:$I$215&lt;$I134)*IF($I134&gt;=6,$AX$5:$AX$215,$AT$5:$AT$215)))&lt;=0,"",SUMPRODUCT(MAX(($C$5:$C$215=$C134)*($I$5:$I$215=$I134)*IF($I134&gt;=6,$AX$5:$AX$215,$AT$5:$AT$215)))/SUMPRODUCT(MAX(($C$5:$C$215=$C134)*($I$5:$I$215&gt;=1)*($I$5:$I$215&lt;$I134)*IF($I134&gt;=6,$AX$5:$AX$215,$AT$5:$AT$215)))-1))</f>
        <v/>
      </c>
      <c r="BC134" s="52">
        <f>IF(OR($I134&lt;1,IF($I134&gt;=6,AY134,AU134)&lt;=0),"",IF(SUMPRODUCT(MAX(($C$5:$C$215=$C134)*($I$5:$I$215&gt;=1)*($I$5:$I$215&lt;$I134)*IF($I134&gt;=6,$AY$5:$AY$215,$AU$5:$AU$215)))&lt;=0,"",SUMPRODUCT(MAX(($C$5:$C$215=$C134)*($I$5:$I$215=$I134)*IF($I134&gt;=6,$AY$5:$AY$215,$AU$5:$AU$215)))/SUMPRODUCT(MAX(($C$5:$C$215=$C134)*($I$5:$I$215&gt;=1)*($I$5:$I$215&lt;$I134)*IF($I134&gt;=6,$AY$5:$AY$215,$AU$5:$AU$215)))-1))</f>
        <v/>
      </c>
      <c r="BD134" s="52">
        <f>IF(OR($I134&lt;1,IF($I134&gt;=6,AZ134,AV134)&lt;=0),"",IF(SUMPRODUCT(MAX(($C$5:$C$215=$C134)*($I$5:$I$215&gt;=1)*($I$5:$I$215&lt;$I134)*IF($I134&gt;=6,$AZ$5:$AZ$215,$AV$5:$AV$215)))&lt;=0,"",SUMPRODUCT(MAX(($C$5:$C$215=$C134)*($I$5:$I$215=$I134)*IF($I134&gt;=6,$AZ$5:$AZ$215,$AV$5:$AV$215)))/SUMPRODUCT(MAX(($C$5:$C$215=$C134)*($I$5:$I$215&gt;=1)*($I$5:$I$215&lt;$I134)*IF($I134&gt;=6,$AZ$5:$AZ$215,$AV$5:$AV$215)))-1))</f>
        <v/>
      </c>
      <c r="BE134" s="52">
        <f>IF(OR($I134&lt;1,IF($I134&gt;=6,BA134,AW134)&lt;=0),"",IF(SUMPRODUCT(MAX(($C$5:$C$215=$C134)*($I$5:$I$215&gt;=1)*($I$5:$I$215&lt;$I134)*IF($I134&gt;=6,$BA$5:$BA$215,$AW$5:$AW$215)))&lt;=0,"",SUMPRODUCT(MAX(($C$5:$C$215=$C134)*($I$5:$I$215=$I134)*IF($I134&gt;=6,$BA$5:$BA$215,$AW$5:$AW$215)))/SUMPRODUCT(MAX(($C$5:$C$215=$C134)*($I$5:$I$215&gt;=1)*($I$5:$I$215&lt;$I134)*IF($I134&gt;=6,$BA$5:$BA$215,$AW$5:$AW$215)))-1))</f>
        <v/>
      </c>
      <c r="BF134" s="19">
        <f>IF(AND(BB134="",BC134="",BD134="",BE134=""),"",IF(IF(AND(ISNUMBER(BB134),BB134&lt;'Item Budget'!$R$11),"W ","")&amp;IF(AND(ISNUMBER(BC134),BC134&lt;'Item Budget'!$R$11),"R ","")&amp;IF(AND(ISNUMBER(BD134),BD134&lt;'Item Budget'!$R$11),"M ","")&amp;IF(AND(ISNUMBER(BE134),BE134&lt;'Item Budget'!$R$11),"P ","")="","OK","Not above lower step: "&amp;IF(AND(ISNUMBER(BB134),BB134&lt;'Item Budget'!$R$11),"W ","")&amp;IF(AND(ISNUMBER(BC134),BC134&lt;'Item Budget'!$R$11),"R ","")&amp;IF(AND(ISNUMBER(BD134),BD134&lt;'Item Budget'!$R$11),"M ","")&amp;IF(AND(ISNUMBER(BE134),BE134&lt;'Item Budget'!$R$11),"P ","")))</f>
        <v/>
      </c>
    </row>
    <row r="135">
      <c r="A135" s="21" t="n">
        <v>244</v>
      </c>
      <c r="B135" s="21" t="inlineStr">
        <is>
          <t>Elemental Shoes</t>
        </is>
      </c>
      <c r="C135" s="21" t="inlineStr">
        <is>
          <t>Shoes</t>
        </is>
      </c>
      <c r="D135" s="21" t="inlineStr">
        <is>
          <t>Magus</t>
        </is>
      </c>
      <c r="E135" s="21" t="inlineStr">
        <is>
          <t>Magus</t>
        </is>
      </c>
      <c r="F135" s="21" t="inlineStr">
        <is>
          <t>Caster cloth</t>
        </is>
      </c>
      <c r="G135" s="21" t="inlineStr">
        <is>
          <t>drop: Punchy 7%</t>
        </is>
      </c>
      <c r="H135" s="37" t="n">
        <v>0</v>
      </c>
      <c r="I135" s="21" t="n">
        <v>1</v>
      </c>
      <c r="J135" s="3" t="inlineStr">
        <is>
          <t>Pass 2</t>
        </is>
      </c>
      <c r="K135" s="21" t="inlineStr">
        <is>
          <t>Rare boss drop</t>
        </is>
      </c>
      <c r="L135" s="31">
        <f>INDEX('Item Budget'!$F$5:$F$13,MATCH(K135,'Item Budget'!$E$5:$E$13,0))+IF(E135="All",0,'Item Budget'!$F$15)+LOOKUP(H135,'Item Budget'!$E$19:$E$23,'Item Budget'!$F$19:$F$23)</f>
        <v/>
      </c>
      <c r="M135" s="21" t="n">
        <v>50</v>
      </c>
      <c r="N135" s="21" t="n">
        <v>25</v>
      </c>
      <c r="O135" s="21" t="n">
        <v>225</v>
      </c>
      <c r="P135" s="21" t="n">
        <v>25</v>
      </c>
      <c r="Q135" s="21" t="n">
        <v>0</v>
      </c>
      <c r="R135" s="21" t="n">
        <v>5</v>
      </c>
      <c r="S135" s="21" t="n">
        <v>0</v>
      </c>
      <c r="T135" s="21" t="n">
        <v>14</v>
      </c>
      <c r="U135" s="21" t="n">
        <v>0</v>
      </c>
      <c r="V135" s="21" t="inlineStr">
        <is>
          <t>(none)</t>
        </is>
      </c>
      <c r="W135" s="61">
        <f>N135*'Item Budget'!$B$5+R135*'Item Budget'!$B$7+P135*'Item Budget'!$B$11+S135*'Item Budget'!$B$10+Q135*'Item Budget'!$B$9+IFERROR(INDEX('Item Budget'!$M$25:$M$95,MATCH(V135,'Item Budget'!$B$25:$B$95,0)),0)+IF($C135="Weapon",U135*'Item Budget'!$B$9,0)</f>
        <v/>
      </c>
      <c r="X135" s="61">
        <f>N135*'Item Budget'!$B$5+R135*'Item Budget'!$B$7+P135*'Item Budget'!$B$11+S135*'Item Budget'!$B$10+O135*'Item Budget'!$B$6+T135*'Item Budget'!$B$8+IFERROR(INDEX('Item Budget'!$N$25:$N$95,MATCH(V135,'Item Budget'!$B$25:$B$95,0)),0)</f>
        <v/>
      </c>
      <c r="Y135" s="61">
        <f>MAX('Item Budget'!$F$16,INDEX('Gear Budget'!$C$8:$C$14,MATCH($C135,'Gear Budget'!$A$8:$A$14,0))*MIN(M135,50))*$L135</f>
        <v/>
      </c>
      <c r="Z135" s="41">
        <f>IF($C135="Caster weapon",X135,MAX(W135,X135))/Y135</f>
        <v/>
      </c>
      <c r="AA135" s="61">
        <f>IF(OR($C135="Weapon",$C135="Caster weapon"),"",'Gear Budget'!$B$5*MAX(1,MIN(M135,50))*INDEX('Gear Budget'!$B$8:$B$14,MATCH($C135,'Gear Budget'!$A$8:$A$14,0))*IF($C135="Shield",IF(D135="Warrior",1,IF(OR(D135="Rogue",D135="All"),0.38/0.6,0.25/0.6)),IFERROR(INDEX('Gear Budget'!$B$18:$B$21,MATCH($F135,'Gear Budget'!$A$18:$A$21,0)),1)))</f>
        <v/>
      </c>
      <c r="AB135" s="41">
        <f>IF(AA135="","",P135/AA135)</f>
        <v/>
      </c>
      <c r="AC135" s="21" t="n">
        <v>50</v>
      </c>
      <c r="AD135" s="20" t="n">
        <v>30</v>
      </c>
      <c r="AE135" s="20" t="n">
        <v>250</v>
      </c>
      <c r="AF135" s="20" t="n">
        <v>28</v>
      </c>
      <c r="AG135" s="21" t="n">
        <v>0</v>
      </c>
      <c r="AH135" s="20" t="n">
        <v>6</v>
      </c>
      <c r="AI135" s="21" t="n">
        <v>0</v>
      </c>
      <c r="AJ135" s="20" t="n">
        <v>15</v>
      </c>
      <c r="AK135" s="21" t="n">
        <v>0</v>
      </c>
      <c r="AL135" s="21" t="inlineStr">
        <is>
          <t>(none)</t>
        </is>
      </c>
      <c r="AM135" s="61">
        <f>AD135*'Item Budget'!$B$5+AH135*'Item Budget'!$B$7+AF135*'Item Budget'!$B$11+AI135*'Item Budget'!$B$10+AG135*'Item Budget'!$B$9+IFERROR(INDEX('Item Budget'!$M$25:$M$95,MATCH(AL135,'Item Budget'!$B$25:$B$95,0)),0)+IF($C135="Weapon",AK135*'Item Budget'!$B$9,0)</f>
        <v/>
      </c>
      <c r="AN135" s="61">
        <f>AD135*'Item Budget'!$B$5+AH135*'Item Budget'!$B$7+AF135*'Item Budget'!$B$11+AI135*'Item Budget'!$B$10+AE135*'Item Budget'!$B$6+AJ135*'Item Budget'!$B$8+IFERROR(INDEX('Item Budget'!$N$25:$N$95,MATCH(AL135,'Item Budget'!$B$25:$B$95,0)),0)</f>
        <v/>
      </c>
      <c r="AO135" s="61">
        <f>MAX('Item Budget'!$F$16,INDEX('Gear Budget'!$C$8:$C$14,MATCH($C135,'Gear Budget'!$A$8:$A$14,0))*MIN(AC135,50))*$L135</f>
        <v/>
      </c>
      <c r="AP135" s="41">
        <f>IF($C135="Caster weapon",AN135,MAX(AM135,AN135))/AO135</f>
        <v/>
      </c>
      <c r="AQ135" s="61">
        <f>IF(OR($C135="Weapon",$C135="Caster weapon"),"",'Gear Budget'!$B$5*MAX(1,MIN(AC135,50))*INDEX('Gear Budget'!$B$8:$B$14,MATCH($C135,'Gear Budget'!$A$8:$A$14,0))*IF($C135="Shield",IF(E135="Warrior",1,IF(OR(E135="Rogue",E135="All"),0.38/0.6,0.25/0.6)),IFERROR(INDEX('Gear Budget'!$B$18:$B$21,MATCH($F135,'Gear Budget'!$A$18:$A$21,0)),1)))</f>
        <v/>
      </c>
      <c r="AR135" s="41">
        <f>IF(AQ135="","",AF135/AQ135)</f>
        <v/>
      </c>
      <c r="AS135" s="64" t="inlineStr">
        <is>
          <t>Punchy set: raised to +25% over the L40 boss set</t>
        </is>
      </c>
      <c r="AT135" s="44">
        <f>IF(OR($E135="All",ISNUMBER(SEARCH("Warrior",$E135))),IF($C135="Caster weapon",(AN135+AF135*('Item Budget'!$AB$14-'Item Budget'!$B$11)),(AM135+AF135*('Item Budget'!$AB$14-'Item Budget'!$B$11))),0)</f>
        <v/>
      </c>
      <c r="AU135" s="44">
        <f>IF(OR($E135="All",ISNUMBER(SEARCH("Rogue",$E135))),IF($C135="Caster weapon",(AN135+AF135*('Item Budget'!$AB$15-'Item Budget'!$B$11)),(AM135+AF135*('Item Budget'!$AB$15-'Item Budget'!$B$11))),0)</f>
        <v/>
      </c>
      <c r="AV135" s="44">
        <f>IF(OR($E135="All",ISNUMBER(SEARCH("Magus",$E135))),(AN135+AF135*('Item Budget'!$AB$16-'Item Budget'!$B$11)),0)</f>
        <v/>
      </c>
      <c r="AW135" s="44">
        <f>IF(OR($E135="All",ISNUMBER(SEARCH("Priest",$E135))),(AN135+AF135*('Item Budget'!$AB$17-'Item Budget'!$B$11)),0)</f>
        <v/>
      </c>
      <c r="AX135" s="44">
        <f>IF(AND(OR($E135="All",ISNUMBER(SEARCH("Warrior",$E135))),AC135&gt;='Item Budget'!$R$10),'Item Budget'!$R$7*100*('Item Budget'!$R$14*(AD135+25*AH135)+'Item Budget'!$S$14*(AE135+25*AJ135))/'Item Budget'!$Z$14+'Item Budget'!$R$9*AF135+IFERROR(INDEX('Item Budget'!$O$25:$O$95,MATCH(AL135,'Item Budget'!$B$25:$B$95,0)),0),0)</f>
        <v/>
      </c>
      <c r="AY135" s="44">
        <f>IF(AND(OR($E135="All",ISNUMBER(SEARCH("Rogue",$E135))),AC135&gt;='Item Budget'!$R$10),'Item Budget'!$R$7*100*('Item Budget'!$R$15*(AD135+25*AH135)+'Item Budget'!$S$15*(AE135+25*AJ135))/'Item Budget'!$Z$15+'Item Budget'!$R$9*AF135+IFERROR(INDEX('Item Budget'!$O$25:$O$95,MATCH(AL135,'Item Budget'!$B$25:$B$95,0)),0),0)</f>
        <v/>
      </c>
      <c r="AZ135" s="44">
        <f>IF(AND(OR($E135="All",ISNUMBER(SEARCH("Magus",$E135))),AC135&gt;='Item Budget'!$R$10),'Item Budget'!$R$7*100*('Item Budget'!$R$16*(AD135+25*AH135)+'Item Budget'!$S$16*(AE135+25*AJ135))/'Item Budget'!$Z$16+'Item Budget'!$R$9*AF135+IFERROR(INDEX('Item Budget'!$O$25:$O$95,MATCH(AL135,'Item Budget'!$B$25:$B$95,0)),0),0)</f>
        <v/>
      </c>
      <c r="BA135" s="44">
        <f>IF(AND(OR($E135="All",ISNUMBER(SEARCH("Priest",$E135))),AC135&gt;='Item Budget'!$R$10),'Item Budget'!$R$7*100*('Item Budget'!$R$17*(AD135+25*AH135)+'Item Budget'!$S$17*(AE135+25*AJ135))/'Item Budget'!$Z$17+'Item Budget'!$R$9*AF135+IFERROR(INDEX('Item Budget'!$O$25:$O$95,MATCH(AL135,'Item Budget'!$B$25:$B$95,0)),0),0)</f>
        <v/>
      </c>
      <c r="BB135" s="52">
        <f>IF(OR($I135&lt;1,IF($I135&gt;=6,AX135,AT135)&lt;=0),"",IF(SUMPRODUCT(MAX(($C$5:$C$215=$C135)*($I$5:$I$215&gt;=1)*($I$5:$I$215&lt;$I135)*IF($I135&gt;=6,$AX$5:$AX$215,$AT$5:$AT$215)))&lt;=0,"",SUMPRODUCT(MAX(($C$5:$C$215=$C135)*($I$5:$I$215=$I135)*IF($I135&gt;=6,$AX$5:$AX$215,$AT$5:$AT$215)))/SUMPRODUCT(MAX(($C$5:$C$215=$C135)*($I$5:$I$215&gt;=1)*($I$5:$I$215&lt;$I135)*IF($I135&gt;=6,$AX$5:$AX$215,$AT$5:$AT$215)))-1))</f>
        <v/>
      </c>
      <c r="BC135" s="52">
        <f>IF(OR($I135&lt;1,IF($I135&gt;=6,AY135,AU135)&lt;=0),"",IF(SUMPRODUCT(MAX(($C$5:$C$215=$C135)*($I$5:$I$215&gt;=1)*($I$5:$I$215&lt;$I135)*IF($I135&gt;=6,$AY$5:$AY$215,$AU$5:$AU$215)))&lt;=0,"",SUMPRODUCT(MAX(($C$5:$C$215=$C135)*($I$5:$I$215=$I135)*IF($I135&gt;=6,$AY$5:$AY$215,$AU$5:$AU$215)))/SUMPRODUCT(MAX(($C$5:$C$215=$C135)*($I$5:$I$215&gt;=1)*($I$5:$I$215&lt;$I135)*IF($I135&gt;=6,$AY$5:$AY$215,$AU$5:$AU$215)))-1))</f>
        <v/>
      </c>
      <c r="BD135" s="52">
        <f>IF(OR($I135&lt;1,IF($I135&gt;=6,AZ135,AV135)&lt;=0),"",IF(SUMPRODUCT(MAX(($C$5:$C$215=$C135)*($I$5:$I$215&gt;=1)*($I$5:$I$215&lt;$I135)*IF($I135&gt;=6,$AZ$5:$AZ$215,$AV$5:$AV$215)))&lt;=0,"",SUMPRODUCT(MAX(($C$5:$C$215=$C135)*($I$5:$I$215=$I135)*IF($I135&gt;=6,$AZ$5:$AZ$215,$AV$5:$AV$215)))/SUMPRODUCT(MAX(($C$5:$C$215=$C135)*($I$5:$I$215&gt;=1)*($I$5:$I$215&lt;$I135)*IF($I135&gt;=6,$AZ$5:$AZ$215,$AV$5:$AV$215)))-1))</f>
        <v/>
      </c>
      <c r="BE135" s="52">
        <f>IF(OR($I135&lt;1,IF($I135&gt;=6,BA135,AW135)&lt;=0),"",IF(SUMPRODUCT(MAX(($C$5:$C$215=$C135)*($I$5:$I$215&gt;=1)*($I$5:$I$215&lt;$I135)*IF($I135&gt;=6,$BA$5:$BA$215,$AW$5:$AW$215)))&lt;=0,"",SUMPRODUCT(MAX(($C$5:$C$215=$C135)*($I$5:$I$215=$I135)*IF($I135&gt;=6,$BA$5:$BA$215,$AW$5:$AW$215)))/SUMPRODUCT(MAX(($C$5:$C$215=$C135)*($I$5:$I$215&gt;=1)*($I$5:$I$215&lt;$I135)*IF($I135&gt;=6,$BA$5:$BA$215,$AW$5:$AW$215)))-1))</f>
        <v/>
      </c>
      <c r="BF135" s="19">
        <f>IF(AND(BB135="",BC135="",BD135="",BE135=""),"",IF(IF(AND(ISNUMBER(BB135),BB135&lt;'Item Budget'!$R$11),"W ","")&amp;IF(AND(ISNUMBER(BC135),BC135&lt;'Item Budget'!$R$11),"R ","")&amp;IF(AND(ISNUMBER(BD135),BD135&lt;'Item Budget'!$R$11),"M ","")&amp;IF(AND(ISNUMBER(BE135),BE135&lt;'Item Budget'!$R$11),"P ","")="","OK","Not above lower step: "&amp;IF(AND(ISNUMBER(BB135),BB135&lt;'Item Budget'!$R$11),"W ","")&amp;IF(AND(ISNUMBER(BC135),BC135&lt;'Item Budget'!$R$11),"R ","")&amp;IF(AND(ISNUMBER(BD135),BD135&lt;'Item Budget'!$R$11),"M ","")&amp;IF(AND(ISNUMBER(BE135),BE135&lt;'Item Budget'!$R$11),"P ","")))</f>
        <v/>
      </c>
    </row>
    <row r="136">
      <c r="A136" s="21" t="n">
        <v>127</v>
      </c>
      <c r="B136" s="21" t="inlineStr">
        <is>
          <t>Gold Boots</t>
        </is>
      </c>
      <c r="C136" s="21" t="inlineStr">
        <is>
          <t>Shoes</t>
        </is>
      </c>
      <c r="D136" s="21" t="inlineStr">
        <is>
          <t>Rogue/Warrior</t>
        </is>
      </c>
      <c r="E136" s="21" t="inlineStr">
        <is>
          <t>Rogue/Warrior</t>
        </is>
      </c>
      <c r="F136" s="21" t="inlineStr">
        <is>
          <t>Warrior plate</t>
        </is>
      </c>
      <c r="G136" s="21" t="inlineStr">
        <is>
          <t>drop: Insanity 10%</t>
        </is>
      </c>
      <c r="H136" s="37" t="n">
        <v>0</v>
      </c>
      <c r="I136" s="21" t="n">
        <v>4</v>
      </c>
      <c r="J136" s="19" t="inlineStr">
        <is>
          <t>Leave</t>
        </is>
      </c>
      <c r="K136" s="21" t="inlineStr">
        <is>
          <t>Rare boss drop</t>
        </is>
      </c>
      <c r="L136" s="31">
        <f>INDEX('Item Budget'!$F$5:$F$13,MATCH(K136,'Item Budget'!$E$5:$E$13,0))+IF(E136="All",0,'Item Budget'!$F$15)+LOOKUP(H136,'Item Budget'!$E$19:$E$23,'Item Budget'!$F$19:$F$23)</f>
        <v/>
      </c>
      <c r="M136" s="21" t="n">
        <v>50</v>
      </c>
      <c r="N136" s="21" t="n">
        <v>150</v>
      </c>
      <c r="O136" s="21" t="n">
        <v>0</v>
      </c>
      <c r="P136" s="21" t="n">
        <v>65</v>
      </c>
      <c r="Q136" s="21" t="n">
        <v>7</v>
      </c>
      <c r="R136" s="21" t="n">
        <v>10</v>
      </c>
      <c r="S136" s="21" t="n">
        <v>0</v>
      </c>
      <c r="T136" s="21" t="n">
        <v>0</v>
      </c>
      <c r="U136" s="21" t="n">
        <v>0</v>
      </c>
      <c r="V136" s="21" t="inlineStr">
        <is>
          <t>(none)</t>
        </is>
      </c>
      <c r="W136" s="61">
        <f>N136*'Item Budget'!$B$5+R136*'Item Budget'!$B$7+P136*'Item Budget'!$B$11+S136*'Item Budget'!$B$10+Q136*'Item Budget'!$B$9+IFERROR(INDEX('Item Budget'!$M$25:$M$95,MATCH(V136,'Item Budget'!$B$25:$B$95,0)),0)+IF($C136="Weapon",U136*'Item Budget'!$B$9,0)</f>
        <v/>
      </c>
      <c r="X136" s="61">
        <f>N136*'Item Budget'!$B$5+R136*'Item Budget'!$B$7+P136*'Item Budget'!$B$11+S136*'Item Budget'!$B$10+O136*'Item Budget'!$B$6+T136*'Item Budget'!$B$8+IFERROR(INDEX('Item Budget'!$N$25:$N$95,MATCH(V136,'Item Budget'!$B$25:$B$95,0)),0)</f>
        <v/>
      </c>
      <c r="Y136" s="61">
        <f>MAX('Item Budget'!$F$16,INDEX('Gear Budget'!$C$8:$C$14,MATCH($C136,'Gear Budget'!$A$8:$A$14,0))*MIN(M136,50))*$L136</f>
        <v/>
      </c>
      <c r="Z136" s="41">
        <f>IF($C136="Caster weapon",X136,MAX(W136,X136))/Y136</f>
        <v/>
      </c>
      <c r="AA136" s="61">
        <f>IF(OR($C136="Weapon",$C136="Caster weapon"),"",'Gear Budget'!$B$5*MAX(1,MIN(M136,50))*INDEX('Gear Budget'!$B$8:$B$14,MATCH($C136,'Gear Budget'!$A$8:$A$14,0))*IF($C136="Shield",IF(D136="Warrior",1,IF(OR(D136="Rogue",D136="All"),0.38/0.6,0.25/0.6)),IFERROR(INDEX('Gear Budget'!$B$18:$B$21,MATCH($F136,'Gear Budget'!$A$18:$A$21,0)),1)))</f>
        <v/>
      </c>
      <c r="AB136" s="41">
        <f>IF(AA136="","",P136/AA136)</f>
        <v/>
      </c>
      <c r="AC136" s="21" t="n">
        <v>50</v>
      </c>
      <c r="AD136" s="21" t="n">
        <v>150</v>
      </c>
      <c r="AE136" s="21" t="n">
        <v>0</v>
      </c>
      <c r="AF136" s="21" t="n">
        <v>65</v>
      </c>
      <c r="AG136" s="21" t="n">
        <v>7</v>
      </c>
      <c r="AH136" s="21" t="n">
        <v>10</v>
      </c>
      <c r="AI136" s="21" t="n">
        <v>0</v>
      </c>
      <c r="AJ136" s="21" t="n">
        <v>0</v>
      </c>
      <c r="AK136" s="21" t="n">
        <v>0</v>
      </c>
      <c r="AL136" s="21" t="inlineStr">
        <is>
          <t>(none)</t>
        </is>
      </c>
      <c r="AM136" s="61">
        <f>AD136*'Item Budget'!$B$5+AH136*'Item Budget'!$B$7+AF136*'Item Budget'!$B$11+AI136*'Item Budget'!$B$10+AG136*'Item Budget'!$B$9+IFERROR(INDEX('Item Budget'!$M$25:$M$95,MATCH(AL136,'Item Budget'!$B$25:$B$95,0)),0)+IF($C136="Weapon",AK136*'Item Budget'!$B$9,0)</f>
        <v/>
      </c>
      <c r="AN136" s="61">
        <f>AD136*'Item Budget'!$B$5+AH136*'Item Budget'!$B$7+AF136*'Item Budget'!$B$11+AI136*'Item Budget'!$B$10+AE136*'Item Budget'!$B$6+AJ136*'Item Budget'!$B$8+IFERROR(INDEX('Item Budget'!$N$25:$N$95,MATCH(AL136,'Item Budget'!$B$25:$B$95,0)),0)</f>
        <v/>
      </c>
      <c r="AO136" s="61">
        <f>MAX('Item Budget'!$F$16,INDEX('Gear Budget'!$C$8:$C$14,MATCH($C136,'Gear Budget'!$A$8:$A$14,0))*MIN(AC136,50))*$L136</f>
        <v/>
      </c>
      <c r="AP136" s="41">
        <f>IF($C136="Caster weapon",AN136,MAX(AM136,AN136))/AO136</f>
        <v/>
      </c>
      <c r="AQ136" s="61">
        <f>IF(OR($C136="Weapon",$C136="Caster weapon"),"",'Gear Budget'!$B$5*MAX(1,MIN(AC136,50))*INDEX('Gear Budget'!$B$8:$B$14,MATCH($C136,'Gear Budget'!$A$8:$A$14,0))*IF($C136="Shield",IF(E136="Warrior",1,IF(OR(E136="Rogue",E136="All"),0.38/0.6,0.25/0.6)),IFERROR(INDEX('Gear Budget'!$B$18:$B$21,MATCH($F136,'Gear Budget'!$A$18:$A$21,0)),1)))</f>
        <v/>
      </c>
      <c r="AR136" s="41">
        <f>IF(AQ136="","",AF136/AQ136)</f>
        <v/>
      </c>
      <c r="AS136" s="64" t="n"/>
      <c r="AT136" s="44">
        <f>IF(OR($E136="All",ISNUMBER(SEARCH("Warrior",$E136))),IF($C136="Caster weapon",(AN136+AF136*('Item Budget'!$AB$14-'Item Budget'!$B$11)),(AM136+AF136*('Item Budget'!$AB$14-'Item Budget'!$B$11))),0)</f>
        <v/>
      </c>
      <c r="AU136" s="44">
        <f>IF(OR($E136="All",ISNUMBER(SEARCH("Rogue",$E136))),IF($C136="Caster weapon",(AN136+AF136*('Item Budget'!$AB$15-'Item Budget'!$B$11)),(AM136+AF136*('Item Budget'!$AB$15-'Item Budget'!$B$11))),0)</f>
        <v/>
      </c>
      <c r="AV136" s="44">
        <f>IF(OR($E136="All",ISNUMBER(SEARCH("Magus",$E136))),(AN136+AF136*('Item Budget'!$AB$16-'Item Budget'!$B$11)),0)</f>
        <v/>
      </c>
      <c r="AW136" s="44">
        <f>IF(OR($E136="All",ISNUMBER(SEARCH("Priest",$E136))),(AN136+AF136*('Item Budget'!$AB$17-'Item Budget'!$B$11)),0)</f>
        <v/>
      </c>
      <c r="AX136" s="44">
        <f>IF(AND(OR($E136="All",ISNUMBER(SEARCH("Warrior",$E136))),AC136&gt;='Item Budget'!$R$10),'Item Budget'!$R$7*100*('Item Budget'!$R$14*(AD136+25*AH136)+'Item Budget'!$S$14*(AE136+25*AJ136))/'Item Budget'!$Z$14+'Item Budget'!$R$9*AF136+IFERROR(INDEX('Item Budget'!$O$25:$O$95,MATCH(AL136,'Item Budget'!$B$25:$B$95,0)),0),0)</f>
        <v/>
      </c>
      <c r="AY136" s="44">
        <f>IF(AND(OR($E136="All",ISNUMBER(SEARCH("Rogue",$E136))),AC136&gt;='Item Budget'!$R$10),'Item Budget'!$R$7*100*('Item Budget'!$R$15*(AD136+25*AH136)+'Item Budget'!$S$15*(AE136+25*AJ136))/'Item Budget'!$Z$15+'Item Budget'!$R$9*AF136+IFERROR(INDEX('Item Budget'!$O$25:$O$95,MATCH(AL136,'Item Budget'!$B$25:$B$95,0)),0),0)</f>
        <v/>
      </c>
      <c r="AZ136" s="44">
        <f>IF(AND(OR($E136="All",ISNUMBER(SEARCH("Magus",$E136))),AC136&gt;='Item Budget'!$R$10),'Item Budget'!$R$7*100*('Item Budget'!$R$16*(AD136+25*AH136)+'Item Budget'!$S$16*(AE136+25*AJ136))/'Item Budget'!$Z$16+'Item Budget'!$R$9*AF136+IFERROR(INDEX('Item Budget'!$O$25:$O$95,MATCH(AL136,'Item Budget'!$B$25:$B$95,0)),0),0)</f>
        <v/>
      </c>
      <c r="BA136" s="44">
        <f>IF(AND(OR($E136="All",ISNUMBER(SEARCH("Priest",$E136))),AC136&gt;='Item Budget'!$R$10),'Item Budget'!$R$7*100*('Item Budget'!$R$17*(AD136+25*AH136)+'Item Budget'!$S$17*(AE136+25*AJ136))/'Item Budget'!$Z$17+'Item Budget'!$R$9*AF136+IFERROR(INDEX('Item Budget'!$O$25:$O$95,MATCH(AL136,'Item Budget'!$B$25:$B$95,0)),0),0)</f>
        <v/>
      </c>
      <c r="BB136" s="52">
        <f>IF(OR($I136&lt;1,IF($I136&gt;=6,AX136,AT136)&lt;=0),"",IF(SUMPRODUCT(MAX(($C$5:$C$215=$C136)*($I$5:$I$215&gt;=1)*($I$5:$I$215&lt;$I136)*IF($I136&gt;=6,$AX$5:$AX$215,$AT$5:$AT$215)))&lt;=0,"",SUMPRODUCT(MAX(($C$5:$C$215=$C136)*($I$5:$I$215=$I136)*IF($I136&gt;=6,$AX$5:$AX$215,$AT$5:$AT$215)))/SUMPRODUCT(MAX(($C$5:$C$215=$C136)*($I$5:$I$215&gt;=1)*($I$5:$I$215&lt;$I136)*IF($I136&gt;=6,$AX$5:$AX$215,$AT$5:$AT$215)))-1))</f>
        <v/>
      </c>
      <c r="BC136" s="52">
        <f>IF(OR($I136&lt;1,IF($I136&gt;=6,AY136,AU136)&lt;=0),"",IF(SUMPRODUCT(MAX(($C$5:$C$215=$C136)*($I$5:$I$215&gt;=1)*($I$5:$I$215&lt;$I136)*IF($I136&gt;=6,$AY$5:$AY$215,$AU$5:$AU$215)))&lt;=0,"",SUMPRODUCT(MAX(($C$5:$C$215=$C136)*($I$5:$I$215=$I136)*IF($I136&gt;=6,$AY$5:$AY$215,$AU$5:$AU$215)))/SUMPRODUCT(MAX(($C$5:$C$215=$C136)*($I$5:$I$215&gt;=1)*($I$5:$I$215&lt;$I136)*IF($I136&gt;=6,$AY$5:$AY$215,$AU$5:$AU$215)))-1))</f>
        <v/>
      </c>
      <c r="BD136" s="52">
        <f>IF(OR($I136&lt;1,IF($I136&gt;=6,AZ136,AV136)&lt;=0),"",IF(SUMPRODUCT(MAX(($C$5:$C$215=$C136)*($I$5:$I$215&gt;=1)*($I$5:$I$215&lt;$I136)*IF($I136&gt;=6,$AZ$5:$AZ$215,$AV$5:$AV$215)))&lt;=0,"",SUMPRODUCT(MAX(($C$5:$C$215=$C136)*($I$5:$I$215=$I136)*IF($I136&gt;=6,$AZ$5:$AZ$215,$AV$5:$AV$215)))/SUMPRODUCT(MAX(($C$5:$C$215=$C136)*($I$5:$I$215&gt;=1)*($I$5:$I$215&lt;$I136)*IF($I136&gt;=6,$AZ$5:$AZ$215,$AV$5:$AV$215)))-1))</f>
        <v/>
      </c>
      <c r="BE136" s="52">
        <f>IF(OR($I136&lt;1,IF($I136&gt;=6,BA136,AW136)&lt;=0),"",IF(SUMPRODUCT(MAX(($C$5:$C$215=$C136)*($I$5:$I$215&gt;=1)*($I$5:$I$215&lt;$I136)*IF($I136&gt;=6,$BA$5:$BA$215,$AW$5:$AW$215)))&lt;=0,"",SUMPRODUCT(MAX(($C$5:$C$215=$C136)*($I$5:$I$215=$I136)*IF($I136&gt;=6,$BA$5:$BA$215,$AW$5:$AW$215)))/SUMPRODUCT(MAX(($C$5:$C$215=$C136)*($I$5:$I$215&gt;=1)*($I$5:$I$215&lt;$I136)*IF($I136&gt;=6,$BA$5:$BA$215,$AW$5:$AW$215)))-1))</f>
        <v/>
      </c>
      <c r="BF136" s="19">
        <f>IF(AND(BB136="",BC136="",BD136="",BE136=""),"",IF(IF(AND(ISNUMBER(BB136),BB136&lt;'Item Budget'!$R$11),"W ","")&amp;IF(AND(ISNUMBER(BC136),BC136&lt;'Item Budget'!$R$11),"R ","")&amp;IF(AND(ISNUMBER(BD136),BD136&lt;'Item Budget'!$R$11),"M ","")&amp;IF(AND(ISNUMBER(BE136),BE136&lt;'Item Budget'!$R$11),"P ","")="","OK","Not above lower step: "&amp;IF(AND(ISNUMBER(BB136),BB136&lt;'Item Budget'!$R$11),"W ","")&amp;IF(AND(ISNUMBER(BC136),BC136&lt;'Item Budget'!$R$11),"R ","")&amp;IF(AND(ISNUMBER(BD136),BD136&lt;'Item Budget'!$R$11),"M ","")&amp;IF(AND(ISNUMBER(BE136),BE136&lt;'Item Budget'!$R$11),"P ","")))</f>
        <v/>
      </c>
    </row>
    <row r="137">
      <c r="A137" s="21" t="n">
        <v>248</v>
      </c>
      <c r="B137" s="21" t="inlineStr">
        <is>
          <t>Whirling Slippers</t>
        </is>
      </c>
      <c r="C137" s="21" t="inlineStr">
        <is>
          <t>Shoes</t>
        </is>
      </c>
      <c r="D137" s="21" t="inlineStr">
        <is>
          <t>Magus/Priest</t>
        </is>
      </c>
      <c r="E137" s="21" t="inlineStr">
        <is>
          <t>Magus/Priest</t>
        </is>
      </c>
      <c r="F137" s="21" t="inlineStr">
        <is>
          <t>Caster cloth</t>
        </is>
      </c>
      <c r="G137" s="21" t="inlineStr">
        <is>
          <t>drop: Copycat 10%</t>
        </is>
      </c>
      <c r="H137" s="37" t="n">
        <v>0</v>
      </c>
      <c r="I137" s="21" t="n">
        <v>4</v>
      </c>
      <c r="J137" s="19" t="inlineStr">
        <is>
          <t>Pass 2</t>
        </is>
      </c>
      <c r="K137" s="21" t="inlineStr">
        <is>
          <t>Rare boss drop</t>
        </is>
      </c>
      <c r="L137" s="31">
        <f>INDEX('Item Budget'!$F$5:$F$13,MATCH(K137,'Item Budget'!$E$5:$E$13,0))+IF(E137="All",0,'Item Budget'!$F$15)+LOOKUP(H137,'Item Budget'!$E$19:$E$23,'Item Budget'!$F$19:$F$23)</f>
        <v/>
      </c>
      <c r="M137" s="21" t="n">
        <v>50</v>
      </c>
      <c r="N137" s="21" t="n">
        <v>0</v>
      </c>
      <c r="O137" s="21" t="n">
        <v>75</v>
      </c>
      <c r="P137" s="21" t="n">
        <v>35</v>
      </c>
      <c r="Q137" s="21" t="n">
        <v>0</v>
      </c>
      <c r="R137" s="21" t="n">
        <v>5</v>
      </c>
      <c r="S137" s="21" t="n">
        <v>0</v>
      </c>
      <c r="T137" s="21" t="n">
        <v>9</v>
      </c>
      <c r="U137" s="21" t="n">
        <v>0</v>
      </c>
      <c r="V137" s="21" t="inlineStr">
        <is>
          <t>(none)</t>
        </is>
      </c>
      <c r="W137" s="61">
        <f>N137*'Item Budget'!$B$5+R137*'Item Budget'!$B$7+P137*'Item Budget'!$B$11+S137*'Item Budget'!$B$10+Q137*'Item Budget'!$B$9+IFERROR(INDEX('Item Budget'!$M$25:$M$95,MATCH(V137,'Item Budget'!$B$25:$B$95,0)),0)+IF($C137="Weapon",U137*'Item Budget'!$B$9,0)</f>
        <v/>
      </c>
      <c r="X137" s="61">
        <f>N137*'Item Budget'!$B$5+R137*'Item Budget'!$B$7+P137*'Item Budget'!$B$11+S137*'Item Budget'!$B$10+O137*'Item Budget'!$B$6+T137*'Item Budget'!$B$8+IFERROR(INDEX('Item Budget'!$N$25:$N$95,MATCH(V137,'Item Budget'!$B$25:$B$95,0)),0)</f>
        <v/>
      </c>
      <c r="Y137" s="61">
        <f>MAX('Item Budget'!$F$16,INDEX('Gear Budget'!$C$8:$C$14,MATCH($C137,'Gear Budget'!$A$8:$A$14,0))*MIN(M137,50))*$L137</f>
        <v/>
      </c>
      <c r="Z137" s="41">
        <f>IF($C137="Caster weapon",X137,MAX(W137,X137))/Y137</f>
        <v/>
      </c>
      <c r="AA137" s="61">
        <f>IF(OR($C137="Weapon",$C137="Caster weapon"),"",'Gear Budget'!$B$5*MAX(1,MIN(M137,50))*INDEX('Gear Budget'!$B$8:$B$14,MATCH($C137,'Gear Budget'!$A$8:$A$14,0))*IF($C137="Shield",IF(D137="Warrior",1,IF(OR(D137="Rogue",D137="All"),0.38/0.6,0.25/0.6)),IFERROR(INDEX('Gear Budget'!$B$18:$B$21,MATCH($F137,'Gear Budget'!$A$18:$A$21,0)),1)))</f>
        <v/>
      </c>
      <c r="AB137" s="41">
        <f>IF(AA137="","",P137/AA137)</f>
        <v/>
      </c>
      <c r="AC137" s="21" t="n">
        <v>50</v>
      </c>
      <c r="AD137" s="21" t="n">
        <v>0</v>
      </c>
      <c r="AE137" s="20" t="n">
        <v>165</v>
      </c>
      <c r="AF137" s="21" t="n">
        <v>35</v>
      </c>
      <c r="AG137" s="21" t="n">
        <v>0</v>
      </c>
      <c r="AH137" s="20" t="n">
        <v>11</v>
      </c>
      <c r="AI137" s="21" t="n">
        <v>0</v>
      </c>
      <c r="AJ137" s="20" t="n">
        <v>21</v>
      </c>
      <c r="AK137" s="21" t="n">
        <v>0</v>
      </c>
      <c r="AL137" s="21" t="inlineStr">
        <is>
          <t>(none)</t>
        </is>
      </c>
      <c r="AM137" s="61">
        <f>AD137*'Item Budget'!$B$5+AH137*'Item Budget'!$B$7+AF137*'Item Budget'!$B$11+AI137*'Item Budget'!$B$10+AG137*'Item Budget'!$B$9+IFERROR(INDEX('Item Budget'!$M$25:$M$95,MATCH(AL137,'Item Budget'!$B$25:$B$95,0)),0)+IF($C137="Weapon",AK137*'Item Budget'!$B$9,0)</f>
        <v/>
      </c>
      <c r="AN137" s="61">
        <f>AD137*'Item Budget'!$B$5+AH137*'Item Budget'!$B$7+AF137*'Item Budget'!$B$11+AI137*'Item Budget'!$B$10+AE137*'Item Budget'!$B$6+AJ137*'Item Budget'!$B$8+IFERROR(INDEX('Item Budget'!$N$25:$N$95,MATCH(AL137,'Item Budget'!$B$25:$B$95,0)),0)</f>
        <v/>
      </c>
      <c r="AO137" s="61">
        <f>MAX('Item Budget'!$F$16,INDEX('Gear Budget'!$C$8:$C$14,MATCH($C137,'Gear Budget'!$A$8:$A$14,0))*MIN(AC137,50))*$L137</f>
        <v/>
      </c>
      <c r="AP137" s="41">
        <f>IF($C137="Caster weapon",AN137,MAX(AM137,AN137))/AO137</f>
        <v/>
      </c>
      <c r="AQ137" s="61">
        <f>IF(OR($C137="Weapon",$C137="Caster weapon"),"",'Gear Budget'!$B$5*MAX(1,MIN(AC137,50))*INDEX('Gear Budget'!$B$8:$B$14,MATCH($C137,'Gear Budget'!$A$8:$A$14,0))*IF($C137="Shield",IF(E137="Warrior",1,IF(OR(E137="Rogue",E137="All"),0.38/0.6,0.25/0.6)),IFERROR(INDEX('Gear Budget'!$B$18:$B$21,MATCH($F137,'Gear Budget'!$A$18:$A$21,0)),1)))</f>
        <v/>
      </c>
      <c r="AR137" s="41">
        <f>IF(AQ137="","",AF137/AQ137)</f>
        <v/>
      </c>
      <c r="AS137" s="64" t="inlineStr">
        <is>
          <t>Raised so it is 10% over Elemental Shoes for Magus (pass 2 class weights)</t>
        </is>
      </c>
      <c r="AT137" s="44">
        <f>IF(OR($E137="All",ISNUMBER(SEARCH("Warrior",$E137))),IF($C137="Caster weapon",(AN137+AF137*('Item Budget'!$AB$14-'Item Budget'!$B$11)),(AM137+AF137*('Item Budget'!$AB$14-'Item Budget'!$B$11))),0)</f>
        <v/>
      </c>
      <c r="AU137" s="44">
        <f>IF(OR($E137="All",ISNUMBER(SEARCH("Rogue",$E137))),IF($C137="Caster weapon",(AN137+AF137*('Item Budget'!$AB$15-'Item Budget'!$B$11)),(AM137+AF137*('Item Budget'!$AB$15-'Item Budget'!$B$11))),0)</f>
        <v/>
      </c>
      <c r="AV137" s="44">
        <f>IF(OR($E137="All",ISNUMBER(SEARCH("Magus",$E137))),(AN137+AF137*('Item Budget'!$AB$16-'Item Budget'!$B$11)),0)</f>
        <v/>
      </c>
      <c r="AW137" s="44">
        <f>IF(OR($E137="All",ISNUMBER(SEARCH("Priest",$E137))),(AN137+AF137*('Item Budget'!$AB$17-'Item Budget'!$B$11)),0)</f>
        <v/>
      </c>
      <c r="AX137" s="44">
        <f>IF(AND(OR($E137="All",ISNUMBER(SEARCH("Warrior",$E137))),AC137&gt;='Item Budget'!$R$10),'Item Budget'!$R$7*100*('Item Budget'!$R$14*(AD137+25*AH137)+'Item Budget'!$S$14*(AE137+25*AJ137))/'Item Budget'!$Z$14+'Item Budget'!$R$9*AF137+IFERROR(INDEX('Item Budget'!$O$25:$O$95,MATCH(AL137,'Item Budget'!$B$25:$B$95,0)),0),0)</f>
        <v/>
      </c>
      <c r="AY137" s="44">
        <f>IF(AND(OR($E137="All",ISNUMBER(SEARCH("Rogue",$E137))),AC137&gt;='Item Budget'!$R$10),'Item Budget'!$R$7*100*('Item Budget'!$R$15*(AD137+25*AH137)+'Item Budget'!$S$15*(AE137+25*AJ137))/'Item Budget'!$Z$15+'Item Budget'!$R$9*AF137+IFERROR(INDEX('Item Budget'!$O$25:$O$95,MATCH(AL137,'Item Budget'!$B$25:$B$95,0)),0),0)</f>
        <v/>
      </c>
      <c r="AZ137" s="44">
        <f>IF(AND(OR($E137="All",ISNUMBER(SEARCH("Magus",$E137))),AC137&gt;='Item Budget'!$R$10),'Item Budget'!$R$7*100*('Item Budget'!$R$16*(AD137+25*AH137)+'Item Budget'!$S$16*(AE137+25*AJ137))/'Item Budget'!$Z$16+'Item Budget'!$R$9*AF137+IFERROR(INDEX('Item Budget'!$O$25:$O$95,MATCH(AL137,'Item Budget'!$B$25:$B$95,0)),0),0)</f>
        <v/>
      </c>
      <c r="BA137" s="44">
        <f>IF(AND(OR($E137="All",ISNUMBER(SEARCH("Priest",$E137))),AC137&gt;='Item Budget'!$R$10),'Item Budget'!$R$7*100*('Item Budget'!$R$17*(AD137+25*AH137)+'Item Budget'!$S$17*(AE137+25*AJ137))/'Item Budget'!$Z$17+'Item Budget'!$R$9*AF137+IFERROR(INDEX('Item Budget'!$O$25:$O$95,MATCH(AL137,'Item Budget'!$B$25:$B$95,0)),0),0)</f>
        <v/>
      </c>
      <c r="BB137" s="52">
        <f>IF(OR($I137&lt;1,IF($I137&gt;=6,AX137,AT137)&lt;=0),"",IF(SUMPRODUCT(MAX(($C$5:$C$215=$C137)*($I$5:$I$215&gt;=1)*($I$5:$I$215&lt;$I137)*IF($I137&gt;=6,$AX$5:$AX$215,$AT$5:$AT$215)))&lt;=0,"",SUMPRODUCT(MAX(($C$5:$C$215=$C137)*($I$5:$I$215=$I137)*IF($I137&gt;=6,$AX$5:$AX$215,$AT$5:$AT$215)))/SUMPRODUCT(MAX(($C$5:$C$215=$C137)*($I$5:$I$215&gt;=1)*($I$5:$I$215&lt;$I137)*IF($I137&gt;=6,$AX$5:$AX$215,$AT$5:$AT$215)))-1))</f>
        <v/>
      </c>
      <c r="BC137" s="52">
        <f>IF(OR($I137&lt;1,IF($I137&gt;=6,AY137,AU137)&lt;=0),"",IF(SUMPRODUCT(MAX(($C$5:$C$215=$C137)*($I$5:$I$215&gt;=1)*($I$5:$I$215&lt;$I137)*IF($I137&gt;=6,$AY$5:$AY$215,$AU$5:$AU$215)))&lt;=0,"",SUMPRODUCT(MAX(($C$5:$C$215=$C137)*($I$5:$I$215=$I137)*IF($I137&gt;=6,$AY$5:$AY$215,$AU$5:$AU$215)))/SUMPRODUCT(MAX(($C$5:$C$215=$C137)*($I$5:$I$215&gt;=1)*($I$5:$I$215&lt;$I137)*IF($I137&gt;=6,$AY$5:$AY$215,$AU$5:$AU$215)))-1))</f>
        <v/>
      </c>
      <c r="BD137" s="52">
        <f>IF(OR($I137&lt;1,IF($I137&gt;=6,AZ137,AV137)&lt;=0),"",IF(SUMPRODUCT(MAX(($C$5:$C$215=$C137)*($I$5:$I$215&gt;=1)*($I$5:$I$215&lt;$I137)*IF($I137&gt;=6,$AZ$5:$AZ$215,$AV$5:$AV$215)))&lt;=0,"",SUMPRODUCT(MAX(($C$5:$C$215=$C137)*($I$5:$I$215=$I137)*IF($I137&gt;=6,$AZ$5:$AZ$215,$AV$5:$AV$215)))/SUMPRODUCT(MAX(($C$5:$C$215=$C137)*($I$5:$I$215&gt;=1)*($I$5:$I$215&lt;$I137)*IF($I137&gt;=6,$AZ$5:$AZ$215,$AV$5:$AV$215)))-1))</f>
        <v/>
      </c>
      <c r="BE137" s="52">
        <f>IF(OR($I137&lt;1,IF($I137&gt;=6,BA137,AW137)&lt;=0),"",IF(SUMPRODUCT(MAX(($C$5:$C$215=$C137)*($I$5:$I$215&gt;=1)*($I$5:$I$215&lt;$I137)*IF($I137&gt;=6,$BA$5:$BA$215,$AW$5:$AW$215)))&lt;=0,"",SUMPRODUCT(MAX(($C$5:$C$215=$C137)*($I$5:$I$215=$I137)*IF($I137&gt;=6,$BA$5:$BA$215,$AW$5:$AW$215)))/SUMPRODUCT(MAX(($C$5:$C$215=$C137)*($I$5:$I$215&gt;=1)*($I$5:$I$215&lt;$I137)*IF($I137&gt;=6,$BA$5:$BA$215,$AW$5:$AW$215)))-1))</f>
        <v/>
      </c>
      <c r="BF137" s="19">
        <f>IF(AND(BB137="",BC137="",BD137="",BE137=""),"",IF(IF(AND(ISNUMBER(BB137),BB137&lt;'Item Budget'!$R$11),"W ","")&amp;IF(AND(ISNUMBER(BC137),BC137&lt;'Item Budget'!$R$11),"R ","")&amp;IF(AND(ISNUMBER(BD137),BD137&lt;'Item Budget'!$R$11),"M ","")&amp;IF(AND(ISNUMBER(BE137),BE137&lt;'Item Budget'!$R$11),"P ","")="","OK","Not above lower step: "&amp;IF(AND(ISNUMBER(BB137),BB137&lt;'Item Budget'!$R$11),"W ","")&amp;IF(AND(ISNUMBER(BC137),BC137&lt;'Item Budget'!$R$11),"R ","")&amp;IF(AND(ISNUMBER(BD137),BD137&lt;'Item Budget'!$R$11),"M ","")&amp;IF(AND(ISNUMBER(BE137),BE137&lt;'Item Budget'!$R$11),"P ","")))</f>
        <v/>
      </c>
    </row>
    <row r="138">
      <c r="A138" s="21" t="n">
        <v>376</v>
      </c>
      <c r="B138" s="21" t="inlineStr">
        <is>
          <t>Valiant Boots</t>
        </is>
      </c>
      <c r="C138" s="21" t="inlineStr">
        <is>
          <t>Shoes</t>
        </is>
      </c>
      <c r="D138" s="21" t="inlineStr">
        <is>
          <t>All</t>
        </is>
      </c>
      <c r="E138" s="21" t="inlineStr">
        <is>
          <t>All</t>
        </is>
      </c>
      <c r="F138" s="21" t="inlineStr">
        <is>
          <t>All classes</t>
        </is>
      </c>
      <c r="G138" s="21" t="inlineStr">
        <is>
          <t>drop: Nibbles II 5%</t>
        </is>
      </c>
      <c r="H138" s="37" t="n">
        <v>0</v>
      </c>
      <c r="I138" s="21" t="n">
        <v>5</v>
      </c>
      <c r="J138" s="3" t="inlineStr">
        <is>
          <t>Pass 2</t>
        </is>
      </c>
      <c r="K138" s="21" t="inlineStr">
        <is>
          <t>Rare boss drop</t>
        </is>
      </c>
      <c r="L138" s="31">
        <f>INDEX('Item Budget'!$F$5:$F$13,MATCH(K138,'Item Budget'!$E$5:$E$13,0))+IF(E138="All",0,'Item Budget'!$F$15)+LOOKUP(H138,'Item Budget'!$E$19:$E$23,'Item Budget'!$F$19:$F$23)</f>
        <v/>
      </c>
      <c r="M138" s="21" t="n">
        <v>50</v>
      </c>
      <c r="N138" s="21" t="n">
        <v>150</v>
      </c>
      <c r="O138" s="21" t="n">
        <v>300</v>
      </c>
      <c r="P138" s="21" t="n">
        <v>75</v>
      </c>
      <c r="Q138" s="21" t="n">
        <v>10</v>
      </c>
      <c r="R138" s="21" t="n">
        <v>10</v>
      </c>
      <c r="S138" s="21" t="n">
        <v>0</v>
      </c>
      <c r="T138" s="21" t="n">
        <v>0</v>
      </c>
      <c r="U138" s="21" t="n">
        <v>0</v>
      </c>
      <c r="V138" s="21" t="inlineStr">
        <is>
          <t>(none)</t>
        </is>
      </c>
      <c r="W138" s="61">
        <f>N138*'Item Budget'!$B$5+R138*'Item Budget'!$B$7+P138*'Item Budget'!$B$11+S138*'Item Budget'!$B$10+Q138*'Item Budget'!$B$9+IFERROR(INDEX('Item Budget'!$M$25:$M$95,MATCH(V138,'Item Budget'!$B$25:$B$95,0)),0)+IF($C138="Weapon",U138*'Item Budget'!$B$9,0)</f>
        <v/>
      </c>
      <c r="X138" s="61">
        <f>N138*'Item Budget'!$B$5+R138*'Item Budget'!$B$7+P138*'Item Budget'!$B$11+S138*'Item Budget'!$B$10+O138*'Item Budget'!$B$6+T138*'Item Budget'!$B$8+IFERROR(INDEX('Item Budget'!$N$25:$N$95,MATCH(V138,'Item Budget'!$B$25:$B$95,0)),0)</f>
        <v/>
      </c>
      <c r="Y138" s="61">
        <f>MAX('Item Budget'!$F$16,INDEX('Gear Budget'!$C$8:$C$14,MATCH($C138,'Gear Budget'!$A$8:$A$14,0))*MIN(M138,50))*$L138</f>
        <v/>
      </c>
      <c r="Z138" s="41">
        <f>IF($C138="Caster weapon",X138,MAX(W138,X138))/Y138</f>
        <v/>
      </c>
      <c r="AA138" s="61">
        <f>IF(OR($C138="Weapon",$C138="Caster weapon"),"",'Gear Budget'!$B$5*MAX(1,MIN(M138,50))*INDEX('Gear Budget'!$B$8:$B$14,MATCH($C138,'Gear Budget'!$A$8:$A$14,0))*IF($C138="Shield",IF(D138="Warrior",1,IF(OR(D138="Rogue",D138="All"),0.38/0.6,0.25/0.6)),IFERROR(INDEX('Gear Budget'!$B$18:$B$21,MATCH($F138,'Gear Budget'!$A$18:$A$21,0)),1)))</f>
        <v/>
      </c>
      <c r="AB138" s="41">
        <f>IF(AA138="","",P138/AA138)</f>
        <v/>
      </c>
      <c r="AC138" s="21" t="n">
        <v>50</v>
      </c>
      <c r="AD138" s="20" t="n">
        <v>160</v>
      </c>
      <c r="AE138" s="20" t="n">
        <v>325</v>
      </c>
      <c r="AF138" s="21" t="n">
        <v>75</v>
      </c>
      <c r="AG138" s="21" t="n">
        <v>10</v>
      </c>
      <c r="AH138" s="20" t="n">
        <v>11</v>
      </c>
      <c r="AI138" s="21" t="n">
        <v>0</v>
      </c>
      <c r="AJ138" s="21" t="n">
        <v>0</v>
      </c>
      <c r="AK138" s="21" t="n">
        <v>0</v>
      </c>
      <c r="AL138" s="21" t="inlineStr">
        <is>
          <t>(none)</t>
        </is>
      </c>
      <c r="AM138" s="61">
        <f>AD138*'Item Budget'!$B$5+AH138*'Item Budget'!$B$7+AF138*'Item Budget'!$B$11+AI138*'Item Budget'!$B$10+AG138*'Item Budget'!$B$9+IFERROR(INDEX('Item Budget'!$M$25:$M$95,MATCH(AL138,'Item Budget'!$B$25:$B$95,0)),0)+IF($C138="Weapon",AK138*'Item Budget'!$B$9,0)</f>
        <v/>
      </c>
      <c r="AN138" s="61">
        <f>AD138*'Item Budget'!$B$5+AH138*'Item Budget'!$B$7+AF138*'Item Budget'!$B$11+AI138*'Item Budget'!$B$10+AE138*'Item Budget'!$B$6+AJ138*'Item Budget'!$B$8+IFERROR(INDEX('Item Budget'!$N$25:$N$95,MATCH(AL138,'Item Budget'!$B$25:$B$95,0)),0)</f>
        <v/>
      </c>
      <c r="AO138" s="61">
        <f>MAX('Item Budget'!$F$16,INDEX('Gear Budget'!$C$8:$C$14,MATCH($C138,'Gear Budget'!$A$8:$A$14,0))*MIN(AC138,50))*$L138</f>
        <v/>
      </c>
      <c r="AP138" s="41">
        <f>IF($C138="Caster weapon",AN138,MAX(AM138,AN138))/AO138</f>
        <v/>
      </c>
      <c r="AQ138" s="61">
        <f>IF(OR($C138="Weapon",$C138="Caster weapon"),"",'Gear Budget'!$B$5*MAX(1,MIN(AC138,50))*INDEX('Gear Budget'!$B$8:$B$14,MATCH($C138,'Gear Budget'!$A$8:$A$14,0))*IF($C138="Shield",IF(E138="Warrior",1,IF(OR(E138="Rogue",E138="All"),0.38/0.6,0.25/0.6)),IFERROR(INDEX('Gear Budget'!$B$18:$B$21,MATCH($F138,'Gear Budget'!$A$18:$A$21,0)),1)))</f>
        <v/>
      </c>
      <c r="AR138" s="41">
        <f>IF(AQ138="","",AF138/AQ138)</f>
        <v/>
      </c>
      <c r="AS138" s="64" t="inlineStr">
        <is>
          <t>Raised so it is 10% over Devastators Boots for Rogue (pass 2 class weights)</t>
        </is>
      </c>
      <c r="AT138" s="44">
        <f>IF(OR($E138="All",ISNUMBER(SEARCH("Warrior",$E138))),IF($C138="Caster weapon",(AN138+AF138*('Item Budget'!$AB$14-'Item Budget'!$B$11)),(AM138+AF138*('Item Budget'!$AB$14-'Item Budget'!$B$11))),0)</f>
        <v/>
      </c>
      <c r="AU138" s="44">
        <f>IF(OR($E138="All",ISNUMBER(SEARCH("Rogue",$E138))),IF($C138="Caster weapon",(AN138+AF138*('Item Budget'!$AB$15-'Item Budget'!$B$11)),(AM138+AF138*('Item Budget'!$AB$15-'Item Budget'!$B$11))),0)</f>
        <v/>
      </c>
      <c r="AV138" s="44">
        <f>IF(OR($E138="All",ISNUMBER(SEARCH("Magus",$E138))),(AN138+AF138*('Item Budget'!$AB$16-'Item Budget'!$B$11)),0)</f>
        <v/>
      </c>
      <c r="AW138" s="44">
        <f>IF(OR($E138="All",ISNUMBER(SEARCH("Priest",$E138))),(AN138+AF138*('Item Budget'!$AB$17-'Item Budget'!$B$11)),0)</f>
        <v/>
      </c>
      <c r="AX138" s="44">
        <f>IF(AND(OR($E138="All",ISNUMBER(SEARCH("Warrior",$E138))),AC138&gt;='Item Budget'!$R$10),'Item Budget'!$R$7*100*('Item Budget'!$R$14*(AD138+25*AH138)+'Item Budget'!$S$14*(AE138+25*AJ138))/'Item Budget'!$Z$14+'Item Budget'!$R$9*AF138+IFERROR(INDEX('Item Budget'!$O$25:$O$95,MATCH(AL138,'Item Budget'!$B$25:$B$95,0)),0),0)</f>
        <v/>
      </c>
      <c r="AY138" s="44">
        <f>IF(AND(OR($E138="All",ISNUMBER(SEARCH("Rogue",$E138))),AC138&gt;='Item Budget'!$R$10),'Item Budget'!$R$7*100*('Item Budget'!$R$15*(AD138+25*AH138)+'Item Budget'!$S$15*(AE138+25*AJ138))/'Item Budget'!$Z$15+'Item Budget'!$R$9*AF138+IFERROR(INDEX('Item Budget'!$O$25:$O$95,MATCH(AL138,'Item Budget'!$B$25:$B$95,0)),0),0)</f>
        <v/>
      </c>
      <c r="AZ138" s="44">
        <f>IF(AND(OR($E138="All",ISNUMBER(SEARCH("Magus",$E138))),AC138&gt;='Item Budget'!$R$10),'Item Budget'!$R$7*100*('Item Budget'!$R$16*(AD138+25*AH138)+'Item Budget'!$S$16*(AE138+25*AJ138))/'Item Budget'!$Z$16+'Item Budget'!$R$9*AF138+IFERROR(INDEX('Item Budget'!$O$25:$O$95,MATCH(AL138,'Item Budget'!$B$25:$B$95,0)),0),0)</f>
        <v/>
      </c>
      <c r="BA138" s="44">
        <f>IF(AND(OR($E138="All",ISNUMBER(SEARCH("Priest",$E138))),AC138&gt;='Item Budget'!$R$10),'Item Budget'!$R$7*100*('Item Budget'!$R$17*(AD138+25*AH138)+'Item Budget'!$S$17*(AE138+25*AJ138))/'Item Budget'!$Z$17+'Item Budget'!$R$9*AF138+IFERROR(INDEX('Item Budget'!$O$25:$O$95,MATCH(AL138,'Item Budget'!$B$25:$B$95,0)),0),0)</f>
        <v/>
      </c>
      <c r="BB138" s="52">
        <f>IF(OR($I138&lt;1,IF($I138&gt;=6,AX138,AT138)&lt;=0),"",IF(SUMPRODUCT(MAX(($C$5:$C$215=$C138)*($I$5:$I$215&gt;=1)*($I$5:$I$215&lt;$I138)*IF($I138&gt;=6,$AX$5:$AX$215,$AT$5:$AT$215)))&lt;=0,"",SUMPRODUCT(MAX(($C$5:$C$215=$C138)*($I$5:$I$215=$I138)*IF($I138&gt;=6,$AX$5:$AX$215,$AT$5:$AT$215)))/SUMPRODUCT(MAX(($C$5:$C$215=$C138)*($I$5:$I$215&gt;=1)*($I$5:$I$215&lt;$I138)*IF($I138&gt;=6,$AX$5:$AX$215,$AT$5:$AT$215)))-1))</f>
        <v/>
      </c>
      <c r="BC138" s="52">
        <f>IF(OR($I138&lt;1,IF($I138&gt;=6,AY138,AU138)&lt;=0),"",IF(SUMPRODUCT(MAX(($C$5:$C$215=$C138)*($I$5:$I$215&gt;=1)*($I$5:$I$215&lt;$I138)*IF($I138&gt;=6,$AY$5:$AY$215,$AU$5:$AU$215)))&lt;=0,"",SUMPRODUCT(MAX(($C$5:$C$215=$C138)*($I$5:$I$215=$I138)*IF($I138&gt;=6,$AY$5:$AY$215,$AU$5:$AU$215)))/SUMPRODUCT(MAX(($C$5:$C$215=$C138)*($I$5:$I$215&gt;=1)*($I$5:$I$215&lt;$I138)*IF($I138&gt;=6,$AY$5:$AY$215,$AU$5:$AU$215)))-1))</f>
        <v/>
      </c>
      <c r="BD138" s="52">
        <f>IF(OR($I138&lt;1,IF($I138&gt;=6,AZ138,AV138)&lt;=0),"",IF(SUMPRODUCT(MAX(($C$5:$C$215=$C138)*($I$5:$I$215&gt;=1)*($I$5:$I$215&lt;$I138)*IF($I138&gt;=6,$AZ$5:$AZ$215,$AV$5:$AV$215)))&lt;=0,"",SUMPRODUCT(MAX(($C$5:$C$215=$C138)*($I$5:$I$215=$I138)*IF($I138&gt;=6,$AZ$5:$AZ$215,$AV$5:$AV$215)))/SUMPRODUCT(MAX(($C$5:$C$215=$C138)*($I$5:$I$215&gt;=1)*($I$5:$I$215&lt;$I138)*IF($I138&gt;=6,$AZ$5:$AZ$215,$AV$5:$AV$215)))-1))</f>
        <v/>
      </c>
      <c r="BE138" s="52">
        <f>IF(OR($I138&lt;1,IF($I138&gt;=6,BA138,AW138)&lt;=0),"",IF(SUMPRODUCT(MAX(($C$5:$C$215=$C138)*($I$5:$I$215&gt;=1)*($I$5:$I$215&lt;$I138)*IF($I138&gt;=6,$BA$5:$BA$215,$AW$5:$AW$215)))&lt;=0,"",SUMPRODUCT(MAX(($C$5:$C$215=$C138)*($I$5:$I$215=$I138)*IF($I138&gt;=6,$BA$5:$BA$215,$AW$5:$AW$215)))/SUMPRODUCT(MAX(($C$5:$C$215=$C138)*($I$5:$I$215&gt;=1)*($I$5:$I$215&lt;$I138)*IF($I138&gt;=6,$BA$5:$BA$215,$AW$5:$AW$215)))-1))</f>
        <v/>
      </c>
      <c r="BF138" s="19">
        <f>IF(AND(BB138="",BC138="",BD138="",BE138=""),"",IF(IF(AND(ISNUMBER(BB138),BB138&lt;'Item Budget'!$R$11),"W ","")&amp;IF(AND(ISNUMBER(BC138),BC138&lt;'Item Budget'!$R$11),"R ","")&amp;IF(AND(ISNUMBER(BD138),BD138&lt;'Item Budget'!$R$11),"M ","")&amp;IF(AND(ISNUMBER(BE138),BE138&lt;'Item Budget'!$R$11),"P ","")="","OK","Not above lower step: "&amp;IF(AND(ISNUMBER(BB138),BB138&lt;'Item Budget'!$R$11),"W ","")&amp;IF(AND(ISNUMBER(BC138),BC138&lt;'Item Budget'!$R$11),"R ","")&amp;IF(AND(ISNUMBER(BD138),BD138&lt;'Item Budget'!$R$11),"M ","")&amp;IF(AND(ISNUMBER(BE138),BE138&lt;'Item Budget'!$R$11),"P ","")))</f>
        <v/>
      </c>
    </row>
    <row r="139">
      <c r="A139" s="21" t="n">
        <v>401</v>
      </c>
      <c r="B139" s="21" t="inlineStr">
        <is>
          <t>Ancient Boots</t>
        </is>
      </c>
      <c r="C139" s="21" t="inlineStr">
        <is>
          <t>Shoes</t>
        </is>
      </c>
      <c r="D139" s="21" t="inlineStr">
        <is>
          <t>Rogue</t>
        </is>
      </c>
      <c r="E139" s="21" t="inlineStr">
        <is>
          <t>Rogue</t>
        </is>
      </c>
      <c r="F139" s="21" t="inlineStr">
        <is>
          <t>Rogue</t>
        </is>
      </c>
      <c r="G139" s="21" t="inlineStr">
        <is>
          <t>craft</t>
        </is>
      </c>
      <c r="H139" s="37" t="n">
        <v>100000000</v>
      </c>
      <c r="I139" s="21" t="n">
        <v>7</v>
      </c>
      <c r="J139" s="19" t="inlineStr">
        <is>
          <t>Leave</t>
        </is>
      </c>
      <c r="K139" s="21" t="inlineStr">
        <is>
          <t>Crafted</t>
        </is>
      </c>
      <c r="L139" s="31">
        <f>INDEX('Item Budget'!$F$5:$F$13,MATCH(K139,'Item Budget'!$E$5:$E$13,0))+IF(E139="All",0,'Item Budget'!$F$15)+LOOKUP(H139,'Item Budget'!$E$19:$E$23,'Item Budget'!$F$19:$F$23)</f>
        <v/>
      </c>
      <c r="M139" s="21" t="n">
        <v>50</v>
      </c>
      <c r="N139" s="21" t="n">
        <v>1000</v>
      </c>
      <c r="O139" s="21" t="n">
        <v>1000</v>
      </c>
      <c r="P139" s="21" t="n">
        <v>100</v>
      </c>
      <c r="Q139" s="21" t="n">
        <v>0</v>
      </c>
      <c r="R139" s="21" t="n">
        <v>0</v>
      </c>
      <c r="S139" s="21" t="n">
        <v>50</v>
      </c>
      <c r="T139" s="21" t="n">
        <v>0</v>
      </c>
      <c r="U139" s="21" t="n">
        <v>0</v>
      </c>
      <c r="V139" s="21" t="inlineStr">
        <is>
          <t>Spell Critical Damage V</t>
        </is>
      </c>
      <c r="W139" s="61">
        <f>N139*'Item Budget'!$B$5+R139*'Item Budget'!$B$7+P139*'Item Budget'!$B$11+S139*'Item Budget'!$B$10+Q139*'Item Budget'!$B$9+IFERROR(INDEX('Item Budget'!$M$25:$M$95,MATCH(V139,'Item Budget'!$B$25:$B$95,0)),0)+IF($C139="Weapon",U139*'Item Budget'!$B$9,0)</f>
        <v/>
      </c>
      <c r="X139" s="61">
        <f>N139*'Item Budget'!$B$5+R139*'Item Budget'!$B$7+P139*'Item Budget'!$B$11+S139*'Item Budget'!$B$10+O139*'Item Budget'!$B$6+T139*'Item Budget'!$B$8+IFERROR(INDEX('Item Budget'!$N$25:$N$95,MATCH(V139,'Item Budget'!$B$25:$B$95,0)),0)</f>
        <v/>
      </c>
      <c r="Y139" s="61">
        <f>MAX('Item Budget'!$F$16,INDEX('Gear Budget'!$C$8:$C$14,MATCH($C139,'Gear Budget'!$A$8:$A$14,0))*MIN(M139,50))*$L139</f>
        <v/>
      </c>
      <c r="Z139" s="41">
        <f>IF($C139="Caster weapon",X139,MAX(W139,X139))/Y139</f>
        <v/>
      </c>
      <c r="AA139" s="61">
        <f>IF(OR($C139="Weapon",$C139="Caster weapon"),"",'Gear Budget'!$B$5*MAX(1,MIN(M139,50))*INDEX('Gear Budget'!$B$8:$B$14,MATCH($C139,'Gear Budget'!$A$8:$A$14,0))*IF($C139="Shield",IF(D139="Warrior",1,IF(OR(D139="Rogue",D139="All"),0.38/0.6,0.25/0.6)),IFERROR(INDEX('Gear Budget'!$B$18:$B$21,MATCH($F139,'Gear Budget'!$A$18:$A$21,0)),1)))</f>
        <v/>
      </c>
      <c r="AB139" s="41">
        <f>IF(AA139="","",P139/AA139)</f>
        <v/>
      </c>
      <c r="AC139" s="21" t="n">
        <v>50</v>
      </c>
      <c r="AD139" s="21" t="n">
        <v>1000</v>
      </c>
      <c r="AE139" s="21" t="n">
        <v>1000</v>
      </c>
      <c r="AF139" s="21" t="n">
        <v>100</v>
      </c>
      <c r="AG139" s="21" t="n">
        <v>0</v>
      </c>
      <c r="AH139" s="21" t="n">
        <v>0</v>
      </c>
      <c r="AI139" s="21" t="n">
        <v>50</v>
      </c>
      <c r="AJ139" s="21" t="n">
        <v>0</v>
      </c>
      <c r="AK139" s="21" t="n">
        <v>0</v>
      </c>
      <c r="AL139" s="21" t="inlineStr">
        <is>
          <t>Spell Critical Damage V</t>
        </is>
      </c>
      <c r="AM139" s="61">
        <f>AD139*'Item Budget'!$B$5+AH139*'Item Budget'!$B$7+AF139*'Item Budget'!$B$11+AI139*'Item Budget'!$B$10+AG139*'Item Budget'!$B$9+IFERROR(INDEX('Item Budget'!$M$25:$M$95,MATCH(AL139,'Item Budget'!$B$25:$B$95,0)),0)+IF($C139="Weapon",AK139*'Item Budget'!$B$9,0)</f>
        <v/>
      </c>
      <c r="AN139" s="61">
        <f>AD139*'Item Budget'!$B$5+AH139*'Item Budget'!$B$7+AF139*'Item Budget'!$B$11+AI139*'Item Budget'!$B$10+AE139*'Item Budget'!$B$6+AJ139*'Item Budget'!$B$8+IFERROR(INDEX('Item Budget'!$N$25:$N$95,MATCH(AL139,'Item Budget'!$B$25:$B$95,0)),0)</f>
        <v/>
      </c>
      <c r="AO139" s="61">
        <f>MAX('Item Budget'!$F$16,INDEX('Gear Budget'!$C$8:$C$14,MATCH($C139,'Gear Budget'!$A$8:$A$14,0))*MIN(AC139,50))*$L139</f>
        <v/>
      </c>
      <c r="AP139" s="41">
        <f>IF($C139="Caster weapon",AN139,MAX(AM139,AN139))/AO139</f>
        <v/>
      </c>
      <c r="AQ139" s="61">
        <f>IF(OR($C139="Weapon",$C139="Caster weapon"),"",'Gear Budget'!$B$5*MAX(1,MIN(AC139,50))*INDEX('Gear Budget'!$B$8:$B$14,MATCH($C139,'Gear Budget'!$A$8:$A$14,0))*IF($C139="Shield",IF(E139="Warrior",1,IF(OR(E139="Rogue",E139="All"),0.38/0.6,0.25/0.6)),IFERROR(INDEX('Gear Budget'!$B$18:$B$21,MATCH($F139,'Gear Budget'!$A$18:$A$21,0)),1)))</f>
        <v/>
      </c>
      <c r="AR139" s="41">
        <f>IF(AQ139="","",AF139/AQ139)</f>
        <v/>
      </c>
      <c r="AS139" s="64" t="n"/>
      <c r="AT139" s="44">
        <f>IF(OR($E139="All",ISNUMBER(SEARCH("Warrior",$E139))),IF($C139="Caster weapon",(AN139+AF139*('Item Budget'!$AB$14-'Item Budget'!$B$11)),(AM139+AF139*('Item Budget'!$AB$14-'Item Budget'!$B$11))),0)</f>
        <v/>
      </c>
      <c r="AU139" s="44">
        <f>IF(OR($E139="All",ISNUMBER(SEARCH("Rogue",$E139))),IF($C139="Caster weapon",(AN139+AF139*('Item Budget'!$AB$15-'Item Budget'!$B$11)),(AM139+AF139*('Item Budget'!$AB$15-'Item Budget'!$B$11))),0)</f>
        <v/>
      </c>
      <c r="AV139" s="44">
        <f>IF(OR($E139="All",ISNUMBER(SEARCH("Magus",$E139))),(AN139+AF139*('Item Budget'!$AB$16-'Item Budget'!$B$11)),0)</f>
        <v/>
      </c>
      <c r="AW139" s="44">
        <f>IF(OR($E139="All",ISNUMBER(SEARCH("Priest",$E139))),(AN139+AF139*('Item Budget'!$AB$17-'Item Budget'!$B$11)),0)</f>
        <v/>
      </c>
      <c r="AX139" s="44">
        <f>IF(AND(OR($E139="All",ISNUMBER(SEARCH("Warrior",$E139))),AC139&gt;='Item Budget'!$R$10),'Item Budget'!$R$7*100*('Item Budget'!$R$14*(AD139+25*AH139)+'Item Budget'!$S$14*(AE139+25*AJ139))/'Item Budget'!$Z$14+'Item Budget'!$R$9*AF139+IFERROR(INDEX('Item Budget'!$O$25:$O$95,MATCH(AL139,'Item Budget'!$B$25:$B$95,0)),0),0)</f>
        <v/>
      </c>
      <c r="AY139" s="44">
        <f>IF(AND(OR($E139="All",ISNUMBER(SEARCH("Rogue",$E139))),AC139&gt;='Item Budget'!$R$10),'Item Budget'!$R$7*100*('Item Budget'!$R$15*(AD139+25*AH139)+'Item Budget'!$S$15*(AE139+25*AJ139))/'Item Budget'!$Z$15+'Item Budget'!$R$9*AF139+IFERROR(INDEX('Item Budget'!$O$25:$O$95,MATCH(AL139,'Item Budget'!$B$25:$B$95,0)),0),0)</f>
        <v/>
      </c>
      <c r="AZ139" s="44">
        <f>IF(AND(OR($E139="All",ISNUMBER(SEARCH("Magus",$E139))),AC139&gt;='Item Budget'!$R$10),'Item Budget'!$R$7*100*('Item Budget'!$R$16*(AD139+25*AH139)+'Item Budget'!$S$16*(AE139+25*AJ139))/'Item Budget'!$Z$16+'Item Budget'!$R$9*AF139+IFERROR(INDEX('Item Budget'!$O$25:$O$95,MATCH(AL139,'Item Budget'!$B$25:$B$95,0)),0),0)</f>
        <v/>
      </c>
      <c r="BA139" s="44">
        <f>IF(AND(OR($E139="All",ISNUMBER(SEARCH("Priest",$E139))),AC139&gt;='Item Budget'!$R$10),'Item Budget'!$R$7*100*('Item Budget'!$R$17*(AD139+25*AH139)+'Item Budget'!$S$17*(AE139+25*AJ139))/'Item Budget'!$Z$17+'Item Budget'!$R$9*AF139+IFERROR(INDEX('Item Budget'!$O$25:$O$95,MATCH(AL139,'Item Budget'!$B$25:$B$95,0)),0),0)</f>
        <v/>
      </c>
      <c r="BB139" s="52">
        <f>IF(OR($I139&lt;1,IF($I139&gt;=6,AX139,AT139)&lt;=0),"",IF(SUMPRODUCT(MAX(($C$5:$C$215=$C139)*($I$5:$I$215&gt;=1)*($I$5:$I$215&lt;$I139)*IF($I139&gt;=6,$AX$5:$AX$215,$AT$5:$AT$215)))&lt;=0,"",SUMPRODUCT(MAX(($C$5:$C$215=$C139)*($I$5:$I$215=$I139)*IF($I139&gt;=6,$AX$5:$AX$215,$AT$5:$AT$215)))/SUMPRODUCT(MAX(($C$5:$C$215=$C139)*($I$5:$I$215&gt;=1)*($I$5:$I$215&lt;$I139)*IF($I139&gt;=6,$AX$5:$AX$215,$AT$5:$AT$215)))-1))</f>
        <v/>
      </c>
      <c r="BC139" s="52">
        <f>IF(OR($I139&lt;1,IF($I139&gt;=6,AY139,AU139)&lt;=0),"",IF(SUMPRODUCT(MAX(($C$5:$C$215=$C139)*($I$5:$I$215&gt;=1)*($I$5:$I$215&lt;$I139)*IF($I139&gt;=6,$AY$5:$AY$215,$AU$5:$AU$215)))&lt;=0,"",SUMPRODUCT(MAX(($C$5:$C$215=$C139)*($I$5:$I$215=$I139)*IF($I139&gt;=6,$AY$5:$AY$215,$AU$5:$AU$215)))/SUMPRODUCT(MAX(($C$5:$C$215=$C139)*($I$5:$I$215&gt;=1)*($I$5:$I$215&lt;$I139)*IF($I139&gt;=6,$AY$5:$AY$215,$AU$5:$AU$215)))-1))</f>
        <v/>
      </c>
      <c r="BD139" s="52">
        <f>IF(OR($I139&lt;1,IF($I139&gt;=6,AZ139,AV139)&lt;=0),"",IF(SUMPRODUCT(MAX(($C$5:$C$215=$C139)*($I$5:$I$215&gt;=1)*($I$5:$I$215&lt;$I139)*IF($I139&gt;=6,$AZ$5:$AZ$215,$AV$5:$AV$215)))&lt;=0,"",SUMPRODUCT(MAX(($C$5:$C$215=$C139)*($I$5:$I$215=$I139)*IF($I139&gt;=6,$AZ$5:$AZ$215,$AV$5:$AV$215)))/SUMPRODUCT(MAX(($C$5:$C$215=$C139)*($I$5:$I$215&gt;=1)*($I$5:$I$215&lt;$I139)*IF($I139&gt;=6,$AZ$5:$AZ$215,$AV$5:$AV$215)))-1))</f>
        <v/>
      </c>
      <c r="BE139" s="52">
        <f>IF(OR($I139&lt;1,IF($I139&gt;=6,BA139,AW139)&lt;=0),"",IF(SUMPRODUCT(MAX(($C$5:$C$215=$C139)*($I$5:$I$215&gt;=1)*($I$5:$I$215&lt;$I139)*IF($I139&gt;=6,$BA$5:$BA$215,$AW$5:$AW$215)))&lt;=0,"",SUMPRODUCT(MAX(($C$5:$C$215=$C139)*($I$5:$I$215=$I139)*IF($I139&gt;=6,$BA$5:$BA$215,$AW$5:$AW$215)))/SUMPRODUCT(MAX(($C$5:$C$215=$C139)*($I$5:$I$215&gt;=1)*($I$5:$I$215&lt;$I139)*IF($I139&gt;=6,$BA$5:$BA$215,$AW$5:$AW$215)))-1))</f>
        <v/>
      </c>
      <c r="BF139" s="19">
        <f>IF(AND(BB139="",BC139="",BD139="",BE139=""),"",IF(IF(AND(ISNUMBER(BB139),BB139&lt;'Item Budget'!$R$11),"W ","")&amp;IF(AND(ISNUMBER(BC139),BC139&lt;'Item Budget'!$R$11),"R ","")&amp;IF(AND(ISNUMBER(BD139),BD139&lt;'Item Budget'!$R$11),"M ","")&amp;IF(AND(ISNUMBER(BE139),BE139&lt;'Item Budget'!$R$11),"P ","")="","OK","Not above lower step: "&amp;IF(AND(ISNUMBER(BB139),BB139&lt;'Item Budget'!$R$11),"W ","")&amp;IF(AND(ISNUMBER(BC139),BC139&lt;'Item Budget'!$R$11),"R ","")&amp;IF(AND(ISNUMBER(BD139),BD139&lt;'Item Budget'!$R$11),"M ","")&amp;IF(AND(ISNUMBER(BE139),BE139&lt;'Item Budget'!$R$11),"P ","")))</f>
        <v/>
      </c>
    </row>
    <row r="140">
      <c r="A140" s="21" t="n">
        <v>402</v>
      </c>
      <c r="B140" s="21" t="inlineStr">
        <is>
          <t>Ancient Boots</t>
        </is>
      </c>
      <c r="C140" s="21" t="inlineStr">
        <is>
          <t>Shoes</t>
        </is>
      </c>
      <c r="D140" s="21" t="inlineStr">
        <is>
          <t>Warrior</t>
        </is>
      </c>
      <c r="E140" s="21" t="inlineStr">
        <is>
          <t>Warrior</t>
        </is>
      </c>
      <c r="F140" s="21" t="inlineStr">
        <is>
          <t>Warrior plate</t>
        </is>
      </c>
      <c r="G140" s="21" t="inlineStr">
        <is>
          <t>craft</t>
        </is>
      </c>
      <c r="H140" s="37" t="n">
        <v>100000000</v>
      </c>
      <c r="I140" s="21" t="n">
        <v>7</v>
      </c>
      <c r="J140" s="19" t="inlineStr">
        <is>
          <t>Leave</t>
        </is>
      </c>
      <c r="K140" s="21" t="inlineStr">
        <is>
          <t>Crafted</t>
        </is>
      </c>
      <c r="L140" s="31">
        <f>INDEX('Item Budget'!$F$5:$F$13,MATCH(K140,'Item Budget'!$E$5:$E$13,0))+IF(E140="All",0,'Item Budget'!$F$15)+LOOKUP(H140,'Item Budget'!$E$19:$E$23,'Item Budget'!$F$19:$F$23)</f>
        <v/>
      </c>
      <c r="M140" s="21" t="n">
        <v>50</v>
      </c>
      <c r="N140" s="21" t="n">
        <v>2000</v>
      </c>
      <c r="O140" s="21" t="n">
        <v>0</v>
      </c>
      <c r="P140" s="21" t="n">
        <v>100</v>
      </c>
      <c r="Q140" s="21" t="n">
        <v>0</v>
      </c>
      <c r="R140" s="21" t="n">
        <v>50</v>
      </c>
      <c r="S140" s="21" t="n">
        <v>0</v>
      </c>
      <c r="T140" s="21" t="n">
        <v>0</v>
      </c>
      <c r="U140" s="21" t="n">
        <v>0</v>
      </c>
      <c r="V140" s="21" t="inlineStr">
        <is>
          <t>Spell Critical Damage V</t>
        </is>
      </c>
      <c r="W140" s="61">
        <f>N140*'Item Budget'!$B$5+R140*'Item Budget'!$B$7+P140*'Item Budget'!$B$11+S140*'Item Budget'!$B$10+Q140*'Item Budget'!$B$9+IFERROR(INDEX('Item Budget'!$M$25:$M$95,MATCH(V140,'Item Budget'!$B$25:$B$95,0)),0)+IF($C140="Weapon",U140*'Item Budget'!$B$9,0)</f>
        <v/>
      </c>
      <c r="X140" s="61">
        <f>N140*'Item Budget'!$B$5+R140*'Item Budget'!$B$7+P140*'Item Budget'!$B$11+S140*'Item Budget'!$B$10+O140*'Item Budget'!$B$6+T140*'Item Budget'!$B$8+IFERROR(INDEX('Item Budget'!$N$25:$N$95,MATCH(V140,'Item Budget'!$B$25:$B$95,0)),0)</f>
        <v/>
      </c>
      <c r="Y140" s="61">
        <f>MAX('Item Budget'!$F$16,INDEX('Gear Budget'!$C$8:$C$14,MATCH($C140,'Gear Budget'!$A$8:$A$14,0))*MIN(M140,50))*$L140</f>
        <v/>
      </c>
      <c r="Z140" s="41">
        <f>IF($C140="Caster weapon",X140,MAX(W140,X140))/Y140</f>
        <v/>
      </c>
      <c r="AA140" s="61">
        <f>IF(OR($C140="Weapon",$C140="Caster weapon"),"",'Gear Budget'!$B$5*MAX(1,MIN(M140,50))*INDEX('Gear Budget'!$B$8:$B$14,MATCH($C140,'Gear Budget'!$A$8:$A$14,0))*IF($C140="Shield",IF(D140="Warrior",1,IF(OR(D140="Rogue",D140="All"),0.38/0.6,0.25/0.6)),IFERROR(INDEX('Gear Budget'!$B$18:$B$21,MATCH($F140,'Gear Budget'!$A$18:$A$21,0)),1)))</f>
        <v/>
      </c>
      <c r="AB140" s="41">
        <f>IF(AA140="","",P140/AA140)</f>
        <v/>
      </c>
      <c r="AC140" s="21" t="n">
        <v>50</v>
      </c>
      <c r="AD140" s="21" t="n">
        <v>2000</v>
      </c>
      <c r="AE140" s="21" t="n">
        <v>0</v>
      </c>
      <c r="AF140" s="21" t="n">
        <v>100</v>
      </c>
      <c r="AG140" s="21" t="n">
        <v>0</v>
      </c>
      <c r="AH140" s="21" t="n">
        <v>50</v>
      </c>
      <c r="AI140" s="21" t="n">
        <v>0</v>
      </c>
      <c r="AJ140" s="21" t="n">
        <v>0</v>
      </c>
      <c r="AK140" s="21" t="n">
        <v>0</v>
      </c>
      <c r="AL140" s="21" t="inlineStr">
        <is>
          <t>Spell Critical Damage V</t>
        </is>
      </c>
      <c r="AM140" s="61">
        <f>AD140*'Item Budget'!$B$5+AH140*'Item Budget'!$B$7+AF140*'Item Budget'!$B$11+AI140*'Item Budget'!$B$10+AG140*'Item Budget'!$B$9+IFERROR(INDEX('Item Budget'!$M$25:$M$95,MATCH(AL140,'Item Budget'!$B$25:$B$95,0)),0)+IF($C140="Weapon",AK140*'Item Budget'!$B$9,0)</f>
        <v/>
      </c>
      <c r="AN140" s="61">
        <f>AD140*'Item Budget'!$B$5+AH140*'Item Budget'!$B$7+AF140*'Item Budget'!$B$11+AI140*'Item Budget'!$B$10+AE140*'Item Budget'!$B$6+AJ140*'Item Budget'!$B$8+IFERROR(INDEX('Item Budget'!$N$25:$N$95,MATCH(AL140,'Item Budget'!$B$25:$B$95,0)),0)</f>
        <v/>
      </c>
      <c r="AO140" s="61">
        <f>MAX('Item Budget'!$F$16,INDEX('Gear Budget'!$C$8:$C$14,MATCH($C140,'Gear Budget'!$A$8:$A$14,0))*MIN(AC140,50))*$L140</f>
        <v/>
      </c>
      <c r="AP140" s="41">
        <f>IF($C140="Caster weapon",AN140,MAX(AM140,AN140))/AO140</f>
        <v/>
      </c>
      <c r="AQ140" s="61">
        <f>IF(OR($C140="Weapon",$C140="Caster weapon"),"",'Gear Budget'!$B$5*MAX(1,MIN(AC140,50))*INDEX('Gear Budget'!$B$8:$B$14,MATCH($C140,'Gear Budget'!$A$8:$A$14,0))*IF($C140="Shield",IF(E140="Warrior",1,IF(OR(E140="Rogue",E140="All"),0.38/0.6,0.25/0.6)),IFERROR(INDEX('Gear Budget'!$B$18:$B$21,MATCH($F140,'Gear Budget'!$A$18:$A$21,0)),1)))</f>
        <v/>
      </c>
      <c r="AR140" s="41">
        <f>IF(AQ140="","",AF140/AQ140)</f>
        <v/>
      </c>
      <c r="AS140" s="64" t="n"/>
      <c r="AT140" s="44">
        <f>IF(OR($E140="All",ISNUMBER(SEARCH("Warrior",$E140))),IF($C140="Caster weapon",(AN140+AF140*('Item Budget'!$AB$14-'Item Budget'!$B$11)),(AM140+AF140*('Item Budget'!$AB$14-'Item Budget'!$B$11))),0)</f>
        <v/>
      </c>
      <c r="AU140" s="44">
        <f>IF(OR($E140="All",ISNUMBER(SEARCH("Rogue",$E140))),IF($C140="Caster weapon",(AN140+AF140*('Item Budget'!$AB$15-'Item Budget'!$B$11)),(AM140+AF140*('Item Budget'!$AB$15-'Item Budget'!$B$11))),0)</f>
        <v/>
      </c>
      <c r="AV140" s="44">
        <f>IF(OR($E140="All",ISNUMBER(SEARCH("Magus",$E140))),(AN140+AF140*('Item Budget'!$AB$16-'Item Budget'!$B$11)),0)</f>
        <v/>
      </c>
      <c r="AW140" s="44">
        <f>IF(OR($E140="All",ISNUMBER(SEARCH("Priest",$E140))),(AN140+AF140*('Item Budget'!$AB$17-'Item Budget'!$B$11)),0)</f>
        <v/>
      </c>
      <c r="AX140" s="44">
        <f>IF(AND(OR($E140="All",ISNUMBER(SEARCH("Warrior",$E140))),AC140&gt;='Item Budget'!$R$10),'Item Budget'!$R$7*100*('Item Budget'!$R$14*(AD140+25*AH140)+'Item Budget'!$S$14*(AE140+25*AJ140))/'Item Budget'!$Z$14+'Item Budget'!$R$9*AF140+IFERROR(INDEX('Item Budget'!$O$25:$O$95,MATCH(AL140,'Item Budget'!$B$25:$B$95,0)),0),0)</f>
        <v/>
      </c>
      <c r="AY140" s="44">
        <f>IF(AND(OR($E140="All",ISNUMBER(SEARCH("Rogue",$E140))),AC140&gt;='Item Budget'!$R$10),'Item Budget'!$R$7*100*('Item Budget'!$R$15*(AD140+25*AH140)+'Item Budget'!$S$15*(AE140+25*AJ140))/'Item Budget'!$Z$15+'Item Budget'!$R$9*AF140+IFERROR(INDEX('Item Budget'!$O$25:$O$95,MATCH(AL140,'Item Budget'!$B$25:$B$95,0)),0),0)</f>
        <v/>
      </c>
      <c r="AZ140" s="44">
        <f>IF(AND(OR($E140="All",ISNUMBER(SEARCH("Magus",$E140))),AC140&gt;='Item Budget'!$R$10),'Item Budget'!$R$7*100*('Item Budget'!$R$16*(AD140+25*AH140)+'Item Budget'!$S$16*(AE140+25*AJ140))/'Item Budget'!$Z$16+'Item Budget'!$R$9*AF140+IFERROR(INDEX('Item Budget'!$O$25:$O$95,MATCH(AL140,'Item Budget'!$B$25:$B$95,0)),0),0)</f>
        <v/>
      </c>
      <c r="BA140" s="44">
        <f>IF(AND(OR($E140="All",ISNUMBER(SEARCH("Priest",$E140))),AC140&gt;='Item Budget'!$R$10),'Item Budget'!$R$7*100*('Item Budget'!$R$17*(AD140+25*AH140)+'Item Budget'!$S$17*(AE140+25*AJ140))/'Item Budget'!$Z$17+'Item Budget'!$R$9*AF140+IFERROR(INDEX('Item Budget'!$O$25:$O$95,MATCH(AL140,'Item Budget'!$B$25:$B$95,0)),0),0)</f>
        <v/>
      </c>
      <c r="BB140" s="52">
        <f>IF(OR($I140&lt;1,IF($I140&gt;=6,AX140,AT140)&lt;=0),"",IF(SUMPRODUCT(MAX(($C$5:$C$215=$C140)*($I$5:$I$215&gt;=1)*($I$5:$I$215&lt;$I140)*IF($I140&gt;=6,$AX$5:$AX$215,$AT$5:$AT$215)))&lt;=0,"",SUMPRODUCT(MAX(($C$5:$C$215=$C140)*($I$5:$I$215=$I140)*IF($I140&gt;=6,$AX$5:$AX$215,$AT$5:$AT$215)))/SUMPRODUCT(MAX(($C$5:$C$215=$C140)*($I$5:$I$215&gt;=1)*($I$5:$I$215&lt;$I140)*IF($I140&gt;=6,$AX$5:$AX$215,$AT$5:$AT$215)))-1))</f>
        <v/>
      </c>
      <c r="BC140" s="52">
        <f>IF(OR($I140&lt;1,IF($I140&gt;=6,AY140,AU140)&lt;=0),"",IF(SUMPRODUCT(MAX(($C$5:$C$215=$C140)*($I$5:$I$215&gt;=1)*($I$5:$I$215&lt;$I140)*IF($I140&gt;=6,$AY$5:$AY$215,$AU$5:$AU$215)))&lt;=0,"",SUMPRODUCT(MAX(($C$5:$C$215=$C140)*($I$5:$I$215=$I140)*IF($I140&gt;=6,$AY$5:$AY$215,$AU$5:$AU$215)))/SUMPRODUCT(MAX(($C$5:$C$215=$C140)*($I$5:$I$215&gt;=1)*($I$5:$I$215&lt;$I140)*IF($I140&gt;=6,$AY$5:$AY$215,$AU$5:$AU$215)))-1))</f>
        <v/>
      </c>
      <c r="BD140" s="52">
        <f>IF(OR($I140&lt;1,IF($I140&gt;=6,AZ140,AV140)&lt;=0),"",IF(SUMPRODUCT(MAX(($C$5:$C$215=$C140)*($I$5:$I$215&gt;=1)*($I$5:$I$215&lt;$I140)*IF($I140&gt;=6,$AZ$5:$AZ$215,$AV$5:$AV$215)))&lt;=0,"",SUMPRODUCT(MAX(($C$5:$C$215=$C140)*($I$5:$I$215=$I140)*IF($I140&gt;=6,$AZ$5:$AZ$215,$AV$5:$AV$215)))/SUMPRODUCT(MAX(($C$5:$C$215=$C140)*($I$5:$I$215&gt;=1)*($I$5:$I$215&lt;$I140)*IF($I140&gt;=6,$AZ$5:$AZ$215,$AV$5:$AV$215)))-1))</f>
        <v/>
      </c>
      <c r="BE140" s="52">
        <f>IF(OR($I140&lt;1,IF($I140&gt;=6,BA140,AW140)&lt;=0),"",IF(SUMPRODUCT(MAX(($C$5:$C$215=$C140)*($I$5:$I$215&gt;=1)*($I$5:$I$215&lt;$I140)*IF($I140&gt;=6,$BA$5:$BA$215,$AW$5:$AW$215)))&lt;=0,"",SUMPRODUCT(MAX(($C$5:$C$215=$C140)*($I$5:$I$215=$I140)*IF($I140&gt;=6,$BA$5:$BA$215,$AW$5:$AW$215)))/SUMPRODUCT(MAX(($C$5:$C$215=$C140)*($I$5:$I$215&gt;=1)*($I$5:$I$215&lt;$I140)*IF($I140&gt;=6,$BA$5:$BA$215,$AW$5:$AW$215)))-1))</f>
        <v/>
      </c>
      <c r="BF140" s="19">
        <f>IF(AND(BB140="",BC140="",BD140="",BE140=""),"",IF(IF(AND(ISNUMBER(BB140),BB140&lt;'Item Budget'!$R$11),"W ","")&amp;IF(AND(ISNUMBER(BC140),BC140&lt;'Item Budget'!$R$11),"R ","")&amp;IF(AND(ISNUMBER(BD140),BD140&lt;'Item Budget'!$R$11),"M ","")&amp;IF(AND(ISNUMBER(BE140),BE140&lt;'Item Budget'!$R$11),"P ","")="","OK","Not above lower step: "&amp;IF(AND(ISNUMBER(BB140),BB140&lt;'Item Budget'!$R$11),"W ","")&amp;IF(AND(ISNUMBER(BC140),BC140&lt;'Item Budget'!$R$11),"R ","")&amp;IF(AND(ISNUMBER(BD140),BD140&lt;'Item Budget'!$R$11),"M ","")&amp;IF(AND(ISNUMBER(BE140),BE140&lt;'Item Budget'!$R$11),"P ","")))</f>
        <v/>
      </c>
    </row>
    <row r="141">
      <c r="A141" s="21" t="n">
        <v>403</v>
      </c>
      <c r="B141" s="21" t="inlineStr">
        <is>
          <t>Ancient Slippers</t>
        </is>
      </c>
      <c r="C141" s="21" t="inlineStr">
        <is>
          <t>Shoes</t>
        </is>
      </c>
      <c r="D141" s="21" t="inlineStr">
        <is>
          <t>Magus</t>
        </is>
      </c>
      <c r="E141" s="21" t="inlineStr">
        <is>
          <t>Magus</t>
        </is>
      </c>
      <c r="F141" s="21" t="inlineStr">
        <is>
          <t>Caster cloth</t>
        </is>
      </c>
      <c r="G141" s="21" t="inlineStr">
        <is>
          <t>craft</t>
        </is>
      </c>
      <c r="H141" s="37" t="n">
        <v>100000000</v>
      </c>
      <c r="I141" s="21" t="n">
        <v>7</v>
      </c>
      <c r="J141" s="19" t="inlineStr">
        <is>
          <t>Leave</t>
        </is>
      </c>
      <c r="K141" s="21" t="inlineStr">
        <is>
          <t>Crafted</t>
        </is>
      </c>
      <c r="L141" s="31">
        <f>INDEX('Item Budget'!$F$5:$F$13,MATCH(K141,'Item Budget'!$E$5:$E$13,0))+IF(E141="All",0,'Item Budget'!$F$15)+LOOKUP(H141,'Item Budget'!$E$19:$E$23,'Item Budget'!$F$19:$F$23)</f>
        <v/>
      </c>
      <c r="M141" s="21" t="n">
        <v>50</v>
      </c>
      <c r="N141" s="21" t="n">
        <v>0</v>
      </c>
      <c r="O141" s="21" t="n">
        <v>2000</v>
      </c>
      <c r="P141" s="21" t="n">
        <v>100</v>
      </c>
      <c r="Q141" s="21" t="n">
        <v>0</v>
      </c>
      <c r="R141" s="21" t="n">
        <v>0</v>
      </c>
      <c r="S141" s="21" t="n">
        <v>25</v>
      </c>
      <c r="T141" s="21" t="n">
        <v>25</v>
      </c>
      <c r="U141" s="21" t="n">
        <v>0</v>
      </c>
      <c r="V141" s="21" t="inlineStr">
        <is>
          <t>Increased Spell Damage V</t>
        </is>
      </c>
      <c r="W141" s="61">
        <f>N141*'Item Budget'!$B$5+R141*'Item Budget'!$B$7+P141*'Item Budget'!$B$11+S141*'Item Budget'!$B$10+Q141*'Item Budget'!$B$9+IFERROR(INDEX('Item Budget'!$M$25:$M$95,MATCH(V141,'Item Budget'!$B$25:$B$95,0)),0)+IF($C141="Weapon",U141*'Item Budget'!$B$9,0)</f>
        <v/>
      </c>
      <c r="X141" s="61">
        <f>N141*'Item Budget'!$B$5+R141*'Item Budget'!$B$7+P141*'Item Budget'!$B$11+S141*'Item Budget'!$B$10+O141*'Item Budget'!$B$6+T141*'Item Budget'!$B$8+IFERROR(INDEX('Item Budget'!$N$25:$N$95,MATCH(V141,'Item Budget'!$B$25:$B$95,0)),0)</f>
        <v/>
      </c>
      <c r="Y141" s="61">
        <f>MAX('Item Budget'!$F$16,INDEX('Gear Budget'!$C$8:$C$14,MATCH($C141,'Gear Budget'!$A$8:$A$14,0))*MIN(M141,50))*$L141</f>
        <v/>
      </c>
      <c r="Z141" s="41">
        <f>IF($C141="Caster weapon",X141,MAX(W141,X141))/Y141</f>
        <v/>
      </c>
      <c r="AA141" s="61">
        <f>IF(OR($C141="Weapon",$C141="Caster weapon"),"",'Gear Budget'!$B$5*MAX(1,MIN(M141,50))*INDEX('Gear Budget'!$B$8:$B$14,MATCH($C141,'Gear Budget'!$A$8:$A$14,0))*IF($C141="Shield",IF(D141="Warrior",1,IF(OR(D141="Rogue",D141="All"),0.38/0.6,0.25/0.6)),IFERROR(INDEX('Gear Budget'!$B$18:$B$21,MATCH($F141,'Gear Budget'!$A$18:$A$21,0)),1)))</f>
        <v/>
      </c>
      <c r="AB141" s="41">
        <f>IF(AA141="","",P141/AA141)</f>
        <v/>
      </c>
      <c r="AC141" s="21" t="n">
        <v>50</v>
      </c>
      <c r="AD141" s="21" t="n">
        <v>0</v>
      </c>
      <c r="AE141" s="21" t="n">
        <v>2000</v>
      </c>
      <c r="AF141" s="21" t="n">
        <v>100</v>
      </c>
      <c r="AG141" s="21" t="n">
        <v>0</v>
      </c>
      <c r="AH141" s="21" t="n">
        <v>0</v>
      </c>
      <c r="AI141" s="21" t="n">
        <v>25</v>
      </c>
      <c r="AJ141" s="21" t="n">
        <v>25</v>
      </c>
      <c r="AK141" s="21" t="n">
        <v>0</v>
      </c>
      <c r="AL141" s="21" t="inlineStr">
        <is>
          <t>Increased Spell Damage V</t>
        </is>
      </c>
      <c r="AM141" s="61">
        <f>AD141*'Item Budget'!$B$5+AH141*'Item Budget'!$B$7+AF141*'Item Budget'!$B$11+AI141*'Item Budget'!$B$10+AG141*'Item Budget'!$B$9+IFERROR(INDEX('Item Budget'!$M$25:$M$95,MATCH(AL141,'Item Budget'!$B$25:$B$95,0)),0)+IF($C141="Weapon",AK141*'Item Budget'!$B$9,0)</f>
        <v/>
      </c>
      <c r="AN141" s="61">
        <f>AD141*'Item Budget'!$B$5+AH141*'Item Budget'!$B$7+AF141*'Item Budget'!$B$11+AI141*'Item Budget'!$B$10+AE141*'Item Budget'!$B$6+AJ141*'Item Budget'!$B$8+IFERROR(INDEX('Item Budget'!$N$25:$N$95,MATCH(AL141,'Item Budget'!$B$25:$B$95,0)),0)</f>
        <v/>
      </c>
      <c r="AO141" s="61">
        <f>MAX('Item Budget'!$F$16,INDEX('Gear Budget'!$C$8:$C$14,MATCH($C141,'Gear Budget'!$A$8:$A$14,0))*MIN(AC141,50))*$L141</f>
        <v/>
      </c>
      <c r="AP141" s="41">
        <f>IF($C141="Caster weapon",AN141,MAX(AM141,AN141))/AO141</f>
        <v/>
      </c>
      <c r="AQ141" s="61">
        <f>IF(OR($C141="Weapon",$C141="Caster weapon"),"",'Gear Budget'!$B$5*MAX(1,MIN(AC141,50))*INDEX('Gear Budget'!$B$8:$B$14,MATCH($C141,'Gear Budget'!$A$8:$A$14,0))*IF($C141="Shield",IF(E141="Warrior",1,IF(OR(E141="Rogue",E141="All"),0.38/0.6,0.25/0.6)),IFERROR(INDEX('Gear Budget'!$B$18:$B$21,MATCH($F141,'Gear Budget'!$A$18:$A$21,0)),1)))</f>
        <v/>
      </c>
      <c r="AR141" s="41">
        <f>IF(AQ141="","",AF141/AQ141)</f>
        <v/>
      </c>
      <c r="AS141" s="64" t="n"/>
      <c r="AT141" s="44">
        <f>IF(OR($E141="All",ISNUMBER(SEARCH("Warrior",$E141))),IF($C141="Caster weapon",(AN141+AF141*('Item Budget'!$AB$14-'Item Budget'!$B$11)),(AM141+AF141*('Item Budget'!$AB$14-'Item Budget'!$B$11))),0)</f>
        <v/>
      </c>
      <c r="AU141" s="44">
        <f>IF(OR($E141="All",ISNUMBER(SEARCH("Rogue",$E141))),IF($C141="Caster weapon",(AN141+AF141*('Item Budget'!$AB$15-'Item Budget'!$B$11)),(AM141+AF141*('Item Budget'!$AB$15-'Item Budget'!$B$11))),0)</f>
        <v/>
      </c>
      <c r="AV141" s="44">
        <f>IF(OR($E141="All",ISNUMBER(SEARCH("Magus",$E141))),(AN141+AF141*('Item Budget'!$AB$16-'Item Budget'!$B$11)),0)</f>
        <v/>
      </c>
      <c r="AW141" s="44">
        <f>IF(OR($E141="All",ISNUMBER(SEARCH("Priest",$E141))),(AN141+AF141*('Item Budget'!$AB$17-'Item Budget'!$B$11)),0)</f>
        <v/>
      </c>
      <c r="AX141" s="44">
        <f>IF(AND(OR($E141="All",ISNUMBER(SEARCH("Warrior",$E141))),AC141&gt;='Item Budget'!$R$10),'Item Budget'!$R$7*100*('Item Budget'!$R$14*(AD141+25*AH141)+'Item Budget'!$S$14*(AE141+25*AJ141))/'Item Budget'!$Z$14+'Item Budget'!$R$9*AF141+IFERROR(INDEX('Item Budget'!$O$25:$O$95,MATCH(AL141,'Item Budget'!$B$25:$B$95,0)),0),0)</f>
        <v/>
      </c>
      <c r="AY141" s="44">
        <f>IF(AND(OR($E141="All",ISNUMBER(SEARCH("Rogue",$E141))),AC141&gt;='Item Budget'!$R$10),'Item Budget'!$R$7*100*('Item Budget'!$R$15*(AD141+25*AH141)+'Item Budget'!$S$15*(AE141+25*AJ141))/'Item Budget'!$Z$15+'Item Budget'!$R$9*AF141+IFERROR(INDEX('Item Budget'!$O$25:$O$95,MATCH(AL141,'Item Budget'!$B$25:$B$95,0)),0),0)</f>
        <v/>
      </c>
      <c r="AZ141" s="44">
        <f>IF(AND(OR($E141="All",ISNUMBER(SEARCH("Magus",$E141))),AC141&gt;='Item Budget'!$R$10),'Item Budget'!$R$7*100*('Item Budget'!$R$16*(AD141+25*AH141)+'Item Budget'!$S$16*(AE141+25*AJ141))/'Item Budget'!$Z$16+'Item Budget'!$R$9*AF141+IFERROR(INDEX('Item Budget'!$O$25:$O$95,MATCH(AL141,'Item Budget'!$B$25:$B$95,0)),0),0)</f>
        <v/>
      </c>
      <c r="BA141" s="44">
        <f>IF(AND(OR($E141="All",ISNUMBER(SEARCH("Priest",$E141))),AC141&gt;='Item Budget'!$R$10),'Item Budget'!$R$7*100*('Item Budget'!$R$17*(AD141+25*AH141)+'Item Budget'!$S$17*(AE141+25*AJ141))/'Item Budget'!$Z$17+'Item Budget'!$R$9*AF141+IFERROR(INDEX('Item Budget'!$O$25:$O$95,MATCH(AL141,'Item Budget'!$B$25:$B$95,0)),0),0)</f>
        <v/>
      </c>
      <c r="BB141" s="52">
        <f>IF(OR($I141&lt;1,IF($I141&gt;=6,AX141,AT141)&lt;=0),"",IF(SUMPRODUCT(MAX(($C$5:$C$215=$C141)*($I$5:$I$215&gt;=1)*($I$5:$I$215&lt;$I141)*IF($I141&gt;=6,$AX$5:$AX$215,$AT$5:$AT$215)))&lt;=0,"",SUMPRODUCT(MAX(($C$5:$C$215=$C141)*($I$5:$I$215=$I141)*IF($I141&gt;=6,$AX$5:$AX$215,$AT$5:$AT$215)))/SUMPRODUCT(MAX(($C$5:$C$215=$C141)*($I$5:$I$215&gt;=1)*($I$5:$I$215&lt;$I141)*IF($I141&gt;=6,$AX$5:$AX$215,$AT$5:$AT$215)))-1))</f>
        <v/>
      </c>
      <c r="BC141" s="52">
        <f>IF(OR($I141&lt;1,IF($I141&gt;=6,AY141,AU141)&lt;=0),"",IF(SUMPRODUCT(MAX(($C$5:$C$215=$C141)*($I$5:$I$215&gt;=1)*($I$5:$I$215&lt;$I141)*IF($I141&gt;=6,$AY$5:$AY$215,$AU$5:$AU$215)))&lt;=0,"",SUMPRODUCT(MAX(($C$5:$C$215=$C141)*($I$5:$I$215=$I141)*IF($I141&gt;=6,$AY$5:$AY$215,$AU$5:$AU$215)))/SUMPRODUCT(MAX(($C$5:$C$215=$C141)*($I$5:$I$215&gt;=1)*($I$5:$I$215&lt;$I141)*IF($I141&gt;=6,$AY$5:$AY$215,$AU$5:$AU$215)))-1))</f>
        <v/>
      </c>
      <c r="BD141" s="52">
        <f>IF(OR($I141&lt;1,IF($I141&gt;=6,AZ141,AV141)&lt;=0),"",IF(SUMPRODUCT(MAX(($C$5:$C$215=$C141)*($I$5:$I$215&gt;=1)*($I$5:$I$215&lt;$I141)*IF($I141&gt;=6,$AZ$5:$AZ$215,$AV$5:$AV$215)))&lt;=0,"",SUMPRODUCT(MAX(($C$5:$C$215=$C141)*($I$5:$I$215=$I141)*IF($I141&gt;=6,$AZ$5:$AZ$215,$AV$5:$AV$215)))/SUMPRODUCT(MAX(($C$5:$C$215=$C141)*($I$5:$I$215&gt;=1)*($I$5:$I$215&lt;$I141)*IF($I141&gt;=6,$AZ$5:$AZ$215,$AV$5:$AV$215)))-1))</f>
        <v/>
      </c>
      <c r="BE141" s="52">
        <f>IF(OR($I141&lt;1,IF($I141&gt;=6,BA141,AW141)&lt;=0),"",IF(SUMPRODUCT(MAX(($C$5:$C$215=$C141)*($I$5:$I$215&gt;=1)*($I$5:$I$215&lt;$I141)*IF($I141&gt;=6,$BA$5:$BA$215,$AW$5:$AW$215)))&lt;=0,"",SUMPRODUCT(MAX(($C$5:$C$215=$C141)*($I$5:$I$215=$I141)*IF($I141&gt;=6,$BA$5:$BA$215,$AW$5:$AW$215)))/SUMPRODUCT(MAX(($C$5:$C$215=$C141)*($I$5:$I$215&gt;=1)*($I$5:$I$215&lt;$I141)*IF($I141&gt;=6,$BA$5:$BA$215,$AW$5:$AW$215)))-1))</f>
        <v/>
      </c>
      <c r="BF141" s="19">
        <f>IF(AND(BB141="",BC141="",BD141="",BE141=""),"",IF(IF(AND(ISNUMBER(BB141),BB141&lt;'Item Budget'!$R$11),"W ","")&amp;IF(AND(ISNUMBER(BC141),BC141&lt;'Item Budget'!$R$11),"R ","")&amp;IF(AND(ISNUMBER(BD141),BD141&lt;'Item Budget'!$R$11),"M ","")&amp;IF(AND(ISNUMBER(BE141),BE141&lt;'Item Budget'!$R$11),"P ","")="","OK","Not above lower step: "&amp;IF(AND(ISNUMBER(BB141),BB141&lt;'Item Budget'!$R$11),"W ","")&amp;IF(AND(ISNUMBER(BC141),BC141&lt;'Item Budget'!$R$11),"R ","")&amp;IF(AND(ISNUMBER(BD141),BD141&lt;'Item Budget'!$R$11),"M ","")&amp;IF(AND(ISNUMBER(BE141),BE141&lt;'Item Budget'!$R$11),"P ","")))</f>
        <v/>
      </c>
    </row>
    <row r="142">
      <c r="A142" s="21" t="n">
        <v>404</v>
      </c>
      <c r="B142" s="21" t="inlineStr">
        <is>
          <t>Ancient Slippers</t>
        </is>
      </c>
      <c r="C142" s="21" t="inlineStr">
        <is>
          <t>Shoes</t>
        </is>
      </c>
      <c r="D142" s="21" t="inlineStr">
        <is>
          <t>Priest</t>
        </is>
      </c>
      <c r="E142" s="21" t="inlineStr">
        <is>
          <t>Priest</t>
        </is>
      </c>
      <c r="F142" s="21" t="inlineStr">
        <is>
          <t>Caster cloth</t>
        </is>
      </c>
      <c r="G142" s="21" t="inlineStr">
        <is>
          <t>craft</t>
        </is>
      </c>
      <c r="H142" s="37" t="n">
        <v>100000000</v>
      </c>
      <c r="I142" s="21" t="n">
        <v>7</v>
      </c>
      <c r="J142" s="19" t="inlineStr">
        <is>
          <t>Leave</t>
        </is>
      </c>
      <c r="K142" s="21" t="inlineStr">
        <is>
          <t>Crafted</t>
        </is>
      </c>
      <c r="L142" s="31">
        <f>INDEX('Item Budget'!$F$5:$F$13,MATCH(K142,'Item Budget'!$E$5:$E$13,0))+IF(E142="All",0,'Item Budget'!$F$15)+LOOKUP(H142,'Item Budget'!$E$19:$E$23,'Item Budget'!$F$19:$F$23)</f>
        <v/>
      </c>
      <c r="M142" s="21" t="n">
        <v>50</v>
      </c>
      <c r="N142" s="21" t="n">
        <v>500</v>
      </c>
      <c r="O142" s="21" t="n">
        <v>1500</v>
      </c>
      <c r="P142" s="21" t="n">
        <v>100</v>
      </c>
      <c r="Q142" s="21" t="n">
        <v>30</v>
      </c>
      <c r="R142" s="21" t="n">
        <v>20</v>
      </c>
      <c r="S142" s="21" t="n">
        <v>0</v>
      </c>
      <c r="T142" s="21" t="n">
        <v>0</v>
      </c>
      <c r="U142" s="21" t="n">
        <v>0</v>
      </c>
      <c r="V142" s="21" t="inlineStr">
        <is>
          <t>Spell Critical Damage V</t>
        </is>
      </c>
      <c r="W142" s="61">
        <f>N142*'Item Budget'!$B$5+R142*'Item Budget'!$B$7+P142*'Item Budget'!$B$11+S142*'Item Budget'!$B$10+Q142*'Item Budget'!$B$9+IFERROR(INDEX('Item Budget'!$M$25:$M$95,MATCH(V142,'Item Budget'!$B$25:$B$95,0)),0)+IF($C142="Weapon",U142*'Item Budget'!$B$9,0)</f>
        <v/>
      </c>
      <c r="X142" s="61">
        <f>N142*'Item Budget'!$B$5+R142*'Item Budget'!$B$7+P142*'Item Budget'!$B$11+S142*'Item Budget'!$B$10+O142*'Item Budget'!$B$6+T142*'Item Budget'!$B$8+IFERROR(INDEX('Item Budget'!$N$25:$N$95,MATCH(V142,'Item Budget'!$B$25:$B$95,0)),0)</f>
        <v/>
      </c>
      <c r="Y142" s="61">
        <f>MAX('Item Budget'!$F$16,INDEX('Gear Budget'!$C$8:$C$14,MATCH($C142,'Gear Budget'!$A$8:$A$14,0))*MIN(M142,50))*$L142</f>
        <v/>
      </c>
      <c r="Z142" s="41">
        <f>IF($C142="Caster weapon",X142,MAX(W142,X142))/Y142</f>
        <v/>
      </c>
      <c r="AA142" s="61">
        <f>IF(OR($C142="Weapon",$C142="Caster weapon"),"",'Gear Budget'!$B$5*MAX(1,MIN(M142,50))*INDEX('Gear Budget'!$B$8:$B$14,MATCH($C142,'Gear Budget'!$A$8:$A$14,0))*IF($C142="Shield",IF(D142="Warrior",1,IF(OR(D142="Rogue",D142="All"),0.38/0.6,0.25/0.6)),IFERROR(INDEX('Gear Budget'!$B$18:$B$21,MATCH($F142,'Gear Budget'!$A$18:$A$21,0)),1)))</f>
        <v/>
      </c>
      <c r="AB142" s="41">
        <f>IF(AA142="","",P142/AA142)</f>
        <v/>
      </c>
      <c r="AC142" s="21" t="n">
        <v>50</v>
      </c>
      <c r="AD142" s="21" t="n">
        <v>500</v>
      </c>
      <c r="AE142" s="21" t="n">
        <v>1500</v>
      </c>
      <c r="AF142" s="21" t="n">
        <v>100</v>
      </c>
      <c r="AG142" s="21" t="n">
        <v>30</v>
      </c>
      <c r="AH142" s="21" t="n">
        <v>20</v>
      </c>
      <c r="AI142" s="21" t="n">
        <v>0</v>
      </c>
      <c r="AJ142" s="21" t="n">
        <v>0</v>
      </c>
      <c r="AK142" s="21" t="n">
        <v>0</v>
      </c>
      <c r="AL142" s="21" t="inlineStr">
        <is>
          <t>Spell Critical Damage V</t>
        </is>
      </c>
      <c r="AM142" s="61">
        <f>AD142*'Item Budget'!$B$5+AH142*'Item Budget'!$B$7+AF142*'Item Budget'!$B$11+AI142*'Item Budget'!$B$10+AG142*'Item Budget'!$B$9+IFERROR(INDEX('Item Budget'!$M$25:$M$95,MATCH(AL142,'Item Budget'!$B$25:$B$95,0)),0)+IF($C142="Weapon",AK142*'Item Budget'!$B$9,0)</f>
        <v/>
      </c>
      <c r="AN142" s="61">
        <f>AD142*'Item Budget'!$B$5+AH142*'Item Budget'!$B$7+AF142*'Item Budget'!$B$11+AI142*'Item Budget'!$B$10+AE142*'Item Budget'!$B$6+AJ142*'Item Budget'!$B$8+IFERROR(INDEX('Item Budget'!$N$25:$N$95,MATCH(AL142,'Item Budget'!$B$25:$B$95,0)),0)</f>
        <v/>
      </c>
      <c r="AO142" s="61">
        <f>MAX('Item Budget'!$F$16,INDEX('Gear Budget'!$C$8:$C$14,MATCH($C142,'Gear Budget'!$A$8:$A$14,0))*MIN(AC142,50))*$L142</f>
        <v/>
      </c>
      <c r="AP142" s="41">
        <f>IF($C142="Caster weapon",AN142,MAX(AM142,AN142))/AO142</f>
        <v/>
      </c>
      <c r="AQ142" s="61">
        <f>IF(OR($C142="Weapon",$C142="Caster weapon"),"",'Gear Budget'!$B$5*MAX(1,MIN(AC142,50))*INDEX('Gear Budget'!$B$8:$B$14,MATCH($C142,'Gear Budget'!$A$8:$A$14,0))*IF($C142="Shield",IF(E142="Warrior",1,IF(OR(E142="Rogue",E142="All"),0.38/0.6,0.25/0.6)),IFERROR(INDEX('Gear Budget'!$B$18:$B$21,MATCH($F142,'Gear Budget'!$A$18:$A$21,0)),1)))</f>
        <v/>
      </c>
      <c r="AR142" s="41">
        <f>IF(AQ142="","",AF142/AQ142)</f>
        <v/>
      </c>
      <c r="AS142" s="64" t="n"/>
      <c r="AT142" s="44">
        <f>IF(OR($E142="All",ISNUMBER(SEARCH("Warrior",$E142))),IF($C142="Caster weapon",(AN142+AF142*('Item Budget'!$AB$14-'Item Budget'!$B$11)),(AM142+AF142*('Item Budget'!$AB$14-'Item Budget'!$B$11))),0)</f>
        <v/>
      </c>
      <c r="AU142" s="44">
        <f>IF(OR($E142="All",ISNUMBER(SEARCH("Rogue",$E142))),IF($C142="Caster weapon",(AN142+AF142*('Item Budget'!$AB$15-'Item Budget'!$B$11)),(AM142+AF142*('Item Budget'!$AB$15-'Item Budget'!$B$11))),0)</f>
        <v/>
      </c>
      <c r="AV142" s="44">
        <f>IF(OR($E142="All",ISNUMBER(SEARCH("Magus",$E142))),(AN142+AF142*('Item Budget'!$AB$16-'Item Budget'!$B$11)),0)</f>
        <v/>
      </c>
      <c r="AW142" s="44">
        <f>IF(OR($E142="All",ISNUMBER(SEARCH("Priest",$E142))),(AN142+AF142*('Item Budget'!$AB$17-'Item Budget'!$B$11)),0)</f>
        <v/>
      </c>
      <c r="AX142" s="44">
        <f>IF(AND(OR($E142="All",ISNUMBER(SEARCH("Warrior",$E142))),AC142&gt;='Item Budget'!$R$10),'Item Budget'!$R$7*100*('Item Budget'!$R$14*(AD142+25*AH142)+'Item Budget'!$S$14*(AE142+25*AJ142))/'Item Budget'!$Z$14+'Item Budget'!$R$9*AF142+IFERROR(INDEX('Item Budget'!$O$25:$O$95,MATCH(AL142,'Item Budget'!$B$25:$B$95,0)),0),0)</f>
        <v/>
      </c>
      <c r="AY142" s="44">
        <f>IF(AND(OR($E142="All",ISNUMBER(SEARCH("Rogue",$E142))),AC142&gt;='Item Budget'!$R$10),'Item Budget'!$R$7*100*('Item Budget'!$R$15*(AD142+25*AH142)+'Item Budget'!$S$15*(AE142+25*AJ142))/'Item Budget'!$Z$15+'Item Budget'!$R$9*AF142+IFERROR(INDEX('Item Budget'!$O$25:$O$95,MATCH(AL142,'Item Budget'!$B$25:$B$95,0)),0),0)</f>
        <v/>
      </c>
      <c r="AZ142" s="44">
        <f>IF(AND(OR($E142="All",ISNUMBER(SEARCH("Magus",$E142))),AC142&gt;='Item Budget'!$R$10),'Item Budget'!$R$7*100*('Item Budget'!$R$16*(AD142+25*AH142)+'Item Budget'!$S$16*(AE142+25*AJ142))/'Item Budget'!$Z$16+'Item Budget'!$R$9*AF142+IFERROR(INDEX('Item Budget'!$O$25:$O$95,MATCH(AL142,'Item Budget'!$B$25:$B$95,0)),0),0)</f>
        <v/>
      </c>
      <c r="BA142" s="44">
        <f>IF(AND(OR($E142="All",ISNUMBER(SEARCH("Priest",$E142))),AC142&gt;='Item Budget'!$R$10),'Item Budget'!$R$7*100*('Item Budget'!$R$17*(AD142+25*AH142)+'Item Budget'!$S$17*(AE142+25*AJ142))/'Item Budget'!$Z$17+'Item Budget'!$R$9*AF142+IFERROR(INDEX('Item Budget'!$O$25:$O$95,MATCH(AL142,'Item Budget'!$B$25:$B$95,0)),0),0)</f>
        <v/>
      </c>
      <c r="BB142" s="52">
        <f>IF(OR($I142&lt;1,IF($I142&gt;=6,AX142,AT142)&lt;=0),"",IF(SUMPRODUCT(MAX(($C$5:$C$215=$C142)*($I$5:$I$215&gt;=1)*($I$5:$I$215&lt;$I142)*IF($I142&gt;=6,$AX$5:$AX$215,$AT$5:$AT$215)))&lt;=0,"",SUMPRODUCT(MAX(($C$5:$C$215=$C142)*($I$5:$I$215=$I142)*IF($I142&gt;=6,$AX$5:$AX$215,$AT$5:$AT$215)))/SUMPRODUCT(MAX(($C$5:$C$215=$C142)*($I$5:$I$215&gt;=1)*($I$5:$I$215&lt;$I142)*IF($I142&gt;=6,$AX$5:$AX$215,$AT$5:$AT$215)))-1))</f>
        <v/>
      </c>
      <c r="BC142" s="52">
        <f>IF(OR($I142&lt;1,IF($I142&gt;=6,AY142,AU142)&lt;=0),"",IF(SUMPRODUCT(MAX(($C$5:$C$215=$C142)*($I$5:$I$215&gt;=1)*($I$5:$I$215&lt;$I142)*IF($I142&gt;=6,$AY$5:$AY$215,$AU$5:$AU$215)))&lt;=0,"",SUMPRODUCT(MAX(($C$5:$C$215=$C142)*($I$5:$I$215=$I142)*IF($I142&gt;=6,$AY$5:$AY$215,$AU$5:$AU$215)))/SUMPRODUCT(MAX(($C$5:$C$215=$C142)*($I$5:$I$215&gt;=1)*($I$5:$I$215&lt;$I142)*IF($I142&gt;=6,$AY$5:$AY$215,$AU$5:$AU$215)))-1))</f>
        <v/>
      </c>
      <c r="BD142" s="52">
        <f>IF(OR($I142&lt;1,IF($I142&gt;=6,AZ142,AV142)&lt;=0),"",IF(SUMPRODUCT(MAX(($C$5:$C$215=$C142)*($I$5:$I$215&gt;=1)*($I$5:$I$215&lt;$I142)*IF($I142&gt;=6,$AZ$5:$AZ$215,$AV$5:$AV$215)))&lt;=0,"",SUMPRODUCT(MAX(($C$5:$C$215=$C142)*($I$5:$I$215=$I142)*IF($I142&gt;=6,$AZ$5:$AZ$215,$AV$5:$AV$215)))/SUMPRODUCT(MAX(($C$5:$C$215=$C142)*($I$5:$I$215&gt;=1)*($I$5:$I$215&lt;$I142)*IF($I142&gt;=6,$AZ$5:$AZ$215,$AV$5:$AV$215)))-1))</f>
        <v/>
      </c>
      <c r="BE142" s="52">
        <f>IF(OR($I142&lt;1,IF($I142&gt;=6,BA142,AW142)&lt;=0),"",IF(SUMPRODUCT(MAX(($C$5:$C$215=$C142)*($I$5:$I$215&gt;=1)*($I$5:$I$215&lt;$I142)*IF($I142&gt;=6,$BA$5:$BA$215,$AW$5:$AW$215)))&lt;=0,"",SUMPRODUCT(MAX(($C$5:$C$215=$C142)*($I$5:$I$215=$I142)*IF($I142&gt;=6,$BA$5:$BA$215,$AW$5:$AW$215)))/SUMPRODUCT(MAX(($C$5:$C$215=$C142)*($I$5:$I$215&gt;=1)*($I$5:$I$215&lt;$I142)*IF($I142&gt;=6,$BA$5:$BA$215,$AW$5:$AW$215)))-1))</f>
        <v/>
      </c>
      <c r="BF142" s="19">
        <f>IF(AND(BB142="",BC142="",BD142="",BE142=""),"",IF(IF(AND(ISNUMBER(BB142),BB142&lt;'Item Budget'!$R$11),"W ","")&amp;IF(AND(ISNUMBER(BC142),BC142&lt;'Item Budget'!$R$11),"R ","")&amp;IF(AND(ISNUMBER(BD142),BD142&lt;'Item Budget'!$R$11),"M ","")&amp;IF(AND(ISNUMBER(BE142),BE142&lt;'Item Budget'!$R$11),"P ","")="","OK","Not above lower step: "&amp;IF(AND(ISNUMBER(BB142),BB142&lt;'Item Budget'!$R$11),"W ","")&amp;IF(AND(ISNUMBER(BC142),BC142&lt;'Item Budget'!$R$11),"R ","")&amp;IF(AND(ISNUMBER(BD142),BD142&lt;'Item Budget'!$R$11),"M ","")&amp;IF(AND(ISNUMBER(BE142),BE142&lt;'Item Budget'!$R$11),"P ","")))</f>
        <v/>
      </c>
    </row>
    <row r="143">
      <c r="A143" s="21" t="n">
        <v>430</v>
      </c>
      <c r="B143" s="21" t="inlineStr">
        <is>
          <t>Mama Boots</t>
        </is>
      </c>
      <c r="C143" s="21" t="inlineStr">
        <is>
          <t>Shoes</t>
        </is>
      </c>
      <c r="D143" s="21" t="inlineStr">
        <is>
          <t>Rogue/Warrior</t>
        </is>
      </c>
      <c r="E143" s="21" t="inlineStr">
        <is>
          <t>Rogue/Warrior</t>
        </is>
      </c>
      <c r="F143" s="21" t="inlineStr">
        <is>
          <t>Warrior plate</t>
        </is>
      </c>
      <c r="G143" s="21" t="inlineStr">
        <is>
          <t>drop: Mama Bear 12%</t>
        </is>
      </c>
      <c r="H143" s="37" t="n">
        <v>200000000</v>
      </c>
      <c r="I143" s="21" t="n">
        <v>8</v>
      </c>
      <c r="J143" s="3" t="inlineStr">
        <is>
          <t>Applied</t>
        </is>
      </c>
      <c r="K143" s="21" t="inlineStr">
        <is>
          <t>Rare boss drop</t>
        </is>
      </c>
      <c r="L143" s="31">
        <f>INDEX('Item Budget'!$F$5:$F$13,MATCH(K143,'Item Budget'!$E$5:$E$13,0))+IF(E143="All",0,'Item Budget'!$F$15)+LOOKUP(H143,'Item Budget'!$E$19:$E$23,'Item Budget'!$F$19:$F$23)</f>
        <v/>
      </c>
      <c r="M143" s="21" t="n">
        <v>50</v>
      </c>
      <c r="N143" s="21" t="n">
        <v>3000</v>
      </c>
      <c r="O143" s="21" t="n">
        <v>1500</v>
      </c>
      <c r="P143" s="21" t="n">
        <v>100</v>
      </c>
      <c r="Q143" s="21" t="n">
        <v>0</v>
      </c>
      <c r="R143" s="21" t="n">
        <v>50</v>
      </c>
      <c r="S143" s="21" t="n">
        <v>0</v>
      </c>
      <c r="T143" s="21" t="n">
        <v>0</v>
      </c>
      <c r="U143" s="21" t="n">
        <v>0</v>
      </c>
      <c r="V143" s="21" t="inlineStr">
        <is>
          <t>Damage Reduction V</t>
        </is>
      </c>
      <c r="W143" s="61">
        <f>N143*'Item Budget'!$B$5+R143*'Item Budget'!$B$7+P143*'Item Budget'!$B$11+S143*'Item Budget'!$B$10+Q143*'Item Budget'!$B$9+IFERROR(INDEX('Item Budget'!$M$25:$M$95,MATCH(V143,'Item Budget'!$B$25:$B$95,0)),0)+IF($C143="Weapon",U143*'Item Budget'!$B$9,0)</f>
        <v/>
      </c>
      <c r="X143" s="61">
        <f>N143*'Item Budget'!$B$5+R143*'Item Budget'!$B$7+P143*'Item Budget'!$B$11+S143*'Item Budget'!$B$10+O143*'Item Budget'!$B$6+T143*'Item Budget'!$B$8+IFERROR(INDEX('Item Budget'!$N$25:$N$95,MATCH(V143,'Item Budget'!$B$25:$B$95,0)),0)</f>
        <v/>
      </c>
      <c r="Y143" s="61">
        <f>MAX('Item Budget'!$F$16,INDEX('Gear Budget'!$C$8:$C$14,MATCH($C143,'Gear Budget'!$A$8:$A$14,0))*MIN(M143,50))*$L143</f>
        <v/>
      </c>
      <c r="Z143" s="41">
        <f>IF($C143="Caster weapon",X143,MAX(W143,X143))/Y143</f>
        <v/>
      </c>
      <c r="AA143" s="61">
        <f>IF(OR($C143="Weapon",$C143="Caster weapon"),"",'Gear Budget'!$B$5*MAX(1,MIN(M143,50))*INDEX('Gear Budget'!$B$8:$B$14,MATCH($C143,'Gear Budget'!$A$8:$A$14,0))*IF($C143="Shield",IF(D143="Warrior",1,IF(OR(D143="Rogue",D143="All"),0.38/0.6,0.25/0.6)),IFERROR(INDEX('Gear Budget'!$B$18:$B$21,MATCH($F143,'Gear Budget'!$A$18:$A$21,0)),1)))</f>
        <v/>
      </c>
      <c r="AB143" s="41">
        <f>IF(AA143="","",P143/AA143)</f>
        <v/>
      </c>
      <c r="AC143" s="21" t="n">
        <v>50</v>
      </c>
      <c r="AD143" s="21" t="n">
        <v>3000</v>
      </c>
      <c r="AE143" s="21" t="n">
        <v>1500</v>
      </c>
      <c r="AF143" s="21" t="n">
        <v>100</v>
      </c>
      <c r="AG143" s="21" t="n">
        <v>0</v>
      </c>
      <c r="AH143" s="21" t="n">
        <v>50</v>
      </c>
      <c r="AI143" s="21" t="n">
        <v>0</v>
      </c>
      <c r="AJ143" s="21" t="n">
        <v>0</v>
      </c>
      <c r="AK143" s="21" t="n">
        <v>0</v>
      </c>
      <c r="AL143" s="21" t="inlineStr">
        <is>
          <t>Damage Reduction V</t>
        </is>
      </c>
      <c r="AM143" s="61">
        <f>AD143*'Item Budget'!$B$5+AH143*'Item Budget'!$B$7+AF143*'Item Budget'!$B$11+AI143*'Item Budget'!$B$10+AG143*'Item Budget'!$B$9+IFERROR(INDEX('Item Budget'!$M$25:$M$95,MATCH(AL143,'Item Budget'!$B$25:$B$95,0)),0)+IF($C143="Weapon",AK143*'Item Budget'!$B$9,0)</f>
        <v/>
      </c>
      <c r="AN143" s="61">
        <f>AD143*'Item Budget'!$B$5+AH143*'Item Budget'!$B$7+AF143*'Item Budget'!$B$11+AI143*'Item Budget'!$B$10+AE143*'Item Budget'!$B$6+AJ143*'Item Budget'!$B$8+IFERROR(INDEX('Item Budget'!$N$25:$N$95,MATCH(AL143,'Item Budget'!$B$25:$B$95,0)),0)</f>
        <v/>
      </c>
      <c r="AO143" s="61">
        <f>MAX('Item Budget'!$F$16,INDEX('Gear Budget'!$C$8:$C$14,MATCH($C143,'Gear Budget'!$A$8:$A$14,0))*MIN(AC143,50))*$L143</f>
        <v/>
      </c>
      <c r="AP143" s="41">
        <f>IF($C143="Caster weapon",AN143,MAX(AM143,AN143))/AO143</f>
        <v/>
      </c>
      <c r="AQ143" s="61">
        <f>IF(OR($C143="Weapon",$C143="Caster weapon"),"",'Gear Budget'!$B$5*MAX(1,MIN(AC143,50))*INDEX('Gear Budget'!$B$8:$B$14,MATCH($C143,'Gear Budget'!$A$8:$A$14,0))*IF($C143="Shield",IF(E143="Warrior",1,IF(OR(E143="Rogue",E143="All"),0.38/0.6,0.25/0.6)),IFERROR(INDEX('Gear Budget'!$B$18:$B$21,MATCH($F143,'Gear Budget'!$A$18:$A$21,0)),1)))</f>
        <v/>
      </c>
      <c r="AR143" s="41">
        <f>IF(AQ143="","",AF143/AQ143)</f>
        <v/>
      </c>
      <c r="AS143" s="64" t="inlineStr">
        <is>
          <t>Pass 1 (applied): 200M: was below Ancient Boots (100M). HP/STA up and DR II -&gt; V.</t>
        </is>
      </c>
      <c r="AT143" s="44">
        <f>IF(OR($E143="All",ISNUMBER(SEARCH("Warrior",$E143))),IF($C143="Caster weapon",(AN143+AF143*('Item Budget'!$AB$14-'Item Budget'!$B$11)),(AM143+AF143*('Item Budget'!$AB$14-'Item Budget'!$B$11))),0)</f>
        <v/>
      </c>
      <c r="AU143" s="44">
        <f>IF(OR($E143="All",ISNUMBER(SEARCH("Rogue",$E143))),IF($C143="Caster weapon",(AN143+AF143*('Item Budget'!$AB$15-'Item Budget'!$B$11)),(AM143+AF143*('Item Budget'!$AB$15-'Item Budget'!$B$11))),0)</f>
        <v/>
      </c>
      <c r="AV143" s="44">
        <f>IF(OR($E143="All",ISNUMBER(SEARCH("Magus",$E143))),(AN143+AF143*('Item Budget'!$AB$16-'Item Budget'!$B$11)),0)</f>
        <v/>
      </c>
      <c r="AW143" s="44">
        <f>IF(OR($E143="All",ISNUMBER(SEARCH("Priest",$E143))),(AN143+AF143*('Item Budget'!$AB$17-'Item Budget'!$B$11)),0)</f>
        <v/>
      </c>
      <c r="AX143" s="44">
        <f>IF(AND(OR($E143="All",ISNUMBER(SEARCH("Warrior",$E143))),AC143&gt;='Item Budget'!$R$10),'Item Budget'!$R$7*100*('Item Budget'!$R$14*(AD143+25*AH143)+'Item Budget'!$S$14*(AE143+25*AJ143))/'Item Budget'!$Z$14+'Item Budget'!$R$9*AF143+IFERROR(INDEX('Item Budget'!$O$25:$O$95,MATCH(AL143,'Item Budget'!$B$25:$B$95,0)),0),0)</f>
        <v/>
      </c>
      <c r="AY143" s="44">
        <f>IF(AND(OR($E143="All",ISNUMBER(SEARCH("Rogue",$E143))),AC143&gt;='Item Budget'!$R$10),'Item Budget'!$R$7*100*('Item Budget'!$R$15*(AD143+25*AH143)+'Item Budget'!$S$15*(AE143+25*AJ143))/'Item Budget'!$Z$15+'Item Budget'!$R$9*AF143+IFERROR(INDEX('Item Budget'!$O$25:$O$95,MATCH(AL143,'Item Budget'!$B$25:$B$95,0)),0),0)</f>
        <v/>
      </c>
      <c r="AZ143" s="44">
        <f>IF(AND(OR($E143="All",ISNUMBER(SEARCH("Magus",$E143))),AC143&gt;='Item Budget'!$R$10),'Item Budget'!$R$7*100*('Item Budget'!$R$16*(AD143+25*AH143)+'Item Budget'!$S$16*(AE143+25*AJ143))/'Item Budget'!$Z$16+'Item Budget'!$R$9*AF143+IFERROR(INDEX('Item Budget'!$O$25:$O$95,MATCH(AL143,'Item Budget'!$B$25:$B$95,0)),0),0)</f>
        <v/>
      </c>
      <c r="BA143" s="44">
        <f>IF(AND(OR($E143="All",ISNUMBER(SEARCH("Priest",$E143))),AC143&gt;='Item Budget'!$R$10),'Item Budget'!$R$7*100*('Item Budget'!$R$17*(AD143+25*AH143)+'Item Budget'!$S$17*(AE143+25*AJ143))/'Item Budget'!$Z$17+'Item Budget'!$R$9*AF143+IFERROR(INDEX('Item Budget'!$O$25:$O$95,MATCH(AL143,'Item Budget'!$B$25:$B$95,0)),0),0)</f>
        <v/>
      </c>
      <c r="BB143" s="52">
        <f>IF(OR($I143&lt;1,IF($I143&gt;=6,AX143,AT143)&lt;=0),"",IF(SUMPRODUCT(MAX(($C$5:$C$215=$C143)*($I$5:$I$215&gt;=1)*($I$5:$I$215&lt;$I143)*IF($I143&gt;=6,$AX$5:$AX$215,$AT$5:$AT$215)))&lt;=0,"",SUMPRODUCT(MAX(($C$5:$C$215=$C143)*($I$5:$I$215=$I143)*IF($I143&gt;=6,$AX$5:$AX$215,$AT$5:$AT$215)))/SUMPRODUCT(MAX(($C$5:$C$215=$C143)*($I$5:$I$215&gt;=1)*($I$5:$I$215&lt;$I143)*IF($I143&gt;=6,$AX$5:$AX$215,$AT$5:$AT$215)))-1))</f>
        <v/>
      </c>
      <c r="BC143" s="52">
        <f>IF(OR($I143&lt;1,IF($I143&gt;=6,AY143,AU143)&lt;=0),"",IF(SUMPRODUCT(MAX(($C$5:$C$215=$C143)*($I$5:$I$215&gt;=1)*($I$5:$I$215&lt;$I143)*IF($I143&gt;=6,$AY$5:$AY$215,$AU$5:$AU$215)))&lt;=0,"",SUMPRODUCT(MAX(($C$5:$C$215=$C143)*($I$5:$I$215=$I143)*IF($I143&gt;=6,$AY$5:$AY$215,$AU$5:$AU$215)))/SUMPRODUCT(MAX(($C$5:$C$215=$C143)*($I$5:$I$215&gt;=1)*($I$5:$I$215&lt;$I143)*IF($I143&gt;=6,$AY$5:$AY$215,$AU$5:$AU$215)))-1))</f>
        <v/>
      </c>
      <c r="BD143" s="52">
        <f>IF(OR($I143&lt;1,IF($I143&gt;=6,AZ143,AV143)&lt;=0),"",IF(SUMPRODUCT(MAX(($C$5:$C$215=$C143)*($I$5:$I$215&gt;=1)*($I$5:$I$215&lt;$I143)*IF($I143&gt;=6,$AZ$5:$AZ$215,$AV$5:$AV$215)))&lt;=0,"",SUMPRODUCT(MAX(($C$5:$C$215=$C143)*($I$5:$I$215=$I143)*IF($I143&gt;=6,$AZ$5:$AZ$215,$AV$5:$AV$215)))/SUMPRODUCT(MAX(($C$5:$C$215=$C143)*($I$5:$I$215&gt;=1)*($I$5:$I$215&lt;$I143)*IF($I143&gt;=6,$AZ$5:$AZ$215,$AV$5:$AV$215)))-1))</f>
        <v/>
      </c>
      <c r="BE143" s="52">
        <f>IF(OR($I143&lt;1,IF($I143&gt;=6,BA143,AW143)&lt;=0),"",IF(SUMPRODUCT(MAX(($C$5:$C$215=$C143)*($I$5:$I$215&gt;=1)*($I$5:$I$215&lt;$I143)*IF($I143&gt;=6,$BA$5:$BA$215,$AW$5:$AW$215)))&lt;=0,"",SUMPRODUCT(MAX(($C$5:$C$215=$C143)*($I$5:$I$215=$I143)*IF($I143&gt;=6,$BA$5:$BA$215,$AW$5:$AW$215)))/SUMPRODUCT(MAX(($C$5:$C$215=$C143)*($I$5:$I$215&gt;=1)*($I$5:$I$215&lt;$I143)*IF($I143&gt;=6,$BA$5:$BA$215,$AW$5:$AW$215)))-1))</f>
        <v/>
      </c>
      <c r="BF143" s="19">
        <f>IF(AND(BB143="",BC143="",BD143="",BE143=""),"",IF(IF(AND(ISNUMBER(BB143),BB143&lt;'Item Budget'!$R$11),"W ","")&amp;IF(AND(ISNUMBER(BC143),BC143&lt;'Item Budget'!$R$11),"R ","")&amp;IF(AND(ISNUMBER(BD143),BD143&lt;'Item Budget'!$R$11),"M ","")&amp;IF(AND(ISNUMBER(BE143),BE143&lt;'Item Budget'!$R$11),"P ","")="","OK","Not above lower step: "&amp;IF(AND(ISNUMBER(BB143),BB143&lt;'Item Budget'!$R$11),"W ","")&amp;IF(AND(ISNUMBER(BC143),BC143&lt;'Item Budget'!$R$11),"R ","")&amp;IF(AND(ISNUMBER(BD143),BD143&lt;'Item Budget'!$R$11),"M ","")&amp;IF(AND(ISNUMBER(BE143),BE143&lt;'Item Budget'!$R$11),"P ","")))</f>
        <v/>
      </c>
    </row>
    <row r="144">
      <c r="A144" s="21" t="n">
        <v>122</v>
      </c>
      <c r="B144" s="21" t="inlineStr">
        <is>
          <t>Wooden Buckler</t>
        </is>
      </c>
      <c r="C144" s="21" t="inlineStr">
        <is>
          <t>Shield</t>
        </is>
      </c>
      <c r="D144" s="21" t="inlineStr">
        <is>
          <t>All</t>
        </is>
      </c>
      <c r="E144" s="21" t="inlineStr">
        <is>
          <t>All</t>
        </is>
      </c>
      <c r="F144" s="21" t="inlineStr">
        <is>
          <t>All classes</t>
        </is>
      </c>
      <c r="G144" s="21" t="inlineStr">
        <is>
          <t>vendor: Shield Guy</t>
        </is>
      </c>
      <c r="H144" s="37" t="n">
        <v>0</v>
      </c>
      <c r="I144" s="21" t="n">
        <v>0</v>
      </c>
      <c r="J144" s="3" t="inlineStr">
        <is>
          <t>Applied</t>
        </is>
      </c>
      <c r="K144" s="21" t="inlineStr">
        <is>
          <t>Vendor</t>
        </is>
      </c>
      <c r="L144" s="31">
        <f>INDEX('Item Budget'!$F$5:$F$13,MATCH(K144,'Item Budget'!$E$5:$E$13,0))+IF(E144="All",0,'Item Budget'!$F$15)+LOOKUP(H144,'Item Budget'!$E$19:$E$23,'Item Budget'!$F$19:$F$23)</f>
        <v/>
      </c>
      <c r="M144" s="21" t="n">
        <v>5</v>
      </c>
      <c r="N144" s="21" t="n">
        <v>0</v>
      </c>
      <c r="O144" s="21" t="n">
        <v>0</v>
      </c>
      <c r="P144" s="21" t="n">
        <v>10</v>
      </c>
      <c r="Q144" s="21" t="n">
        <v>0</v>
      </c>
      <c r="R144" s="21" t="n">
        <v>1</v>
      </c>
      <c r="S144" s="21" t="n">
        <v>0</v>
      </c>
      <c r="T144" s="21" t="n">
        <v>0</v>
      </c>
      <c r="U144" s="21" t="n">
        <v>0</v>
      </c>
      <c r="V144" s="21" t="inlineStr">
        <is>
          <t>(none)</t>
        </is>
      </c>
      <c r="W144" s="61">
        <f>N144*'Item Budget'!$B$5+R144*'Item Budget'!$B$7+P144*'Item Budget'!$B$11+S144*'Item Budget'!$B$10+Q144*'Item Budget'!$B$9+IFERROR(INDEX('Item Budget'!$M$25:$M$95,MATCH(V144,'Item Budget'!$B$25:$B$95,0)),0)+IF($C144="Weapon",U144*'Item Budget'!$B$9,0)</f>
        <v/>
      </c>
      <c r="X144" s="61">
        <f>N144*'Item Budget'!$B$5+R144*'Item Budget'!$B$7+P144*'Item Budget'!$B$11+S144*'Item Budget'!$B$10+O144*'Item Budget'!$B$6+T144*'Item Budget'!$B$8+IFERROR(INDEX('Item Budget'!$N$25:$N$95,MATCH(V144,'Item Budget'!$B$25:$B$95,0)),0)</f>
        <v/>
      </c>
      <c r="Y144" s="61">
        <f>MAX('Item Budget'!$F$16,INDEX('Gear Budget'!$C$8:$C$14,MATCH($C144,'Gear Budget'!$A$8:$A$14,0))*MIN(M144,50))*$L144</f>
        <v/>
      </c>
      <c r="Z144" s="41">
        <f>IF($C144="Caster weapon",X144,MAX(W144,X144))/Y144</f>
        <v/>
      </c>
      <c r="AA144" s="61">
        <f>IF(OR($C144="Weapon",$C144="Caster weapon"),"",'Gear Budget'!$B$5*MAX(1,MIN(M144,50))*INDEX('Gear Budget'!$B$8:$B$14,MATCH($C144,'Gear Budget'!$A$8:$A$14,0))*IF($C144="Shield",IF(D144="Warrior",1,IF(OR(D144="Rogue",D144="All"),0.38/0.6,0.25/0.6)),IFERROR(INDEX('Gear Budget'!$B$18:$B$21,MATCH($F144,'Gear Budget'!$A$18:$A$21,0)),1)))</f>
        <v/>
      </c>
      <c r="AB144" s="41">
        <f>IF(AA144="","",P144/AA144)</f>
        <v/>
      </c>
      <c r="AC144" s="21" t="n">
        <v>5</v>
      </c>
      <c r="AD144" s="21" t="n">
        <v>0</v>
      </c>
      <c r="AE144" s="21" t="n">
        <v>0</v>
      </c>
      <c r="AF144" s="21" t="n">
        <v>10</v>
      </c>
      <c r="AG144" s="21" t="n">
        <v>0</v>
      </c>
      <c r="AH144" s="21" t="n">
        <v>1</v>
      </c>
      <c r="AI144" s="21" t="n">
        <v>0</v>
      </c>
      <c r="AJ144" s="21" t="n">
        <v>0</v>
      </c>
      <c r="AK144" s="21" t="n">
        <v>0</v>
      </c>
      <c r="AL144" s="21" t="inlineStr">
        <is>
          <t>(none)</t>
        </is>
      </c>
      <c r="AM144" s="61">
        <f>AD144*'Item Budget'!$B$5+AH144*'Item Budget'!$B$7+AF144*'Item Budget'!$B$11+AI144*'Item Budget'!$B$10+AG144*'Item Budget'!$B$9+IFERROR(INDEX('Item Budget'!$M$25:$M$95,MATCH(AL144,'Item Budget'!$B$25:$B$95,0)),0)+IF($C144="Weapon",AK144*'Item Budget'!$B$9,0)</f>
        <v/>
      </c>
      <c r="AN144" s="61">
        <f>AD144*'Item Budget'!$B$5+AH144*'Item Budget'!$B$7+AF144*'Item Budget'!$B$11+AI144*'Item Budget'!$B$10+AE144*'Item Budget'!$B$6+AJ144*'Item Budget'!$B$8+IFERROR(INDEX('Item Budget'!$N$25:$N$95,MATCH(AL144,'Item Budget'!$B$25:$B$95,0)),0)</f>
        <v/>
      </c>
      <c r="AO144" s="61">
        <f>MAX('Item Budget'!$F$16,INDEX('Gear Budget'!$C$8:$C$14,MATCH($C144,'Gear Budget'!$A$8:$A$14,0))*MIN(AC144,50))*$L144</f>
        <v/>
      </c>
      <c r="AP144" s="41">
        <f>IF($C144="Caster weapon",AN144,MAX(AM144,AN144))/AO144</f>
        <v/>
      </c>
      <c r="AQ144" s="61">
        <f>IF(OR($C144="Weapon",$C144="Caster weapon"),"",'Gear Budget'!$B$5*MAX(1,MIN(AC144,50))*INDEX('Gear Budget'!$B$8:$B$14,MATCH($C144,'Gear Budget'!$A$8:$A$14,0))*IF($C144="Shield",IF(E144="Warrior",1,IF(OR(E144="Rogue",E144="All"),0.38/0.6,0.25/0.6)),IFERROR(INDEX('Gear Budget'!$B$18:$B$21,MATCH($F144,'Gear Budget'!$A$18:$A$21,0)),1)))</f>
        <v/>
      </c>
      <c r="AR144" s="41">
        <f>IF(AQ144="","",AF144/AQ144)</f>
        <v/>
      </c>
      <c r="AS144" s="64" t="inlineStr">
        <is>
          <t>Pass 1 (applied): Token +1 STA.</t>
        </is>
      </c>
      <c r="AT144" s="44">
        <f>IF(OR($E144="All",ISNUMBER(SEARCH("Warrior",$E144))),IF($C144="Caster weapon",(AN144+AF144*('Item Budget'!$AB$14-'Item Budget'!$B$11)),(AM144+AF144*('Item Budget'!$AB$14-'Item Budget'!$B$11))),0)</f>
        <v/>
      </c>
      <c r="AU144" s="44">
        <f>IF(OR($E144="All",ISNUMBER(SEARCH("Rogue",$E144))),IF($C144="Caster weapon",(AN144+AF144*('Item Budget'!$AB$15-'Item Budget'!$B$11)),(AM144+AF144*('Item Budget'!$AB$15-'Item Budget'!$B$11))),0)</f>
        <v/>
      </c>
      <c r="AV144" s="44">
        <f>IF(OR($E144="All",ISNUMBER(SEARCH("Magus",$E144))),(AN144+AF144*('Item Budget'!$AB$16-'Item Budget'!$B$11)),0)</f>
        <v/>
      </c>
      <c r="AW144" s="44">
        <f>IF(OR($E144="All",ISNUMBER(SEARCH("Priest",$E144))),(AN144+AF144*('Item Budget'!$AB$17-'Item Budget'!$B$11)),0)</f>
        <v/>
      </c>
      <c r="AX144" s="44">
        <f>IF(AND(OR($E144="All",ISNUMBER(SEARCH("Warrior",$E144))),AC144&gt;='Item Budget'!$R$10),'Item Budget'!$R$7*100*('Item Budget'!$R$14*(AD144+25*AH144)+'Item Budget'!$S$14*(AE144+25*AJ144))/'Item Budget'!$Z$14+'Item Budget'!$R$9*AF144+IFERROR(INDEX('Item Budget'!$O$25:$O$95,MATCH(AL144,'Item Budget'!$B$25:$B$95,0)),0),0)</f>
        <v/>
      </c>
      <c r="AY144" s="44">
        <f>IF(AND(OR($E144="All",ISNUMBER(SEARCH("Rogue",$E144))),AC144&gt;='Item Budget'!$R$10),'Item Budget'!$R$7*100*('Item Budget'!$R$15*(AD144+25*AH144)+'Item Budget'!$S$15*(AE144+25*AJ144))/'Item Budget'!$Z$15+'Item Budget'!$R$9*AF144+IFERROR(INDEX('Item Budget'!$O$25:$O$95,MATCH(AL144,'Item Budget'!$B$25:$B$95,0)),0),0)</f>
        <v/>
      </c>
      <c r="AZ144" s="44">
        <f>IF(AND(OR($E144="All",ISNUMBER(SEARCH("Magus",$E144))),AC144&gt;='Item Budget'!$R$10),'Item Budget'!$R$7*100*('Item Budget'!$R$16*(AD144+25*AH144)+'Item Budget'!$S$16*(AE144+25*AJ144))/'Item Budget'!$Z$16+'Item Budget'!$R$9*AF144+IFERROR(INDEX('Item Budget'!$O$25:$O$95,MATCH(AL144,'Item Budget'!$B$25:$B$95,0)),0),0)</f>
        <v/>
      </c>
      <c r="BA144" s="44">
        <f>IF(AND(OR($E144="All",ISNUMBER(SEARCH("Priest",$E144))),AC144&gt;='Item Budget'!$R$10),'Item Budget'!$R$7*100*('Item Budget'!$R$17*(AD144+25*AH144)+'Item Budget'!$S$17*(AE144+25*AJ144))/'Item Budget'!$Z$17+'Item Budget'!$R$9*AF144+IFERROR(INDEX('Item Budget'!$O$25:$O$95,MATCH(AL144,'Item Budget'!$B$25:$B$95,0)),0),0)</f>
        <v/>
      </c>
      <c r="BB144" s="52">
        <f>IF(OR($I144&lt;1,IF($I144&gt;=6,AX144,AT144)&lt;=0),"",IF(SUMPRODUCT(MAX(($C$5:$C$215=$C144)*($I$5:$I$215&gt;=1)*($I$5:$I$215&lt;$I144)*IF($I144&gt;=6,$AX$5:$AX$215,$AT$5:$AT$215)))&lt;=0,"",SUMPRODUCT(MAX(($C$5:$C$215=$C144)*($I$5:$I$215=$I144)*IF($I144&gt;=6,$AX$5:$AX$215,$AT$5:$AT$215)))/SUMPRODUCT(MAX(($C$5:$C$215=$C144)*($I$5:$I$215&gt;=1)*($I$5:$I$215&lt;$I144)*IF($I144&gt;=6,$AX$5:$AX$215,$AT$5:$AT$215)))-1))</f>
        <v/>
      </c>
      <c r="BC144" s="52">
        <f>IF(OR($I144&lt;1,IF($I144&gt;=6,AY144,AU144)&lt;=0),"",IF(SUMPRODUCT(MAX(($C$5:$C$215=$C144)*($I$5:$I$215&gt;=1)*($I$5:$I$215&lt;$I144)*IF($I144&gt;=6,$AY$5:$AY$215,$AU$5:$AU$215)))&lt;=0,"",SUMPRODUCT(MAX(($C$5:$C$215=$C144)*($I$5:$I$215=$I144)*IF($I144&gt;=6,$AY$5:$AY$215,$AU$5:$AU$215)))/SUMPRODUCT(MAX(($C$5:$C$215=$C144)*($I$5:$I$215&gt;=1)*($I$5:$I$215&lt;$I144)*IF($I144&gt;=6,$AY$5:$AY$215,$AU$5:$AU$215)))-1))</f>
        <v/>
      </c>
      <c r="BD144" s="52">
        <f>IF(OR($I144&lt;1,IF($I144&gt;=6,AZ144,AV144)&lt;=0),"",IF(SUMPRODUCT(MAX(($C$5:$C$215=$C144)*($I$5:$I$215&gt;=1)*($I$5:$I$215&lt;$I144)*IF($I144&gt;=6,$AZ$5:$AZ$215,$AV$5:$AV$215)))&lt;=0,"",SUMPRODUCT(MAX(($C$5:$C$215=$C144)*($I$5:$I$215=$I144)*IF($I144&gt;=6,$AZ$5:$AZ$215,$AV$5:$AV$215)))/SUMPRODUCT(MAX(($C$5:$C$215=$C144)*($I$5:$I$215&gt;=1)*($I$5:$I$215&lt;$I144)*IF($I144&gt;=6,$AZ$5:$AZ$215,$AV$5:$AV$215)))-1))</f>
        <v/>
      </c>
      <c r="BE144" s="52">
        <f>IF(OR($I144&lt;1,IF($I144&gt;=6,BA144,AW144)&lt;=0),"",IF(SUMPRODUCT(MAX(($C$5:$C$215=$C144)*($I$5:$I$215&gt;=1)*($I$5:$I$215&lt;$I144)*IF($I144&gt;=6,$BA$5:$BA$215,$AW$5:$AW$215)))&lt;=0,"",SUMPRODUCT(MAX(($C$5:$C$215=$C144)*($I$5:$I$215=$I144)*IF($I144&gt;=6,$BA$5:$BA$215,$AW$5:$AW$215)))/SUMPRODUCT(MAX(($C$5:$C$215=$C144)*($I$5:$I$215&gt;=1)*($I$5:$I$215&lt;$I144)*IF($I144&gt;=6,$BA$5:$BA$215,$AW$5:$AW$215)))-1))</f>
        <v/>
      </c>
      <c r="BF144" s="19">
        <f>IF(AND(BB144="",BC144="",BD144="",BE144=""),"",IF(IF(AND(ISNUMBER(BB144),BB144&lt;'Item Budget'!$R$11),"W ","")&amp;IF(AND(ISNUMBER(BC144),BC144&lt;'Item Budget'!$R$11),"R ","")&amp;IF(AND(ISNUMBER(BD144),BD144&lt;'Item Budget'!$R$11),"M ","")&amp;IF(AND(ISNUMBER(BE144),BE144&lt;'Item Budget'!$R$11),"P ","")="","OK","Not above lower step: "&amp;IF(AND(ISNUMBER(BB144),BB144&lt;'Item Budget'!$R$11),"W ","")&amp;IF(AND(ISNUMBER(BC144),BC144&lt;'Item Budget'!$R$11),"R ","")&amp;IF(AND(ISNUMBER(BD144),BD144&lt;'Item Budget'!$R$11),"M ","")&amp;IF(AND(ISNUMBER(BE144),BE144&lt;'Item Budget'!$R$11),"P ","")))</f>
        <v/>
      </c>
    </row>
    <row r="145">
      <c r="A145" s="21" t="n">
        <v>116</v>
      </c>
      <c r="B145" s="21" t="inlineStr">
        <is>
          <t>Fiber Buckler</t>
        </is>
      </c>
      <c r="C145" s="21" t="inlineStr">
        <is>
          <t>Shield</t>
        </is>
      </c>
      <c r="D145" s="21" t="inlineStr">
        <is>
          <t>Rogue</t>
        </is>
      </c>
      <c r="E145" s="21" t="inlineStr">
        <is>
          <t>Rogue</t>
        </is>
      </c>
      <c r="F145" s="21" t="inlineStr">
        <is>
          <t>Rogue</t>
        </is>
      </c>
      <c r="G145" s="21" t="inlineStr">
        <is>
          <t>vendor: Shield Guy</t>
        </is>
      </c>
      <c r="H145" s="37" t="n">
        <v>0</v>
      </c>
      <c r="I145" s="21" t="n">
        <v>0</v>
      </c>
      <c r="J145" s="3" t="inlineStr">
        <is>
          <t>Applied</t>
        </is>
      </c>
      <c r="K145" s="21" t="inlineStr">
        <is>
          <t>Vendor</t>
        </is>
      </c>
      <c r="L145" s="31">
        <f>INDEX('Item Budget'!$F$5:$F$13,MATCH(K145,'Item Budget'!$E$5:$E$13,0))+IF(E145="All",0,'Item Budget'!$F$15)+LOOKUP(H145,'Item Budget'!$E$19:$E$23,'Item Budget'!$F$19:$F$23)</f>
        <v/>
      </c>
      <c r="M145" s="21" t="n">
        <v>20</v>
      </c>
      <c r="N145" s="21" t="n">
        <v>0</v>
      </c>
      <c r="O145" s="21" t="n">
        <v>0</v>
      </c>
      <c r="P145" s="21" t="n">
        <v>30</v>
      </c>
      <c r="Q145" s="21" t="n">
        <v>1</v>
      </c>
      <c r="R145" s="21" t="n">
        <v>2</v>
      </c>
      <c r="S145" s="21" t="n">
        <v>10</v>
      </c>
      <c r="T145" s="21" t="n">
        <v>0</v>
      </c>
      <c r="U145" s="21" t="n">
        <v>0</v>
      </c>
      <c r="V145" s="21" t="inlineStr">
        <is>
          <t>(none)</t>
        </is>
      </c>
      <c r="W145" s="61">
        <f>N145*'Item Budget'!$B$5+R145*'Item Budget'!$B$7+P145*'Item Budget'!$B$11+S145*'Item Budget'!$B$10+Q145*'Item Budget'!$B$9+IFERROR(INDEX('Item Budget'!$M$25:$M$95,MATCH(V145,'Item Budget'!$B$25:$B$95,0)),0)+IF($C145="Weapon",U145*'Item Budget'!$B$9,0)</f>
        <v/>
      </c>
      <c r="X145" s="61">
        <f>N145*'Item Budget'!$B$5+R145*'Item Budget'!$B$7+P145*'Item Budget'!$B$11+S145*'Item Budget'!$B$10+O145*'Item Budget'!$B$6+T145*'Item Budget'!$B$8+IFERROR(INDEX('Item Budget'!$N$25:$N$95,MATCH(V145,'Item Budget'!$B$25:$B$95,0)),0)</f>
        <v/>
      </c>
      <c r="Y145" s="61">
        <f>MAX('Item Budget'!$F$16,INDEX('Gear Budget'!$C$8:$C$14,MATCH($C145,'Gear Budget'!$A$8:$A$14,0))*MIN(M145,50))*$L145</f>
        <v/>
      </c>
      <c r="Z145" s="41">
        <f>IF($C145="Caster weapon",X145,MAX(W145,X145))/Y145</f>
        <v/>
      </c>
      <c r="AA145" s="61">
        <f>IF(OR($C145="Weapon",$C145="Caster weapon"),"",'Gear Budget'!$B$5*MAX(1,MIN(M145,50))*INDEX('Gear Budget'!$B$8:$B$14,MATCH($C145,'Gear Budget'!$A$8:$A$14,0))*IF($C145="Shield",IF(D145="Warrior",1,IF(OR(D145="Rogue",D145="All"),0.38/0.6,0.25/0.6)),IFERROR(INDEX('Gear Budget'!$B$18:$B$21,MATCH($F145,'Gear Budget'!$A$18:$A$21,0)),1)))</f>
        <v/>
      </c>
      <c r="AB145" s="41">
        <f>IF(AA145="","",P145/AA145)</f>
        <v/>
      </c>
      <c r="AC145" s="21" t="n">
        <v>20</v>
      </c>
      <c r="AD145" s="21" t="n">
        <v>0</v>
      </c>
      <c r="AE145" s="21" t="n">
        <v>0</v>
      </c>
      <c r="AF145" s="21" t="n">
        <v>30</v>
      </c>
      <c r="AG145" s="21" t="n">
        <v>1</v>
      </c>
      <c r="AH145" s="21" t="n">
        <v>2</v>
      </c>
      <c r="AI145" s="21" t="n">
        <v>10</v>
      </c>
      <c r="AJ145" s="21" t="n">
        <v>0</v>
      </c>
      <c r="AK145" s="21" t="n">
        <v>0</v>
      </c>
      <c r="AL145" s="21" t="inlineStr">
        <is>
          <t>(none)</t>
        </is>
      </c>
      <c r="AM145" s="61">
        <f>AD145*'Item Budget'!$B$5+AH145*'Item Budget'!$B$7+AF145*'Item Budget'!$B$11+AI145*'Item Budget'!$B$10+AG145*'Item Budget'!$B$9+IFERROR(INDEX('Item Budget'!$M$25:$M$95,MATCH(AL145,'Item Budget'!$B$25:$B$95,0)),0)+IF($C145="Weapon",AK145*'Item Budget'!$B$9,0)</f>
        <v/>
      </c>
      <c r="AN145" s="61">
        <f>AD145*'Item Budget'!$B$5+AH145*'Item Budget'!$B$7+AF145*'Item Budget'!$B$11+AI145*'Item Budget'!$B$10+AE145*'Item Budget'!$B$6+AJ145*'Item Budget'!$B$8+IFERROR(INDEX('Item Budget'!$N$25:$N$95,MATCH(AL145,'Item Budget'!$B$25:$B$95,0)),0)</f>
        <v/>
      </c>
      <c r="AO145" s="61">
        <f>MAX('Item Budget'!$F$16,INDEX('Gear Budget'!$C$8:$C$14,MATCH($C145,'Gear Budget'!$A$8:$A$14,0))*MIN(AC145,50))*$L145</f>
        <v/>
      </c>
      <c r="AP145" s="41">
        <f>IF($C145="Caster weapon",AN145,MAX(AM145,AN145))/AO145</f>
        <v/>
      </c>
      <c r="AQ145" s="61">
        <f>IF(OR($C145="Weapon",$C145="Caster weapon"),"",'Gear Budget'!$B$5*MAX(1,MIN(AC145,50))*INDEX('Gear Budget'!$B$8:$B$14,MATCH($C145,'Gear Budget'!$A$8:$A$14,0))*IF($C145="Shield",IF(E145="Warrior",1,IF(OR(E145="Rogue",E145="All"),0.38/0.6,0.25/0.6)),IFERROR(INDEX('Gear Budget'!$B$18:$B$21,MATCH($F145,'Gear Budget'!$A$18:$A$21,0)),1)))</f>
        <v/>
      </c>
      <c r="AR145" s="41">
        <f>IF(AQ145="","",AF145/AQ145)</f>
        <v/>
      </c>
      <c r="AS145" s="64" t="inlineStr">
        <is>
          <t>Pass 1 (applied): Token STR/STA/DEX.</t>
        </is>
      </c>
      <c r="AT145" s="44">
        <f>IF(OR($E145="All",ISNUMBER(SEARCH("Warrior",$E145))),IF($C145="Caster weapon",(AN145+AF145*('Item Budget'!$AB$14-'Item Budget'!$B$11)),(AM145+AF145*('Item Budget'!$AB$14-'Item Budget'!$B$11))),0)</f>
        <v/>
      </c>
      <c r="AU145" s="44">
        <f>IF(OR($E145="All",ISNUMBER(SEARCH("Rogue",$E145))),IF($C145="Caster weapon",(AN145+AF145*('Item Budget'!$AB$15-'Item Budget'!$B$11)),(AM145+AF145*('Item Budget'!$AB$15-'Item Budget'!$B$11))),0)</f>
        <v/>
      </c>
      <c r="AV145" s="44">
        <f>IF(OR($E145="All",ISNUMBER(SEARCH("Magus",$E145))),(AN145+AF145*('Item Budget'!$AB$16-'Item Budget'!$B$11)),0)</f>
        <v/>
      </c>
      <c r="AW145" s="44">
        <f>IF(OR($E145="All",ISNUMBER(SEARCH("Priest",$E145))),(AN145+AF145*('Item Budget'!$AB$17-'Item Budget'!$B$11)),0)</f>
        <v/>
      </c>
      <c r="AX145" s="44">
        <f>IF(AND(OR($E145="All",ISNUMBER(SEARCH("Warrior",$E145))),AC145&gt;='Item Budget'!$R$10),'Item Budget'!$R$7*100*('Item Budget'!$R$14*(AD145+25*AH145)+'Item Budget'!$S$14*(AE145+25*AJ145))/'Item Budget'!$Z$14+'Item Budget'!$R$9*AF145+IFERROR(INDEX('Item Budget'!$O$25:$O$95,MATCH(AL145,'Item Budget'!$B$25:$B$95,0)),0),0)</f>
        <v/>
      </c>
      <c r="AY145" s="44">
        <f>IF(AND(OR($E145="All",ISNUMBER(SEARCH("Rogue",$E145))),AC145&gt;='Item Budget'!$R$10),'Item Budget'!$R$7*100*('Item Budget'!$R$15*(AD145+25*AH145)+'Item Budget'!$S$15*(AE145+25*AJ145))/'Item Budget'!$Z$15+'Item Budget'!$R$9*AF145+IFERROR(INDEX('Item Budget'!$O$25:$O$95,MATCH(AL145,'Item Budget'!$B$25:$B$95,0)),0),0)</f>
        <v/>
      </c>
      <c r="AZ145" s="44">
        <f>IF(AND(OR($E145="All",ISNUMBER(SEARCH("Magus",$E145))),AC145&gt;='Item Budget'!$R$10),'Item Budget'!$R$7*100*('Item Budget'!$R$16*(AD145+25*AH145)+'Item Budget'!$S$16*(AE145+25*AJ145))/'Item Budget'!$Z$16+'Item Budget'!$R$9*AF145+IFERROR(INDEX('Item Budget'!$O$25:$O$95,MATCH(AL145,'Item Budget'!$B$25:$B$95,0)),0),0)</f>
        <v/>
      </c>
      <c r="BA145" s="44">
        <f>IF(AND(OR($E145="All",ISNUMBER(SEARCH("Priest",$E145))),AC145&gt;='Item Budget'!$R$10),'Item Budget'!$R$7*100*('Item Budget'!$R$17*(AD145+25*AH145)+'Item Budget'!$S$17*(AE145+25*AJ145))/'Item Budget'!$Z$17+'Item Budget'!$R$9*AF145+IFERROR(INDEX('Item Budget'!$O$25:$O$95,MATCH(AL145,'Item Budget'!$B$25:$B$95,0)),0),0)</f>
        <v/>
      </c>
      <c r="BB145" s="52">
        <f>IF(OR($I145&lt;1,IF($I145&gt;=6,AX145,AT145)&lt;=0),"",IF(SUMPRODUCT(MAX(($C$5:$C$215=$C145)*($I$5:$I$215&gt;=1)*($I$5:$I$215&lt;$I145)*IF($I145&gt;=6,$AX$5:$AX$215,$AT$5:$AT$215)))&lt;=0,"",SUMPRODUCT(MAX(($C$5:$C$215=$C145)*($I$5:$I$215=$I145)*IF($I145&gt;=6,$AX$5:$AX$215,$AT$5:$AT$215)))/SUMPRODUCT(MAX(($C$5:$C$215=$C145)*($I$5:$I$215&gt;=1)*($I$5:$I$215&lt;$I145)*IF($I145&gt;=6,$AX$5:$AX$215,$AT$5:$AT$215)))-1))</f>
        <v/>
      </c>
      <c r="BC145" s="52">
        <f>IF(OR($I145&lt;1,IF($I145&gt;=6,AY145,AU145)&lt;=0),"",IF(SUMPRODUCT(MAX(($C$5:$C$215=$C145)*($I$5:$I$215&gt;=1)*($I$5:$I$215&lt;$I145)*IF($I145&gt;=6,$AY$5:$AY$215,$AU$5:$AU$215)))&lt;=0,"",SUMPRODUCT(MAX(($C$5:$C$215=$C145)*($I$5:$I$215=$I145)*IF($I145&gt;=6,$AY$5:$AY$215,$AU$5:$AU$215)))/SUMPRODUCT(MAX(($C$5:$C$215=$C145)*($I$5:$I$215&gt;=1)*($I$5:$I$215&lt;$I145)*IF($I145&gt;=6,$AY$5:$AY$215,$AU$5:$AU$215)))-1))</f>
        <v/>
      </c>
      <c r="BD145" s="52">
        <f>IF(OR($I145&lt;1,IF($I145&gt;=6,AZ145,AV145)&lt;=0),"",IF(SUMPRODUCT(MAX(($C$5:$C$215=$C145)*($I$5:$I$215&gt;=1)*($I$5:$I$215&lt;$I145)*IF($I145&gt;=6,$AZ$5:$AZ$215,$AV$5:$AV$215)))&lt;=0,"",SUMPRODUCT(MAX(($C$5:$C$215=$C145)*($I$5:$I$215=$I145)*IF($I145&gt;=6,$AZ$5:$AZ$215,$AV$5:$AV$215)))/SUMPRODUCT(MAX(($C$5:$C$215=$C145)*($I$5:$I$215&gt;=1)*($I$5:$I$215&lt;$I145)*IF($I145&gt;=6,$AZ$5:$AZ$215,$AV$5:$AV$215)))-1))</f>
        <v/>
      </c>
      <c r="BE145" s="52">
        <f>IF(OR($I145&lt;1,IF($I145&gt;=6,BA145,AW145)&lt;=0),"",IF(SUMPRODUCT(MAX(($C$5:$C$215=$C145)*($I$5:$I$215&gt;=1)*($I$5:$I$215&lt;$I145)*IF($I145&gt;=6,$BA$5:$BA$215,$AW$5:$AW$215)))&lt;=0,"",SUMPRODUCT(MAX(($C$5:$C$215=$C145)*($I$5:$I$215=$I145)*IF($I145&gt;=6,$BA$5:$BA$215,$AW$5:$AW$215)))/SUMPRODUCT(MAX(($C$5:$C$215=$C145)*($I$5:$I$215&gt;=1)*($I$5:$I$215&lt;$I145)*IF($I145&gt;=6,$BA$5:$BA$215,$AW$5:$AW$215)))-1))</f>
        <v/>
      </c>
      <c r="BF145" s="19">
        <f>IF(AND(BB145="",BC145="",BD145="",BE145=""),"",IF(IF(AND(ISNUMBER(BB145),BB145&lt;'Item Budget'!$R$11),"W ","")&amp;IF(AND(ISNUMBER(BC145),BC145&lt;'Item Budget'!$R$11),"R ","")&amp;IF(AND(ISNUMBER(BD145),BD145&lt;'Item Budget'!$R$11),"M ","")&amp;IF(AND(ISNUMBER(BE145),BE145&lt;'Item Budget'!$R$11),"P ","")="","OK","Not above lower step: "&amp;IF(AND(ISNUMBER(BB145),BB145&lt;'Item Budget'!$R$11),"W ","")&amp;IF(AND(ISNUMBER(BC145),BC145&lt;'Item Budget'!$R$11),"R ","")&amp;IF(AND(ISNUMBER(BD145),BD145&lt;'Item Budget'!$R$11),"M ","")&amp;IF(AND(ISNUMBER(BE145),BE145&lt;'Item Budget'!$R$11),"P ","")))</f>
        <v/>
      </c>
    </row>
    <row r="146">
      <c r="A146" s="21" t="n">
        <v>120</v>
      </c>
      <c r="B146" s="21" t="inlineStr">
        <is>
          <t>Light Guard</t>
        </is>
      </c>
      <c r="C146" s="21" t="inlineStr">
        <is>
          <t>Shield</t>
        </is>
      </c>
      <c r="D146" s="21" t="inlineStr">
        <is>
          <t>Magus/Priest</t>
        </is>
      </c>
      <c r="E146" s="21" t="inlineStr">
        <is>
          <t>Magus/Priest</t>
        </is>
      </c>
      <c r="F146" s="21" t="inlineStr">
        <is>
          <t>Caster cloth</t>
        </is>
      </c>
      <c r="G146" s="21" t="inlineStr">
        <is>
          <t>vendor: Shield Guy</t>
        </is>
      </c>
      <c r="H146" s="37" t="n">
        <v>0</v>
      </c>
      <c r="I146" s="21" t="n">
        <v>0</v>
      </c>
      <c r="J146" s="3" t="inlineStr">
        <is>
          <t>Applied</t>
        </is>
      </c>
      <c r="K146" s="21" t="inlineStr">
        <is>
          <t>Vendor</t>
        </is>
      </c>
      <c r="L146" s="31">
        <f>INDEX('Item Budget'!$F$5:$F$13,MATCH(K146,'Item Budget'!$E$5:$E$13,0))+IF(E146="All",0,'Item Budget'!$F$15)+LOOKUP(H146,'Item Budget'!$E$19:$E$23,'Item Budget'!$F$19:$F$23)</f>
        <v/>
      </c>
      <c r="M146" s="21" t="n">
        <v>20</v>
      </c>
      <c r="N146" s="21" t="n">
        <v>0</v>
      </c>
      <c r="O146" s="21" t="n">
        <v>50</v>
      </c>
      <c r="P146" s="21" t="n">
        <v>20</v>
      </c>
      <c r="Q146" s="21" t="n">
        <v>0</v>
      </c>
      <c r="R146" s="21" t="n">
        <v>2</v>
      </c>
      <c r="S146" s="21" t="n">
        <v>0</v>
      </c>
      <c r="T146" s="21" t="n">
        <v>5</v>
      </c>
      <c r="U146" s="21" t="n">
        <v>0</v>
      </c>
      <c r="V146" s="21" t="inlineStr">
        <is>
          <t>(none)</t>
        </is>
      </c>
      <c r="W146" s="61">
        <f>N146*'Item Budget'!$B$5+R146*'Item Budget'!$B$7+P146*'Item Budget'!$B$11+S146*'Item Budget'!$B$10+Q146*'Item Budget'!$B$9+IFERROR(INDEX('Item Budget'!$M$25:$M$95,MATCH(V146,'Item Budget'!$B$25:$B$95,0)),0)+IF($C146="Weapon",U146*'Item Budget'!$B$9,0)</f>
        <v/>
      </c>
      <c r="X146" s="61">
        <f>N146*'Item Budget'!$B$5+R146*'Item Budget'!$B$7+P146*'Item Budget'!$B$11+S146*'Item Budget'!$B$10+O146*'Item Budget'!$B$6+T146*'Item Budget'!$B$8+IFERROR(INDEX('Item Budget'!$N$25:$N$95,MATCH(V146,'Item Budget'!$B$25:$B$95,0)),0)</f>
        <v/>
      </c>
      <c r="Y146" s="61">
        <f>MAX('Item Budget'!$F$16,INDEX('Gear Budget'!$C$8:$C$14,MATCH($C146,'Gear Budget'!$A$8:$A$14,0))*MIN(M146,50))*$L146</f>
        <v/>
      </c>
      <c r="Z146" s="41">
        <f>IF($C146="Caster weapon",X146,MAX(W146,X146))/Y146</f>
        <v/>
      </c>
      <c r="AA146" s="61">
        <f>IF(OR($C146="Weapon",$C146="Caster weapon"),"",'Gear Budget'!$B$5*MAX(1,MIN(M146,50))*INDEX('Gear Budget'!$B$8:$B$14,MATCH($C146,'Gear Budget'!$A$8:$A$14,0))*IF($C146="Shield",IF(D146="Warrior",1,IF(OR(D146="Rogue",D146="All"),0.38/0.6,0.25/0.6)),IFERROR(INDEX('Gear Budget'!$B$18:$B$21,MATCH($F146,'Gear Budget'!$A$18:$A$21,0)),1)))</f>
        <v/>
      </c>
      <c r="AB146" s="41">
        <f>IF(AA146="","",P146/AA146)</f>
        <v/>
      </c>
      <c r="AC146" s="21" t="n">
        <v>20</v>
      </c>
      <c r="AD146" s="21" t="n">
        <v>0</v>
      </c>
      <c r="AE146" s="21" t="n">
        <v>50</v>
      </c>
      <c r="AF146" s="21" t="n">
        <v>20</v>
      </c>
      <c r="AG146" s="21" t="n">
        <v>0</v>
      </c>
      <c r="AH146" s="21" t="n">
        <v>2</v>
      </c>
      <c r="AI146" s="21" t="n">
        <v>0</v>
      </c>
      <c r="AJ146" s="21" t="n">
        <v>5</v>
      </c>
      <c r="AK146" s="21" t="n">
        <v>0</v>
      </c>
      <c r="AL146" s="21" t="inlineStr">
        <is>
          <t>(none)</t>
        </is>
      </c>
      <c r="AM146" s="61">
        <f>AD146*'Item Budget'!$B$5+AH146*'Item Budget'!$B$7+AF146*'Item Budget'!$B$11+AI146*'Item Budget'!$B$10+AG146*'Item Budget'!$B$9+IFERROR(INDEX('Item Budget'!$M$25:$M$95,MATCH(AL146,'Item Budget'!$B$25:$B$95,0)),0)+IF($C146="Weapon",AK146*'Item Budget'!$B$9,0)</f>
        <v/>
      </c>
      <c r="AN146" s="61">
        <f>AD146*'Item Budget'!$B$5+AH146*'Item Budget'!$B$7+AF146*'Item Budget'!$B$11+AI146*'Item Budget'!$B$10+AE146*'Item Budget'!$B$6+AJ146*'Item Budget'!$B$8+IFERROR(INDEX('Item Budget'!$N$25:$N$95,MATCH(AL146,'Item Budget'!$B$25:$B$95,0)),0)</f>
        <v/>
      </c>
      <c r="AO146" s="61">
        <f>MAX('Item Budget'!$F$16,INDEX('Gear Budget'!$C$8:$C$14,MATCH($C146,'Gear Budget'!$A$8:$A$14,0))*MIN(AC146,50))*$L146</f>
        <v/>
      </c>
      <c r="AP146" s="41">
        <f>IF($C146="Caster weapon",AN146,MAX(AM146,AN146))/AO146</f>
        <v/>
      </c>
      <c r="AQ146" s="61">
        <f>IF(OR($C146="Weapon",$C146="Caster weapon"),"",'Gear Budget'!$B$5*MAX(1,MIN(AC146,50))*INDEX('Gear Budget'!$B$8:$B$14,MATCH($C146,'Gear Budget'!$A$8:$A$14,0))*IF($C146="Shield",IF(E146="Warrior",1,IF(OR(E146="Rogue",E146="All"),0.38/0.6,0.25/0.6)),IFERROR(INDEX('Gear Budget'!$B$18:$B$21,MATCH($F146,'Gear Budget'!$A$18:$A$21,0)),1)))</f>
        <v/>
      </c>
      <c r="AR146" s="41">
        <f>IF(AQ146="","",AF146/AQ146)</f>
        <v/>
      </c>
      <c r="AS146" s="64" t="inlineStr">
        <is>
          <t>Pass 1 (applied): Token INT/MP.</t>
        </is>
      </c>
      <c r="AT146" s="44">
        <f>IF(OR($E146="All",ISNUMBER(SEARCH("Warrior",$E146))),IF($C146="Caster weapon",(AN146+AF146*('Item Budget'!$AB$14-'Item Budget'!$B$11)),(AM146+AF146*('Item Budget'!$AB$14-'Item Budget'!$B$11))),0)</f>
        <v/>
      </c>
      <c r="AU146" s="44">
        <f>IF(OR($E146="All",ISNUMBER(SEARCH("Rogue",$E146))),IF($C146="Caster weapon",(AN146+AF146*('Item Budget'!$AB$15-'Item Budget'!$B$11)),(AM146+AF146*('Item Budget'!$AB$15-'Item Budget'!$B$11))),0)</f>
        <v/>
      </c>
      <c r="AV146" s="44">
        <f>IF(OR($E146="All",ISNUMBER(SEARCH("Magus",$E146))),(AN146+AF146*('Item Budget'!$AB$16-'Item Budget'!$B$11)),0)</f>
        <v/>
      </c>
      <c r="AW146" s="44">
        <f>IF(OR($E146="All",ISNUMBER(SEARCH("Priest",$E146))),(AN146+AF146*('Item Budget'!$AB$17-'Item Budget'!$B$11)),0)</f>
        <v/>
      </c>
      <c r="AX146" s="44">
        <f>IF(AND(OR($E146="All",ISNUMBER(SEARCH("Warrior",$E146))),AC146&gt;='Item Budget'!$R$10),'Item Budget'!$R$7*100*('Item Budget'!$R$14*(AD146+25*AH146)+'Item Budget'!$S$14*(AE146+25*AJ146))/'Item Budget'!$Z$14+'Item Budget'!$R$9*AF146+IFERROR(INDEX('Item Budget'!$O$25:$O$95,MATCH(AL146,'Item Budget'!$B$25:$B$95,0)),0),0)</f>
        <v/>
      </c>
      <c r="AY146" s="44">
        <f>IF(AND(OR($E146="All",ISNUMBER(SEARCH("Rogue",$E146))),AC146&gt;='Item Budget'!$R$10),'Item Budget'!$R$7*100*('Item Budget'!$R$15*(AD146+25*AH146)+'Item Budget'!$S$15*(AE146+25*AJ146))/'Item Budget'!$Z$15+'Item Budget'!$R$9*AF146+IFERROR(INDEX('Item Budget'!$O$25:$O$95,MATCH(AL146,'Item Budget'!$B$25:$B$95,0)),0),0)</f>
        <v/>
      </c>
      <c r="AZ146" s="44">
        <f>IF(AND(OR($E146="All",ISNUMBER(SEARCH("Magus",$E146))),AC146&gt;='Item Budget'!$R$10),'Item Budget'!$R$7*100*('Item Budget'!$R$16*(AD146+25*AH146)+'Item Budget'!$S$16*(AE146+25*AJ146))/'Item Budget'!$Z$16+'Item Budget'!$R$9*AF146+IFERROR(INDEX('Item Budget'!$O$25:$O$95,MATCH(AL146,'Item Budget'!$B$25:$B$95,0)),0),0)</f>
        <v/>
      </c>
      <c r="BA146" s="44">
        <f>IF(AND(OR($E146="All",ISNUMBER(SEARCH("Priest",$E146))),AC146&gt;='Item Budget'!$R$10),'Item Budget'!$R$7*100*('Item Budget'!$R$17*(AD146+25*AH146)+'Item Budget'!$S$17*(AE146+25*AJ146))/'Item Budget'!$Z$17+'Item Budget'!$R$9*AF146+IFERROR(INDEX('Item Budget'!$O$25:$O$95,MATCH(AL146,'Item Budget'!$B$25:$B$95,0)),0),0)</f>
        <v/>
      </c>
      <c r="BB146" s="52">
        <f>IF(OR($I146&lt;1,IF($I146&gt;=6,AX146,AT146)&lt;=0),"",IF(SUMPRODUCT(MAX(($C$5:$C$215=$C146)*($I$5:$I$215&gt;=1)*($I$5:$I$215&lt;$I146)*IF($I146&gt;=6,$AX$5:$AX$215,$AT$5:$AT$215)))&lt;=0,"",SUMPRODUCT(MAX(($C$5:$C$215=$C146)*($I$5:$I$215=$I146)*IF($I146&gt;=6,$AX$5:$AX$215,$AT$5:$AT$215)))/SUMPRODUCT(MAX(($C$5:$C$215=$C146)*($I$5:$I$215&gt;=1)*($I$5:$I$215&lt;$I146)*IF($I146&gt;=6,$AX$5:$AX$215,$AT$5:$AT$215)))-1))</f>
        <v/>
      </c>
      <c r="BC146" s="52">
        <f>IF(OR($I146&lt;1,IF($I146&gt;=6,AY146,AU146)&lt;=0),"",IF(SUMPRODUCT(MAX(($C$5:$C$215=$C146)*($I$5:$I$215&gt;=1)*($I$5:$I$215&lt;$I146)*IF($I146&gt;=6,$AY$5:$AY$215,$AU$5:$AU$215)))&lt;=0,"",SUMPRODUCT(MAX(($C$5:$C$215=$C146)*($I$5:$I$215=$I146)*IF($I146&gt;=6,$AY$5:$AY$215,$AU$5:$AU$215)))/SUMPRODUCT(MAX(($C$5:$C$215=$C146)*($I$5:$I$215&gt;=1)*($I$5:$I$215&lt;$I146)*IF($I146&gt;=6,$AY$5:$AY$215,$AU$5:$AU$215)))-1))</f>
        <v/>
      </c>
      <c r="BD146" s="52">
        <f>IF(OR($I146&lt;1,IF($I146&gt;=6,AZ146,AV146)&lt;=0),"",IF(SUMPRODUCT(MAX(($C$5:$C$215=$C146)*($I$5:$I$215&gt;=1)*($I$5:$I$215&lt;$I146)*IF($I146&gt;=6,$AZ$5:$AZ$215,$AV$5:$AV$215)))&lt;=0,"",SUMPRODUCT(MAX(($C$5:$C$215=$C146)*($I$5:$I$215=$I146)*IF($I146&gt;=6,$AZ$5:$AZ$215,$AV$5:$AV$215)))/SUMPRODUCT(MAX(($C$5:$C$215=$C146)*($I$5:$I$215&gt;=1)*($I$5:$I$215&lt;$I146)*IF($I146&gt;=6,$AZ$5:$AZ$215,$AV$5:$AV$215)))-1))</f>
        <v/>
      </c>
      <c r="BE146" s="52">
        <f>IF(OR($I146&lt;1,IF($I146&gt;=6,BA146,AW146)&lt;=0),"",IF(SUMPRODUCT(MAX(($C$5:$C$215=$C146)*($I$5:$I$215&gt;=1)*($I$5:$I$215&lt;$I146)*IF($I146&gt;=6,$BA$5:$BA$215,$AW$5:$AW$215)))&lt;=0,"",SUMPRODUCT(MAX(($C$5:$C$215=$C146)*($I$5:$I$215=$I146)*IF($I146&gt;=6,$BA$5:$BA$215,$AW$5:$AW$215)))/SUMPRODUCT(MAX(($C$5:$C$215=$C146)*($I$5:$I$215&gt;=1)*($I$5:$I$215&lt;$I146)*IF($I146&gt;=6,$BA$5:$BA$215,$AW$5:$AW$215)))-1))</f>
        <v/>
      </c>
      <c r="BF146" s="19">
        <f>IF(AND(BB146="",BC146="",BD146="",BE146=""),"",IF(IF(AND(ISNUMBER(BB146),BB146&lt;'Item Budget'!$R$11),"W ","")&amp;IF(AND(ISNUMBER(BC146),BC146&lt;'Item Budget'!$R$11),"R ","")&amp;IF(AND(ISNUMBER(BD146),BD146&lt;'Item Budget'!$R$11),"M ","")&amp;IF(AND(ISNUMBER(BE146),BE146&lt;'Item Budget'!$R$11),"P ","")="","OK","Not above lower step: "&amp;IF(AND(ISNUMBER(BB146),BB146&lt;'Item Budget'!$R$11),"W ","")&amp;IF(AND(ISNUMBER(BC146),BC146&lt;'Item Budget'!$R$11),"R ","")&amp;IF(AND(ISNUMBER(BD146),BD146&lt;'Item Budget'!$R$11),"M ","")&amp;IF(AND(ISNUMBER(BE146),BE146&lt;'Item Budget'!$R$11),"P ","")))</f>
        <v/>
      </c>
    </row>
    <row r="147">
      <c r="A147" s="21" t="n">
        <v>121</v>
      </c>
      <c r="B147" s="21" t="inlineStr">
        <is>
          <t>Kite Shield</t>
        </is>
      </c>
      <c r="C147" s="21" t="inlineStr">
        <is>
          <t>Shield</t>
        </is>
      </c>
      <c r="D147" s="21" t="inlineStr">
        <is>
          <t>Warrior</t>
        </is>
      </c>
      <c r="E147" s="21" t="inlineStr">
        <is>
          <t>Warrior</t>
        </is>
      </c>
      <c r="F147" s="21" t="inlineStr">
        <is>
          <t>Warrior plate</t>
        </is>
      </c>
      <c r="G147" s="21" t="inlineStr">
        <is>
          <t>vendor: Shield Guy</t>
        </is>
      </c>
      <c r="H147" s="37" t="n">
        <v>0</v>
      </c>
      <c r="I147" s="21" t="n">
        <v>0</v>
      </c>
      <c r="J147" s="3" t="inlineStr">
        <is>
          <t>Applied</t>
        </is>
      </c>
      <c r="K147" s="21" t="inlineStr">
        <is>
          <t>Vendor</t>
        </is>
      </c>
      <c r="L147" s="31">
        <f>INDEX('Item Budget'!$F$5:$F$13,MATCH(K147,'Item Budget'!$E$5:$E$13,0))+IF(E147="All",0,'Item Budget'!$F$15)+LOOKUP(H147,'Item Budget'!$E$19:$E$23,'Item Budget'!$F$19:$F$23)</f>
        <v/>
      </c>
      <c r="M147" s="21" t="n">
        <v>20</v>
      </c>
      <c r="N147" s="21" t="n">
        <v>0</v>
      </c>
      <c r="O147" s="21" t="n">
        <v>0</v>
      </c>
      <c r="P147" s="21" t="n">
        <v>50</v>
      </c>
      <c r="Q147" s="21" t="n">
        <v>0</v>
      </c>
      <c r="R147" s="21" t="n">
        <v>2</v>
      </c>
      <c r="S147" s="21" t="n">
        <v>0</v>
      </c>
      <c r="T147" s="21" t="n">
        <v>0</v>
      </c>
      <c r="U147" s="21" t="n">
        <v>0</v>
      </c>
      <c r="V147" s="21" t="inlineStr">
        <is>
          <t>(none)</t>
        </is>
      </c>
      <c r="W147" s="61">
        <f>N147*'Item Budget'!$B$5+R147*'Item Budget'!$B$7+P147*'Item Budget'!$B$11+S147*'Item Budget'!$B$10+Q147*'Item Budget'!$B$9+IFERROR(INDEX('Item Budget'!$M$25:$M$95,MATCH(V147,'Item Budget'!$B$25:$B$95,0)),0)+IF($C147="Weapon",U147*'Item Budget'!$B$9,0)</f>
        <v/>
      </c>
      <c r="X147" s="61">
        <f>N147*'Item Budget'!$B$5+R147*'Item Budget'!$B$7+P147*'Item Budget'!$B$11+S147*'Item Budget'!$B$10+O147*'Item Budget'!$B$6+T147*'Item Budget'!$B$8+IFERROR(INDEX('Item Budget'!$N$25:$N$95,MATCH(V147,'Item Budget'!$B$25:$B$95,0)),0)</f>
        <v/>
      </c>
      <c r="Y147" s="61">
        <f>MAX('Item Budget'!$F$16,INDEX('Gear Budget'!$C$8:$C$14,MATCH($C147,'Gear Budget'!$A$8:$A$14,0))*MIN(M147,50))*$L147</f>
        <v/>
      </c>
      <c r="Z147" s="41">
        <f>IF($C147="Caster weapon",X147,MAX(W147,X147))/Y147</f>
        <v/>
      </c>
      <c r="AA147" s="61">
        <f>IF(OR($C147="Weapon",$C147="Caster weapon"),"",'Gear Budget'!$B$5*MAX(1,MIN(M147,50))*INDEX('Gear Budget'!$B$8:$B$14,MATCH($C147,'Gear Budget'!$A$8:$A$14,0))*IF($C147="Shield",IF(D147="Warrior",1,IF(OR(D147="Rogue",D147="All"),0.38/0.6,0.25/0.6)),IFERROR(INDEX('Gear Budget'!$B$18:$B$21,MATCH($F147,'Gear Budget'!$A$18:$A$21,0)),1)))</f>
        <v/>
      </c>
      <c r="AB147" s="41">
        <f>IF(AA147="","",P147/AA147)</f>
        <v/>
      </c>
      <c r="AC147" s="21" t="n">
        <v>20</v>
      </c>
      <c r="AD147" s="21" t="n">
        <v>0</v>
      </c>
      <c r="AE147" s="21" t="n">
        <v>0</v>
      </c>
      <c r="AF147" s="21" t="n">
        <v>50</v>
      </c>
      <c r="AG147" s="21" t="n">
        <v>0</v>
      </c>
      <c r="AH147" s="21" t="n">
        <v>2</v>
      </c>
      <c r="AI147" s="21" t="n">
        <v>0</v>
      </c>
      <c r="AJ147" s="21" t="n">
        <v>0</v>
      </c>
      <c r="AK147" s="21" t="n">
        <v>0</v>
      </c>
      <c r="AL147" s="21" t="inlineStr">
        <is>
          <t>(none)</t>
        </is>
      </c>
      <c r="AM147" s="61">
        <f>AD147*'Item Budget'!$B$5+AH147*'Item Budget'!$B$7+AF147*'Item Budget'!$B$11+AI147*'Item Budget'!$B$10+AG147*'Item Budget'!$B$9+IFERROR(INDEX('Item Budget'!$M$25:$M$95,MATCH(AL147,'Item Budget'!$B$25:$B$95,0)),0)+IF($C147="Weapon",AK147*'Item Budget'!$B$9,0)</f>
        <v/>
      </c>
      <c r="AN147" s="61">
        <f>AD147*'Item Budget'!$B$5+AH147*'Item Budget'!$B$7+AF147*'Item Budget'!$B$11+AI147*'Item Budget'!$B$10+AE147*'Item Budget'!$B$6+AJ147*'Item Budget'!$B$8+IFERROR(INDEX('Item Budget'!$N$25:$N$95,MATCH(AL147,'Item Budget'!$B$25:$B$95,0)),0)</f>
        <v/>
      </c>
      <c r="AO147" s="61">
        <f>MAX('Item Budget'!$F$16,INDEX('Gear Budget'!$C$8:$C$14,MATCH($C147,'Gear Budget'!$A$8:$A$14,0))*MIN(AC147,50))*$L147</f>
        <v/>
      </c>
      <c r="AP147" s="41">
        <f>IF($C147="Caster weapon",AN147,MAX(AM147,AN147))/AO147</f>
        <v/>
      </c>
      <c r="AQ147" s="61">
        <f>IF(OR($C147="Weapon",$C147="Caster weapon"),"",'Gear Budget'!$B$5*MAX(1,MIN(AC147,50))*INDEX('Gear Budget'!$B$8:$B$14,MATCH($C147,'Gear Budget'!$A$8:$A$14,0))*IF($C147="Shield",IF(E147="Warrior",1,IF(OR(E147="Rogue",E147="All"),0.38/0.6,0.25/0.6)),IFERROR(INDEX('Gear Budget'!$B$18:$B$21,MATCH($F147,'Gear Budget'!$A$18:$A$21,0)),1)))</f>
        <v/>
      </c>
      <c r="AR147" s="41">
        <f>IF(AQ147="","",AF147/AQ147)</f>
        <v/>
      </c>
      <c r="AS147" s="64" t="inlineStr">
        <is>
          <t>Pass 1 (applied): Token +2 STA.</t>
        </is>
      </c>
      <c r="AT147" s="44">
        <f>IF(OR($E147="All",ISNUMBER(SEARCH("Warrior",$E147))),IF($C147="Caster weapon",(AN147+AF147*('Item Budget'!$AB$14-'Item Budget'!$B$11)),(AM147+AF147*('Item Budget'!$AB$14-'Item Budget'!$B$11))),0)</f>
        <v/>
      </c>
      <c r="AU147" s="44">
        <f>IF(OR($E147="All",ISNUMBER(SEARCH("Rogue",$E147))),IF($C147="Caster weapon",(AN147+AF147*('Item Budget'!$AB$15-'Item Budget'!$B$11)),(AM147+AF147*('Item Budget'!$AB$15-'Item Budget'!$B$11))),0)</f>
        <v/>
      </c>
      <c r="AV147" s="44">
        <f>IF(OR($E147="All",ISNUMBER(SEARCH("Magus",$E147))),(AN147+AF147*('Item Budget'!$AB$16-'Item Budget'!$B$11)),0)</f>
        <v/>
      </c>
      <c r="AW147" s="44">
        <f>IF(OR($E147="All",ISNUMBER(SEARCH("Priest",$E147))),(AN147+AF147*('Item Budget'!$AB$17-'Item Budget'!$B$11)),0)</f>
        <v/>
      </c>
      <c r="AX147" s="44">
        <f>IF(AND(OR($E147="All",ISNUMBER(SEARCH("Warrior",$E147))),AC147&gt;='Item Budget'!$R$10),'Item Budget'!$R$7*100*('Item Budget'!$R$14*(AD147+25*AH147)+'Item Budget'!$S$14*(AE147+25*AJ147))/'Item Budget'!$Z$14+'Item Budget'!$R$9*AF147+IFERROR(INDEX('Item Budget'!$O$25:$O$95,MATCH(AL147,'Item Budget'!$B$25:$B$95,0)),0),0)</f>
        <v/>
      </c>
      <c r="AY147" s="44">
        <f>IF(AND(OR($E147="All",ISNUMBER(SEARCH("Rogue",$E147))),AC147&gt;='Item Budget'!$R$10),'Item Budget'!$R$7*100*('Item Budget'!$R$15*(AD147+25*AH147)+'Item Budget'!$S$15*(AE147+25*AJ147))/'Item Budget'!$Z$15+'Item Budget'!$R$9*AF147+IFERROR(INDEX('Item Budget'!$O$25:$O$95,MATCH(AL147,'Item Budget'!$B$25:$B$95,0)),0),0)</f>
        <v/>
      </c>
      <c r="AZ147" s="44">
        <f>IF(AND(OR($E147="All",ISNUMBER(SEARCH("Magus",$E147))),AC147&gt;='Item Budget'!$R$10),'Item Budget'!$R$7*100*('Item Budget'!$R$16*(AD147+25*AH147)+'Item Budget'!$S$16*(AE147+25*AJ147))/'Item Budget'!$Z$16+'Item Budget'!$R$9*AF147+IFERROR(INDEX('Item Budget'!$O$25:$O$95,MATCH(AL147,'Item Budget'!$B$25:$B$95,0)),0),0)</f>
        <v/>
      </c>
      <c r="BA147" s="44">
        <f>IF(AND(OR($E147="All",ISNUMBER(SEARCH("Priest",$E147))),AC147&gt;='Item Budget'!$R$10),'Item Budget'!$R$7*100*('Item Budget'!$R$17*(AD147+25*AH147)+'Item Budget'!$S$17*(AE147+25*AJ147))/'Item Budget'!$Z$17+'Item Budget'!$R$9*AF147+IFERROR(INDEX('Item Budget'!$O$25:$O$95,MATCH(AL147,'Item Budget'!$B$25:$B$95,0)),0),0)</f>
        <v/>
      </c>
      <c r="BB147" s="52">
        <f>IF(OR($I147&lt;1,IF($I147&gt;=6,AX147,AT147)&lt;=0),"",IF(SUMPRODUCT(MAX(($C$5:$C$215=$C147)*($I$5:$I$215&gt;=1)*($I$5:$I$215&lt;$I147)*IF($I147&gt;=6,$AX$5:$AX$215,$AT$5:$AT$215)))&lt;=0,"",SUMPRODUCT(MAX(($C$5:$C$215=$C147)*($I$5:$I$215=$I147)*IF($I147&gt;=6,$AX$5:$AX$215,$AT$5:$AT$215)))/SUMPRODUCT(MAX(($C$5:$C$215=$C147)*($I$5:$I$215&gt;=1)*($I$5:$I$215&lt;$I147)*IF($I147&gt;=6,$AX$5:$AX$215,$AT$5:$AT$215)))-1))</f>
        <v/>
      </c>
      <c r="BC147" s="52">
        <f>IF(OR($I147&lt;1,IF($I147&gt;=6,AY147,AU147)&lt;=0),"",IF(SUMPRODUCT(MAX(($C$5:$C$215=$C147)*($I$5:$I$215&gt;=1)*($I$5:$I$215&lt;$I147)*IF($I147&gt;=6,$AY$5:$AY$215,$AU$5:$AU$215)))&lt;=0,"",SUMPRODUCT(MAX(($C$5:$C$215=$C147)*($I$5:$I$215=$I147)*IF($I147&gt;=6,$AY$5:$AY$215,$AU$5:$AU$215)))/SUMPRODUCT(MAX(($C$5:$C$215=$C147)*($I$5:$I$215&gt;=1)*($I$5:$I$215&lt;$I147)*IF($I147&gt;=6,$AY$5:$AY$215,$AU$5:$AU$215)))-1))</f>
        <v/>
      </c>
      <c r="BD147" s="52">
        <f>IF(OR($I147&lt;1,IF($I147&gt;=6,AZ147,AV147)&lt;=0),"",IF(SUMPRODUCT(MAX(($C$5:$C$215=$C147)*($I$5:$I$215&gt;=1)*($I$5:$I$215&lt;$I147)*IF($I147&gt;=6,$AZ$5:$AZ$215,$AV$5:$AV$215)))&lt;=0,"",SUMPRODUCT(MAX(($C$5:$C$215=$C147)*($I$5:$I$215=$I147)*IF($I147&gt;=6,$AZ$5:$AZ$215,$AV$5:$AV$215)))/SUMPRODUCT(MAX(($C$5:$C$215=$C147)*($I$5:$I$215&gt;=1)*($I$5:$I$215&lt;$I147)*IF($I147&gt;=6,$AZ$5:$AZ$215,$AV$5:$AV$215)))-1))</f>
        <v/>
      </c>
      <c r="BE147" s="52">
        <f>IF(OR($I147&lt;1,IF($I147&gt;=6,BA147,AW147)&lt;=0),"",IF(SUMPRODUCT(MAX(($C$5:$C$215=$C147)*($I$5:$I$215&gt;=1)*($I$5:$I$215&lt;$I147)*IF($I147&gt;=6,$BA$5:$BA$215,$AW$5:$AW$215)))&lt;=0,"",SUMPRODUCT(MAX(($C$5:$C$215=$C147)*($I$5:$I$215=$I147)*IF($I147&gt;=6,$BA$5:$BA$215,$AW$5:$AW$215)))/SUMPRODUCT(MAX(($C$5:$C$215=$C147)*($I$5:$I$215&gt;=1)*($I$5:$I$215&lt;$I147)*IF($I147&gt;=6,$BA$5:$BA$215,$AW$5:$AW$215)))-1))</f>
        <v/>
      </c>
      <c r="BF147" s="19">
        <f>IF(AND(BB147="",BC147="",BD147="",BE147=""),"",IF(IF(AND(ISNUMBER(BB147),BB147&lt;'Item Budget'!$R$11),"W ","")&amp;IF(AND(ISNUMBER(BC147),BC147&lt;'Item Budget'!$R$11),"R ","")&amp;IF(AND(ISNUMBER(BD147),BD147&lt;'Item Budget'!$R$11),"M ","")&amp;IF(AND(ISNUMBER(BE147),BE147&lt;'Item Budget'!$R$11),"P ","")="","OK","Not above lower step: "&amp;IF(AND(ISNUMBER(BB147),BB147&lt;'Item Budget'!$R$11),"W ","")&amp;IF(AND(ISNUMBER(BC147),BC147&lt;'Item Budget'!$R$11),"R ","")&amp;IF(AND(ISNUMBER(BD147),BD147&lt;'Item Budget'!$R$11),"M ","")&amp;IF(AND(ISNUMBER(BE147),BE147&lt;'Item Budget'!$R$11),"P ","")))</f>
        <v/>
      </c>
    </row>
    <row r="148">
      <c r="A148" s="21" t="n">
        <v>117</v>
      </c>
      <c r="B148" s="21" t="inlineStr">
        <is>
          <t>Firebrand Buckler</t>
        </is>
      </c>
      <c r="C148" s="21" t="inlineStr">
        <is>
          <t>Shield</t>
        </is>
      </c>
      <c r="D148" s="21" t="inlineStr">
        <is>
          <t>Rogue</t>
        </is>
      </c>
      <c r="E148" s="21" t="inlineStr">
        <is>
          <t>Rogue</t>
        </is>
      </c>
      <c r="F148" s="21" t="inlineStr">
        <is>
          <t>Rogue</t>
        </is>
      </c>
      <c r="G148" s="21" t="inlineStr">
        <is>
          <t>vendor: Shield Guy</t>
        </is>
      </c>
      <c r="H148" s="37" t="n">
        <v>0</v>
      </c>
      <c r="I148" s="21" t="n">
        <v>0</v>
      </c>
      <c r="J148" s="3" t="inlineStr">
        <is>
          <t>Applied</t>
        </is>
      </c>
      <c r="K148" s="21" t="inlineStr">
        <is>
          <t>Vendor</t>
        </is>
      </c>
      <c r="L148" s="31">
        <f>INDEX('Item Budget'!$F$5:$F$13,MATCH(K148,'Item Budget'!$E$5:$E$13,0))+IF(E148="All",0,'Item Budget'!$F$15)+LOOKUP(H148,'Item Budget'!$E$19:$E$23,'Item Budget'!$F$19:$F$23)</f>
        <v/>
      </c>
      <c r="M148" s="21" t="n">
        <v>35</v>
      </c>
      <c r="N148" s="21" t="n">
        <v>0</v>
      </c>
      <c r="O148" s="21" t="n">
        <v>0</v>
      </c>
      <c r="P148" s="21" t="n">
        <v>60</v>
      </c>
      <c r="Q148" s="21" t="n">
        <v>2</v>
      </c>
      <c r="R148" s="21" t="n">
        <v>3</v>
      </c>
      <c r="S148" s="21" t="n">
        <v>15</v>
      </c>
      <c r="T148" s="21" t="n">
        <v>0</v>
      </c>
      <c r="U148" s="21" t="n">
        <v>0</v>
      </c>
      <c r="V148" s="21" t="inlineStr">
        <is>
          <t>(none)</t>
        </is>
      </c>
      <c r="W148" s="61">
        <f>N148*'Item Budget'!$B$5+R148*'Item Budget'!$B$7+P148*'Item Budget'!$B$11+S148*'Item Budget'!$B$10+Q148*'Item Budget'!$B$9+IFERROR(INDEX('Item Budget'!$M$25:$M$95,MATCH(V148,'Item Budget'!$B$25:$B$95,0)),0)+IF($C148="Weapon",U148*'Item Budget'!$B$9,0)</f>
        <v/>
      </c>
      <c r="X148" s="61">
        <f>N148*'Item Budget'!$B$5+R148*'Item Budget'!$B$7+P148*'Item Budget'!$B$11+S148*'Item Budget'!$B$10+O148*'Item Budget'!$B$6+T148*'Item Budget'!$B$8+IFERROR(INDEX('Item Budget'!$N$25:$N$95,MATCH(V148,'Item Budget'!$B$25:$B$95,0)),0)</f>
        <v/>
      </c>
      <c r="Y148" s="61">
        <f>MAX('Item Budget'!$F$16,INDEX('Gear Budget'!$C$8:$C$14,MATCH($C148,'Gear Budget'!$A$8:$A$14,0))*MIN(M148,50))*$L148</f>
        <v/>
      </c>
      <c r="Z148" s="41">
        <f>IF($C148="Caster weapon",X148,MAX(W148,X148))/Y148</f>
        <v/>
      </c>
      <c r="AA148" s="61">
        <f>IF(OR($C148="Weapon",$C148="Caster weapon"),"",'Gear Budget'!$B$5*MAX(1,MIN(M148,50))*INDEX('Gear Budget'!$B$8:$B$14,MATCH($C148,'Gear Budget'!$A$8:$A$14,0))*IF($C148="Shield",IF(D148="Warrior",1,IF(OR(D148="Rogue",D148="All"),0.38/0.6,0.25/0.6)),IFERROR(INDEX('Gear Budget'!$B$18:$B$21,MATCH($F148,'Gear Budget'!$A$18:$A$21,0)),1)))</f>
        <v/>
      </c>
      <c r="AB148" s="41">
        <f>IF(AA148="","",P148/AA148)</f>
        <v/>
      </c>
      <c r="AC148" s="21" t="n">
        <v>35</v>
      </c>
      <c r="AD148" s="21" t="n">
        <v>0</v>
      </c>
      <c r="AE148" s="21" t="n">
        <v>0</v>
      </c>
      <c r="AF148" s="21" t="n">
        <v>60</v>
      </c>
      <c r="AG148" s="21" t="n">
        <v>2</v>
      </c>
      <c r="AH148" s="21" t="n">
        <v>3</v>
      </c>
      <c r="AI148" s="21" t="n">
        <v>15</v>
      </c>
      <c r="AJ148" s="21" t="n">
        <v>0</v>
      </c>
      <c r="AK148" s="21" t="n">
        <v>0</v>
      </c>
      <c r="AL148" s="21" t="inlineStr">
        <is>
          <t>(none)</t>
        </is>
      </c>
      <c r="AM148" s="61">
        <f>AD148*'Item Budget'!$B$5+AH148*'Item Budget'!$B$7+AF148*'Item Budget'!$B$11+AI148*'Item Budget'!$B$10+AG148*'Item Budget'!$B$9+IFERROR(INDEX('Item Budget'!$M$25:$M$95,MATCH(AL148,'Item Budget'!$B$25:$B$95,0)),0)+IF($C148="Weapon",AK148*'Item Budget'!$B$9,0)</f>
        <v/>
      </c>
      <c r="AN148" s="61">
        <f>AD148*'Item Budget'!$B$5+AH148*'Item Budget'!$B$7+AF148*'Item Budget'!$B$11+AI148*'Item Budget'!$B$10+AE148*'Item Budget'!$B$6+AJ148*'Item Budget'!$B$8+IFERROR(INDEX('Item Budget'!$N$25:$N$95,MATCH(AL148,'Item Budget'!$B$25:$B$95,0)),0)</f>
        <v/>
      </c>
      <c r="AO148" s="61">
        <f>MAX('Item Budget'!$F$16,INDEX('Gear Budget'!$C$8:$C$14,MATCH($C148,'Gear Budget'!$A$8:$A$14,0))*MIN(AC148,50))*$L148</f>
        <v/>
      </c>
      <c r="AP148" s="41">
        <f>IF($C148="Caster weapon",AN148,MAX(AM148,AN148))/AO148</f>
        <v/>
      </c>
      <c r="AQ148" s="61">
        <f>IF(OR($C148="Weapon",$C148="Caster weapon"),"",'Gear Budget'!$B$5*MAX(1,MIN(AC148,50))*INDEX('Gear Budget'!$B$8:$B$14,MATCH($C148,'Gear Budget'!$A$8:$A$14,0))*IF($C148="Shield",IF(E148="Warrior",1,IF(OR(E148="Rogue",E148="All"),0.38/0.6,0.25/0.6)),IFERROR(INDEX('Gear Budget'!$B$18:$B$21,MATCH($F148,'Gear Budget'!$A$18:$A$21,0)),1)))</f>
        <v/>
      </c>
      <c r="AR148" s="41">
        <f>IF(AQ148="","",AF148/AQ148)</f>
        <v/>
      </c>
      <c r="AS148" s="64" t="inlineStr">
        <is>
          <t>Pass 1 (applied): Token STR/STA/DEX.</t>
        </is>
      </c>
      <c r="AT148" s="44">
        <f>IF(OR($E148="All",ISNUMBER(SEARCH("Warrior",$E148))),IF($C148="Caster weapon",(AN148+AF148*('Item Budget'!$AB$14-'Item Budget'!$B$11)),(AM148+AF148*('Item Budget'!$AB$14-'Item Budget'!$B$11))),0)</f>
        <v/>
      </c>
      <c r="AU148" s="44">
        <f>IF(OR($E148="All",ISNUMBER(SEARCH("Rogue",$E148))),IF($C148="Caster weapon",(AN148+AF148*('Item Budget'!$AB$15-'Item Budget'!$B$11)),(AM148+AF148*('Item Budget'!$AB$15-'Item Budget'!$B$11))),0)</f>
        <v/>
      </c>
      <c r="AV148" s="44">
        <f>IF(OR($E148="All",ISNUMBER(SEARCH("Magus",$E148))),(AN148+AF148*('Item Budget'!$AB$16-'Item Budget'!$B$11)),0)</f>
        <v/>
      </c>
      <c r="AW148" s="44">
        <f>IF(OR($E148="All",ISNUMBER(SEARCH("Priest",$E148))),(AN148+AF148*('Item Budget'!$AB$17-'Item Budget'!$B$11)),0)</f>
        <v/>
      </c>
      <c r="AX148" s="44">
        <f>IF(AND(OR($E148="All",ISNUMBER(SEARCH("Warrior",$E148))),AC148&gt;='Item Budget'!$R$10),'Item Budget'!$R$7*100*('Item Budget'!$R$14*(AD148+25*AH148)+'Item Budget'!$S$14*(AE148+25*AJ148))/'Item Budget'!$Z$14+'Item Budget'!$R$9*AF148+IFERROR(INDEX('Item Budget'!$O$25:$O$95,MATCH(AL148,'Item Budget'!$B$25:$B$95,0)),0),0)</f>
        <v/>
      </c>
      <c r="AY148" s="44">
        <f>IF(AND(OR($E148="All",ISNUMBER(SEARCH("Rogue",$E148))),AC148&gt;='Item Budget'!$R$10),'Item Budget'!$R$7*100*('Item Budget'!$R$15*(AD148+25*AH148)+'Item Budget'!$S$15*(AE148+25*AJ148))/'Item Budget'!$Z$15+'Item Budget'!$R$9*AF148+IFERROR(INDEX('Item Budget'!$O$25:$O$95,MATCH(AL148,'Item Budget'!$B$25:$B$95,0)),0),0)</f>
        <v/>
      </c>
      <c r="AZ148" s="44">
        <f>IF(AND(OR($E148="All",ISNUMBER(SEARCH("Magus",$E148))),AC148&gt;='Item Budget'!$R$10),'Item Budget'!$R$7*100*('Item Budget'!$R$16*(AD148+25*AH148)+'Item Budget'!$S$16*(AE148+25*AJ148))/'Item Budget'!$Z$16+'Item Budget'!$R$9*AF148+IFERROR(INDEX('Item Budget'!$O$25:$O$95,MATCH(AL148,'Item Budget'!$B$25:$B$95,0)),0),0)</f>
        <v/>
      </c>
      <c r="BA148" s="44">
        <f>IF(AND(OR($E148="All",ISNUMBER(SEARCH("Priest",$E148))),AC148&gt;='Item Budget'!$R$10),'Item Budget'!$R$7*100*('Item Budget'!$R$17*(AD148+25*AH148)+'Item Budget'!$S$17*(AE148+25*AJ148))/'Item Budget'!$Z$17+'Item Budget'!$R$9*AF148+IFERROR(INDEX('Item Budget'!$O$25:$O$95,MATCH(AL148,'Item Budget'!$B$25:$B$95,0)),0),0)</f>
        <v/>
      </c>
      <c r="BB148" s="52">
        <f>IF(OR($I148&lt;1,IF($I148&gt;=6,AX148,AT148)&lt;=0),"",IF(SUMPRODUCT(MAX(($C$5:$C$215=$C148)*($I$5:$I$215&gt;=1)*($I$5:$I$215&lt;$I148)*IF($I148&gt;=6,$AX$5:$AX$215,$AT$5:$AT$215)))&lt;=0,"",SUMPRODUCT(MAX(($C$5:$C$215=$C148)*($I$5:$I$215=$I148)*IF($I148&gt;=6,$AX$5:$AX$215,$AT$5:$AT$215)))/SUMPRODUCT(MAX(($C$5:$C$215=$C148)*($I$5:$I$215&gt;=1)*($I$5:$I$215&lt;$I148)*IF($I148&gt;=6,$AX$5:$AX$215,$AT$5:$AT$215)))-1))</f>
        <v/>
      </c>
      <c r="BC148" s="52">
        <f>IF(OR($I148&lt;1,IF($I148&gt;=6,AY148,AU148)&lt;=0),"",IF(SUMPRODUCT(MAX(($C$5:$C$215=$C148)*($I$5:$I$215&gt;=1)*($I$5:$I$215&lt;$I148)*IF($I148&gt;=6,$AY$5:$AY$215,$AU$5:$AU$215)))&lt;=0,"",SUMPRODUCT(MAX(($C$5:$C$215=$C148)*($I$5:$I$215=$I148)*IF($I148&gt;=6,$AY$5:$AY$215,$AU$5:$AU$215)))/SUMPRODUCT(MAX(($C$5:$C$215=$C148)*($I$5:$I$215&gt;=1)*($I$5:$I$215&lt;$I148)*IF($I148&gt;=6,$AY$5:$AY$215,$AU$5:$AU$215)))-1))</f>
        <v/>
      </c>
      <c r="BD148" s="52">
        <f>IF(OR($I148&lt;1,IF($I148&gt;=6,AZ148,AV148)&lt;=0),"",IF(SUMPRODUCT(MAX(($C$5:$C$215=$C148)*($I$5:$I$215&gt;=1)*($I$5:$I$215&lt;$I148)*IF($I148&gt;=6,$AZ$5:$AZ$215,$AV$5:$AV$215)))&lt;=0,"",SUMPRODUCT(MAX(($C$5:$C$215=$C148)*($I$5:$I$215=$I148)*IF($I148&gt;=6,$AZ$5:$AZ$215,$AV$5:$AV$215)))/SUMPRODUCT(MAX(($C$5:$C$215=$C148)*($I$5:$I$215&gt;=1)*($I$5:$I$215&lt;$I148)*IF($I148&gt;=6,$AZ$5:$AZ$215,$AV$5:$AV$215)))-1))</f>
        <v/>
      </c>
      <c r="BE148" s="52">
        <f>IF(OR($I148&lt;1,IF($I148&gt;=6,BA148,AW148)&lt;=0),"",IF(SUMPRODUCT(MAX(($C$5:$C$215=$C148)*($I$5:$I$215&gt;=1)*($I$5:$I$215&lt;$I148)*IF($I148&gt;=6,$BA$5:$BA$215,$AW$5:$AW$215)))&lt;=0,"",SUMPRODUCT(MAX(($C$5:$C$215=$C148)*($I$5:$I$215=$I148)*IF($I148&gt;=6,$BA$5:$BA$215,$AW$5:$AW$215)))/SUMPRODUCT(MAX(($C$5:$C$215=$C148)*($I$5:$I$215&gt;=1)*($I$5:$I$215&lt;$I148)*IF($I148&gt;=6,$BA$5:$BA$215,$AW$5:$AW$215)))-1))</f>
        <v/>
      </c>
      <c r="BF148" s="19">
        <f>IF(AND(BB148="",BC148="",BD148="",BE148=""),"",IF(IF(AND(ISNUMBER(BB148),BB148&lt;'Item Budget'!$R$11),"W ","")&amp;IF(AND(ISNUMBER(BC148),BC148&lt;'Item Budget'!$R$11),"R ","")&amp;IF(AND(ISNUMBER(BD148),BD148&lt;'Item Budget'!$R$11),"M ","")&amp;IF(AND(ISNUMBER(BE148),BE148&lt;'Item Budget'!$R$11),"P ","")="","OK","Not above lower step: "&amp;IF(AND(ISNUMBER(BB148),BB148&lt;'Item Budget'!$R$11),"W ","")&amp;IF(AND(ISNUMBER(BC148),BC148&lt;'Item Budget'!$R$11),"R ","")&amp;IF(AND(ISNUMBER(BD148),BD148&lt;'Item Budget'!$R$11),"M ","")&amp;IF(AND(ISNUMBER(BE148),BE148&lt;'Item Budget'!$R$11),"P ","")))</f>
        <v/>
      </c>
    </row>
    <row r="149">
      <c r="A149" s="21" t="n">
        <v>119</v>
      </c>
      <c r="B149" s="21" t="inlineStr">
        <is>
          <t>Firebrand Guard</t>
        </is>
      </c>
      <c r="C149" s="21" t="inlineStr">
        <is>
          <t>Shield</t>
        </is>
      </c>
      <c r="D149" s="21" t="inlineStr">
        <is>
          <t>Magus/Priest</t>
        </is>
      </c>
      <c r="E149" s="21" t="inlineStr">
        <is>
          <t>Magus/Priest</t>
        </is>
      </c>
      <c r="F149" s="21" t="inlineStr">
        <is>
          <t>Caster cloth</t>
        </is>
      </c>
      <c r="G149" s="21" t="inlineStr">
        <is>
          <t>vendor: Shield Guy</t>
        </is>
      </c>
      <c r="H149" s="37" t="n">
        <v>0</v>
      </c>
      <c r="I149" s="21" t="n">
        <v>0</v>
      </c>
      <c r="J149" s="3" t="inlineStr">
        <is>
          <t>Applied</t>
        </is>
      </c>
      <c r="K149" s="21" t="inlineStr">
        <is>
          <t>Vendor</t>
        </is>
      </c>
      <c r="L149" s="31">
        <f>INDEX('Item Budget'!$F$5:$F$13,MATCH(K149,'Item Budget'!$E$5:$E$13,0))+IF(E149="All",0,'Item Budget'!$F$15)+LOOKUP(H149,'Item Budget'!$E$19:$E$23,'Item Budget'!$F$19:$F$23)</f>
        <v/>
      </c>
      <c r="M149" s="21" t="n">
        <v>35</v>
      </c>
      <c r="N149" s="21" t="n">
        <v>0</v>
      </c>
      <c r="O149" s="21" t="n">
        <v>100</v>
      </c>
      <c r="P149" s="21" t="n">
        <v>40</v>
      </c>
      <c r="Q149" s="21" t="n">
        <v>0</v>
      </c>
      <c r="R149" s="21" t="n">
        <v>3</v>
      </c>
      <c r="S149" s="21" t="n">
        <v>0</v>
      </c>
      <c r="T149" s="21" t="n">
        <v>8</v>
      </c>
      <c r="U149" s="21" t="n">
        <v>0</v>
      </c>
      <c r="V149" s="21" t="inlineStr">
        <is>
          <t>(none)</t>
        </is>
      </c>
      <c r="W149" s="61">
        <f>N149*'Item Budget'!$B$5+R149*'Item Budget'!$B$7+P149*'Item Budget'!$B$11+S149*'Item Budget'!$B$10+Q149*'Item Budget'!$B$9+IFERROR(INDEX('Item Budget'!$M$25:$M$95,MATCH(V149,'Item Budget'!$B$25:$B$95,0)),0)+IF($C149="Weapon",U149*'Item Budget'!$B$9,0)</f>
        <v/>
      </c>
      <c r="X149" s="61">
        <f>N149*'Item Budget'!$B$5+R149*'Item Budget'!$B$7+P149*'Item Budget'!$B$11+S149*'Item Budget'!$B$10+O149*'Item Budget'!$B$6+T149*'Item Budget'!$B$8+IFERROR(INDEX('Item Budget'!$N$25:$N$95,MATCH(V149,'Item Budget'!$B$25:$B$95,0)),0)</f>
        <v/>
      </c>
      <c r="Y149" s="61">
        <f>MAX('Item Budget'!$F$16,INDEX('Gear Budget'!$C$8:$C$14,MATCH($C149,'Gear Budget'!$A$8:$A$14,0))*MIN(M149,50))*$L149</f>
        <v/>
      </c>
      <c r="Z149" s="41">
        <f>IF($C149="Caster weapon",X149,MAX(W149,X149))/Y149</f>
        <v/>
      </c>
      <c r="AA149" s="61">
        <f>IF(OR($C149="Weapon",$C149="Caster weapon"),"",'Gear Budget'!$B$5*MAX(1,MIN(M149,50))*INDEX('Gear Budget'!$B$8:$B$14,MATCH($C149,'Gear Budget'!$A$8:$A$14,0))*IF($C149="Shield",IF(D149="Warrior",1,IF(OR(D149="Rogue",D149="All"),0.38/0.6,0.25/0.6)),IFERROR(INDEX('Gear Budget'!$B$18:$B$21,MATCH($F149,'Gear Budget'!$A$18:$A$21,0)),1)))</f>
        <v/>
      </c>
      <c r="AB149" s="41">
        <f>IF(AA149="","",P149/AA149)</f>
        <v/>
      </c>
      <c r="AC149" s="21" t="n">
        <v>35</v>
      </c>
      <c r="AD149" s="21" t="n">
        <v>0</v>
      </c>
      <c r="AE149" s="21" t="n">
        <v>100</v>
      </c>
      <c r="AF149" s="21" t="n">
        <v>40</v>
      </c>
      <c r="AG149" s="21" t="n">
        <v>0</v>
      </c>
      <c r="AH149" s="21" t="n">
        <v>3</v>
      </c>
      <c r="AI149" s="21" t="n">
        <v>0</v>
      </c>
      <c r="AJ149" s="21" t="n">
        <v>8</v>
      </c>
      <c r="AK149" s="21" t="n">
        <v>0</v>
      </c>
      <c r="AL149" s="21" t="inlineStr">
        <is>
          <t>(none)</t>
        </is>
      </c>
      <c r="AM149" s="61">
        <f>AD149*'Item Budget'!$B$5+AH149*'Item Budget'!$B$7+AF149*'Item Budget'!$B$11+AI149*'Item Budget'!$B$10+AG149*'Item Budget'!$B$9+IFERROR(INDEX('Item Budget'!$M$25:$M$95,MATCH(AL149,'Item Budget'!$B$25:$B$95,0)),0)+IF($C149="Weapon",AK149*'Item Budget'!$B$9,0)</f>
        <v/>
      </c>
      <c r="AN149" s="61">
        <f>AD149*'Item Budget'!$B$5+AH149*'Item Budget'!$B$7+AF149*'Item Budget'!$B$11+AI149*'Item Budget'!$B$10+AE149*'Item Budget'!$B$6+AJ149*'Item Budget'!$B$8+IFERROR(INDEX('Item Budget'!$N$25:$N$95,MATCH(AL149,'Item Budget'!$B$25:$B$95,0)),0)</f>
        <v/>
      </c>
      <c r="AO149" s="61">
        <f>MAX('Item Budget'!$F$16,INDEX('Gear Budget'!$C$8:$C$14,MATCH($C149,'Gear Budget'!$A$8:$A$14,0))*MIN(AC149,50))*$L149</f>
        <v/>
      </c>
      <c r="AP149" s="41">
        <f>IF($C149="Caster weapon",AN149,MAX(AM149,AN149))/AO149</f>
        <v/>
      </c>
      <c r="AQ149" s="61">
        <f>IF(OR($C149="Weapon",$C149="Caster weapon"),"",'Gear Budget'!$B$5*MAX(1,MIN(AC149,50))*INDEX('Gear Budget'!$B$8:$B$14,MATCH($C149,'Gear Budget'!$A$8:$A$14,0))*IF($C149="Shield",IF(E149="Warrior",1,IF(OR(E149="Rogue",E149="All"),0.38/0.6,0.25/0.6)),IFERROR(INDEX('Gear Budget'!$B$18:$B$21,MATCH($F149,'Gear Budget'!$A$18:$A$21,0)),1)))</f>
        <v/>
      </c>
      <c r="AR149" s="41">
        <f>IF(AQ149="","",AF149/AQ149)</f>
        <v/>
      </c>
      <c r="AS149" s="64" t="inlineStr">
        <is>
          <t>Pass 1 (applied): Token INT/MP.</t>
        </is>
      </c>
      <c r="AT149" s="44">
        <f>IF(OR($E149="All",ISNUMBER(SEARCH("Warrior",$E149))),IF($C149="Caster weapon",(AN149+AF149*('Item Budget'!$AB$14-'Item Budget'!$B$11)),(AM149+AF149*('Item Budget'!$AB$14-'Item Budget'!$B$11))),0)</f>
        <v/>
      </c>
      <c r="AU149" s="44">
        <f>IF(OR($E149="All",ISNUMBER(SEARCH("Rogue",$E149))),IF($C149="Caster weapon",(AN149+AF149*('Item Budget'!$AB$15-'Item Budget'!$B$11)),(AM149+AF149*('Item Budget'!$AB$15-'Item Budget'!$B$11))),0)</f>
        <v/>
      </c>
      <c r="AV149" s="44">
        <f>IF(OR($E149="All",ISNUMBER(SEARCH("Magus",$E149))),(AN149+AF149*('Item Budget'!$AB$16-'Item Budget'!$B$11)),0)</f>
        <v/>
      </c>
      <c r="AW149" s="44">
        <f>IF(OR($E149="All",ISNUMBER(SEARCH("Priest",$E149))),(AN149+AF149*('Item Budget'!$AB$17-'Item Budget'!$B$11)),0)</f>
        <v/>
      </c>
      <c r="AX149" s="44">
        <f>IF(AND(OR($E149="All",ISNUMBER(SEARCH("Warrior",$E149))),AC149&gt;='Item Budget'!$R$10),'Item Budget'!$R$7*100*('Item Budget'!$R$14*(AD149+25*AH149)+'Item Budget'!$S$14*(AE149+25*AJ149))/'Item Budget'!$Z$14+'Item Budget'!$R$9*AF149+IFERROR(INDEX('Item Budget'!$O$25:$O$95,MATCH(AL149,'Item Budget'!$B$25:$B$95,0)),0),0)</f>
        <v/>
      </c>
      <c r="AY149" s="44">
        <f>IF(AND(OR($E149="All",ISNUMBER(SEARCH("Rogue",$E149))),AC149&gt;='Item Budget'!$R$10),'Item Budget'!$R$7*100*('Item Budget'!$R$15*(AD149+25*AH149)+'Item Budget'!$S$15*(AE149+25*AJ149))/'Item Budget'!$Z$15+'Item Budget'!$R$9*AF149+IFERROR(INDEX('Item Budget'!$O$25:$O$95,MATCH(AL149,'Item Budget'!$B$25:$B$95,0)),0),0)</f>
        <v/>
      </c>
      <c r="AZ149" s="44">
        <f>IF(AND(OR($E149="All",ISNUMBER(SEARCH("Magus",$E149))),AC149&gt;='Item Budget'!$R$10),'Item Budget'!$R$7*100*('Item Budget'!$R$16*(AD149+25*AH149)+'Item Budget'!$S$16*(AE149+25*AJ149))/'Item Budget'!$Z$16+'Item Budget'!$R$9*AF149+IFERROR(INDEX('Item Budget'!$O$25:$O$95,MATCH(AL149,'Item Budget'!$B$25:$B$95,0)),0),0)</f>
        <v/>
      </c>
      <c r="BA149" s="44">
        <f>IF(AND(OR($E149="All",ISNUMBER(SEARCH("Priest",$E149))),AC149&gt;='Item Budget'!$R$10),'Item Budget'!$R$7*100*('Item Budget'!$R$17*(AD149+25*AH149)+'Item Budget'!$S$17*(AE149+25*AJ149))/'Item Budget'!$Z$17+'Item Budget'!$R$9*AF149+IFERROR(INDEX('Item Budget'!$O$25:$O$95,MATCH(AL149,'Item Budget'!$B$25:$B$95,0)),0),0)</f>
        <v/>
      </c>
      <c r="BB149" s="52">
        <f>IF(OR($I149&lt;1,IF($I149&gt;=6,AX149,AT149)&lt;=0),"",IF(SUMPRODUCT(MAX(($C$5:$C$215=$C149)*($I$5:$I$215&gt;=1)*($I$5:$I$215&lt;$I149)*IF($I149&gt;=6,$AX$5:$AX$215,$AT$5:$AT$215)))&lt;=0,"",SUMPRODUCT(MAX(($C$5:$C$215=$C149)*($I$5:$I$215=$I149)*IF($I149&gt;=6,$AX$5:$AX$215,$AT$5:$AT$215)))/SUMPRODUCT(MAX(($C$5:$C$215=$C149)*($I$5:$I$215&gt;=1)*($I$5:$I$215&lt;$I149)*IF($I149&gt;=6,$AX$5:$AX$215,$AT$5:$AT$215)))-1))</f>
        <v/>
      </c>
      <c r="BC149" s="52">
        <f>IF(OR($I149&lt;1,IF($I149&gt;=6,AY149,AU149)&lt;=0),"",IF(SUMPRODUCT(MAX(($C$5:$C$215=$C149)*($I$5:$I$215&gt;=1)*($I$5:$I$215&lt;$I149)*IF($I149&gt;=6,$AY$5:$AY$215,$AU$5:$AU$215)))&lt;=0,"",SUMPRODUCT(MAX(($C$5:$C$215=$C149)*($I$5:$I$215=$I149)*IF($I149&gt;=6,$AY$5:$AY$215,$AU$5:$AU$215)))/SUMPRODUCT(MAX(($C$5:$C$215=$C149)*($I$5:$I$215&gt;=1)*($I$5:$I$215&lt;$I149)*IF($I149&gt;=6,$AY$5:$AY$215,$AU$5:$AU$215)))-1))</f>
        <v/>
      </c>
      <c r="BD149" s="52">
        <f>IF(OR($I149&lt;1,IF($I149&gt;=6,AZ149,AV149)&lt;=0),"",IF(SUMPRODUCT(MAX(($C$5:$C$215=$C149)*($I$5:$I$215&gt;=1)*($I$5:$I$215&lt;$I149)*IF($I149&gt;=6,$AZ$5:$AZ$215,$AV$5:$AV$215)))&lt;=0,"",SUMPRODUCT(MAX(($C$5:$C$215=$C149)*($I$5:$I$215=$I149)*IF($I149&gt;=6,$AZ$5:$AZ$215,$AV$5:$AV$215)))/SUMPRODUCT(MAX(($C$5:$C$215=$C149)*($I$5:$I$215&gt;=1)*($I$5:$I$215&lt;$I149)*IF($I149&gt;=6,$AZ$5:$AZ$215,$AV$5:$AV$215)))-1))</f>
        <v/>
      </c>
      <c r="BE149" s="52">
        <f>IF(OR($I149&lt;1,IF($I149&gt;=6,BA149,AW149)&lt;=0),"",IF(SUMPRODUCT(MAX(($C$5:$C$215=$C149)*($I$5:$I$215&gt;=1)*($I$5:$I$215&lt;$I149)*IF($I149&gt;=6,$BA$5:$BA$215,$AW$5:$AW$215)))&lt;=0,"",SUMPRODUCT(MAX(($C$5:$C$215=$C149)*($I$5:$I$215=$I149)*IF($I149&gt;=6,$BA$5:$BA$215,$AW$5:$AW$215)))/SUMPRODUCT(MAX(($C$5:$C$215=$C149)*($I$5:$I$215&gt;=1)*($I$5:$I$215&lt;$I149)*IF($I149&gt;=6,$BA$5:$BA$215,$AW$5:$AW$215)))-1))</f>
        <v/>
      </c>
      <c r="BF149" s="19">
        <f>IF(AND(BB149="",BC149="",BD149="",BE149=""),"",IF(IF(AND(ISNUMBER(BB149),BB149&lt;'Item Budget'!$R$11),"W ","")&amp;IF(AND(ISNUMBER(BC149),BC149&lt;'Item Budget'!$R$11),"R ","")&amp;IF(AND(ISNUMBER(BD149),BD149&lt;'Item Budget'!$R$11),"M ","")&amp;IF(AND(ISNUMBER(BE149),BE149&lt;'Item Budget'!$R$11),"P ","")="","OK","Not above lower step: "&amp;IF(AND(ISNUMBER(BB149),BB149&lt;'Item Budget'!$R$11),"W ","")&amp;IF(AND(ISNUMBER(BC149),BC149&lt;'Item Budget'!$R$11),"R ","")&amp;IF(AND(ISNUMBER(BD149),BD149&lt;'Item Budget'!$R$11),"M ","")&amp;IF(AND(ISNUMBER(BE149),BE149&lt;'Item Budget'!$R$11),"P ","")))</f>
        <v/>
      </c>
    </row>
    <row r="150">
      <c r="A150" s="21" t="n">
        <v>222</v>
      </c>
      <c r="B150" s="21" t="inlineStr">
        <is>
          <t>Firebrand Shield</t>
        </is>
      </c>
      <c r="C150" s="21" t="inlineStr">
        <is>
          <t>Shield</t>
        </is>
      </c>
      <c r="D150" s="21" t="inlineStr">
        <is>
          <t>Warrior</t>
        </is>
      </c>
      <c r="E150" s="21" t="inlineStr">
        <is>
          <t>Warrior</t>
        </is>
      </c>
      <c r="F150" s="21" t="inlineStr">
        <is>
          <t>Warrior plate</t>
        </is>
      </c>
      <c r="G150" s="21" t="inlineStr">
        <is>
          <t>vendor: Shield Guy</t>
        </is>
      </c>
      <c r="H150" s="37" t="n">
        <v>0</v>
      </c>
      <c r="I150" s="21" t="n">
        <v>0</v>
      </c>
      <c r="J150" s="3" t="inlineStr">
        <is>
          <t>Applied</t>
        </is>
      </c>
      <c r="K150" s="21" t="inlineStr">
        <is>
          <t>Vendor</t>
        </is>
      </c>
      <c r="L150" s="31">
        <f>INDEX('Item Budget'!$F$5:$F$13,MATCH(K150,'Item Budget'!$E$5:$E$13,0))+IF(E150="All",0,'Item Budget'!$F$15)+LOOKUP(H150,'Item Budget'!$E$19:$E$23,'Item Budget'!$F$19:$F$23)</f>
        <v/>
      </c>
      <c r="M150" s="21" t="n">
        <v>35</v>
      </c>
      <c r="N150" s="21" t="n">
        <v>0</v>
      </c>
      <c r="O150" s="21" t="n">
        <v>0</v>
      </c>
      <c r="P150" s="21" t="n">
        <v>100</v>
      </c>
      <c r="Q150" s="21" t="n">
        <v>0</v>
      </c>
      <c r="R150" s="21" t="n">
        <v>3</v>
      </c>
      <c r="S150" s="21" t="n">
        <v>0</v>
      </c>
      <c r="T150" s="21" t="n">
        <v>0</v>
      </c>
      <c r="U150" s="21" t="n">
        <v>0</v>
      </c>
      <c r="V150" s="21" t="inlineStr">
        <is>
          <t>(none)</t>
        </is>
      </c>
      <c r="W150" s="61">
        <f>N150*'Item Budget'!$B$5+R150*'Item Budget'!$B$7+P150*'Item Budget'!$B$11+S150*'Item Budget'!$B$10+Q150*'Item Budget'!$B$9+IFERROR(INDEX('Item Budget'!$M$25:$M$95,MATCH(V150,'Item Budget'!$B$25:$B$95,0)),0)+IF($C150="Weapon",U150*'Item Budget'!$B$9,0)</f>
        <v/>
      </c>
      <c r="X150" s="61">
        <f>N150*'Item Budget'!$B$5+R150*'Item Budget'!$B$7+P150*'Item Budget'!$B$11+S150*'Item Budget'!$B$10+O150*'Item Budget'!$B$6+T150*'Item Budget'!$B$8+IFERROR(INDEX('Item Budget'!$N$25:$N$95,MATCH(V150,'Item Budget'!$B$25:$B$95,0)),0)</f>
        <v/>
      </c>
      <c r="Y150" s="61">
        <f>MAX('Item Budget'!$F$16,INDEX('Gear Budget'!$C$8:$C$14,MATCH($C150,'Gear Budget'!$A$8:$A$14,0))*MIN(M150,50))*$L150</f>
        <v/>
      </c>
      <c r="Z150" s="41">
        <f>IF($C150="Caster weapon",X150,MAX(W150,X150))/Y150</f>
        <v/>
      </c>
      <c r="AA150" s="61">
        <f>IF(OR($C150="Weapon",$C150="Caster weapon"),"",'Gear Budget'!$B$5*MAX(1,MIN(M150,50))*INDEX('Gear Budget'!$B$8:$B$14,MATCH($C150,'Gear Budget'!$A$8:$A$14,0))*IF($C150="Shield",IF(D150="Warrior",1,IF(OR(D150="Rogue",D150="All"),0.38/0.6,0.25/0.6)),IFERROR(INDEX('Gear Budget'!$B$18:$B$21,MATCH($F150,'Gear Budget'!$A$18:$A$21,0)),1)))</f>
        <v/>
      </c>
      <c r="AB150" s="41">
        <f>IF(AA150="","",P150/AA150)</f>
        <v/>
      </c>
      <c r="AC150" s="21" t="n">
        <v>35</v>
      </c>
      <c r="AD150" s="21" t="n">
        <v>0</v>
      </c>
      <c r="AE150" s="21" t="n">
        <v>0</v>
      </c>
      <c r="AF150" s="21" t="n">
        <v>100</v>
      </c>
      <c r="AG150" s="21" t="n">
        <v>0</v>
      </c>
      <c r="AH150" s="21" t="n">
        <v>3</v>
      </c>
      <c r="AI150" s="21" t="n">
        <v>0</v>
      </c>
      <c r="AJ150" s="21" t="n">
        <v>0</v>
      </c>
      <c r="AK150" s="21" t="n">
        <v>0</v>
      </c>
      <c r="AL150" s="21" t="inlineStr">
        <is>
          <t>(none)</t>
        </is>
      </c>
      <c r="AM150" s="61">
        <f>AD150*'Item Budget'!$B$5+AH150*'Item Budget'!$B$7+AF150*'Item Budget'!$B$11+AI150*'Item Budget'!$B$10+AG150*'Item Budget'!$B$9+IFERROR(INDEX('Item Budget'!$M$25:$M$95,MATCH(AL150,'Item Budget'!$B$25:$B$95,0)),0)+IF($C150="Weapon",AK150*'Item Budget'!$B$9,0)</f>
        <v/>
      </c>
      <c r="AN150" s="61">
        <f>AD150*'Item Budget'!$B$5+AH150*'Item Budget'!$B$7+AF150*'Item Budget'!$B$11+AI150*'Item Budget'!$B$10+AE150*'Item Budget'!$B$6+AJ150*'Item Budget'!$B$8+IFERROR(INDEX('Item Budget'!$N$25:$N$95,MATCH(AL150,'Item Budget'!$B$25:$B$95,0)),0)</f>
        <v/>
      </c>
      <c r="AO150" s="61">
        <f>MAX('Item Budget'!$F$16,INDEX('Gear Budget'!$C$8:$C$14,MATCH($C150,'Gear Budget'!$A$8:$A$14,0))*MIN(AC150,50))*$L150</f>
        <v/>
      </c>
      <c r="AP150" s="41">
        <f>IF($C150="Caster weapon",AN150,MAX(AM150,AN150))/AO150</f>
        <v/>
      </c>
      <c r="AQ150" s="61">
        <f>IF(OR($C150="Weapon",$C150="Caster weapon"),"",'Gear Budget'!$B$5*MAX(1,MIN(AC150,50))*INDEX('Gear Budget'!$B$8:$B$14,MATCH($C150,'Gear Budget'!$A$8:$A$14,0))*IF($C150="Shield",IF(E150="Warrior",1,IF(OR(E150="Rogue",E150="All"),0.38/0.6,0.25/0.6)),IFERROR(INDEX('Gear Budget'!$B$18:$B$21,MATCH($F150,'Gear Budget'!$A$18:$A$21,0)),1)))</f>
        <v/>
      </c>
      <c r="AR150" s="41">
        <f>IF(AQ150="","",AF150/AQ150)</f>
        <v/>
      </c>
      <c r="AS150" s="64" t="inlineStr">
        <is>
          <t>Pass 1 (applied): Token +3 STA (AC already above the budget).</t>
        </is>
      </c>
      <c r="AT150" s="44">
        <f>IF(OR($E150="All",ISNUMBER(SEARCH("Warrior",$E150))),IF($C150="Caster weapon",(AN150+AF150*('Item Budget'!$AB$14-'Item Budget'!$B$11)),(AM150+AF150*('Item Budget'!$AB$14-'Item Budget'!$B$11))),0)</f>
        <v/>
      </c>
      <c r="AU150" s="44">
        <f>IF(OR($E150="All",ISNUMBER(SEARCH("Rogue",$E150))),IF($C150="Caster weapon",(AN150+AF150*('Item Budget'!$AB$15-'Item Budget'!$B$11)),(AM150+AF150*('Item Budget'!$AB$15-'Item Budget'!$B$11))),0)</f>
        <v/>
      </c>
      <c r="AV150" s="44">
        <f>IF(OR($E150="All",ISNUMBER(SEARCH("Magus",$E150))),(AN150+AF150*('Item Budget'!$AB$16-'Item Budget'!$B$11)),0)</f>
        <v/>
      </c>
      <c r="AW150" s="44">
        <f>IF(OR($E150="All",ISNUMBER(SEARCH("Priest",$E150))),(AN150+AF150*('Item Budget'!$AB$17-'Item Budget'!$B$11)),0)</f>
        <v/>
      </c>
      <c r="AX150" s="44">
        <f>IF(AND(OR($E150="All",ISNUMBER(SEARCH("Warrior",$E150))),AC150&gt;='Item Budget'!$R$10),'Item Budget'!$R$7*100*('Item Budget'!$R$14*(AD150+25*AH150)+'Item Budget'!$S$14*(AE150+25*AJ150))/'Item Budget'!$Z$14+'Item Budget'!$R$9*AF150+IFERROR(INDEX('Item Budget'!$O$25:$O$95,MATCH(AL150,'Item Budget'!$B$25:$B$95,0)),0),0)</f>
        <v/>
      </c>
      <c r="AY150" s="44">
        <f>IF(AND(OR($E150="All",ISNUMBER(SEARCH("Rogue",$E150))),AC150&gt;='Item Budget'!$R$10),'Item Budget'!$R$7*100*('Item Budget'!$R$15*(AD150+25*AH150)+'Item Budget'!$S$15*(AE150+25*AJ150))/'Item Budget'!$Z$15+'Item Budget'!$R$9*AF150+IFERROR(INDEX('Item Budget'!$O$25:$O$95,MATCH(AL150,'Item Budget'!$B$25:$B$95,0)),0),0)</f>
        <v/>
      </c>
      <c r="AZ150" s="44">
        <f>IF(AND(OR($E150="All",ISNUMBER(SEARCH("Magus",$E150))),AC150&gt;='Item Budget'!$R$10),'Item Budget'!$R$7*100*('Item Budget'!$R$16*(AD150+25*AH150)+'Item Budget'!$S$16*(AE150+25*AJ150))/'Item Budget'!$Z$16+'Item Budget'!$R$9*AF150+IFERROR(INDEX('Item Budget'!$O$25:$O$95,MATCH(AL150,'Item Budget'!$B$25:$B$95,0)),0),0)</f>
        <v/>
      </c>
      <c r="BA150" s="44">
        <f>IF(AND(OR($E150="All",ISNUMBER(SEARCH("Priest",$E150))),AC150&gt;='Item Budget'!$R$10),'Item Budget'!$R$7*100*('Item Budget'!$R$17*(AD150+25*AH150)+'Item Budget'!$S$17*(AE150+25*AJ150))/'Item Budget'!$Z$17+'Item Budget'!$R$9*AF150+IFERROR(INDEX('Item Budget'!$O$25:$O$95,MATCH(AL150,'Item Budget'!$B$25:$B$95,0)),0),0)</f>
        <v/>
      </c>
      <c r="BB150" s="52">
        <f>IF(OR($I150&lt;1,IF($I150&gt;=6,AX150,AT150)&lt;=0),"",IF(SUMPRODUCT(MAX(($C$5:$C$215=$C150)*($I$5:$I$215&gt;=1)*($I$5:$I$215&lt;$I150)*IF($I150&gt;=6,$AX$5:$AX$215,$AT$5:$AT$215)))&lt;=0,"",SUMPRODUCT(MAX(($C$5:$C$215=$C150)*($I$5:$I$215=$I150)*IF($I150&gt;=6,$AX$5:$AX$215,$AT$5:$AT$215)))/SUMPRODUCT(MAX(($C$5:$C$215=$C150)*($I$5:$I$215&gt;=1)*($I$5:$I$215&lt;$I150)*IF($I150&gt;=6,$AX$5:$AX$215,$AT$5:$AT$215)))-1))</f>
        <v/>
      </c>
      <c r="BC150" s="52">
        <f>IF(OR($I150&lt;1,IF($I150&gt;=6,AY150,AU150)&lt;=0),"",IF(SUMPRODUCT(MAX(($C$5:$C$215=$C150)*($I$5:$I$215&gt;=1)*($I$5:$I$215&lt;$I150)*IF($I150&gt;=6,$AY$5:$AY$215,$AU$5:$AU$215)))&lt;=0,"",SUMPRODUCT(MAX(($C$5:$C$215=$C150)*($I$5:$I$215=$I150)*IF($I150&gt;=6,$AY$5:$AY$215,$AU$5:$AU$215)))/SUMPRODUCT(MAX(($C$5:$C$215=$C150)*($I$5:$I$215&gt;=1)*($I$5:$I$215&lt;$I150)*IF($I150&gt;=6,$AY$5:$AY$215,$AU$5:$AU$215)))-1))</f>
        <v/>
      </c>
      <c r="BD150" s="52">
        <f>IF(OR($I150&lt;1,IF($I150&gt;=6,AZ150,AV150)&lt;=0),"",IF(SUMPRODUCT(MAX(($C$5:$C$215=$C150)*($I$5:$I$215&gt;=1)*($I$5:$I$215&lt;$I150)*IF($I150&gt;=6,$AZ$5:$AZ$215,$AV$5:$AV$215)))&lt;=0,"",SUMPRODUCT(MAX(($C$5:$C$215=$C150)*($I$5:$I$215=$I150)*IF($I150&gt;=6,$AZ$5:$AZ$215,$AV$5:$AV$215)))/SUMPRODUCT(MAX(($C$5:$C$215=$C150)*($I$5:$I$215&gt;=1)*($I$5:$I$215&lt;$I150)*IF($I150&gt;=6,$AZ$5:$AZ$215,$AV$5:$AV$215)))-1))</f>
        <v/>
      </c>
      <c r="BE150" s="52">
        <f>IF(OR($I150&lt;1,IF($I150&gt;=6,BA150,AW150)&lt;=0),"",IF(SUMPRODUCT(MAX(($C$5:$C$215=$C150)*($I$5:$I$215&gt;=1)*($I$5:$I$215&lt;$I150)*IF($I150&gt;=6,$BA$5:$BA$215,$AW$5:$AW$215)))&lt;=0,"",SUMPRODUCT(MAX(($C$5:$C$215=$C150)*($I$5:$I$215=$I150)*IF($I150&gt;=6,$BA$5:$BA$215,$AW$5:$AW$215)))/SUMPRODUCT(MAX(($C$5:$C$215=$C150)*($I$5:$I$215&gt;=1)*($I$5:$I$215&lt;$I150)*IF($I150&gt;=6,$BA$5:$BA$215,$AW$5:$AW$215)))-1))</f>
        <v/>
      </c>
      <c r="BF150" s="19">
        <f>IF(AND(BB150="",BC150="",BD150="",BE150=""),"",IF(IF(AND(ISNUMBER(BB150),BB150&lt;'Item Budget'!$R$11),"W ","")&amp;IF(AND(ISNUMBER(BC150),BC150&lt;'Item Budget'!$R$11),"R ","")&amp;IF(AND(ISNUMBER(BD150),BD150&lt;'Item Budget'!$R$11),"M ","")&amp;IF(AND(ISNUMBER(BE150),BE150&lt;'Item Budget'!$R$11),"P ","")="","OK","Not above lower step: "&amp;IF(AND(ISNUMBER(BB150),BB150&lt;'Item Budget'!$R$11),"W ","")&amp;IF(AND(ISNUMBER(BC150),BC150&lt;'Item Budget'!$R$11),"R ","")&amp;IF(AND(ISNUMBER(BD150),BD150&lt;'Item Budget'!$R$11),"M ","")&amp;IF(AND(ISNUMBER(BE150),BE150&lt;'Item Budget'!$R$11),"P ","")))</f>
        <v/>
      </c>
    </row>
    <row r="151">
      <c r="A151" s="21" t="n">
        <v>115</v>
      </c>
      <c r="B151" s="21" t="inlineStr">
        <is>
          <t>Moon Shield</t>
        </is>
      </c>
      <c r="C151" s="21" t="inlineStr">
        <is>
          <t>Shield</t>
        </is>
      </c>
      <c r="D151" s="21" t="inlineStr">
        <is>
          <t>All</t>
        </is>
      </c>
      <c r="E151" s="21" t="inlineStr">
        <is>
          <t>All</t>
        </is>
      </c>
      <c r="F151" s="21" t="inlineStr">
        <is>
          <t>All classes</t>
        </is>
      </c>
      <c r="G151" s="21" t="inlineStr">
        <is>
          <t>drop: Beefcake 15%</t>
        </is>
      </c>
      <c r="H151" s="37" t="n">
        <v>0</v>
      </c>
      <c r="I151" s="21" t="n">
        <v>4</v>
      </c>
      <c r="J151" s="3" t="inlineStr">
        <is>
          <t>Applied</t>
        </is>
      </c>
      <c r="K151" s="21" t="inlineStr">
        <is>
          <t>Rare boss drop</t>
        </is>
      </c>
      <c r="L151" s="31">
        <f>INDEX('Item Budget'!$F$5:$F$13,MATCH(K151,'Item Budget'!$E$5:$E$13,0))+IF(E151="All",0,'Item Budget'!$F$15)+LOOKUP(H151,'Item Budget'!$E$19:$E$23,'Item Budget'!$F$19:$F$23)</f>
        <v/>
      </c>
      <c r="M151" s="21" t="n">
        <v>45</v>
      </c>
      <c r="N151" s="21" t="n">
        <v>300</v>
      </c>
      <c r="O151" s="21" t="n">
        <v>300</v>
      </c>
      <c r="P151" s="21" t="n">
        <v>120</v>
      </c>
      <c r="Q151" s="21" t="n">
        <v>8</v>
      </c>
      <c r="R151" s="21" t="n">
        <v>8</v>
      </c>
      <c r="S151" s="21" t="n">
        <v>5</v>
      </c>
      <c r="T151" s="21" t="n">
        <v>8</v>
      </c>
      <c r="U151" s="21" t="n">
        <v>0</v>
      </c>
      <c r="V151" s="21" t="inlineStr">
        <is>
          <t>(none)</t>
        </is>
      </c>
      <c r="W151" s="61">
        <f>N151*'Item Budget'!$B$5+R151*'Item Budget'!$B$7+P151*'Item Budget'!$B$11+S151*'Item Budget'!$B$10+Q151*'Item Budget'!$B$9+IFERROR(INDEX('Item Budget'!$M$25:$M$95,MATCH(V151,'Item Budget'!$B$25:$B$95,0)),0)+IF($C151="Weapon",U151*'Item Budget'!$B$9,0)</f>
        <v/>
      </c>
      <c r="X151" s="61">
        <f>N151*'Item Budget'!$B$5+R151*'Item Budget'!$B$7+P151*'Item Budget'!$B$11+S151*'Item Budget'!$B$10+O151*'Item Budget'!$B$6+T151*'Item Budget'!$B$8+IFERROR(INDEX('Item Budget'!$N$25:$N$95,MATCH(V151,'Item Budget'!$B$25:$B$95,0)),0)</f>
        <v/>
      </c>
      <c r="Y151" s="61">
        <f>MAX('Item Budget'!$F$16,INDEX('Gear Budget'!$C$8:$C$14,MATCH($C151,'Gear Budget'!$A$8:$A$14,0))*MIN(M151,50))*$L151</f>
        <v/>
      </c>
      <c r="Z151" s="41">
        <f>IF($C151="Caster weapon",X151,MAX(W151,X151))/Y151</f>
        <v/>
      </c>
      <c r="AA151" s="61">
        <f>IF(OR($C151="Weapon",$C151="Caster weapon"),"",'Gear Budget'!$B$5*MAX(1,MIN(M151,50))*INDEX('Gear Budget'!$B$8:$B$14,MATCH($C151,'Gear Budget'!$A$8:$A$14,0))*IF($C151="Shield",IF(D151="Warrior",1,IF(OR(D151="Rogue",D151="All"),0.38/0.6,0.25/0.6)),IFERROR(INDEX('Gear Budget'!$B$18:$B$21,MATCH($F151,'Gear Budget'!$A$18:$A$21,0)),1)))</f>
        <v/>
      </c>
      <c r="AB151" s="41">
        <f>IF(AA151="","",P151/AA151)</f>
        <v/>
      </c>
      <c r="AC151" s="21" t="n">
        <v>45</v>
      </c>
      <c r="AD151" s="21" t="n">
        <v>300</v>
      </c>
      <c r="AE151" s="21" t="n">
        <v>300</v>
      </c>
      <c r="AF151" s="21" t="n">
        <v>120</v>
      </c>
      <c r="AG151" s="21" t="n">
        <v>8</v>
      </c>
      <c r="AH151" s="21" t="n">
        <v>8</v>
      </c>
      <c r="AI151" s="21" t="n">
        <v>5</v>
      </c>
      <c r="AJ151" s="21" t="n">
        <v>8</v>
      </c>
      <c r="AK151" s="21" t="n">
        <v>0</v>
      </c>
      <c r="AL151" s="21" t="inlineStr">
        <is>
          <t>(none)</t>
        </is>
      </c>
      <c r="AM151" s="61">
        <f>AD151*'Item Budget'!$B$5+AH151*'Item Budget'!$B$7+AF151*'Item Budget'!$B$11+AI151*'Item Budget'!$B$10+AG151*'Item Budget'!$B$9+IFERROR(INDEX('Item Budget'!$M$25:$M$95,MATCH(AL151,'Item Budget'!$B$25:$B$95,0)),0)+IF($C151="Weapon",AK151*'Item Budget'!$B$9,0)</f>
        <v/>
      </c>
      <c r="AN151" s="61">
        <f>AD151*'Item Budget'!$B$5+AH151*'Item Budget'!$B$7+AF151*'Item Budget'!$B$11+AI151*'Item Budget'!$B$10+AE151*'Item Budget'!$B$6+AJ151*'Item Budget'!$B$8+IFERROR(INDEX('Item Budget'!$N$25:$N$95,MATCH(AL151,'Item Budget'!$B$25:$B$95,0)),0)</f>
        <v/>
      </c>
      <c r="AO151" s="61">
        <f>MAX('Item Budget'!$F$16,INDEX('Gear Budget'!$C$8:$C$14,MATCH($C151,'Gear Budget'!$A$8:$A$14,0))*MIN(AC151,50))*$L151</f>
        <v/>
      </c>
      <c r="AP151" s="41">
        <f>IF($C151="Caster weapon",AN151,MAX(AM151,AN151))/AO151</f>
        <v/>
      </c>
      <c r="AQ151" s="61">
        <f>IF(OR($C151="Weapon",$C151="Caster weapon"),"",'Gear Budget'!$B$5*MAX(1,MIN(AC151,50))*INDEX('Gear Budget'!$B$8:$B$14,MATCH($C151,'Gear Budget'!$A$8:$A$14,0))*IF($C151="Shield",IF(E151="Warrior",1,IF(OR(E151="Rogue",E151="All"),0.38/0.6,0.25/0.6)),IFERROR(INDEX('Gear Budget'!$B$18:$B$21,MATCH($F151,'Gear Budget'!$A$18:$A$21,0)),1)))</f>
        <v/>
      </c>
      <c r="AR151" s="41">
        <f>IF(AQ151="","",AF151/AQ151)</f>
        <v/>
      </c>
      <c r="AS151" s="64" t="inlineStr">
        <is>
          <t>Pass 1 (applied): Beefcake (step 3): was below Earthbrand Shield (L50 vendor). Also the Ancient Moon Shield ingredient.</t>
        </is>
      </c>
      <c r="AT151" s="44">
        <f>IF(OR($E151="All",ISNUMBER(SEARCH("Warrior",$E151))),IF($C151="Caster weapon",(AN151+AF151*('Item Budget'!$AB$14-'Item Budget'!$B$11)),(AM151+AF151*('Item Budget'!$AB$14-'Item Budget'!$B$11))),0)</f>
        <v/>
      </c>
      <c r="AU151" s="44">
        <f>IF(OR($E151="All",ISNUMBER(SEARCH("Rogue",$E151))),IF($C151="Caster weapon",(AN151+AF151*('Item Budget'!$AB$15-'Item Budget'!$B$11)),(AM151+AF151*('Item Budget'!$AB$15-'Item Budget'!$B$11))),0)</f>
        <v/>
      </c>
      <c r="AV151" s="44">
        <f>IF(OR($E151="All",ISNUMBER(SEARCH("Magus",$E151))),(AN151+AF151*('Item Budget'!$AB$16-'Item Budget'!$B$11)),0)</f>
        <v/>
      </c>
      <c r="AW151" s="44">
        <f>IF(OR($E151="All",ISNUMBER(SEARCH("Priest",$E151))),(AN151+AF151*('Item Budget'!$AB$17-'Item Budget'!$B$11)),0)</f>
        <v/>
      </c>
      <c r="AX151" s="44">
        <f>IF(AND(OR($E151="All",ISNUMBER(SEARCH("Warrior",$E151))),AC151&gt;='Item Budget'!$R$10),'Item Budget'!$R$7*100*('Item Budget'!$R$14*(AD151+25*AH151)+'Item Budget'!$S$14*(AE151+25*AJ151))/'Item Budget'!$Z$14+'Item Budget'!$R$9*AF151+IFERROR(INDEX('Item Budget'!$O$25:$O$95,MATCH(AL151,'Item Budget'!$B$25:$B$95,0)),0),0)</f>
        <v/>
      </c>
      <c r="AY151" s="44">
        <f>IF(AND(OR($E151="All",ISNUMBER(SEARCH("Rogue",$E151))),AC151&gt;='Item Budget'!$R$10),'Item Budget'!$R$7*100*('Item Budget'!$R$15*(AD151+25*AH151)+'Item Budget'!$S$15*(AE151+25*AJ151))/'Item Budget'!$Z$15+'Item Budget'!$R$9*AF151+IFERROR(INDEX('Item Budget'!$O$25:$O$95,MATCH(AL151,'Item Budget'!$B$25:$B$95,0)),0),0)</f>
        <v/>
      </c>
      <c r="AZ151" s="44">
        <f>IF(AND(OR($E151="All",ISNUMBER(SEARCH("Magus",$E151))),AC151&gt;='Item Budget'!$R$10),'Item Budget'!$R$7*100*('Item Budget'!$R$16*(AD151+25*AH151)+'Item Budget'!$S$16*(AE151+25*AJ151))/'Item Budget'!$Z$16+'Item Budget'!$R$9*AF151+IFERROR(INDEX('Item Budget'!$O$25:$O$95,MATCH(AL151,'Item Budget'!$B$25:$B$95,0)),0),0)</f>
        <v/>
      </c>
      <c r="BA151" s="44">
        <f>IF(AND(OR($E151="All",ISNUMBER(SEARCH("Priest",$E151))),AC151&gt;='Item Budget'!$R$10),'Item Budget'!$R$7*100*('Item Budget'!$R$17*(AD151+25*AH151)+'Item Budget'!$S$17*(AE151+25*AJ151))/'Item Budget'!$Z$17+'Item Budget'!$R$9*AF151+IFERROR(INDEX('Item Budget'!$O$25:$O$95,MATCH(AL151,'Item Budget'!$B$25:$B$95,0)),0),0)</f>
        <v/>
      </c>
      <c r="BB151" s="52">
        <f>IF(OR($I151&lt;1,IF($I151&gt;=6,AX151,AT151)&lt;=0),"",IF(SUMPRODUCT(MAX(($C$5:$C$215=$C151)*($I$5:$I$215&gt;=1)*($I$5:$I$215&lt;$I151)*IF($I151&gt;=6,$AX$5:$AX$215,$AT$5:$AT$215)))&lt;=0,"",SUMPRODUCT(MAX(($C$5:$C$215=$C151)*($I$5:$I$215=$I151)*IF($I151&gt;=6,$AX$5:$AX$215,$AT$5:$AT$215)))/SUMPRODUCT(MAX(($C$5:$C$215=$C151)*($I$5:$I$215&gt;=1)*($I$5:$I$215&lt;$I151)*IF($I151&gt;=6,$AX$5:$AX$215,$AT$5:$AT$215)))-1))</f>
        <v/>
      </c>
      <c r="BC151" s="52">
        <f>IF(OR($I151&lt;1,IF($I151&gt;=6,AY151,AU151)&lt;=0),"",IF(SUMPRODUCT(MAX(($C$5:$C$215=$C151)*($I$5:$I$215&gt;=1)*($I$5:$I$215&lt;$I151)*IF($I151&gt;=6,$AY$5:$AY$215,$AU$5:$AU$215)))&lt;=0,"",SUMPRODUCT(MAX(($C$5:$C$215=$C151)*($I$5:$I$215=$I151)*IF($I151&gt;=6,$AY$5:$AY$215,$AU$5:$AU$215)))/SUMPRODUCT(MAX(($C$5:$C$215=$C151)*($I$5:$I$215&gt;=1)*($I$5:$I$215&lt;$I151)*IF($I151&gt;=6,$AY$5:$AY$215,$AU$5:$AU$215)))-1))</f>
        <v/>
      </c>
      <c r="BD151" s="52">
        <f>IF(OR($I151&lt;1,IF($I151&gt;=6,AZ151,AV151)&lt;=0),"",IF(SUMPRODUCT(MAX(($C$5:$C$215=$C151)*($I$5:$I$215&gt;=1)*($I$5:$I$215&lt;$I151)*IF($I151&gt;=6,$AZ$5:$AZ$215,$AV$5:$AV$215)))&lt;=0,"",SUMPRODUCT(MAX(($C$5:$C$215=$C151)*($I$5:$I$215=$I151)*IF($I151&gt;=6,$AZ$5:$AZ$215,$AV$5:$AV$215)))/SUMPRODUCT(MAX(($C$5:$C$215=$C151)*($I$5:$I$215&gt;=1)*($I$5:$I$215&lt;$I151)*IF($I151&gt;=6,$AZ$5:$AZ$215,$AV$5:$AV$215)))-1))</f>
        <v/>
      </c>
      <c r="BE151" s="52">
        <f>IF(OR($I151&lt;1,IF($I151&gt;=6,BA151,AW151)&lt;=0),"",IF(SUMPRODUCT(MAX(($C$5:$C$215=$C151)*($I$5:$I$215&gt;=1)*($I$5:$I$215&lt;$I151)*IF($I151&gt;=6,$BA$5:$BA$215,$AW$5:$AW$215)))&lt;=0,"",SUMPRODUCT(MAX(($C$5:$C$215=$C151)*($I$5:$I$215=$I151)*IF($I151&gt;=6,$BA$5:$BA$215,$AW$5:$AW$215)))/SUMPRODUCT(MAX(($C$5:$C$215=$C151)*($I$5:$I$215&gt;=1)*($I$5:$I$215&lt;$I151)*IF($I151&gt;=6,$BA$5:$BA$215,$AW$5:$AW$215)))-1))</f>
        <v/>
      </c>
      <c r="BF151" s="19">
        <f>IF(AND(BB151="",BC151="",BD151="",BE151=""),"",IF(IF(AND(ISNUMBER(BB151),BB151&lt;'Item Budget'!$R$11),"W ","")&amp;IF(AND(ISNUMBER(BC151),BC151&lt;'Item Budget'!$R$11),"R ","")&amp;IF(AND(ISNUMBER(BD151),BD151&lt;'Item Budget'!$R$11),"M ","")&amp;IF(AND(ISNUMBER(BE151),BE151&lt;'Item Budget'!$R$11),"P ","")="","OK","Not above lower step: "&amp;IF(AND(ISNUMBER(BB151),BB151&lt;'Item Budget'!$R$11),"W ","")&amp;IF(AND(ISNUMBER(BC151),BC151&lt;'Item Budget'!$R$11),"R ","")&amp;IF(AND(ISNUMBER(BD151),BD151&lt;'Item Budget'!$R$11),"M ","")&amp;IF(AND(ISNUMBER(BE151),BE151&lt;'Item Budget'!$R$11),"P ","")))</f>
        <v/>
      </c>
    </row>
    <row r="152">
      <c r="A152" s="21" t="n">
        <v>309</v>
      </c>
      <c r="B152" s="21" t="inlineStr">
        <is>
          <t>Earthbrand Shield</t>
        </is>
      </c>
      <c r="C152" s="21" t="inlineStr">
        <is>
          <t>Shield</t>
        </is>
      </c>
      <c r="D152" s="21" t="inlineStr">
        <is>
          <t>Warrior</t>
        </is>
      </c>
      <c r="E152" s="21" t="inlineStr">
        <is>
          <t>Warrior</t>
        </is>
      </c>
      <c r="F152" s="21" t="inlineStr">
        <is>
          <t>Warrior plate</t>
        </is>
      </c>
      <c r="G152" s="21" t="inlineStr">
        <is>
          <t>vendor: Shield Guy</t>
        </is>
      </c>
      <c r="H152" s="37" t="n">
        <v>0</v>
      </c>
      <c r="I152" s="21" t="n">
        <v>1</v>
      </c>
      <c r="J152" s="19" t="inlineStr">
        <is>
          <t>Leave</t>
        </is>
      </c>
      <c r="K152" s="21" t="inlineStr">
        <is>
          <t>Vendor</t>
        </is>
      </c>
      <c r="L152" s="31">
        <f>INDEX('Item Budget'!$F$5:$F$13,MATCH(K152,'Item Budget'!$E$5:$E$13,0))+IF(E152="All",0,'Item Budget'!$F$15)+LOOKUP(H152,'Item Budget'!$E$19:$E$23,'Item Budget'!$F$19:$F$23)</f>
        <v/>
      </c>
      <c r="M152" s="21" t="n">
        <v>50</v>
      </c>
      <c r="N152" s="21" t="n">
        <v>240</v>
      </c>
      <c r="O152" s="21" t="n">
        <v>0</v>
      </c>
      <c r="P152" s="21" t="n">
        <v>150</v>
      </c>
      <c r="Q152" s="21" t="n">
        <v>0</v>
      </c>
      <c r="R152" s="21" t="n">
        <v>0</v>
      </c>
      <c r="S152" s="21" t="n">
        <v>0</v>
      </c>
      <c r="T152" s="21" t="n">
        <v>0</v>
      </c>
      <c r="U152" s="21" t="n">
        <v>0</v>
      </c>
      <c r="V152" s="21" t="inlineStr">
        <is>
          <t>(none)</t>
        </is>
      </c>
      <c r="W152" s="61">
        <f>N152*'Item Budget'!$B$5+R152*'Item Budget'!$B$7+P152*'Item Budget'!$B$11+S152*'Item Budget'!$B$10+Q152*'Item Budget'!$B$9+IFERROR(INDEX('Item Budget'!$M$25:$M$95,MATCH(V152,'Item Budget'!$B$25:$B$95,0)),0)+IF($C152="Weapon",U152*'Item Budget'!$B$9,0)</f>
        <v/>
      </c>
      <c r="X152" s="61">
        <f>N152*'Item Budget'!$B$5+R152*'Item Budget'!$B$7+P152*'Item Budget'!$B$11+S152*'Item Budget'!$B$10+O152*'Item Budget'!$B$6+T152*'Item Budget'!$B$8+IFERROR(INDEX('Item Budget'!$N$25:$N$95,MATCH(V152,'Item Budget'!$B$25:$B$95,0)),0)</f>
        <v/>
      </c>
      <c r="Y152" s="61">
        <f>MAX('Item Budget'!$F$16,INDEX('Gear Budget'!$C$8:$C$14,MATCH($C152,'Gear Budget'!$A$8:$A$14,0))*MIN(M152,50))*$L152</f>
        <v/>
      </c>
      <c r="Z152" s="41">
        <f>IF($C152="Caster weapon",X152,MAX(W152,X152))/Y152</f>
        <v/>
      </c>
      <c r="AA152" s="61">
        <f>IF(OR($C152="Weapon",$C152="Caster weapon"),"",'Gear Budget'!$B$5*MAX(1,MIN(M152,50))*INDEX('Gear Budget'!$B$8:$B$14,MATCH($C152,'Gear Budget'!$A$8:$A$14,0))*IF($C152="Shield",IF(D152="Warrior",1,IF(OR(D152="Rogue",D152="All"),0.38/0.6,0.25/0.6)),IFERROR(INDEX('Gear Budget'!$B$18:$B$21,MATCH($F152,'Gear Budget'!$A$18:$A$21,0)),1)))</f>
        <v/>
      </c>
      <c r="AB152" s="41">
        <f>IF(AA152="","",P152/AA152)</f>
        <v/>
      </c>
      <c r="AC152" s="21" t="n">
        <v>50</v>
      </c>
      <c r="AD152" s="21" t="n">
        <v>240</v>
      </c>
      <c r="AE152" s="21" t="n">
        <v>0</v>
      </c>
      <c r="AF152" s="21" t="n">
        <v>150</v>
      </c>
      <c r="AG152" s="21" t="n">
        <v>0</v>
      </c>
      <c r="AH152" s="21" t="n">
        <v>0</v>
      </c>
      <c r="AI152" s="21" t="n">
        <v>0</v>
      </c>
      <c r="AJ152" s="21" t="n">
        <v>0</v>
      </c>
      <c r="AK152" s="21" t="n">
        <v>0</v>
      </c>
      <c r="AL152" s="21" t="inlineStr">
        <is>
          <t>(none)</t>
        </is>
      </c>
      <c r="AM152" s="61">
        <f>AD152*'Item Budget'!$B$5+AH152*'Item Budget'!$B$7+AF152*'Item Budget'!$B$11+AI152*'Item Budget'!$B$10+AG152*'Item Budget'!$B$9+IFERROR(INDEX('Item Budget'!$M$25:$M$95,MATCH(AL152,'Item Budget'!$B$25:$B$95,0)),0)+IF($C152="Weapon",AK152*'Item Budget'!$B$9,0)</f>
        <v/>
      </c>
      <c r="AN152" s="61">
        <f>AD152*'Item Budget'!$B$5+AH152*'Item Budget'!$B$7+AF152*'Item Budget'!$B$11+AI152*'Item Budget'!$B$10+AE152*'Item Budget'!$B$6+AJ152*'Item Budget'!$B$8+IFERROR(INDEX('Item Budget'!$N$25:$N$95,MATCH(AL152,'Item Budget'!$B$25:$B$95,0)),0)</f>
        <v/>
      </c>
      <c r="AO152" s="61">
        <f>MAX('Item Budget'!$F$16,INDEX('Gear Budget'!$C$8:$C$14,MATCH($C152,'Gear Budget'!$A$8:$A$14,0))*MIN(AC152,50))*$L152</f>
        <v/>
      </c>
      <c r="AP152" s="41">
        <f>IF($C152="Caster weapon",AN152,MAX(AM152,AN152))/AO152</f>
        <v/>
      </c>
      <c r="AQ152" s="61">
        <f>IF(OR($C152="Weapon",$C152="Caster weapon"),"",'Gear Budget'!$B$5*MAX(1,MIN(AC152,50))*INDEX('Gear Budget'!$B$8:$B$14,MATCH($C152,'Gear Budget'!$A$8:$A$14,0))*IF($C152="Shield",IF(E152="Warrior",1,IF(OR(E152="Rogue",E152="All"),0.38/0.6,0.25/0.6)),IFERROR(INDEX('Gear Budget'!$B$18:$B$21,MATCH($F152,'Gear Budget'!$A$18:$A$21,0)),1)))</f>
        <v/>
      </c>
      <c r="AR152" s="41">
        <f>IF(AQ152="","",AF152/AQ152)</f>
        <v/>
      </c>
      <c r="AS152" s="64" t="n"/>
      <c r="AT152" s="44">
        <f>IF(OR($E152="All",ISNUMBER(SEARCH("Warrior",$E152))),IF($C152="Caster weapon",(AN152+AF152*('Item Budget'!$AB$14-'Item Budget'!$B$11)),(AM152+AF152*('Item Budget'!$AB$14-'Item Budget'!$B$11))),0)</f>
        <v/>
      </c>
      <c r="AU152" s="44">
        <f>IF(OR($E152="All",ISNUMBER(SEARCH("Rogue",$E152))),IF($C152="Caster weapon",(AN152+AF152*('Item Budget'!$AB$15-'Item Budget'!$B$11)),(AM152+AF152*('Item Budget'!$AB$15-'Item Budget'!$B$11))),0)</f>
        <v/>
      </c>
      <c r="AV152" s="44">
        <f>IF(OR($E152="All",ISNUMBER(SEARCH("Magus",$E152))),(AN152+AF152*('Item Budget'!$AB$16-'Item Budget'!$B$11)),0)</f>
        <v/>
      </c>
      <c r="AW152" s="44">
        <f>IF(OR($E152="All",ISNUMBER(SEARCH("Priest",$E152))),(AN152+AF152*('Item Budget'!$AB$17-'Item Budget'!$B$11)),0)</f>
        <v/>
      </c>
      <c r="AX152" s="44">
        <f>IF(AND(OR($E152="All",ISNUMBER(SEARCH("Warrior",$E152))),AC152&gt;='Item Budget'!$R$10),'Item Budget'!$R$7*100*('Item Budget'!$R$14*(AD152+25*AH152)+'Item Budget'!$S$14*(AE152+25*AJ152))/'Item Budget'!$Z$14+'Item Budget'!$R$9*AF152+IFERROR(INDEX('Item Budget'!$O$25:$O$95,MATCH(AL152,'Item Budget'!$B$25:$B$95,0)),0),0)</f>
        <v/>
      </c>
      <c r="AY152" s="44">
        <f>IF(AND(OR($E152="All",ISNUMBER(SEARCH("Rogue",$E152))),AC152&gt;='Item Budget'!$R$10),'Item Budget'!$R$7*100*('Item Budget'!$R$15*(AD152+25*AH152)+'Item Budget'!$S$15*(AE152+25*AJ152))/'Item Budget'!$Z$15+'Item Budget'!$R$9*AF152+IFERROR(INDEX('Item Budget'!$O$25:$O$95,MATCH(AL152,'Item Budget'!$B$25:$B$95,0)),0),0)</f>
        <v/>
      </c>
      <c r="AZ152" s="44">
        <f>IF(AND(OR($E152="All",ISNUMBER(SEARCH("Magus",$E152))),AC152&gt;='Item Budget'!$R$10),'Item Budget'!$R$7*100*('Item Budget'!$R$16*(AD152+25*AH152)+'Item Budget'!$S$16*(AE152+25*AJ152))/'Item Budget'!$Z$16+'Item Budget'!$R$9*AF152+IFERROR(INDEX('Item Budget'!$O$25:$O$95,MATCH(AL152,'Item Budget'!$B$25:$B$95,0)),0),0)</f>
        <v/>
      </c>
      <c r="BA152" s="44">
        <f>IF(AND(OR($E152="All",ISNUMBER(SEARCH("Priest",$E152))),AC152&gt;='Item Budget'!$R$10),'Item Budget'!$R$7*100*('Item Budget'!$R$17*(AD152+25*AH152)+'Item Budget'!$S$17*(AE152+25*AJ152))/'Item Budget'!$Z$17+'Item Budget'!$R$9*AF152+IFERROR(INDEX('Item Budget'!$O$25:$O$95,MATCH(AL152,'Item Budget'!$B$25:$B$95,0)),0),0)</f>
        <v/>
      </c>
      <c r="BB152" s="52">
        <f>IF(OR($I152&lt;1,IF($I152&gt;=6,AX152,AT152)&lt;=0),"",IF(SUMPRODUCT(MAX(($C$5:$C$215=$C152)*($I$5:$I$215&gt;=1)*($I$5:$I$215&lt;$I152)*IF($I152&gt;=6,$AX$5:$AX$215,$AT$5:$AT$215)))&lt;=0,"",SUMPRODUCT(MAX(($C$5:$C$215=$C152)*($I$5:$I$215=$I152)*IF($I152&gt;=6,$AX$5:$AX$215,$AT$5:$AT$215)))/SUMPRODUCT(MAX(($C$5:$C$215=$C152)*($I$5:$I$215&gt;=1)*($I$5:$I$215&lt;$I152)*IF($I152&gt;=6,$AX$5:$AX$215,$AT$5:$AT$215)))-1))</f>
        <v/>
      </c>
      <c r="BC152" s="52">
        <f>IF(OR($I152&lt;1,IF($I152&gt;=6,AY152,AU152)&lt;=0),"",IF(SUMPRODUCT(MAX(($C$5:$C$215=$C152)*($I$5:$I$215&gt;=1)*($I$5:$I$215&lt;$I152)*IF($I152&gt;=6,$AY$5:$AY$215,$AU$5:$AU$215)))&lt;=0,"",SUMPRODUCT(MAX(($C$5:$C$215=$C152)*($I$5:$I$215=$I152)*IF($I152&gt;=6,$AY$5:$AY$215,$AU$5:$AU$215)))/SUMPRODUCT(MAX(($C$5:$C$215=$C152)*($I$5:$I$215&gt;=1)*($I$5:$I$215&lt;$I152)*IF($I152&gt;=6,$AY$5:$AY$215,$AU$5:$AU$215)))-1))</f>
        <v/>
      </c>
      <c r="BD152" s="52">
        <f>IF(OR($I152&lt;1,IF($I152&gt;=6,AZ152,AV152)&lt;=0),"",IF(SUMPRODUCT(MAX(($C$5:$C$215=$C152)*($I$5:$I$215&gt;=1)*($I$5:$I$215&lt;$I152)*IF($I152&gt;=6,$AZ$5:$AZ$215,$AV$5:$AV$215)))&lt;=0,"",SUMPRODUCT(MAX(($C$5:$C$215=$C152)*($I$5:$I$215=$I152)*IF($I152&gt;=6,$AZ$5:$AZ$215,$AV$5:$AV$215)))/SUMPRODUCT(MAX(($C$5:$C$215=$C152)*($I$5:$I$215&gt;=1)*($I$5:$I$215&lt;$I152)*IF($I152&gt;=6,$AZ$5:$AZ$215,$AV$5:$AV$215)))-1))</f>
        <v/>
      </c>
      <c r="BE152" s="52">
        <f>IF(OR($I152&lt;1,IF($I152&gt;=6,BA152,AW152)&lt;=0),"",IF(SUMPRODUCT(MAX(($C$5:$C$215=$C152)*($I$5:$I$215&gt;=1)*($I$5:$I$215&lt;$I152)*IF($I152&gt;=6,$BA$5:$BA$215,$AW$5:$AW$215)))&lt;=0,"",SUMPRODUCT(MAX(($C$5:$C$215=$C152)*($I$5:$I$215=$I152)*IF($I152&gt;=6,$BA$5:$BA$215,$AW$5:$AW$215)))/SUMPRODUCT(MAX(($C$5:$C$215=$C152)*($I$5:$I$215&gt;=1)*($I$5:$I$215&lt;$I152)*IF($I152&gt;=6,$BA$5:$BA$215,$AW$5:$AW$215)))-1))</f>
        <v/>
      </c>
      <c r="BF152" s="19">
        <f>IF(AND(BB152="",BC152="",BD152="",BE152=""),"",IF(IF(AND(ISNUMBER(BB152),BB152&lt;'Item Budget'!$R$11),"W ","")&amp;IF(AND(ISNUMBER(BC152),BC152&lt;'Item Budget'!$R$11),"R ","")&amp;IF(AND(ISNUMBER(BD152),BD152&lt;'Item Budget'!$R$11),"M ","")&amp;IF(AND(ISNUMBER(BE152),BE152&lt;'Item Budget'!$R$11),"P ","")="","OK","Not above lower step: "&amp;IF(AND(ISNUMBER(BB152),BB152&lt;'Item Budget'!$R$11),"W ","")&amp;IF(AND(ISNUMBER(BC152),BC152&lt;'Item Budget'!$R$11),"R ","")&amp;IF(AND(ISNUMBER(BD152),BD152&lt;'Item Budget'!$R$11),"M ","")&amp;IF(AND(ISNUMBER(BE152),BE152&lt;'Item Budget'!$R$11),"P ","")))</f>
        <v/>
      </c>
    </row>
    <row r="153">
      <c r="A153" s="21" t="n">
        <v>310</v>
      </c>
      <c r="B153" s="21" t="inlineStr">
        <is>
          <t>Earthbrand Buckler</t>
        </is>
      </c>
      <c r="C153" s="21" t="inlineStr">
        <is>
          <t>Shield</t>
        </is>
      </c>
      <c r="D153" s="21" t="inlineStr">
        <is>
          <t>Rogue</t>
        </is>
      </c>
      <c r="E153" s="21" t="inlineStr">
        <is>
          <t>Rogue</t>
        </is>
      </c>
      <c r="F153" s="21" t="inlineStr">
        <is>
          <t>Rogue</t>
        </is>
      </c>
      <c r="G153" s="21" t="inlineStr">
        <is>
          <t>vendor: Shield Guy</t>
        </is>
      </c>
      <c r="H153" s="37" t="n">
        <v>0</v>
      </c>
      <c r="I153" s="21" t="n">
        <v>1</v>
      </c>
      <c r="J153" s="19" t="inlineStr">
        <is>
          <t>Pass 2</t>
        </is>
      </c>
      <c r="K153" s="21" t="inlineStr">
        <is>
          <t>Vendor</t>
        </is>
      </c>
      <c r="L153" s="31">
        <f>INDEX('Item Budget'!$F$5:$F$13,MATCH(K153,'Item Budget'!$E$5:$E$13,0))+IF(E153="All",0,'Item Budget'!$F$15)+LOOKUP(H153,'Item Budget'!$E$19:$E$23,'Item Budget'!$F$19:$F$23)</f>
        <v/>
      </c>
      <c r="M153" s="21" t="n">
        <v>50</v>
      </c>
      <c r="N153" s="21" t="n">
        <v>120</v>
      </c>
      <c r="O153" s="21" t="n">
        <v>120</v>
      </c>
      <c r="P153" s="21" t="n">
        <v>90</v>
      </c>
      <c r="Q153" s="21" t="n">
        <v>0</v>
      </c>
      <c r="R153" s="21" t="n">
        <v>0</v>
      </c>
      <c r="S153" s="21" t="n">
        <v>0</v>
      </c>
      <c r="T153" s="21" t="n">
        <v>0</v>
      </c>
      <c r="U153" s="21" t="n">
        <v>0</v>
      </c>
      <c r="V153" s="21" t="inlineStr">
        <is>
          <t>(none)</t>
        </is>
      </c>
      <c r="W153" s="61">
        <f>N153*'Item Budget'!$B$5+R153*'Item Budget'!$B$7+P153*'Item Budget'!$B$11+S153*'Item Budget'!$B$10+Q153*'Item Budget'!$B$9+IFERROR(INDEX('Item Budget'!$M$25:$M$95,MATCH(V153,'Item Budget'!$B$25:$B$95,0)),0)+IF($C153="Weapon",U153*'Item Budget'!$B$9,0)</f>
        <v/>
      </c>
      <c r="X153" s="61">
        <f>N153*'Item Budget'!$B$5+R153*'Item Budget'!$B$7+P153*'Item Budget'!$B$11+S153*'Item Budget'!$B$10+O153*'Item Budget'!$B$6+T153*'Item Budget'!$B$8+IFERROR(INDEX('Item Budget'!$N$25:$N$95,MATCH(V153,'Item Budget'!$B$25:$B$95,0)),0)</f>
        <v/>
      </c>
      <c r="Y153" s="61">
        <f>MAX('Item Budget'!$F$16,INDEX('Gear Budget'!$C$8:$C$14,MATCH($C153,'Gear Budget'!$A$8:$A$14,0))*MIN(M153,50))*$L153</f>
        <v/>
      </c>
      <c r="Z153" s="41">
        <f>IF($C153="Caster weapon",X153,MAX(W153,X153))/Y153</f>
        <v/>
      </c>
      <c r="AA153" s="61">
        <f>IF(OR($C153="Weapon",$C153="Caster weapon"),"",'Gear Budget'!$B$5*MAX(1,MIN(M153,50))*INDEX('Gear Budget'!$B$8:$B$14,MATCH($C153,'Gear Budget'!$A$8:$A$14,0))*IF($C153="Shield",IF(D153="Warrior",1,IF(OR(D153="Rogue",D153="All"),0.38/0.6,0.25/0.6)),IFERROR(INDEX('Gear Budget'!$B$18:$B$21,MATCH($F153,'Gear Budget'!$A$18:$A$21,0)),1)))</f>
        <v/>
      </c>
      <c r="AB153" s="41">
        <f>IF(AA153="","",P153/AA153)</f>
        <v/>
      </c>
      <c r="AC153" s="21" t="n">
        <v>50</v>
      </c>
      <c r="AD153" s="20" t="n">
        <v>150</v>
      </c>
      <c r="AE153" s="20" t="n">
        <v>150</v>
      </c>
      <c r="AF153" s="20" t="n">
        <v>113</v>
      </c>
      <c r="AG153" s="21" t="n">
        <v>0</v>
      </c>
      <c r="AH153" s="21" t="n">
        <v>0</v>
      </c>
      <c r="AI153" s="21" t="n">
        <v>0</v>
      </c>
      <c r="AJ153" s="21" t="n">
        <v>0</v>
      </c>
      <c r="AK153" s="21" t="n">
        <v>0</v>
      </c>
      <c r="AL153" s="21" t="inlineStr">
        <is>
          <t>(none)</t>
        </is>
      </c>
      <c r="AM153" s="61">
        <f>AD153*'Item Budget'!$B$5+AH153*'Item Budget'!$B$7+AF153*'Item Budget'!$B$11+AI153*'Item Budget'!$B$10+AG153*'Item Budget'!$B$9+IFERROR(INDEX('Item Budget'!$M$25:$M$95,MATCH(AL153,'Item Budget'!$B$25:$B$95,0)),0)+IF($C153="Weapon",AK153*'Item Budget'!$B$9,0)</f>
        <v/>
      </c>
      <c r="AN153" s="61">
        <f>AD153*'Item Budget'!$B$5+AH153*'Item Budget'!$B$7+AF153*'Item Budget'!$B$11+AI153*'Item Budget'!$B$10+AE153*'Item Budget'!$B$6+AJ153*'Item Budget'!$B$8+IFERROR(INDEX('Item Budget'!$N$25:$N$95,MATCH(AL153,'Item Budget'!$B$25:$B$95,0)),0)</f>
        <v/>
      </c>
      <c r="AO153" s="61">
        <f>MAX('Item Budget'!$F$16,INDEX('Gear Budget'!$C$8:$C$14,MATCH($C153,'Gear Budget'!$A$8:$A$14,0))*MIN(AC153,50))*$L153</f>
        <v/>
      </c>
      <c r="AP153" s="41">
        <f>IF($C153="Caster weapon",AN153,MAX(AM153,AN153))/AO153</f>
        <v/>
      </c>
      <c r="AQ153" s="61">
        <f>IF(OR($C153="Weapon",$C153="Caster weapon"),"",'Gear Budget'!$B$5*MAX(1,MIN(AC153,50))*INDEX('Gear Budget'!$B$8:$B$14,MATCH($C153,'Gear Budget'!$A$8:$A$14,0))*IF($C153="Shield",IF(E153="Warrior",1,IF(OR(E153="Rogue",E153="All"),0.38/0.6,0.25/0.6)),IFERROR(INDEX('Gear Budget'!$B$18:$B$21,MATCH($F153,'Gear Budget'!$A$18:$A$21,0)),1)))</f>
        <v/>
      </c>
      <c r="AR153" s="41">
        <f>IF(AQ153="","",AF153/AQ153)</f>
        <v/>
      </c>
      <c r="AS153" s="64" t="inlineStr">
        <is>
          <t>Earthbrand Buckler/Guard (L50 vendor): only +13% over the L35 Firebrand versions</t>
        </is>
      </c>
      <c r="AT153" s="44">
        <f>IF(OR($E153="All",ISNUMBER(SEARCH("Warrior",$E153))),IF($C153="Caster weapon",(AN153+AF153*('Item Budget'!$AB$14-'Item Budget'!$B$11)),(AM153+AF153*('Item Budget'!$AB$14-'Item Budget'!$B$11))),0)</f>
        <v/>
      </c>
      <c r="AU153" s="44">
        <f>IF(OR($E153="All",ISNUMBER(SEARCH("Rogue",$E153))),IF($C153="Caster weapon",(AN153+AF153*('Item Budget'!$AB$15-'Item Budget'!$B$11)),(AM153+AF153*('Item Budget'!$AB$15-'Item Budget'!$B$11))),0)</f>
        <v/>
      </c>
      <c r="AV153" s="44">
        <f>IF(OR($E153="All",ISNUMBER(SEARCH("Magus",$E153))),(AN153+AF153*('Item Budget'!$AB$16-'Item Budget'!$B$11)),0)</f>
        <v/>
      </c>
      <c r="AW153" s="44">
        <f>IF(OR($E153="All",ISNUMBER(SEARCH("Priest",$E153))),(AN153+AF153*('Item Budget'!$AB$17-'Item Budget'!$B$11)),0)</f>
        <v/>
      </c>
      <c r="AX153" s="44">
        <f>IF(AND(OR($E153="All",ISNUMBER(SEARCH("Warrior",$E153))),AC153&gt;='Item Budget'!$R$10),'Item Budget'!$R$7*100*('Item Budget'!$R$14*(AD153+25*AH153)+'Item Budget'!$S$14*(AE153+25*AJ153))/'Item Budget'!$Z$14+'Item Budget'!$R$9*AF153+IFERROR(INDEX('Item Budget'!$O$25:$O$95,MATCH(AL153,'Item Budget'!$B$25:$B$95,0)),0),0)</f>
        <v/>
      </c>
      <c r="AY153" s="44">
        <f>IF(AND(OR($E153="All",ISNUMBER(SEARCH("Rogue",$E153))),AC153&gt;='Item Budget'!$R$10),'Item Budget'!$R$7*100*('Item Budget'!$R$15*(AD153+25*AH153)+'Item Budget'!$S$15*(AE153+25*AJ153))/'Item Budget'!$Z$15+'Item Budget'!$R$9*AF153+IFERROR(INDEX('Item Budget'!$O$25:$O$95,MATCH(AL153,'Item Budget'!$B$25:$B$95,0)),0),0)</f>
        <v/>
      </c>
      <c r="AZ153" s="44">
        <f>IF(AND(OR($E153="All",ISNUMBER(SEARCH("Magus",$E153))),AC153&gt;='Item Budget'!$R$10),'Item Budget'!$R$7*100*('Item Budget'!$R$16*(AD153+25*AH153)+'Item Budget'!$S$16*(AE153+25*AJ153))/'Item Budget'!$Z$16+'Item Budget'!$R$9*AF153+IFERROR(INDEX('Item Budget'!$O$25:$O$95,MATCH(AL153,'Item Budget'!$B$25:$B$95,0)),0),0)</f>
        <v/>
      </c>
      <c r="BA153" s="44">
        <f>IF(AND(OR($E153="All",ISNUMBER(SEARCH("Priest",$E153))),AC153&gt;='Item Budget'!$R$10),'Item Budget'!$R$7*100*('Item Budget'!$R$17*(AD153+25*AH153)+'Item Budget'!$S$17*(AE153+25*AJ153))/'Item Budget'!$Z$17+'Item Budget'!$R$9*AF153+IFERROR(INDEX('Item Budget'!$O$25:$O$95,MATCH(AL153,'Item Budget'!$B$25:$B$95,0)),0),0)</f>
        <v/>
      </c>
      <c r="BB153" s="52">
        <f>IF(OR($I153&lt;1,IF($I153&gt;=6,AX153,AT153)&lt;=0),"",IF(SUMPRODUCT(MAX(($C$5:$C$215=$C153)*($I$5:$I$215&gt;=1)*($I$5:$I$215&lt;$I153)*IF($I153&gt;=6,$AX$5:$AX$215,$AT$5:$AT$215)))&lt;=0,"",SUMPRODUCT(MAX(($C$5:$C$215=$C153)*($I$5:$I$215=$I153)*IF($I153&gt;=6,$AX$5:$AX$215,$AT$5:$AT$215)))/SUMPRODUCT(MAX(($C$5:$C$215=$C153)*($I$5:$I$215&gt;=1)*($I$5:$I$215&lt;$I153)*IF($I153&gt;=6,$AX$5:$AX$215,$AT$5:$AT$215)))-1))</f>
        <v/>
      </c>
      <c r="BC153" s="52">
        <f>IF(OR($I153&lt;1,IF($I153&gt;=6,AY153,AU153)&lt;=0),"",IF(SUMPRODUCT(MAX(($C$5:$C$215=$C153)*($I$5:$I$215&gt;=1)*($I$5:$I$215&lt;$I153)*IF($I153&gt;=6,$AY$5:$AY$215,$AU$5:$AU$215)))&lt;=0,"",SUMPRODUCT(MAX(($C$5:$C$215=$C153)*($I$5:$I$215=$I153)*IF($I153&gt;=6,$AY$5:$AY$215,$AU$5:$AU$215)))/SUMPRODUCT(MAX(($C$5:$C$215=$C153)*($I$5:$I$215&gt;=1)*($I$5:$I$215&lt;$I153)*IF($I153&gt;=6,$AY$5:$AY$215,$AU$5:$AU$215)))-1))</f>
        <v/>
      </c>
      <c r="BD153" s="52">
        <f>IF(OR($I153&lt;1,IF($I153&gt;=6,AZ153,AV153)&lt;=0),"",IF(SUMPRODUCT(MAX(($C$5:$C$215=$C153)*($I$5:$I$215&gt;=1)*($I$5:$I$215&lt;$I153)*IF($I153&gt;=6,$AZ$5:$AZ$215,$AV$5:$AV$215)))&lt;=0,"",SUMPRODUCT(MAX(($C$5:$C$215=$C153)*($I$5:$I$215=$I153)*IF($I153&gt;=6,$AZ$5:$AZ$215,$AV$5:$AV$215)))/SUMPRODUCT(MAX(($C$5:$C$215=$C153)*($I$5:$I$215&gt;=1)*($I$5:$I$215&lt;$I153)*IF($I153&gt;=6,$AZ$5:$AZ$215,$AV$5:$AV$215)))-1))</f>
        <v/>
      </c>
      <c r="BE153" s="52">
        <f>IF(OR($I153&lt;1,IF($I153&gt;=6,BA153,AW153)&lt;=0),"",IF(SUMPRODUCT(MAX(($C$5:$C$215=$C153)*($I$5:$I$215&gt;=1)*($I$5:$I$215&lt;$I153)*IF($I153&gt;=6,$BA$5:$BA$215,$AW$5:$AW$215)))&lt;=0,"",SUMPRODUCT(MAX(($C$5:$C$215=$C153)*($I$5:$I$215=$I153)*IF($I153&gt;=6,$BA$5:$BA$215,$AW$5:$AW$215)))/SUMPRODUCT(MAX(($C$5:$C$215=$C153)*($I$5:$I$215&gt;=1)*($I$5:$I$215&lt;$I153)*IF($I153&gt;=6,$BA$5:$BA$215,$AW$5:$AW$215)))-1))</f>
        <v/>
      </c>
      <c r="BF153" s="19">
        <f>IF(AND(BB153="",BC153="",BD153="",BE153=""),"",IF(IF(AND(ISNUMBER(BB153),BB153&lt;'Item Budget'!$R$11),"W ","")&amp;IF(AND(ISNUMBER(BC153),BC153&lt;'Item Budget'!$R$11),"R ","")&amp;IF(AND(ISNUMBER(BD153),BD153&lt;'Item Budget'!$R$11),"M ","")&amp;IF(AND(ISNUMBER(BE153),BE153&lt;'Item Budget'!$R$11),"P ","")="","OK","Not above lower step: "&amp;IF(AND(ISNUMBER(BB153),BB153&lt;'Item Budget'!$R$11),"W ","")&amp;IF(AND(ISNUMBER(BC153),BC153&lt;'Item Budget'!$R$11),"R ","")&amp;IF(AND(ISNUMBER(BD153),BD153&lt;'Item Budget'!$R$11),"M ","")&amp;IF(AND(ISNUMBER(BE153),BE153&lt;'Item Budget'!$R$11),"P ","")))</f>
        <v/>
      </c>
    </row>
    <row r="154">
      <c r="A154" s="21" t="n">
        <v>311</v>
      </c>
      <c r="B154" s="21" t="inlineStr">
        <is>
          <t>Earthbrand Guard</t>
        </is>
      </c>
      <c r="C154" s="21" t="inlineStr">
        <is>
          <t>Shield</t>
        </is>
      </c>
      <c r="D154" s="21" t="inlineStr">
        <is>
          <t>Magus/Priest</t>
        </is>
      </c>
      <c r="E154" s="21" t="inlineStr">
        <is>
          <t>Magus/Priest</t>
        </is>
      </c>
      <c r="F154" s="21" t="inlineStr">
        <is>
          <t>Caster cloth</t>
        </is>
      </c>
      <c r="G154" s="21" t="inlineStr">
        <is>
          <t>vendor: Shield Guy</t>
        </is>
      </c>
      <c r="H154" s="37" t="n">
        <v>0</v>
      </c>
      <c r="I154" s="21" t="n">
        <v>1</v>
      </c>
      <c r="J154" s="19" t="inlineStr">
        <is>
          <t>Pass 2</t>
        </is>
      </c>
      <c r="K154" s="21" t="inlineStr">
        <is>
          <t>Vendor</t>
        </is>
      </c>
      <c r="L154" s="31">
        <f>INDEX('Item Budget'!$F$5:$F$13,MATCH(K154,'Item Budget'!$E$5:$E$13,0))+IF(E154="All",0,'Item Budget'!$F$15)+LOOKUP(H154,'Item Budget'!$E$19:$E$23,'Item Budget'!$F$19:$F$23)</f>
        <v/>
      </c>
      <c r="M154" s="21" t="n">
        <v>50</v>
      </c>
      <c r="N154" s="21" t="n">
        <v>60</v>
      </c>
      <c r="O154" s="21" t="n">
        <v>180</v>
      </c>
      <c r="P154" s="21" t="n">
        <v>70</v>
      </c>
      <c r="Q154" s="21" t="n">
        <v>0</v>
      </c>
      <c r="R154" s="21" t="n">
        <v>0</v>
      </c>
      <c r="S154" s="21" t="n">
        <v>0</v>
      </c>
      <c r="T154" s="21" t="n">
        <v>0</v>
      </c>
      <c r="U154" s="21" t="n">
        <v>0</v>
      </c>
      <c r="V154" s="21" t="inlineStr">
        <is>
          <t>(none)</t>
        </is>
      </c>
      <c r="W154" s="61">
        <f>N154*'Item Budget'!$B$5+R154*'Item Budget'!$B$7+P154*'Item Budget'!$B$11+S154*'Item Budget'!$B$10+Q154*'Item Budget'!$B$9+IFERROR(INDEX('Item Budget'!$M$25:$M$95,MATCH(V154,'Item Budget'!$B$25:$B$95,0)),0)+IF($C154="Weapon",U154*'Item Budget'!$B$9,0)</f>
        <v/>
      </c>
      <c r="X154" s="61">
        <f>N154*'Item Budget'!$B$5+R154*'Item Budget'!$B$7+P154*'Item Budget'!$B$11+S154*'Item Budget'!$B$10+O154*'Item Budget'!$B$6+T154*'Item Budget'!$B$8+IFERROR(INDEX('Item Budget'!$N$25:$N$95,MATCH(V154,'Item Budget'!$B$25:$B$95,0)),0)</f>
        <v/>
      </c>
      <c r="Y154" s="61">
        <f>MAX('Item Budget'!$F$16,INDEX('Gear Budget'!$C$8:$C$14,MATCH($C154,'Gear Budget'!$A$8:$A$14,0))*MIN(M154,50))*$L154</f>
        <v/>
      </c>
      <c r="Z154" s="41">
        <f>IF($C154="Caster weapon",X154,MAX(W154,X154))/Y154</f>
        <v/>
      </c>
      <c r="AA154" s="61">
        <f>IF(OR($C154="Weapon",$C154="Caster weapon"),"",'Gear Budget'!$B$5*MAX(1,MIN(M154,50))*INDEX('Gear Budget'!$B$8:$B$14,MATCH($C154,'Gear Budget'!$A$8:$A$14,0))*IF($C154="Shield",IF(D154="Warrior",1,IF(OR(D154="Rogue",D154="All"),0.38/0.6,0.25/0.6)),IFERROR(INDEX('Gear Budget'!$B$18:$B$21,MATCH($F154,'Gear Budget'!$A$18:$A$21,0)),1)))</f>
        <v/>
      </c>
      <c r="AB154" s="41">
        <f>IF(AA154="","",P154/AA154)</f>
        <v/>
      </c>
      <c r="AC154" s="21" t="n">
        <v>50</v>
      </c>
      <c r="AD154" s="20" t="n">
        <v>95</v>
      </c>
      <c r="AE154" s="20" t="n">
        <v>300</v>
      </c>
      <c r="AF154" s="20" t="n">
        <v>88</v>
      </c>
      <c r="AG154" s="21" t="n">
        <v>0</v>
      </c>
      <c r="AH154" s="21" t="n">
        <v>0</v>
      </c>
      <c r="AI154" s="21" t="n">
        <v>0</v>
      </c>
      <c r="AJ154" s="21" t="n">
        <v>0</v>
      </c>
      <c r="AK154" s="21" t="n">
        <v>0</v>
      </c>
      <c r="AL154" s="21" t="inlineStr">
        <is>
          <t>(none)</t>
        </is>
      </c>
      <c r="AM154" s="61">
        <f>AD154*'Item Budget'!$B$5+AH154*'Item Budget'!$B$7+AF154*'Item Budget'!$B$11+AI154*'Item Budget'!$B$10+AG154*'Item Budget'!$B$9+IFERROR(INDEX('Item Budget'!$M$25:$M$95,MATCH(AL154,'Item Budget'!$B$25:$B$95,0)),0)+IF($C154="Weapon",AK154*'Item Budget'!$B$9,0)</f>
        <v/>
      </c>
      <c r="AN154" s="61">
        <f>AD154*'Item Budget'!$B$5+AH154*'Item Budget'!$B$7+AF154*'Item Budget'!$B$11+AI154*'Item Budget'!$B$10+AE154*'Item Budget'!$B$6+AJ154*'Item Budget'!$B$8+IFERROR(INDEX('Item Budget'!$N$25:$N$95,MATCH(AL154,'Item Budget'!$B$25:$B$95,0)),0)</f>
        <v/>
      </c>
      <c r="AO154" s="61">
        <f>MAX('Item Budget'!$F$16,INDEX('Gear Budget'!$C$8:$C$14,MATCH($C154,'Gear Budget'!$A$8:$A$14,0))*MIN(AC154,50))*$L154</f>
        <v/>
      </c>
      <c r="AP154" s="41">
        <f>IF($C154="Caster weapon",AN154,MAX(AM154,AN154))/AO154</f>
        <v/>
      </c>
      <c r="AQ154" s="61">
        <f>IF(OR($C154="Weapon",$C154="Caster weapon"),"",'Gear Budget'!$B$5*MAX(1,MIN(AC154,50))*INDEX('Gear Budget'!$B$8:$B$14,MATCH($C154,'Gear Budget'!$A$8:$A$14,0))*IF($C154="Shield",IF(E154="Warrior",1,IF(OR(E154="Rogue",E154="All"),0.38/0.6,0.25/0.6)),IFERROR(INDEX('Gear Budget'!$B$18:$B$21,MATCH($F154,'Gear Budget'!$A$18:$A$21,0)),1)))</f>
        <v/>
      </c>
      <c r="AR154" s="41">
        <f>IF(AQ154="","",AF154/AQ154)</f>
        <v/>
      </c>
      <c r="AS154" s="64" t="inlineStr">
        <is>
          <t>Earthbrand Buckler/Guard (L50 vendor): only +13% over the L35 Firebrand versions; Raised so it is 10% over Firebrand Guard for Magus (pass 2 class weights)</t>
        </is>
      </c>
      <c r="AT154" s="44">
        <f>IF(OR($E154="All",ISNUMBER(SEARCH("Warrior",$E154))),IF($C154="Caster weapon",(AN154+AF154*('Item Budget'!$AB$14-'Item Budget'!$B$11)),(AM154+AF154*('Item Budget'!$AB$14-'Item Budget'!$B$11))),0)</f>
        <v/>
      </c>
      <c r="AU154" s="44">
        <f>IF(OR($E154="All",ISNUMBER(SEARCH("Rogue",$E154))),IF($C154="Caster weapon",(AN154+AF154*('Item Budget'!$AB$15-'Item Budget'!$B$11)),(AM154+AF154*('Item Budget'!$AB$15-'Item Budget'!$B$11))),0)</f>
        <v/>
      </c>
      <c r="AV154" s="44">
        <f>IF(OR($E154="All",ISNUMBER(SEARCH("Magus",$E154))),(AN154+AF154*('Item Budget'!$AB$16-'Item Budget'!$B$11)),0)</f>
        <v/>
      </c>
      <c r="AW154" s="44">
        <f>IF(OR($E154="All",ISNUMBER(SEARCH("Priest",$E154))),(AN154+AF154*('Item Budget'!$AB$17-'Item Budget'!$B$11)),0)</f>
        <v/>
      </c>
      <c r="AX154" s="44">
        <f>IF(AND(OR($E154="All",ISNUMBER(SEARCH("Warrior",$E154))),AC154&gt;='Item Budget'!$R$10),'Item Budget'!$R$7*100*('Item Budget'!$R$14*(AD154+25*AH154)+'Item Budget'!$S$14*(AE154+25*AJ154))/'Item Budget'!$Z$14+'Item Budget'!$R$9*AF154+IFERROR(INDEX('Item Budget'!$O$25:$O$95,MATCH(AL154,'Item Budget'!$B$25:$B$95,0)),0),0)</f>
        <v/>
      </c>
      <c r="AY154" s="44">
        <f>IF(AND(OR($E154="All",ISNUMBER(SEARCH("Rogue",$E154))),AC154&gt;='Item Budget'!$R$10),'Item Budget'!$R$7*100*('Item Budget'!$R$15*(AD154+25*AH154)+'Item Budget'!$S$15*(AE154+25*AJ154))/'Item Budget'!$Z$15+'Item Budget'!$R$9*AF154+IFERROR(INDEX('Item Budget'!$O$25:$O$95,MATCH(AL154,'Item Budget'!$B$25:$B$95,0)),0),0)</f>
        <v/>
      </c>
      <c r="AZ154" s="44">
        <f>IF(AND(OR($E154="All",ISNUMBER(SEARCH("Magus",$E154))),AC154&gt;='Item Budget'!$R$10),'Item Budget'!$R$7*100*('Item Budget'!$R$16*(AD154+25*AH154)+'Item Budget'!$S$16*(AE154+25*AJ154))/'Item Budget'!$Z$16+'Item Budget'!$R$9*AF154+IFERROR(INDEX('Item Budget'!$O$25:$O$95,MATCH(AL154,'Item Budget'!$B$25:$B$95,0)),0),0)</f>
        <v/>
      </c>
      <c r="BA154" s="44">
        <f>IF(AND(OR($E154="All",ISNUMBER(SEARCH("Priest",$E154))),AC154&gt;='Item Budget'!$R$10),'Item Budget'!$R$7*100*('Item Budget'!$R$17*(AD154+25*AH154)+'Item Budget'!$S$17*(AE154+25*AJ154))/'Item Budget'!$Z$17+'Item Budget'!$R$9*AF154+IFERROR(INDEX('Item Budget'!$O$25:$O$95,MATCH(AL154,'Item Budget'!$B$25:$B$95,0)),0),0)</f>
        <v/>
      </c>
      <c r="BB154" s="52">
        <f>IF(OR($I154&lt;1,IF($I154&gt;=6,AX154,AT154)&lt;=0),"",IF(SUMPRODUCT(MAX(($C$5:$C$215=$C154)*($I$5:$I$215&gt;=1)*($I$5:$I$215&lt;$I154)*IF($I154&gt;=6,$AX$5:$AX$215,$AT$5:$AT$215)))&lt;=0,"",SUMPRODUCT(MAX(($C$5:$C$215=$C154)*($I$5:$I$215=$I154)*IF($I154&gt;=6,$AX$5:$AX$215,$AT$5:$AT$215)))/SUMPRODUCT(MAX(($C$5:$C$215=$C154)*($I$5:$I$215&gt;=1)*($I$5:$I$215&lt;$I154)*IF($I154&gt;=6,$AX$5:$AX$215,$AT$5:$AT$215)))-1))</f>
        <v/>
      </c>
      <c r="BC154" s="52">
        <f>IF(OR($I154&lt;1,IF($I154&gt;=6,AY154,AU154)&lt;=0),"",IF(SUMPRODUCT(MAX(($C$5:$C$215=$C154)*($I$5:$I$215&gt;=1)*($I$5:$I$215&lt;$I154)*IF($I154&gt;=6,$AY$5:$AY$215,$AU$5:$AU$215)))&lt;=0,"",SUMPRODUCT(MAX(($C$5:$C$215=$C154)*($I$5:$I$215=$I154)*IF($I154&gt;=6,$AY$5:$AY$215,$AU$5:$AU$215)))/SUMPRODUCT(MAX(($C$5:$C$215=$C154)*($I$5:$I$215&gt;=1)*($I$5:$I$215&lt;$I154)*IF($I154&gt;=6,$AY$5:$AY$215,$AU$5:$AU$215)))-1))</f>
        <v/>
      </c>
      <c r="BD154" s="52">
        <f>IF(OR($I154&lt;1,IF($I154&gt;=6,AZ154,AV154)&lt;=0),"",IF(SUMPRODUCT(MAX(($C$5:$C$215=$C154)*($I$5:$I$215&gt;=1)*($I$5:$I$215&lt;$I154)*IF($I154&gt;=6,$AZ$5:$AZ$215,$AV$5:$AV$215)))&lt;=0,"",SUMPRODUCT(MAX(($C$5:$C$215=$C154)*($I$5:$I$215=$I154)*IF($I154&gt;=6,$AZ$5:$AZ$215,$AV$5:$AV$215)))/SUMPRODUCT(MAX(($C$5:$C$215=$C154)*($I$5:$I$215&gt;=1)*($I$5:$I$215&lt;$I154)*IF($I154&gt;=6,$AZ$5:$AZ$215,$AV$5:$AV$215)))-1))</f>
        <v/>
      </c>
      <c r="BE154" s="52">
        <f>IF(OR($I154&lt;1,IF($I154&gt;=6,BA154,AW154)&lt;=0),"",IF(SUMPRODUCT(MAX(($C$5:$C$215=$C154)*($I$5:$I$215&gt;=1)*($I$5:$I$215&lt;$I154)*IF($I154&gt;=6,$BA$5:$BA$215,$AW$5:$AW$215)))&lt;=0,"",SUMPRODUCT(MAX(($C$5:$C$215=$C154)*($I$5:$I$215=$I154)*IF($I154&gt;=6,$BA$5:$BA$215,$AW$5:$AW$215)))/SUMPRODUCT(MAX(($C$5:$C$215=$C154)*($I$5:$I$215&gt;=1)*($I$5:$I$215&lt;$I154)*IF($I154&gt;=6,$BA$5:$BA$215,$AW$5:$AW$215)))-1))</f>
        <v/>
      </c>
      <c r="BF154" s="19">
        <f>IF(AND(BB154="",BC154="",BD154="",BE154=""),"",IF(IF(AND(ISNUMBER(BB154),BB154&lt;'Item Budget'!$R$11),"W ","")&amp;IF(AND(ISNUMBER(BC154),BC154&lt;'Item Budget'!$R$11),"R ","")&amp;IF(AND(ISNUMBER(BD154),BD154&lt;'Item Budget'!$R$11),"M ","")&amp;IF(AND(ISNUMBER(BE154),BE154&lt;'Item Budget'!$R$11),"P ","")="","OK","Not above lower step: "&amp;IF(AND(ISNUMBER(BB154),BB154&lt;'Item Budget'!$R$11),"W ","")&amp;IF(AND(ISNUMBER(BC154),BC154&lt;'Item Budget'!$R$11),"R ","")&amp;IF(AND(ISNUMBER(BD154),BD154&lt;'Item Budget'!$R$11),"M ","")&amp;IF(AND(ISNUMBER(BE154),BE154&lt;'Item Budget'!$R$11),"P ","")))</f>
        <v/>
      </c>
    </row>
    <row r="155">
      <c r="A155" s="21" t="n">
        <v>293</v>
      </c>
      <c r="B155" s="21" t="inlineStr">
        <is>
          <t>Magus Ancient Moon Shield</t>
        </is>
      </c>
      <c r="C155" s="21" t="inlineStr">
        <is>
          <t>Shield</t>
        </is>
      </c>
      <c r="D155" s="21" t="inlineStr">
        <is>
          <t>Magus</t>
        </is>
      </c>
      <c r="E155" s="21" t="inlineStr">
        <is>
          <t>Magus</t>
        </is>
      </c>
      <c r="F155" s="21" t="inlineStr">
        <is>
          <t>Caster cloth</t>
        </is>
      </c>
      <c r="G155" s="21" t="inlineStr">
        <is>
          <t>craft</t>
        </is>
      </c>
      <c r="H155" s="37" t="n">
        <v>20000000</v>
      </c>
      <c r="I155" s="21" t="n">
        <v>6</v>
      </c>
      <c r="J155" s="19" t="inlineStr">
        <is>
          <t>Leave</t>
        </is>
      </c>
      <c r="K155" s="21" t="inlineStr">
        <is>
          <t>Crafted</t>
        </is>
      </c>
      <c r="L155" s="31">
        <f>INDEX('Item Budget'!$F$5:$F$13,MATCH(K155,'Item Budget'!$E$5:$E$13,0))+IF(E155="All",0,'Item Budget'!$F$15)+LOOKUP(H155,'Item Budget'!$E$19:$E$23,'Item Budget'!$F$19:$F$23)</f>
        <v/>
      </c>
      <c r="M155" s="21" t="n">
        <v>50</v>
      </c>
      <c r="N155" s="21" t="n">
        <v>0</v>
      </c>
      <c r="O155" s="21" t="n">
        <v>600</v>
      </c>
      <c r="P155" s="21" t="n">
        <v>150</v>
      </c>
      <c r="Q155" s="21" t="n">
        <v>0</v>
      </c>
      <c r="R155" s="21" t="n">
        <v>0</v>
      </c>
      <c r="S155" s="21" t="n">
        <v>0</v>
      </c>
      <c r="T155" s="21" t="n">
        <v>20</v>
      </c>
      <c r="U155" s="21" t="n">
        <v>0</v>
      </c>
      <c r="V155" s="21" t="inlineStr">
        <is>
          <t>Increased Spell Damage X</t>
        </is>
      </c>
      <c r="W155" s="61">
        <f>N155*'Item Budget'!$B$5+R155*'Item Budget'!$B$7+P155*'Item Budget'!$B$11+S155*'Item Budget'!$B$10+Q155*'Item Budget'!$B$9+IFERROR(INDEX('Item Budget'!$M$25:$M$95,MATCH(V155,'Item Budget'!$B$25:$B$95,0)),0)+IF($C155="Weapon",U155*'Item Budget'!$B$9,0)</f>
        <v/>
      </c>
      <c r="X155" s="61">
        <f>N155*'Item Budget'!$B$5+R155*'Item Budget'!$B$7+P155*'Item Budget'!$B$11+S155*'Item Budget'!$B$10+O155*'Item Budget'!$B$6+T155*'Item Budget'!$B$8+IFERROR(INDEX('Item Budget'!$N$25:$N$95,MATCH(V155,'Item Budget'!$B$25:$B$95,0)),0)</f>
        <v/>
      </c>
      <c r="Y155" s="61">
        <f>MAX('Item Budget'!$F$16,INDEX('Gear Budget'!$C$8:$C$14,MATCH($C155,'Gear Budget'!$A$8:$A$14,0))*MIN(M155,50))*$L155</f>
        <v/>
      </c>
      <c r="Z155" s="41">
        <f>IF($C155="Caster weapon",X155,MAX(W155,X155))/Y155</f>
        <v/>
      </c>
      <c r="AA155" s="61">
        <f>IF(OR($C155="Weapon",$C155="Caster weapon"),"",'Gear Budget'!$B$5*MAX(1,MIN(M155,50))*INDEX('Gear Budget'!$B$8:$B$14,MATCH($C155,'Gear Budget'!$A$8:$A$14,0))*IF($C155="Shield",IF(D155="Warrior",1,IF(OR(D155="Rogue",D155="All"),0.38/0.6,0.25/0.6)),IFERROR(INDEX('Gear Budget'!$B$18:$B$21,MATCH($F155,'Gear Budget'!$A$18:$A$21,0)),1)))</f>
        <v/>
      </c>
      <c r="AB155" s="41">
        <f>IF(AA155="","",P155/AA155)</f>
        <v/>
      </c>
      <c r="AC155" s="21" t="n">
        <v>50</v>
      </c>
      <c r="AD155" s="21" t="n">
        <v>0</v>
      </c>
      <c r="AE155" s="21" t="n">
        <v>600</v>
      </c>
      <c r="AF155" s="21" t="n">
        <v>150</v>
      </c>
      <c r="AG155" s="21" t="n">
        <v>0</v>
      </c>
      <c r="AH155" s="21" t="n">
        <v>0</v>
      </c>
      <c r="AI155" s="21" t="n">
        <v>0</v>
      </c>
      <c r="AJ155" s="21" t="n">
        <v>20</v>
      </c>
      <c r="AK155" s="21" t="n">
        <v>0</v>
      </c>
      <c r="AL155" s="21" t="inlineStr">
        <is>
          <t>Increased Spell Damage X</t>
        </is>
      </c>
      <c r="AM155" s="61">
        <f>AD155*'Item Budget'!$B$5+AH155*'Item Budget'!$B$7+AF155*'Item Budget'!$B$11+AI155*'Item Budget'!$B$10+AG155*'Item Budget'!$B$9+IFERROR(INDEX('Item Budget'!$M$25:$M$95,MATCH(AL155,'Item Budget'!$B$25:$B$95,0)),0)+IF($C155="Weapon",AK155*'Item Budget'!$B$9,0)</f>
        <v/>
      </c>
      <c r="AN155" s="61">
        <f>AD155*'Item Budget'!$B$5+AH155*'Item Budget'!$B$7+AF155*'Item Budget'!$B$11+AI155*'Item Budget'!$B$10+AE155*'Item Budget'!$B$6+AJ155*'Item Budget'!$B$8+IFERROR(INDEX('Item Budget'!$N$25:$N$95,MATCH(AL155,'Item Budget'!$B$25:$B$95,0)),0)</f>
        <v/>
      </c>
      <c r="AO155" s="61">
        <f>MAX('Item Budget'!$F$16,INDEX('Gear Budget'!$C$8:$C$14,MATCH($C155,'Gear Budget'!$A$8:$A$14,0))*MIN(AC155,50))*$L155</f>
        <v/>
      </c>
      <c r="AP155" s="41">
        <f>IF($C155="Caster weapon",AN155,MAX(AM155,AN155))/AO155</f>
        <v/>
      </c>
      <c r="AQ155" s="61">
        <f>IF(OR($C155="Weapon",$C155="Caster weapon"),"",'Gear Budget'!$B$5*MAX(1,MIN(AC155,50))*INDEX('Gear Budget'!$B$8:$B$14,MATCH($C155,'Gear Budget'!$A$8:$A$14,0))*IF($C155="Shield",IF(E155="Warrior",1,IF(OR(E155="Rogue",E155="All"),0.38/0.6,0.25/0.6)),IFERROR(INDEX('Gear Budget'!$B$18:$B$21,MATCH($F155,'Gear Budget'!$A$18:$A$21,0)),1)))</f>
        <v/>
      </c>
      <c r="AR155" s="41">
        <f>IF(AQ155="","",AF155/AQ155)</f>
        <v/>
      </c>
      <c r="AS155" s="64" t="n"/>
      <c r="AT155" s="44">
        <f>IF(OR($E155="All",ISNUMBER(SEARCH("Warrior",$E155))),IF($C155="Caster weapon",(AN155+AF155*('Item Budget'!$AB$14-'Item Budget'!$B$11)),(AM155+AF155*('Item Budget'!$AB$14-'Item Budget'!$B$11))),0)</f>
        <v/>
      </c>
      <c r="AU155" s="44">
        <f>IF(OR($E155="All",ISNUMBER(SEARCH("Rogue",$E155))),IF($C155="Caster weapon",(AN155+AF155*('Item Budget'!$AB$15-'Item Budget'!$B$11)),(AM155+AF155*('Item Budget'!$AB$15-'Item Budget'!$B$11))),0)</f>
        <v/>
      </c>
      <c r="AV155" s="44">
        <f>IF(OR($E155="All",ISNUMBER(SEARCH("Magus",$E155))),(AN155+AF155*('Item Budget'!$AB$16-'Item Budget'!$B$11)),0)</f>
        <v/>
      </c>
      <c r="AW155" s="44">
        <f>IF(OR($E155="All",ISNUMBER(SEARCH("Priest",$E155))),(AN155+AF155*('Item Budget'!$AB$17-'Item Budget'!$B$11)),0)</f>
        <v/>
      </c>
      <c r="AX155" s="44">
        <f>IF(AND(OR($E155="All",ISNUMBER(SEARCH("Warrior",$E155))),AC155&gt;='Item Budget'!$R$10),'Item Budget'!$R$7*100*('Item Budget'!$R$14*(AD155+25*AH155)+'Item Budget'!$S$14*(AE155+25*AJ155))/'Item Budget'!$Z$14+'Item Budget'!$R$9*AF155+IFERROR(INDEX('Item Budget'!$O$25:$O$95,MATCH(AL155,'Item Budget'!$B$25:$B$95,0)),0),0)</f>
        <v/>
      </c>
      <c r="AY155" s="44">
        <f>IF(AND(OR($E155="All",ISNUMBER(SEARCH("Rogue",$E155))),AC155&gt;='Item Budget'!$R$10),'Item Budget'!$R$7*100*('Item Budget'!$R$15*(AD155+25*AH155)+'Item Budget'!$S$15*(AE155+25*AJ155))/'Item Budget'!$Z$15+'Item Budget'!$R$9*AF155+IFERROR(INDEX('Item Budget'!$O$25:$O$95,MATCH(AL155,'Item Budget'!$B$25:$B$95,0)),0),0)</f>
        <v/>
      </c>
      <c r="AZ155" s="44">
        <f>IF(AND(OR($E155="All",ISNUMBER(SEARCH("Magus",$E155))),AC155&gt;='Item Budget'!$R$10),'Item Budget'!$R$7*100*('Item Budget'!$R$16*(AD155+25*AH155)+'Item Budget'!$S$16*(AE155+25*AJ155))/'Item Budget'!$Z$16+'Item Budget'!$R$9*AF155+IFERROR(INDEX('Item Budget'!$O$25:$O$95,MATCH(AL155,'Item Budget'!$B$25:$B$95,0)),0),0)</f>
        <v/>
      </c>
      <c r="BA155" s="44">
        <f>IF(AND(OR($E155="All",ISNUMBER(SEARCH("Priest",$E155))),AC155&gt;='Item Budget'!$R$10),'Item Budget'!$R$7*100*('Item Budget'!$R$17*(AD155+25*AH155)+'Item Budget'!$S$17*(AE155+25*AJ155))/'Item Budget'!$Z$17+'Item Budget'!$R$9*AF155+IFERROR(INDEX('Item Budget'!$O$25:$O$95,MATCH(AL155,'Item Budget'!$B$25:$B$95,0)),0),0)</f>
        <v/>
      </c>
      <c r="BB155" s="52">
        <f>IF(OR($I155&lt;1,IF($I155&gt;=6,AX155,AT155)&lt;=0),"",IF(SUMPRODUCT(MAX(($C$5:$C$215=$C155)*($I$5:$I$215&gt;=1)*($I$5:$I$215&lt;$I155)*IF($I155&gt;=6,$AX$5:$AX$215,$AT$5:$AT$215)))&lt;=0,"",SUMPRODUCT(MAX(($C$5:$C$215=$C155)*($I$5:$I$215=$I155)*IF($I155&gt;=6,$AX$5:$AX$215,$AT$5:$AT$215)))/SUMPRODUCT(MAX(($C$5:$C$215=$C155)*($I$5:$I$215&gt;=1)*($I$5:$I$215&lt;$I155)*IF($I155&gt;=6,$AX$5:$AX$215,$AT$5:$AT$215)))-1))</f>
        <v/>
      </c>
      <c r="BC155" s="52">
        <f>IF(OR($I155&lt;1,IF($I155&gt;=6,AY155,AU155)&lt;=0),"",IF(SUMPRODUCT(MAX(($C$5:$C$215=$C155)*($I$5:$I$215&gt;=1)*($I$5:$I$215&lt;$I155)*IF($I155&gt;=6,$AY$5:$AY$215,$AU$5:$AU$215)))&lt;=0,"",SUMPRODUCT(MAX(($C$5:$C$215=$C155)*($I$5:$I$215=$I155)*IF($I155&gt;=6,$AY$5:$AY$215,$AU$5:$AU$215)))/SUMPRODUCT(MAX(($C$5:$C$215=$C155)*($I$5:$I$215&gt;=1)*($I$5:$I$215&lt;$I155)*IF($I155&gt;=6,$AY$5:$AY$215,$AU$5:$AU$215)))-1))</f>
        <v/>
      </c>
      <c r="BD155" s="52">
        <f>IF(OR($I155&lt;1,IF($I155&gt;=6,AZ155,AV155)&lt;=0),"",IF(SUMPRODUCT(MAX(($C$5:$C$215=$C155)*($I$5:$I$215&gt;=1)*($I$5:$I$215&lt;$I155)*IF($I155&gt;=6,$AZ$5:$AZ$215,$AV$5:$AV$215)))&lt;=0,"",SUMPRODUCT(MAX(($C$5:$C$215=$C155)*($I$5:$I$215=$I155)*IF($I155&gt;=6,$AZ$5:$AZ$215,$AV$5:$AV$215)))/SUMPRODUCT(MAX(($C$5:$C$215=$C155)*($I$5:$I$215&gt;=1)*($I$5:$I$215&lt;$I155)*IF($I155&gt;=6,$AZ$5:$AZ$215,$AV$5:$AV$215)))-1))</f>
        <v/>
      </c>
      <c r="BE155" s="52">
        <f>IF(OR($I155&lt;1,IF($I155&gt;=6,BA155,AW155)&lt;=0),"",IF(SUMPRODUCT(MAX(($C$5:$C$215=$C155)*($I$5:$I$215&gt;=1)*($I$5:$I$215&lt;$I155)*IF($I155&gt;=6,$BA$5:$BA$215,$AW$5:$AW$215)))&lt;=0,"",SUMPRODUCT(MAX(($C$5:$C$215=$C155)*($I$5:$I$215=$I155)*IF($I155&gt;=6,$BA$5:$BA$215,$AW$5:$AW$215)))/SUMPRODUCT(MAX(($C$5:$C$215=$C155)*($I$5:$I$215&gt;=1)*($I$5:$I$215&lt;$I155)*IF($I155&gt;=6,$BA$5:$BA$215,$AW$5:$AW$215)))-1))</f>
        <v/>
      </c>
      <c r="BF155" s="19">
        <f>IF(AND(BB155="",BC155="",BD155="",BE155=""),"",IF(IF(AND(ISNUMBER(BB155),BB155&lt;'Item Budget'!$R$11),"W ","")&amp;IF(AND(ISNUMBER(BC155),BC155&lt;'Item Budget'!$R$11),"R ","")&amp;IF(AND(ISNUMBER(BD155),BD155&lt;'Item Budget'!$R$11),"M ","")&amp;IF(AND(ISNUMBER(BE155),BE155&lt;'Item Budget'!$R$11),"P ","")="","OK","Not above lower step: "&amp;IF(AND(ISNUMBER(BB155),BB155&lt;'Item Budget'!$R$11),"W ","")&amp;IF(AND(ISNUMBER(BC155),BC155&lt;'Item Budget'!$R$11),"R ","")&amp;IF(AND(ISNUMBER(BD155),BD155&lt;'Item Budget'!$R$11),"M ","")&amp;IF(AND(ISNUMBER(BE155),BE155&lt;'Item Budget'!$R$11),"P ","")))</f>
        <v/>
      </c>
    </row>
    <row r="156">
      <c r="A156" s="21" t="n">
        <v>294</v>
      </c>
      <c r="B156" s="21" t="inlineStr">
        <is>
          <t>Priests Ancient Moon Shield</t>
        </is>
      </c>
      <c r="C156" s="21" t="inlineStr">
        <is>
          <t>Shield</t>
        </is>
      </c>
      <c r="D156" s="21" t="inlineStr">
        <is>
          <t>Priest</t>
        </is>
      </c>
      <c r="E156" s="21" t="inlineStr">
        <is>
          <t>Priest</t>
        </is>
      </c>
      <c r="F156" s="21" t="inlineStr">
        <is>
          <t>Caster cloth</t>
        </is>
      </c>
      <c r="G156" s="21" t="inlineStr">
        <is>
          <t>craft</t>
        </is>
      </c>
      <c r="H156" s="37" t="n">
        <v>20000000</v>
      </c>
      <c r="I156" s="21" t="n">
        <v>6</v>
      </c>
      <c r="J156" s="19" t="inlineStr">
        <is>
          <t>Leave</t>
        </is>
      </c>
      <c r="K156" s="21" t="inlineStr">
        <is>
          <t>Crafted</t>
        </is>
      </c>
      <c r="L156" s="31">
        <f>INDEX('Item Budget'!$F$5:$F$13,MATCH(K156,'Item Budget'!$E$5:$E$13,0))+IF(E156="All",0,'Item Budget'!$F$15)+LOOKUP(H156,'Item Budget'!$E$19:$E$23,'Item Budget'!$F$19:$F$23)</f>
        <v/>
      </c>
      <c r="M156" s="21" t="n">
        <v>50</v>
      </c>
      <c r="N156" s="21" t="n">
        <v>100</v>
      </c>
      <c r="O156" s="21" t="n">
        <v>500</v>
      </c>
      <c r="P156" s="21" t="n">
        <v>150</v>
      </c>
      <c r="Q156" s="21" t="n">
        <v>0</v>
      </c>
      <c r="R156" s="21" t="n">
        <v>5</v>
      </c>
      <c r="S156" s="21" t="n">
        <v>0</v>
      </c>
      <c r="T156" s="21" t="n">
        <v>15</v>
      </c>
      <c r="U156" s="21" t="n">
        <v>0</v>
      </c>
      <c r="V156" s="21" t="inlineStr">
        <is>
          <t>Spell Critical Damage X</t>
        </is>
      </c>
      <c r="W156" s="61">
        <f>N156*'Item Budget'!$B$5+R156*'Item Budget'!$B$7+P156*'Item Budget'!$B$11+S156*'Item Budget'!$B$10+Q156*'Item Budget'!$B$9+IFERROR(INDEX('Item Budget'!$M$25:$M$95,MATCH(V156,'Item Budget'!$B$25:$B$95,0)),0)+IF($C156="Weapon",U156*'Item Budget'!$B$9,0)</f>
        <v/>
      </c>
      <c r="X156" s="61">
        <f>N156*'Item Budget'!$B$5+R156*'Item Budget'!$B$7+P156*'Item Budget'!$B$11+S156*'Item Budget'!$B$10+O156*'Item Budget'!$B$6+T156*'Item Budget'!$B$8+IFERROR(INDEX('Item Budget'!$N$25:$N$95,MATCH(V156,'Item Budget'!$B$25:$B$95,0)),0)</f>
        <v/>
      </c>
      <c r="Y156" s="61">
        <f>MAX('Item Budget'!$F$16,INDEX('Gear Budget'!$C$8:$C$14,MATCH($C156,'Gear Budget'!$A$8:$A$14,0))*MIN(M156,50))*$L156</f>
        <v/>
      </c>
      <c r="Z156" s="41">
        <f>IF($C156="Caster weapon",X156,MAX(W156,X156))/Y156</f>
        <v/>
      </c>
      <c r="AA156" s="61">
        <f>IF(OR($C156="Weapon",$C156="Caster weapon"),"",'Gear Budget'!$B$5*MAX(1,MIN(M156,50))*INDEX('Gear Budget'!$B$8:$B$14,MATCH($C156,'Gear Budget'!$A$8:$A$14,0))*IF($C156="Shield",IF(D156="Warrior",1,IF(OR(D156="Rogue",D156="All"),0.38/0.6,0.25/0.6)),IFERROR(INDEX('Gear Budget'!$B$18:$B$21,MATCH($F156,'Gear Budget'!$A$18:$A$21,0)),1)))</f>
        <v/>
      </c>
      <c r="AB156" s="41">
        <f>IF(AA156="","",P156/AA156)</f>
        <v/>
      </c>
      <c r="AC156" s="21" t="n">
        <v>50</v>
      </c>
      <c r="AD156" s="21" t="n">
        <v>100</v>
      </c>
      <c r="AE156" s="21" t="n">
        <v>500</v>
      </c>
      <c r="AF156" s="21" t="n">
        <v>150</v>
      </c>
      <c r="AG156" s="21" t="n">
        <v>0</v>
      </c>
      <c r="AH156" s="21" t="n">
        <v>5</v>
      </c>
      <c r="AI156" s="21" t="n">
        <v>0</v>
      </c>
      <c r="AJ156" s="21" t="n">
        <v>15</v>
      </c>
      <c r="AK156" s="21" t="n">
        <v>0</v>
      </c>
      <c r="AL156" s="21" t="inlineStr">
        <is>
          <t>Spell Critical Damage X</t>
        </is>
      </c>
      <c r="AM156" s="61">
        <f>AD156*'Item Budget'!$B$5+AH156*'Item Budget'!$B$7+AF156*'Item Budget'!$B$11+AI156*'Item Budget'!$B$10+AG156*'Item Budget'!$B$9+IFERROR(INDEX('Item Budget'!$M$25:$M$95,MATCH(AL156,'Item Budget'!$B$25:$B$95,0)),0)+IF($C156="Weapon",AK156*'Item Budget'!$B$9,0)</f>
        <v/>
      </c>
      <c r="AN156" s="61">
        <f>AD156*'Item Budget'!$B$5+AH156*'Item Budget'!$B$7+AF156*'Item Budget'!$B$11+AI156*'Item Budget'!$B$10+AE156*'Item Budget'!$B$6+AJ156*'Item Budget'!$B$8+IFERROR(INDEX('Item Budget'!$N$25:$N$95,MATCH(AL156,'Item Budget'!$B$25:$B$95,0)),0)</f>
        <v/>
      </c>
      <c r="AO156" s="61">
        <f>MAX('Item Budget'!$F$16,INDEX('Gear Budget'!$C$8:$C$14,MATCH($C156,'Gear Budget'!$A$8:$A$14,0))*MIN(AC156,50))*$L156</f>
        <v/>
      </c>
      <c r="AP156" s="41">
        <f>IF($C156="Caster weapon",AN156,MAX(AM156,AN156))/AO156</f>
        <v/>
      </c>
      <c r="AQ156" s="61">
        <f>IF(OR($C156="Weapon",$C156="Caster weapon"),"",'Gear Budget'!$B$5*MAX(1,MIN(AC156,50))*INDEX('Gear Budget'!$B$8:$B$14,MATCH($C156,'Gear Budget'!$A$8:$A$14,0))*IF($C156="Shield",IF(E156="Warrior",1,IF(OR(E156="Rogue",E156="All"),0.38/0.6,0.25/0.6)),IFERROR(INDEX('Gear Budget'!$B$18:$B$21,MATCH($F156,'Gear Budget'!$A$18:$A$21,0)),1)))</f>
        <v/>
      </c>
      <c r="AR156" s="41">
        <f>IF(AQ156="","",AF156/AQ156)</f>
        <v/>
      </c>
      <c r="AS156" s="64" t="n"/>
      <c r="AT156" s="44">
        <f>IF(OR($E156="All",ISNUMBER(SEARCH("Warrior",$E156))),IF($C156="Caster weapon",(AN156+AF156*('Item Budget'!$AB$14-'Item Budget'!$B$11)),(AM156+AF156*('Item Budget'!$AB$14-'Item Budget'!$B$11))),0)</f>
        <v/>
      </c>
      <c r="AU156" s="44">
        <f>IF(OR($E156="All",ISNUMBER(SEARCH("Rogue",$E156))),IF($C156="Caster weapon",(AN156+AF156*('Item Budget'!$AB$15-'Item Budget'!$B$11)),(AM156+AF156*('Item Budget'!$AB$15-'Item Budget'!$B$11))),0)</f>
        <v/>
      </c>
      <c r="AV156" s="44">
        <f>IF(OR($E156="All",ISNUMBER(SEARCH("Magus",$E156))),(AN156+AF156*('Item Budget'!$AB$16-'Item Budget'!$B$11)),0)</f>
        <v/>
      </c>
      <c r="AW156" s="44">
        <f>IF(OR($E156="All",ISNUMBER(SEARCH("Priest",$E156))),(AN156+AF156*('Item Budget'!$AB$17-'Item Budget'!$B$11)),0)</f>
        <v/>
      </c>
      <c r="AX156" s="44">
        <f>IF(AND(OR($E156="All",ISNUMBER(SEARCH("Warrior",$E156))),AC156&gt;='Item Budget'!$R$10),'Item Budget'!$R$7*100*('Item Budget'!$R$14*(AD156+25*AH156)+'Item Budget'!$S$14*(AE156+25*AJ156))/'Item Budget'!$Z$14+'Item Budget'!$R$9*AF156+IFERROR(INDEX('Item Budget'!$O$25:$O$95,MATCH(AL156,'Item Budget'!$B$25:$B$95,0)),0),0)</f>
        <v/>
      </c>
      <c r="AY156" s="44">
        <f>IF(AND(OR($E156="All",ISNUMBER(SEARCH("Rogue",$E156))),AC156&gt;='Item Budget'!$R$10),'Item Budget'!$R$7*100*('Item Budget'!$R$15*(AD156+25*AH156)+'Item Budget'!$S$15*(AE156+25*AJ156))/'Item Budget'!$Z$15+'Item Budget'!$R$9*AF156+IFERROR(INDEX('Item Budget'!$O$25:$O$95,MATCH(AL156,'Item Budget'!$B$25:$B$95,0)),0),0)</f>
        <v/>
      </c>
      <c r="AZ156" s="44">
        <f>IF(AND(OR($E156="All",ISNUMBER(SEARCH("Magus",$E156))),AC156&gt;='Item Budget'!$R$10),'Item Budget'!$R$7*100*('Item Budget'!$R$16*(AD156+25*AH156)+'Item Budget'!$S$16*(AE156+25*AJ156))/'Item Budget'!$Z$16+'Item Budget'!$R$9*AF156+IFERROR(INDEX('Item Budget'!$O$25:$O$95,MATCH(AL156,'Item Budget'!$B$25:$B$95,0)),0),0)</f>
        <v/>
      </c>
      <c r="BA156" s="44">
        <f>IF(AND(OR($E156="All",ISNUMBER(SEARCH("Priest",$E156))),AC156&gt;='Item Budget'!$R$10),'Item Budget'!$R$7*100*('Item Budget'!$R$17*(AD156+25*AH156)+'Item Budget'!$S$17*(AE156+25*AJ156))/'Item Budget'!$Z$17+'Item Budget'!$R$9*AF156+IFERROR(INDEX('Item Budget'!$O$25:$O$95,MATCH(AL156,'Item Budget'!$B$25:$B$95,0)),0),0)</f>
        <v/>
      </c>
      <c r="BB156" s="52">
        <f>IF(OR($I156&lt;1,IF($I156&gt;=6,AX156,AT156)&lt;=0),"",IF(SUMPRODUCT(MAX(($C$5:$C$215=$C156)*($I$5:$I$215&gt;=1)*($I$5:$I$215&lt;$I156)*IF($I156&gt;=6,$AX$5:$AX$215,$AT$5:$AT$215)))&lt;=0,"",SUMPRODUCT(MAX(($C$5:$C$215=$C156)*($I$5:$I$215=$I156)*IF($I156&gt;=6,$AX$5:$AX$215,$AT$5:$AT$215)))/SUMPRODUCT(MAX(($C$5:$C$215=$C156)*($I$5:$I$215&gt;=1)*($I$5:$I$215&lt;$I156)*IF($I156&gt;=6,$AX$5:$AX$215,$AT$5:$AT$215)))-1))</f>
        <v/>
      </c>
      <c r="BC156" s="52">
        <f>IF(OR($I156&lt;1,IF($I156&gt;=6,AY156,AU156)&lt;=0),"",IF(SUMPRODUCT(MAX(($C$5:$C$215=$C156)*($I$5:$I$215&gt;=1)*($I$5:$I$215&lt;$I156)*IF($I156&gt;=6,$AY$5:$AY$215,$AU$5:$AU$215)))&lt;=0,"",SUMPRODUCT(MAX(($C$5:$C$215=$C156)*($I$5:$I$215=$I156)*IF($I156&gt;=6,$AY$5:$AY$215,$AU$5:$AU$215)))/SUMPRODUCT(MAX(($C$5:$C$215=$C156)*($I$5:$I$215&gt;=1)*($I$5:$I$215&lt;$I156)*IF($I156&gt;=6,$AY$5:$AY$215,$AU$5:$AU$215)))-1))</f>
        <v/>
      </c>
      <c r="BD156" s="52">
        <f>IF(OR($I156&lt;1,IF($I156&gt;=6,AZ156,AV156)&lt;=0),"",IF(SUMPRODUCT(MAX(($C$5:$C$215=$C156)*($I$5:$I$215&gt;=1)*($I$5:$I$215&lt;$I156)*IF($I156&gt;=6,$AZ$5:$AZ$215,$AV$5:$AV$215)))&lt;=0,"",SUMPRODUCT(MAX(($C$5:$C$215=$C156)*($I$5:$I$215=$I156)*IF($I156&gt;=6,$AZ$5:$AZ$215,$AV$5:$AV$215)))/SUMPRODUCT(MAX(($C$5:$C$215=$C156)*($I$5:$I$215&gt;=1)*($I$5:$I$215&lt;$I156)*IF($I156&gt;=6,$AZ$5:$AZ$215,$AV$5:$AV$215)))-1))</f>
        <v/>
      </c>
      <c r="BE156" s="52">
        <f>IF(OR($I156&lt;1,IF($I156&gt;=6,BA156,AW156)&lt;=0),"",IF(SUMPRODUCT(MAX(($C$5:$C$215=$C156)*($I$5:$I$215&gt;=1)*($I$5:$I$215&lt;$I156)*IF($I156&gt;=6,$BA$5:$BA$215,$AW$5:$AW$215)))&lt;=0,"",SUMPRODUCT(MAX(($C$5:$C$215=$C156)*($I$5:$I$215=$I156)*IF($I156&gt;=6,$BA$5:$BA$215,$AW$5:$AW$215)))/SUMPRODUCT(MAX(($C$5:$C$215=$C156)*($I$5:$I$215&gt;=1)*($I$5:$I$215&lt;$I156)*IF($I156&gt;=6,$BA$5:$BA$215,$AW$5:$AW$215)))-1))</f>
        <v/>
      </c>
      <c r="BF156" s="19">
        <f>IF(AND(BB156="",BC156="",BD156="",BE156=""),"",IF(IF(AND(ISNUMBER(BB156),BB156&lt;'Item Budget'!$R$11),"W ","")&amp;IF(AND(ISNUMBER(BC156),BC156&lt;'Item Budget'!$R$11),"R ","")&amp;IF(AND(ISNUMBER(BD156),BD156&lt;'Item Budget'!$R$11),"M ","")&amp;IF(AND(ISNUMBER(BE156),BE156&lt;'Item Budget'!$R$11),"P ","")="","OK","Not above lower step: "&amp;IF(AND(ISNUMBER(BB156),BB156&lt;'Item Budget'!$R$11),"W ","")&amp;IF(AND(ISNUMBER(BC156),BC156&lt;'Item Budget'!$R$11),"R ","")&amp;IF(AND(ISNUMBER(BD156),BD156&lt;'Item Budget'!$R$11),"M ","")&amp;IF(AND(ISNUMBER(BE156),BE156&lt;'Item Budget'!$R$11),"P ","")))</f>
        <v/>
      </c>
    </row>
    <row r="157">
      <c r="A157" s="21" t="n">
        <v>295</v>
      </c>
      <c r="B157" s="21" t="inlineStr">
        <is>
          <t>Rogues Ancient Moon Shield</t>
        </is>
      </c>
      <c r="C157" s="21" t="inlineStr">
        <is>
          <t>Shield</t>
        </is>
      </c>
      <c r="D157" s="21" t="inlineStr">
        <is>
          <t>Rogue</t>
        </is>
      </c>
      <c r="E157" s="21" t="inlineStr">
        <is>
          <t>Rogue</t>
        </is>
      </c>
      <c r="F157" s="21" t="inlineStr">
        <is>
          <t>Rogue</t>
        </is>
      </c>
      <c r="G157" s="21" t="inlineStr">
        <is>
          <t>craft</t>
        </is>
      </c>
      <c r="H157" s="37" t="n">
        <v>20000000</v>
      </c>
      <c r="I157" s="21" t="n">
        <v>6</v>
      </c>
      <c r="J157" s="19" t="inlineStr">
        <is>
          <t>Leave</t>
        </is>
      </c>
      <c r="K157" s="21" t="inlineStr">
        <is>
          <t>Crafted</t>
        </is>
      </c>
      <c r="L157" s="31">
        <f>INDEX('Item Budget'!$F$5:$F$13,MATCH(K157,'Item Budget'!$E$5:$E$13,0))+IF(E157="All",0,'Item Budget'!$F$15)+LOOKUP(H157,'Item Budget'!$E$19:$E$23,'Item Budget'!$F$19:$F$23)</f>
        <v/>
      </c>
      <c r="M157" s="21" t="n">
        <v>50</v>
      </c>
      <c r="N157" s="21" t="n">
        <v>300</v>
      </c>
      <c r="O157" s="21" t="n">
        <v>300</v>
      </c>
      <c r="P157" s="21" t="n">
        <v>150</v>
      </c>
      <c r="Q157" s="21" t="n">
        <v>0</v>
      </c>
      <c r="R157" s="21" t="n">
        <v>10</v>
      </c>
      <c r="S157" s="21" t="n">
        <v>25</v>
      </c>
      <c r="T157" s="21" t="n">
        <v>10</v>
      </c>
      <c r="U157" s="21" t="n">
        <v>0</v>
      </c>
      <c r="V157" s="21" t="inlineStr">
        <is>
          <t>Spell Critical Damage X</t>
        </is>
      </c>
      <c r="W157" s="61">
        <f>N157*'Item Budget'!$B$5+R157*'Item Budget'!$B$7+P157*'Item Budget'!$B$11+S157*'Item Budget'!$B$10+Q157*'Item Budget'!$B$9+IFERROR(INDEX('Item Budget'!$M$25:$M$95,MATCH(V157,'Item Budget'!$B$25:$B$95,0)),0)+IF($C157="Weapon",U157*'Item Budget'!$B$9,0)</f>
        <v/>
      </c>
      <c r="X157" s="61">
        <f>N157*'Item Budget'!$B$5+R157*'Item Budget'!$B$7+P157*'Item Budget'!$B$11+S157*'Item Budget'!$B$10+O157*'Item Budget'!$B$6+T157*'Item Budget'!$B$8+IFERROR(INDEX('Item Budget'!$N$25:$N$95,MATCH(V157,'Item Budget'!$B$25:$B$95,0)),0)</f>
        <v/>
      </c>
      <c r="Y157" s="61">
        <f>MAX('Item Budget'!$F$16,INDEX('Gear Budget'!$C$8:$C$14,MATCH($C157,'Gear Budget'!$A$8:$A$14,0))*MIN(M157,50))*$L157</f>
        <v/>
      </c>
      <c r="Z157" s="41">
        <f>IF($C157="Caster weapon",X157,MAX(W157,X157))/Y157</f>
        <v/>
      </c>
      <c r="AA157" s="61">
        <f>IF(OR($C157="Weapon",$C157="Caster weapon"),"",'Gear Budget'!$B$5*MAX(1,MIN(M157,50))*INDEX('Gear Budget'!$B$8:$B$14,MATCH($C157,'Gear Budget'!$A$8:$A$14,0))*IF($C157="Shield",IF(D157="Warrior",1,IF(OR(D157="Rogue",D157="All"),0.38/0.6,0.25/0.6)),IFERROR(INDEX('Gear Budget'!$B$18:$B$21,MATCH($F157,'Gear Budget'!$A$18:$A$21,0)),1)))</f>
        <v/>
      </c>
      <c r="AB157" s="41">
        <f>IF(AA157="","",P157/AA157)</f>
        <v/>
      </c>
      <c r="AC157" s="21" t="n">
        <v>50</v>
      </c>
      <c r="AD157" s="21" t="n">
        <v>300</v>
      </c>
      <c r="AE157" s="21" t="n">
        <v>300</v>
      </c>
      <c r="AF157" s="21" t="n">
        <v>150</v>
      </c>
      <c r="AG157" s="21" t="n">
        <v>0</v>
      </c>
      <c r="AH157" s="21" t="n">
        <v>10</v>
      </c>
      <c r="AI157" s="21" t="n">
        <v>25</v>
      </c>
      <c r="AJ157" s="21" t="n">
        <v>10</v>
      </c>
      <c r="AK157" s="21" t="n">
        <v>0</v>
      </c>
      <c r="AL157" s="21" t="inlineStr">
        <is>
          <t>Spell Critical Damage X</t>
        </is>
      </c>
      <c r="AM157" s="61">
        <f>AD157*'Item Budget'!$B$5+AH157*'Item Budget'!$B$7+AF157*'Item Budget'!$B$11+AI157*'Item Budget'!$B$10+AG157*'Item Budget'!$B$9+IFERROR(INDEX('Item Budget'!$M$25:$M$95,MATCH(AL157,'Item Budget'!$B$25:$B$95,0)),0)+IF($C157="Weapon",AK157*'Item Budget'!$B$9,0)</f>
        <v/>
      </c>
      <c r="AN157" s="61">
        <f>AD157*'Item Budget'!$B$5+AH157*'Item Budget'!$B$7+AF157*'Item Budget'!$B$11+AI157*'Item Budget'!$B$10+AE157*'Item Budget'!$B$6+AJ157*'Item Budget'!$B$8+IFERROR(INDEX('Item Budget'!$N$25:$N$95,MATCH(AL157,'Item Budget'!$B$25:$B$95,0)),0)</f>
        <v/>
      </c>
      <c r="AO157" s="61">
        <f>MAX('Item Budget'!$F$16,INDEX('Gear Budget'!$C$8:$C$14,MATCH($C157,'Gear Budget'!$A$8:$A$14,0))*MIN(AC157,50))*$L157</f>
        <v/>
      </c>
      <c r="AP157" s="41">
        <f>IF($C157="Caster weapon",AN157,MAX(AM157,AN157))/AO157</f>
        <v/>
      </c>
      <c r="AQ157" s="61">
        <f>IF(OR($C157="Weapon",$C157="Caster weapon"),"",'Gear Budget'!$B$5*MAX(1,MIN(AC157,50))*INDEX('Gear Budget'!$B$8:$B$14,MATCH($C157,'Gear Budget'!$A$8:$A$14,0))*IF($C157="Shield",IF(E157="Warrior",1,IF(OR(E157="Rogue",E157="All"),0.38/0.6,0.25/0.6)),IFERROR(INDEX('Gear Budget'!$B$18:$B$21,MATCH($F157,'Gear Budget'!$A$18:$A$21,0)),1)))</f>
        <v/>
      </c>
      <c r="AR157" s="41">
        <f>IF(AQ157="","",AF157/AQ157)</f>
        <v/>
      </c>
      <c r="AS157" s="64" t="n"/>
      <c r="AT157" s="44">
        <f>IF(OR($E157="All",ISNUMBER(SEARCH("Warrior",$E157))),IF($C157="Caster weapon",(AN157+AF157*('Item Budget'!$AB$14-'Item Budget'!$B$11)),(AM157+AF157*('Item Budget'!$AB$14-'Item Budget'!$B$11))),0)</f>
        <v/>
      </c>
      <c r="AU157" s="44">
        <f>IF(OR($E157="All",ISNUMBER(SEARCH("Rogue",$E157))),IF($C157="Caster weapon",(AN157+AF157*('Item Budget'!$AB$15-'Item Budget'!$B$11)),(AM157+AF157*('Item Budget'!$AB$15-'Item Budget'!$B$11))),0)</f>
        <v/>
      </c>
      <c r="AV157" s="44">
        <f>IF(OR($E157="All",ISNUMBER(SEARCH("Magus",$E157))),(AN157+AF157*('Item Budget'!$AB$16-'Item Budget'!$B$11)),0)</f>
        <v/>
      </c>
      <c r="AW157" s="44">
        <f>IF(OR($E157="All",ISNUMBER(SEARCH("Priest",$E157))),(AN157+AF157*('Item Budget'!$AB$17-'Item Budget'!$B$11)),0)</f>
        <v/>
      </c>
      <c r="AX157" s="44">
        <f>IF(AND(OR($E157="All",ISNUMBER(SEARCH("Warrior",$E157))),AC157&gt;='Item Budget'!$R$10),'Item Budget'!$R$7*100*('Item Budget'!$R$14*(AD157+25*AH157)+'Item Budget'!$S$14*(AE157+25*AJ157))/'Item Budget'!$Z$14+'Item Budget'!$R$9*AF157+IFERROR(INDEX('Item Budget'!$O$25:$O$95,MATCH(AL157,'Item Budget'!$B$25:$B$95,0)),0),0)</f>
        <v/>
      </c>
      <c r="AY157" s="44">
        <f>IF(AND(OR($E157="All",ISNUMBER(SEARCH("Rogue",$E157))),AC157&gt;='Item Budget'!$R$10),'Item Budget'!$R$7*100*('Item Budget'!$R$15*(AD157+25*AH157)+'Item Budget'!$S$15*(AE157+25*AJ157))/'Item Budget'!$Z$15+'Item Budget'!$R$9*AF157+IFERROR(INDEX('Item Budget'!$O$25:$O$95,MATCH(AL157,'Item Budget'!$B$25:$B$95,0)),0),0)</f>
        <v/>
      </c>
      <c r="AZ157" s="44">
        <f>IF(AND(OR($E157="All",ISNUMBER(SEARCH("Magus",$E157))),AC157&gt;='Item Budget'!$R$10),'Item Budget'!$R$7*100*('Item Budget'!$R$16*(AD157+25*AH157)+'Item Budget'!$S$16*(AE157+25*AJ157))/'Item Budget'!$Z$16+'Item Budget'!$R$9*AF157+IFERROR(INDEX('Item Budget'!$O$25:$O$95,MATCH(AL157,'Item Budget'!$B$25:$B$95,0)),0),0)</f>
        <v/>
      </c>
      <c r="BA157" s="44">
        <f>IF(AND(OR($E157="All",ISNUMBER(SEARCH("Priest",$E157))),AC157&gt;='Item Budget'!$R$10),'Item Budget'!$R$7*100*('Item Budget'!$R$17*(AD157+25*AH157)+'Item Budget'!$S$17*(AE157+25*AJ157))/'Item Budget'!$Z$17+'Item Budget'!$R$9*AF157+IFERROR(INDEX('Item Budget'!$O$25:$O$95,MATCH(AL157,'Item Budget'!$B$25:$B$95,0)),0),0)</f>
        <v/>
      </c>
      <c r="BB157" s="52">
        <f>IF(OR($I157&lt;1,IF($I157&gt;=6,AX157,AT157)&lt;=0),"",IF(SUMPRODUCT(MAX(($C$5:$C$215=$C157)*($I$5:$I$215&gt;=1)*($I$5:$I$215&lt;$I157)*IF($I157&gt;=6,$AX$5:$AX$215,$AT$5:$AT$215)))&lt;=0,"",SUMPRODUCT(MAX(($C$5:$C$215=$C157)*($I$5:$I$215=$I157)*IF($I157&gt;=6,$AX$5:$AX$215,$AT$5:$AT$215)))/SUMPRODUCT(MAX(($C$5:$C$215=$C157)*($I$5:$I$215&gt;=1)*($I$5:$I$215&lt;$I157)*IF($I157&gt;=6,$AX$5:$AX$215,$AT$5:$AT$215)))-1))</f>
        <v/>
      </c>
      <c r="BC157" s="52">
        <f>IF(OR($I157&lt;1,IF($I157&gt;=6,AY157,AU157)&lt;=0),"",IF(SUMPRODUCT(MAX(($C$5:$C$215=$C157)*($I$5:$I$215&gt;=1)*($I$5:$I$215&lt;$I157)*IF($I157&gt;=6,$AY$5:$AY$215,$AU$5:$AU$215)))&lt;=0,"",SUMPRODUCT(MAX(($C$5:$C$215=$C157)*($I$5:$I$215=$I157)*IF($I157&gt;=6,$AY$5:$AY$215,$AU$5:$AU$215)))/SUMPRODUCT(MAX(($C$5:$C$215=$C157)*($I$5:$I$215&gt;=1)*($I$5:$I$215&lt;$I157)*IF($I157&gt;=6,$AY$5:$AY$215,$AU$5:$AU$215)))-1))</f>
        <v/>
      </c>
      <c r="BD157" s="52">
        <f>IF(OR($I157&lt;1,IF($I157&gt;=6,AZ157,AV157)&lt;=0),"",IF(SUMPRODUCT(MAX(($C$5:$C$215=$C157)*($I$5:$I$215&gt;=1)*($I$5:$I$215&lt;$I157)*IF($I157&gt;=6,$AZ$5:$AZ$215,$AV$5:$AV$215)))&lt;=0,"",SUMPRODUCT(MAX(($C$5:$C$215=$C157)*($I$5:$I$215=$I157)*IF($I157&gt;=6,$AZ$5:$AZ$215,$AV$5:$AV$215)))/SUMPRODUCT(MAX(($C$5:$C$215=$C157)*($I$5:$I$215&gt;=1)*($I$5:$I$215&lt;$I157)*IF($I157&gt;=6,$AZ$5:$AZ$215,$AV$5:$AV$215)))-1))</f>
        <v/>
      </c>
      <c r="BE157" s="52">
        <f>IF(OR($I157&lt;1,IF($I157&gt;=6,BA157,AW157)&lt;=0),"",IF(SUMPRODUCT(MAX(($C$5:$C$215=$C157)*($I$5:$I$215&gt;=1)*($I$5:$I$215&lt;$I157)*IF($I157&gt;=6,$BA$5:$BA$215,$AW$5:$AW$215)))&lt;=0,"",SUMPRODUCT(MAX(($C$5:$C$215=$C157)*($I$5:$I$215=$I157)*IF($I157&gt;=6,$BA$5:$BA$215,$AW$5:$AW$215)))/SUMPRODUCT(MAX(($C$5:$C$215=$C157)*($I$5:$I$215&gt;=1)*($I$5:$I$215&lt;$I157)*IF($I157&gt;=6,$BA$5:$BA$215,$AW$5:$AW$215)))-1))</f>
        <v/>
      </c>
      <c r="BF157" s="19">
        <f>IF(AND(BB157="",BC157="",BD157="",BE157=""),"",IF(IF(AND(ISNUMBER(BB157),BB157&lt;'Item Budget'!$R$11),"W ","")&amp;IF(AND(ISNUMBER(BC157),BC157&lt;'Item Budget'!$R$11),"R ","")&amp;IF(AND(ISNUMBER(BD157),BD157&lt;'Item Budget'!$R$11),"M ","")&amp;IF(AND(ISNUMBER(BE157),BE157&lt;'Item Budget'!$R$11),"P ","")="","OK","Not above lower step: "&amp;IF(AND(ISNUMBER(BB157),BB157&lt;'Item Budget'!$R$11),"W ","")&amp;IF(AND(ISNUMBER(BC157),BC157&lt;'Item Budget'!$R$11),"R ","")&amp;IF(AND(ISNUMBER(BD157),BD157&lt;'Item Budget'!$R$11),"M ","")&amp;IF(AND(ISNUMBER(BE157),BE157&lt;'Item Budget'!$R$11),"P ","")))</f>
        <v/>
      </c>
    </row>
    <row r="158">
      <c r="A158" s="21" t="n">
        <v>296</v>
      </c>
      <c r="B158" s="21" t="inlineStr">
        <is>
          <t>Warriors Ancient Moon Shield</t>
        </is>
      </c>
      <c r="C158" s="21" t="inlineStr">
        <is>
          <t>Shield</t>
        </is>
      </c>
      <c r="D158" s="21" t="inlineStr">
        <is>
          <t>Warrior</t>
        </is>
      </c>
      <c r="E158" s="21" t="inlineStr">
        <is>
          <t>Warrior</t>
        </is>
      </c>
      <c r="F158" s="21" t="inlineStr">
        <is>
          <t>Warrior plate</t>
        </is>
      </c>
      <c r="G158" s="21" t="inlineStr">
        <is>
          <t>craft</t>
        </is>
      </c>
      <c r="H158" s="37" t="n">
        <v>20000000</v>
      </c>
      <c r="I158" s="21" t="n">
        <v>6</v>
      </c>
      <c r="J158" s="19" t="inlineStr">
        <is>
          <t>Leave</t>
        </is>
      </c>
      <c r="K158" s="21" t="inlineStr">
        <is>
          <t>Crafted</t>
        </is>
      </c>
      <c r="L158" s="31">
        <f>INDEX('Item Budget'!$F$5:$F$13,MATCH(K158,'Item Budget'!$E$5:$E$13,0))+IF(E158="All",0,'Item Budget'!$F$15)+LOOKUP(H158,'Item Budget'!$E$19:$E$23,'Item Budget'!$F$19:$F$23)</f>
        <v/>
      </c>
      <c r="M158" s="21" t="n">
        <v>50</v>
      </c>
      <c r="N158" s="21" t="n">
        <v>600</v>
      </c>
      <c r="O158" s="21" t="n">
        <v>0</v>
      </c>
      <c r="P158" s="21" t="n">
        <v>250</v>
      </c>
      <c r="Q158" s="21" t="n">
        <v>0</v>
      </c>
      <c r="R158" s="21" t="n">
        <v>20</v>
      </c>
      <c r="S158" s="21" t="n">
        <v>0</v>
      </c>
      <c r="T158" s="21" t="n">
        <v>0</v>
      </c>
      <c r="U158" s="21" t="n">
        <v>0</v>
      </c>
      <c r="V158" s="21" t="inlineStr">
        <is>
          <t>Damage Reduction X</t>
        </is>
      </c>
      <c r="W158" s="61">
        <f>N158*'Item Budget'!$B$5+R158*'Item Budget'!$B$7+P158*'Item Budget'!$B$11+S158*'Item Budget'!$B$10+Q158*'Item Budget'!$B$9+IFERROR(INDEX('Item Budget'!$M$25:$M$95,MATCH(V158,'Item Budget'!$B$25:$B$95,0)),0)+IF($C158="Weapon",U158*'Item Budget'!$B$9,0)</f>
        <v/>
      </c>
      <c r="X158" s="61">
        <f>N158*'Item Budget'!$B$5+R158*'Item Budget'!$B$7+P158*'Item Budget'!$B$11+S158*'Item Budget'!$B$10+O158*'Item Budget'!$B$6+T158*'Item Budget'!$B$8+IFERROR(INDEX('Item Budget'!$N$25:$N$95,MATCH(V158,'Item Budget'!$B$25:$B$95,0)),0)</f>
        <v/>
      </c>
      <c r="Y158" s="61">
        <f>MAX('Item Budget'!$F$16,INDEX('Gear Budget'!$C$8:$C$14,MATCH($C158,'Gear Budget'!$A$8:$A$14,0))*MIN(M158,50))*$L158</f>
        <v/>
      </c>
      <c r="Z158" s="41">
        <f>IF($C158="Caster weapon",X158,MAX(W158,X158))/Y158</f>
        <v/>
      </c>
      <c r="AA158" s="61">
        <f>IF(OR($C158="Weapon",$C158="Caster weapon"),"",'Gear Budget'!$B$5*MAX(1,MIN(M158,50))*INDEX('Gear Budget'!$B$8:$B$14,MATCH($C158,'Gear Budget'!$A$8:$A$14,0))*IF($C158="Shield",IF(D158="Warrior",1,IF(OR(D158="Rogue",D158="All"),0.38/0.6,0.25/0.6)),IFERROR(INDEX('Gear Budget'!$B$18:$B$21,MATCH($F158,'Gear Budget'!$A$18:$A$21,0)),1)))</f>
        <v/>
      </c>
      <c r="AB158" s="41">
        <f>IF(AA158="","",P158/AA158)</f>
        <v/>
      </c>
      <c r="AC158" s="21" t="n">
        <v>50</v>
      </c>
      <c r="AD158" s="21" t="n">
        <v>600</v>
      </c>
      <c r="AE158" s="21" t="n">
        <v>0</v>
      </c>
      <c r="AF158" s="21" t="n">
        <v>250</v>
      </c>
      <c r="AG158" s="21" t="n">
        <v>0</v>
      </c>
      <c r="AH158" s="21" t="n">
        <v>20</v>
      </c>
      <c r="AI158" s="21" t="n">
        <v>0</v>
      </c>
      <c r="AJ158" s="21" t="n">
        <v>0</v>
      </c>
      <c r="AK158" s="21" t="n">
        <v>0</v>
      </c>
      <c r="AL158" s="21" t="inlineStr">
        <is>
          <t>Damage Reduction X</t>
        </is>
      </c>
      <c r="AM158" s="61">
        <f>AD158*'Item Budget'!$B$5+AH158*'Item Budget'!$B$7+AF158*'Item Budget'!$B$11+AI158*'Item Budget'!$B$10+AG158*'Item Budget'!$B$9+IFERROR(INDEX('Item Budget'!$M$25:$M$95,MATCH(AL158,'Item Budget'!$B$25:$B$95,0)),0)+IF($C158="Weapon",AK158*'Item Budget'!$B$9,0)</f>
        <v/>
      </c>
      <c r="AN158" s="61">
        <f>AD158*'Item Budget'!$B$5+AH158*'Item Budget'!$B$7+AF158*'Item Budget'!$B$11+AI158*'Item Budget'!$B$10+AE158*'Item Budget'!$B$6+AJ158*'Item Budget'!$B$8+IFERROR(INDEX('Item Budget'!$N$25:$N$95,MATCH(AL158,'Item Budget'!$B$25:$B$95,0)),0)</f>
        <v/>
      </c>
      <c r="AO158" s="61">
        <f>MAX('Item Budget'!$F$16,INDEX('Gear Budget'!$C$8:$C$14,MATCH($C158,'Gear Budget'!$A$8:$A$14,0))*MIN(AC158,50))*$L158</f>
        <v/>
      </c>
      <c r="AP158" s="41">
        <f>IF($C158="Caster weapon",AN158,MAX(AM158,AN158))/AO158</f>
        <v/>
      </c>
      <c r="AQ158" s="61">
        <f>IF(OR($C158="Weapon",$C158="Caster weapon"),"",'Gear Budget'!$B$5*MAX(1,MIN(AC158,50))*INDEX('Gear Budget'!$B$8:$B$14,MATCH($C158,'Gear Budget'!$A$8:$A$14,0))*IF($C158="Shield",IF(E158="Warrior",1,IF(OR(E158="Rogue",E158="All"),0.38/0.6,0.25/0.6)),IFERROR(INDEX('Gear Budget'!$B$18:$B$21,MATCH($F158,'Gear Budget'!$A$18:$A$21,0)),1)))</f>
        <v/>
      </c>
      <c r="AR158" s="41">
        <f>IF(AQ158="","",AF158/AQ158)</f>
        <v/>
      </c>
      <c r="AS158" s="64" t="n"/>
      <c r="AT158" s="44">
        <f>IF(OR($E158="All",ISNUMBER(SEARCH("Warrior",$E158))),IF($C158="Caster weapon",(AN158+AF158*('Item Budget'!$AB$14-'Item Budget'!$B$11)),(AM158+AF158*('Item Budget'!$AB$14-'Item Budget'!$B$11))),0)</f>
        <v/>
      </c>
      <c r="AU158" s="44">
        <f>IF(OR($E158="All",ISNUMBER(SEARCH("Rogue",$E158))),IF($C158="Caster weapon",(AN158+AF158*('Item Budget'!$AB$15-'Item Budget'!$B$11)),(AM158+AF158*('Item Budget'!$AB$15-'Item Budget'!$B$11))),0)</f>
        <v/>
      </c>
      <c r="AV158" s="44">
        <f>IF(OR($E158="All",ISNUMBER(SEARCH("Magus",$E158))),(AN158+AF158*('Item Budget'!$AB$16-'Item Budget'!$B$11)),0)</f>
        <v/>
      </c>
      <c r="AW158" s="44">
        <f>IF(OR($E158="All",ISNUMBER(SEARCH("Priest",$E158))),(AN158+AF158*('Item Budget'!$AB$17-'Item Budget'!$B$11)),0)</f>
        <v/>
      </c>
      <c r="AX158" s="44">
        <f>IF(AND(OR($E158="All",ISNUMBER(SEARCH("Warrior",$E158))),AC158&gt;='Item Budget'!$R$10),'Item Budget'!$R$7*100*('Item Budget'!$R$14*(AD158+25*AH158)+'Item Budget'!$S$14*(AE158+25*AJ158))/'Item Budget'!$Z$14+'Item Budget'!$R$9*AF158+IFERROR(INDEX('Item Budget'!$O$25:$O$95,MATCH(AL158,'Item Budget'!$B$25:$B$95,0)),0),0)</f>
        <v/>
      </c>
      <c r="AY158" s="44">
        <f>IF(AND(OR($E158="All",ISNUMBER(SEARCH("Rogue",$E158))),AC158&gt;='Item Budget'!$R$10),'Item Budget'!$R$7*100*('Item Budget'!$R$15*(AD158+25*AH158)+'Item Budget'!$S$15*(AE158+25*AJ158))/'Item Budget'!$Z$15+'Item Budget'!$R$9*AF158+IFERROR(INDEX('Item Budget'!$O$25:$O$95,MATCH(AL158,'Item Budget'!$B$25:$B$95,0)),0),0)</f>
        <v/>
      </c>
      <c r="AZ158" s="44">
        <f>IF(AND(OR($E158="All",ISNUMBER(SEARCH("Magus",$E158))),AC158&gt;='Item Budget'!$R$10),'Item Budget'!$R$7*100*('Item Budget'!$R$16*(AD158+25*AH158)+'Item Budget'!$S$16*(AE158+25*AJ158))/'Item Budget'!$Z$16+'Item Budget'!$R$9*AF158+IFERROR(INDEX('Item Budget'!$O$25:$O$95,MATCH(AL158,'Item Budget'!$B$25:$B$95,0)),0),0)</f>
        <v/>
      </c>
      <c r="BA158" s="44">
        <f>IF(AND(OR($E158="All",ISNUMBER(SEARCH("Priest",$E158))),AC158&gt;='Item Budget'!$R$10),'Item Budget'!$R$7*100*('Item Budget'!$R$17*(AD158+25*AH158)+'Item Budget'!$S$17*(AE158+25*AJ158))/'Item Budget'!$Z$17+'Item Budget'!$R$9*AF158+IFERROR(INDEX('Item Budget'!$O$25:$O$95,MATCH(AL158,'Item Budget'!$B$25:$B$95,0)),0),0)</f>
        <v/>
      </c>
      <c r="BB158" s="52">
        <f>IF(OR($I158&lt;1,IF($I158&gt;=6,AX158,AT158)&lt;=0),"",IF(SUMPRODUCT(MAX(($C$5:$C$215=$C158)*($I$5:$I$215&gt;=1)*($I$5:$I$215&lt;$I158)*IF($I158&gt;=6,$AX$5:$AX$215,$AT$5:$AT$215)))&lt;=0,"",SUMPRODUCT(MAX(($C$5:$C$215=$C158)*($I$5:$I$215=$I158)*IF($I158&gt;=6,$AX$5:$AX$215,$AT$5:$AT$215)))/SUMPRODUCT(MAX(($C$5:$C$215=$C158)*($I$5:$I$215&gt;=1)*($I$5:$I$215&lt;$I158)*IF($I158&gt;=6,$AX$5:$AX$215,$AT$5:$AT$215)))-1))</f>
        <v/>
      </c>
      <c r="BC158" s="52">
        <f>IF(OR($I158&lt;1,IF($I158&gt;=6,AY158,AU158)&lt;=0),"",IF(SUMPRODUCT(MAX(($C$5:$C$215=$C158)*($I$5:$I$215&gt;=1)*($I$5:$I$215&lt;$I158)*IF($I158&gt;=6,$AY$5:$AY$215,$AU$5:$AU$215)))&lt;=0,"",SUMPRODUCT(MAX(($C$5:$C$215=$C158)*($I$5:$I$215=$I158)*IF($I158&gt;=6,$AY$5:$AY$215,$AU$5:$AU$215)))/SUMPRODUCT(MAX(($C$5:$C$215=$C158)*($I$5:$I$215&gt;=1)*($I$5:$I$215&lt;$I158)*IF($I158&gt;=6,$AY$5:$AY$215,$AU$5:$AU$215)))-1))</f>
        <v/>
      </c>
      <c r="BD158" s="52">
        <f>IF(OR($I158&lt;1,IF($I158&gt;=6,AZ158,AV158)&lt;=0),"",IF(SUMPRODUCT(MAX(($C$5:$C$215=$C158)*($I$5:$I$215&gt;=1)*($I$5:$I$215&lt;$I158)*IF($I158&gt;=6,$AZ$5:$AZ$215,$AV$5:$AV$215)))&lt;=0,"",SUMPRODUCT(MAX(($C$5:$C$215=$C158)*($I$5:$I$215=$I158)*IF($I158&gt;=6,$AZ$5:$AZ$215,$AV$5:$AV$215)))/SUMPRODUCT(MAX(($C$5:$C$215=$C158)*($I$5:$I$215&gt;=1)*($I$5:$I$215&lt;$I158)*IF($I158&gt;=6,$AZ$5:$AZ$215,$AV$5:$AV$215)))-1))</f>
        <v/>
      </c>
      <c r="BE158" s="52">
        <f>IF(OR($I158&lt;1,IF($I158&gt;=6,BA158,AW158)&lt;=0),"",IF(SUMPRODUCT(MAX(($C$5:$C$215=$C158)*($I$5:$I$215&gt;=1)*($I$5:$I$215&lt;$I158)*IF($I158&gt;=6,$BA$5:$BA$215,$AW$5:$AW$215)))&lt;=0,"",SUMPRODUCT(MAX(($C$5:$C$215=$C158)*($I$5:$I$215=$I158)*IF($I158&gt;=6,$BA$5:$BA$215,$AW$5:$AW$215)))/SUMPRODUCT(MAX(($C$5:$C$215=$C158)*($I$5:$I$215&gt;=1)*($I$5:$I$215&lt;$I158)*IF($I158&gt;=6,$BA$5:$BA$215,$AW$5:$AW$215)))-1))</f>
        <v/>
      </c>
      <c r="BF158" s="19">
        <f>IF(AND(BB158="",BC158="",BD158="",BE158=""),"",IF(IF(AND(ISNUMBER(BB158),BB158&lt;'Item Budget'!$R$11),"W ","")&amp;IF(AND(ISNUMBER(BC158),BC158&lt;'Item Budget'!$R$11),"R ","")&amp;IF(AND(ISNUMBER(BD158),BD158&lt;'Item Budget'!$R$11),"M ","")&amp;IF(AND(ISNUMBER(BE158),BE158&lt;'Item Budget'!$R$11),"P ","")="","OK","Not above lower step: "&amp;IF(AND(ISNUMBER(BB158),BB158&lt;'Item Budget'!$R$11),"W ","")&amp;IF(AND(ISNUMBER(BC158),BC158&lt;'Item Budget'!$R$11),"R ","")&amp;IF(AND(ISNUMBER(BD158),BD158&lt;'Item Budget'!$R$11),"M ","")&amp;IF(AND(ISNUMBER(BE158),BE158&lt;'Item Budget'!$R$11),"P ","")))</f>
        <v/>
      </c>
    </row>
    <row r="159">
      <c r="A159" s="21" t="n">
        <v>400</v>
      </c>
      <c r="B159" s="21" t="inlineStr">
        <is>
          <t>Ward of Destruction</t>
        </is>
      </c>
      <c r="C159" s="21" t="inlineStr">
        <is>
          <t>Shield</t>
        </is>
      </c>
      <c r="D159" s="21" t="inlineStr">
        <is>
          <t>All</t>
        </is>
      </c>
      <c r="E159" s="21" t="inlineStr">
        <is>
          <t>All</t>
        </is>
      </c>
      <c r="F159" s="21" t="inlineStr">
        <is>
          <t>All classes</t>
        </is>
      </c>
      <c r="G159" s="21" t="inlineStr">
        <is>
          <t>drop: General Vor Chez 10%</t>
        </is>
      </c>
      <c r="H159" s="37" t="n">
        <v>100000000</v>
      </c>
      <c r="I159" s="21" t="n">
        <v>7</v>
      </c>
      <c r="J159" s="3" t="inlineStr">
        <is>
          <t>Applied</t>
        </is>
      </c>
      <c r="K159" s="21" t="inlineStr">
        <is>
          <t>Rare boss drop</t>
        </is>
      </c>
      <c r="L159" s="31">
        <f>INDEX('Item Budget'!$F$5:$F$13,MATCH(K159,'Item Budget'!$E$5:$E$13,0))+IF(E159="All",0,'Item Budget'!$F$15)+LOOKUP(H159,'Item Budget'!$E$19:$E$23,'Item Budget'!$F$19:$F$23)</f>
        <v/>
      </c>
      <c r="M159" s="21" t="n">
        <v>50</v>
      </c>
      <c r="N159" s="21" t="n">
        <v>1000</v>
      </c>
      <c r="O159" s="21" t="n">
        <v>1000</v>
      </c>
      <c r="P159" s="21" t="n">
        <v>100</v>
      </c>
      <c r="Q159" s="21" t="n">
        <v>0</v>
      </c>
      <c r="R159" s="21" t="n">
        <v>0</v>
      </c>
      <c r="S159" s="21" t="n">
        <v>0</v>
      </c>
      <c r="T159" s="21" t="n">
        <v>0</v>
      </c>
      <c r="U159" s="21" t="n">
        <v>0</v>
      </c>
      <c r="V159" s="21" t="inlineStr">
        <is>
          <t>Increased Spell Damage XV</t>
        </is>
      </c>
      <c r="W159" s="61">
        <f>N159*'Item Budget'!$B$5+R159*'Item Budget'!$B$7+P159*'Item Budget'!$B$11+S159*'Item Budget'!$B$10+Q159*'Item Budget'!$B$9+IFERROR(INDEX('Item Budget'!$M$25:$M$95,MATCH(V159,'Item Budget'!$B$25:$B$95,0)),0)+IF($C159="Weapon",U159*'Item Budget'!$B$9,0)</f>
        <v/>
      </c>
      <c r="X159" s="61">
        <f>N159*'Item Budget'!$B$5+R159*'Item Budget'!$B$7+P159*'Item Budget'!$B$11+S159*'Item Budget'!$B$10+O159*'Item Budget'!$B$6+T159*'Item Budget'!$B$8+IFERROR(INDEX('Item Budget'!$N$25:$N$95,MATCH(V159,'Item Budget'!$B$25:$B$95,0)),0)</f>
        <v/>
      </c>
      <c r="Y159" s="61">
        <f>MAX('Item Budget'!$F$16,INDEX('Gear Budget'!$C$8:$C$14,MATCH($C159,'Gear Budget'!$A$8:$A$14,0))*MIN(M159,50))*$L159</f>
        <v/>
      </c>
      <c r="Z159" s="41">
        <f>IF($C159="Caster weapon",X159,MAX(W159,X159))/Y159</f>
        <v/>
      </c>
      <c r="AA159" s="61">
        <f>IF(OR($C159="Weapon",$C159="Caster weapon"),"",'Gear Budget'!$B$5*MAX(1,MIN(M159,50))*INDEX('Gear Budget'!$B$8:$B$14,MATCH($C159,'Gear Budget'!$A$8:$A$14,0))*IF($C159="Shield",IF(D159="Warrior",1,IF(OR(D159="Rogue",D159="All"),0.38/0.6,0.25/0.6)),IFERROR(INDEX('Gear Budget'!$B$18:$B$21,MATCH($F159,'Gear Budget'!$A$18:$A$21,0)),1)))</f>
        <v/>
      </c>
      <c r="AB159" s="41">
        <f>IF(AA159="","",P159/AA159)</f>
        <v/>
      </c>
      <c r="AC159" s="21" t="n">
        <v>50</v>
      </c>
      <c r="AD159" s="21" t="n">
        <v>1000</v>
      </c>
      <c r="AE159" s="21" t="n">
        <v>1000</v>
      </c>
      <c r="AF159" s="21" t="n">
        <v>100</v>
      </c>
      <c r="AG159" s="21" t="n">
        <v>0</v>
      </c>
      <c r="AH159" s="21" t="n">
        <v>0</v>
      </c>
      <c r="AI159" s="21" t="n">
        <v>0</v>
      </c>
      <c r="AJ159" s="21" t="n">
        <v>0</v>
      </c>
      <c r="AK159" s="21" t="n">
        <v>0</v>
      </c>
      <c r="AL159" s="21" t="inlineStr">
        <is>
          <t>Increased Spell Damage XV</t>
        </is>
      </c>
      <c r="AM159" s="61">
        <f>AD159*'Item Budget'!$B$5+AH159*'Item Budget'!$B$7+AF159*'Item Budget'!$B$11+AI159*'Item Budget'!$B$10+AG159*'Item Budget'!$B$9+IFERROR(INDEX('Item Budget'!$M$25:$M$95,MATCH(AL159,'Item Budget'!$B$25:$B$95,0)),0)+IF($C159="Weapon",AK159*'Item Budget'!$B$9,0)</f>
        <v/>
      </c>
      <c r="AN159" s="61">
        <f>AD159*'Item Budget'!$B$5+AH159*'Item Budget'!$B$7+AF159*'Item Budget'!$B$11+AI159*'Item Budget'!$B$10+AE159*'Item Budget'!$B$6+AJ159*'Item Budget'!$B$8+IFERROR(INDEX('Item Budget'!$N$25:$N$95,MATCH(AL159,'Item Budget'!$B$25:$B$95,0)),0)</f>
        <v/>
      </c>
      <c r="AO159" s="61">
        <f>MAX('Item Budget'!$F$16,INDEX('Gear Budget'!$C$8:$C$14,MATCH($C159,'Gear Budget'!$A$8:$A$14,0))*MIN(AC159,50))*$L159</f>
        <v/>
      </c>
      <c r="AP159" s="41">
        <f>IF($C159="Caster weapon",AN159,MAX(AM159,AN159))/AO159</f>
        <v/>
      </c>
      <c r="AQ159" s="61">
        <f>IF(OR($C159="Weapon",$C159="Caster weapon"),"",'Gear Budget'!$B$5*MAX(1,MIN(AC159,50))*INDEX('Gear Budget'!$B$8:$B$14,MATCH($C159,'Gear Budget'!$A$8:$A$14,0))*IF($C159="Shield",IF(E159="Warrior",1,IF(OR(E159="Rogue",E159="All"),0.38/0.6,0.25/0.6)),IFERROR(INDEX('Gear Budget'!$B$18:$B$21,MATCH($F159,'Gear Budget'!$A$18:$A$21,0)),1)))</f>
        <v/>
      </c>
      <c r="AR159" s="41">
        <f>IF(AQ159="","",AF159/AQ159)</f>
        <v/>
      </c>
      <c r="AS159" s="64" t="inlineStr">
        <is>
          <t>Pass 1 (applied): 100M: 13% -&gt; 15% spell damage and 700 -&gt; 1000 HP/MP, so it beats the 20M Ancient Moon Shields.</t>
        </is>
      </c>
      <c r="AT159" s="44">
        <f>IF(OR($E159="All",ISNUMBER(SEARCH("Warrior",$E159))),IF($C159="Caster weapon",(AN159+AF159*('Item Budget'!$AB$14-'Item Budget'!$B$11)),(AM159+AF159*('Item Budget'!$AB$14-'Item Budget'!$B$11))),0)</f>
        <v/>
      </c>
      <c r="AU159" s="44">
        <f>IF(OR($E159="All",ISNUMBER(SEARCH("Rogue",$E159))),IF($C159="Caster weapon",(AN159+AF159*('Item Budget'!$AB$15-'Item Budget'!$B$11)),(AM159+AF159*('Item Budget'!$AB$15-'Item Budget'!$B$11))),0)</f>
        <v/>
      </c>
      <c r="AV159" s="44">
        <f>IF(OR($E159="All",ISNUMBER(SEARCH("Magus",$E159))),(AN159+AF159*('Item Budget'!$AB$16-'Item Budget'!$B$11)),0)</f>
        <v/>
      </c>
      <c r="AW159" s="44">
        <f>IF(OR($E159="All",ISNUMBER(SEARCH("Priest",$E159))),(AN159+AF159*('Item Budget'!$AB$17-'Item Budget'!$B$11)),0)</f>
        <v/>
      </c>
      <c r="AX159" s="44">
        <f>IF(AND(OR($E159="All",ISNUMBER(SEARCH("Warrior",$E159))),AC159&gt;='Item Budget'!$R$10),'Item Budget'!$R$7*100*('Item Budget'!$R$14*(AD159+25*AH159)+'Item Budget'!$S$14*(AE159+25*AJ159))/'Item Budget'!$Z$14+'Item Budget'!$R$9*AF159+IFERROR(INDEX('Item Budget'!$O$25:$O$95,MATCH(AL159,'Item Budget'!$B$25:$B$95,0)),0),0)</f>
        <v/>
      </c>
      <c r="AY159" s="44">
        <f>IF(AND(OR($E159="All",ISNUMBER(SEARCH("Rogue",$E159))),AC159&gt;='Item Budget'!$R$10),'Item Budget'!$R$7*100*('Item Budget'!$R$15*(AD159+25*AH159)+'Item Budget'!$S$15*(AE159+25*AJ159))/'Item Budget'!$Z$15+'Item Budget'!$R$9*AF159+IFERROR(INDEX('Item Budget'!$O$25:$O$95,MATCH(AL159,'Item Budget'!$B$25:$B$95,0)),0),0)</f>
        <v/>
      </c>
      <c r="AZ159" s="44">
        <f>IF(AND(OR($E159="All",ISNUMBER(SEARCH("Magus",$E159))),AC159&gt;='Item Budget'!$R$10),'Item Budget'!$R$7*100*('Item Budget'!$R$16*(AD159+25*AH159)+'Item Budget'!$S$16*(AE159+25*AJ159))/'Item Budget'!$Z$16+'Item Budget'!$R$9*AF159+IFERROR(INDEX('Item Budget'!$O$25:$O$95,MATCH(AL159,'Item Budget'!$B$25:$B$95,0)),0),0)</f>
        <v/>
      </c>
      <c r="BA159" s="44">
        <f>IF(AND(OR($E159="All",ISNUMBER(SEARCH("Priest",$E159))),AC159&gt;='Item Budget'!$R$10),'Item Budget'!$R$7*100*('Item Budget'!$R$17*(AD159+25*AH159)+'Item Budget'!$S$17*(AE159+25*AJ159))/'Item Budget'!$Z$17+'Item Budget'!$R$9*AF159+IFERROR(INDEX('Item Budget'!$O$25:$O$95,MATCH(AL159,'Item Budget'!$B$25:$B$95,0)),0),0)</f>
        <v/>
      </c>
      <c r="BB159" s="52">
        <f>IF(OR($I159&lt;1,IF($I159&gt;=6,AX159,AT159)&lt;=0),"",IF(SUMPRODUCT(MAX(($C$5:$C$215=$C159)*($I$5:$I$215&gt;=1)*($I$5:$I$215&lt;$I159)*IF($I159&gt;=6,$AX$5:$AX$215,$AT$5:$AT$215)))&lt;=0,"",SUMPRODUCT(MAX(($C$5:$C$215=$C159)*($I$5:$I$215=$I159)*IF($I159&gt;=6,$AX$5:$AX$215,$AT$5:$AT$215)))/SUMPRODUCT(MAX(($C$5:$C$215=$C159)*($I$5:$I$215&gt;=1)*($I$5:$I$215&lt;$I159)*IF($I159&gt;=6,$AX$5:$AX$215,$AT$5:$AT$215)))-1))</f>
        <v/>
      </c>
      <c r="BC159" s="52">
        <f>IF(OR($I159&lt;1,IF($I159&gt;=6,AY159,AU159)&lt;=0),"",IF(SUMPRODUCT(MAX(($C$5:$C$215=$C159)*($I$5:$I$215&gt;=1)*($I$5:$I$215&lt;$I159)*IF($I159&gt;=6,$AY$5:$AY$215,$AU$5:$AU$215)))&lt;=0,"",SUMPRODUCT(MAX(($C$5:$C$215=$C159)*($I$5:$I$215=$I159)*IF($I159&gt;=6,$AY$5:$AY$215,$AU$5:$AU$215)))/SUMPRODUCT(MAX(($C$5:$C$215=$C159)*($I$5:$I$215&gt;=1)*($I$5:$I$215&lt;$I159)*IF($I159&gt;=6,$AY$5:$AY$215,$AU$5:$AU$215)))-1))</f>
        <v/>
      </c>
      <c r="BD159" s="52">
        <f>IF(OR($I159&lt;1,IF($I159&gt;=6,AZ159,AV159)&lt;=0),"",IF(SUMPRODUCT(MAX(($C$5:$C$215=$C159)*($I$5:$I$215&gt;=1)*($I$5:$I$215&lt;$I159)*IF($I159&gt;=6,$AZ$5:$AZ$215,$AV$5:$AV$215)))&lt;=0,"",SUMPRODUCT(MAX(($C$5:$C$215=$C159)*($I$5:$I$215=$I159)*IF($I159&gt;=6,$AZ$5:$AZ$215,$AV$5:$AV$215)))/SUMPRODUCT(MAX(($C$5:$C$215=$C159)*($I$5:$I$215&gt;=1)*($I$5:$I$215&lt;$I159)*IF($I159&gt;=6,$AZ$5:$AZ$215,$AV$5:$AV$215)))-1))</f>
        <v/>
      </c>
      <c r="BE159" s="52">
        <f>IF(OR($I159&lt;1,IF($I159&gt;=6,BA159,AW159)&lt;=0),"",IF(SUMPRODUCT(MAX(($C$5:$C$215=$C159)*($I$5:$I$215&gt;=1)*($I$5:$I$215&lt;$I159)*IF($I159&gt;=6,$BA$5:$BA$215,$AW$5:$AW$215)))&lt;=0,"",SUMPRODUCT(MAX(($C$5:$C$215=$C159)*($I$5:$I$215=$I159)*IF($I159&gt;=6,$BA$5:$BA$215,$AW$5:$AW$215)))/SUMPRODUCT(MAX(($C$5:$C$215=$C159)*($I$5:$I$215&gt;=1)*($I$5:$I$215&lt;$I159)*IF($I159&gt;=6,$BA$5:$BA$215,$AW$5:$AW$215)))-1))</f>
        <v/>
      </c>
      <c r="BF159" s="19">
        <f>IF(AND(BB159="",BC159="",BD159="",BE159=""),"",IF(IF(AND(ISNUMBER(BB159),BB159&lt;'Item Budget'!$R$11),"W ","")&amp;IF(AND(ISNUMBER(BC159),BC159&lt;'Item Budget'!$R$11),"R ","")&amp;IF(AND(ISNUMBER(BD159),BD159&lt;'Item Budget'!$R$11),"M ","")&amp;IF(AND(ISNUMBER(BE159),BE159&lt;'Item Budget'!$R$11),"P ","")="","OK","Not above lower step: "&amp;IF(AND(ISNUMBER(BB159),BB159&lt;'Item Budget'!$R$11),"W ","")&amp;IF(AND(ISNUMBER(BC159),BC159&lt;'Item Budget'!$R$11),"R ","")&amp;IF(AND(ISNUMBER(BD159),BD159&lt;'Item Budget'!$R$11),"M ","")&amp;IF(AND(ISNUMBER(BE159),BE159&lt;'Item Budget'!$R$11),"P ","")))</f>
        <v/>
      </c>
    </row>
    <row r="160">
      <c r="A160" s="21" t="n">
        <v>503</v>
      </c>
      <c r="B160" s="21" t="inlineStr">
        <is>
          <t>Mischiefs Shield of Destruction</t>
        </is>
      </c>
      <c r="C160" s="21" t="inlineStr">
        <is>
          <t>Shield</t>
        </is>
      </c>
      <c r="D160" s="21" t="inlineStr">
        <is>
          <t>Rogue</t>
        </is>
      </c>
      <c r="E160" s="21" t="inlineStr">
        <is>
          <t>Rogue</t>
        </is>
      </c>
      <c r="F160" s="21" t="inlineStr">
        <is>
          <t>Rogue</t>
        </is>
      </c>
      <c r="G160" s="21" t="inlineStr">
        <is>
          <t>drop: Queen Butcher 20%</t>
        </is>
      </c>
      <c r="H160" s="37" t="n">
        <v>200000000</v>
      </c>
      <c r="I160" s="21" t="n">
        <v>8</v>
      </c>
      <c r="J160" s="3" t="inlineStr">
        <is>
          <t>Applied</t>
        </is>
      </c>
      <c r="K160" s="21" t="inlineStr">
        <is>
          <t>Rare boss drop</t>
        </is>
      </c>
      <c r="L160" s="31">
        <f>INDEX('Item Budget'!$F$5:$F$13,MATCH(K160,'Item Budget'!$E$5:$E$13,0))+IF(E160="All",0,'Item Budget'!$F$15)+LOOKUP(H160,'Item Budget'!$E$19:$E$23,'Item Budget'!$F$19:$F$23)</f>
        <v/>
      </c>
      <c r="M160" s="21" t="n">
        <v>50</v>
      </c>
      <c r="N160" s="21" t="n">
        <v>1500</v>
      </c>
      <c r="O160" s="21" t="n">
        <v>1500</v>
      </c>
      <c r="P160" s="21" t="n">
        <v>200</v>
      </c>
      <c r="Q160" s="21" t="n">
        <v>0</v>
      </c>
      <c r="R160" s="21" t="n">
        <v>0</v>
      </c>
      <c r="S160" s="21" t="n">
        <v>0</v>
      </c>
      <c r="T160" s="21" t="n">
        <v>0</v>
      </c>
      <c r="U160" s="21" t="n">
        <v>0</v>
      </c>
      <c r="V160" s="21" t="inlineStr">
        <is>
          <t>Increased Spell Damage XV</t>
        </is>
      </c>
      <c r="W160" s="61">
        <f>N160*'Item Budget'!$B$5+R160*'Item Budget'!$B$7+P160*'Item Budget'!$B$11+S160*'Item Budget'!$B$10+Q160*'Item Budget'!$B$9+IFERROR(INDEX('Item Budget'!$M$25:$M$95,MATCH(V160,'Item Budget'!$B$25:$B$95,0)),0)+IF($C160="Weapon",U160*'Item Budget'!$B$9,0)</f>
        <v/>
      </c>
      <c r="X160" s="61">
        <f>N160*'Item Budget'!$B$5+R160*'Item Budget'!$B$7+P160*'Item Budget'!$B$11+S160*'Item Budget'!$B$10+O160*'Item Budget'!$B$6+T160*'Item Budget'!$B$8+IFERROR(INDEX('Item Budget'!$N$25:$N$95,MATCH(V160,'Item Budget'!$B$25:$B$95,0)),0)</f>
        <v/>
      </c>
      <c r="Y160" s="61">
        <f>MAX('Item Budget'!$F$16,INDEX('Gear Budget'!$C$8:$C$14,MATCH($C160,'Gear Budget'!$A$8:$A$14,0))*MIN(M160,50))*$L160</f>
        <v/>
      </c>
      <c r="Z160" s="41">
        <f>IF($C160="Caster weapon",X160,MAX(W160,X160))/Y160</f>
        <v/>
      </c>
      <c r="AA160" s="61">
        <f>IF(OR($C160="Weapon",$C160="Caster weapon"),"",'Gear Budget'!$B$5*MAX(1,MIN(M160,50))*INDEX('Gear Budget'!$B$8:$B$14,MATCH($C160,'Gear Budget'!$A$8:$A$14,0))*IF($C160="Shield",IF(D160="Warrior",1,IF(OR(D160="Rogue",D160="All"),0.38/0.6,0.25/0.6)),IFERROR(INDEX('Gear Budget'!$B$18:$B$21,MATCH($F160,'Gear Budget'!$A$18:$A$21,0)),1)))</f>
        <v/>
      </c>
      <c r="AB160" s="41">
        <f>IF(AA160="","",P160/AA160)</f>
        <v/>
      </c>
      <c r="AC160" s="21" t="n">
        <v>50</v>
      </c>
      <c r="AD160" s="21" t="n">
        <v>1500</v>
      </c>
      <c r="AE160" s="21" t="n">
        <v>1500</v>
      </c>
      <c r="AF160" s="21" t="n">
        <v>200</v>
      </c>
      <c r="AG160" s="21" t="n">
        <v>0</v>
      </c>
      <c r="AH160" s="21" t="n">
        <v>0</v>
      </c>
      <c r="AI160" s="21" t="n">
        <v>0</v>
      </c>
      <c r="AJ160" s="21" t="n">
        <v>0</v>
      </c>
      <c r="AK160" s="21" t="n">
        <v>0</v>
      </c>
      <c r="AL160" s="21" t="inlineStr">
        <is>
          <t>Increased Spell Damage XV</t>
        </is>
      </c>
      <c r="AM160" s="61">
        <f>AD160*'Item Budget'!$B$5+AH160*'Item Budget'!$B$7+AF160*'Item Budget'!$B$11+AI160*'Item Budget'!$B$10+AG160*'Item Budget'!$B$9+IFERROR(INDEX('Item Budget'!$M$25:$M$95,MATCH(AL160,'Item Budget'!$B$25:$B$95,0)),0)+IF($C160="Weapon",AK160*'Item Budget'!$B$9,0)</f>
        <v/>
      </c>
      <c r="AN160" s="61">
        <f>AD160*'Item Budget'!$B$5+AH160*'Item Budget'!$B$7+AF160*'Item Budget'!$B$11+AI160*'Item Budget'!$B$10+AE160*'Item Budget'!$B$6+AJ160*'Item Budget'!$B$8+IFERROR(INDEX('Item Budget'!$N$25:$N$95,MATCH(AL160,'Item Budget'!$B$25:$B$95,0)),0)</f>
        <v/>
      </c>
      <c r="AO160" s="61">
        <f>MAX('Item Budget'!$F$16,INDEX('Gear Budget'!$C$8:$C$14,MATCH($C160,'Gear Budget'!$A$8:$A$14,0))*MIN(AC160,50))*$L160</f>
        <v/>
      </c>
      <c r="AP160" s="41">
        <f>IF($C160="Caster weapon",AN160,MAX(AM160,AN160))/AO160</f>
        <v/>
      </c>
      <c r="AQ160" s="61">
        <f>IF(OR($C160="Weapon",$C160="Caster weapon"),"",'Gear Budget'!$B$5*MAX(1,MIN(AC160,50))*INDEX('Gear Budget'!$B$8:$B$14,MATCH($C160,'Gear Budget'!$A$8:$A$14,0))*IF($C160="Shield",IF(E160="Warrior",1,IF(OR(E160="Rogue",E160="All"),0.38/0.6,0.25/0.6)),IFERROR(INDEX('Gear Budget'!$B$18:$B$21,MATCH($F160,'Gear Budget'!$A$18:$A$21,0)),1)))</f>
        <v/>
      </c>
      <c r="AR160" s="41">
        <f>IF(AQ160="","",AF160/AQ160)</f>
        <v/>
      </c>
      <c r="AS160" s="64" t="inlineStr">
        <is>
          <t>Pass 1 (applied): 200M: HP/MP 1000 -&gt; 1500 to stay 10% above Ward of Destruction (buffed).</t>
        </is>
      </c>
      <c r="AT160" s="44">
        <f>IF(OR($E160="All",ISNUMBER(SEARCH("Warrior",$E160))),IF($C160="Caster weapon",(AN160+AF160*('Item Budget'!$AB$14-'Item Budget'!$B$11)),(AM160+AF160*('Item Budget'!$AB$14-'Item Budget'!$B$11))),0)</f>
        <v/>
      </c>
      <c r="AU160" s="44">
        <f>IF(OR($E160="All",ISNUMBER(SEARCH("Rogue",$E160))),IF($C160="Caster weapon",(AN160+AF160*('Item Budget'!$AB$15-'Item Budget'!$B$11)),(AM160+AF160*('Item Budget'!$AB$15-'Item Budget'!$B$11))),0)</f>
        <v/>
      </c>
      <c r="AV160" s="44">
        <f>IF(OR($E160="All",ISNUMBER(SEARCH("Magus",$E160))),(AN160+AF160*('Item Budget'!$AB$16-'Item Budget'!$B$11)),0)</f>
        <v/>
      </c>
      <c r="AW160" s="44">
        <f>IF(OR($E160="All",ISNUMBER(SEARCH("Priest",$E160))),(AN160+AF160*('Item Budget'!$AB$17-'Item Budget'!$B$11)),0)</f>
        <v/>
      </c>
      <c r="AX160" s="44">
        <f>IF(AND(OR($E160="All",ISNUMBER(SEARCH("Warrior",$E160))),AC160&gt;='Item Budget'!$R$10),'Item Budget'!$R$7*100*('Item Budget'!$R$14*(AD160+25*AH160)+'Item Budget'!$S$14*(AE160+25*AJ160))/'Item Budget'!$Z$14+'Item Budget'!$R$9*AF160+IFERROR(INDEX('Item Budget'!$O$25:$O$95,MATCH(AL160,'Item Budget'!$B$25:$B$95,0)),0),0)</f>
        <v/>
      </c>
      <c r="AY160" s="44">
        <f>IF(AND(OR($E160="All",ISNUMBER(SEARCH("Rogue",$E160))),AC160&gt;='Item Budget'!$R$10),'Item Budget'!$R$7*100*('Item Budget'!$R$15*(AD160+25*AH160)+'Item Budget'!$S$15*(AE160+25*AJ160))/'Item Budget'!$Z$15+'Item Budget'!$R$9*AF160+IFERROR(INDEX('Item Budget'!$O$25:$O$95,MATCH(AL160,'Item Budget'!$B$25:$B$95,0)),0),0)</f>
        <v/>
      </c>
      <c r="AZ160" s="44">
        <f>IF(AND(OR($E160="All",ISNUMBER(SEARCH("Magus",$E160))),AC160&gt;='Item Budget'!$R$10),'Item Budget'!$R$7*100*('Item Budget'!$R$16*(AD160+25*AH160)+'Item Budget'!$S$16*(AE160+25*AJ160))/'Item Budget'!$Z$16+'Item Budget'!$R$9*AF160+IFERROR(INDEX('Item Budget'!$O$25:$O$95,MATCH(AL160,'Item Budget'!$B$25:$B$95,0)),0),0)</f>
        <v/>
      </c>
      <c r="BA160" s="44">
        <f>IF(AND(OR($E160="All",ISNUMBER(SEARCH("Priest",$E160))),AC160&gt;='Item Budget'!$R$10),'Item Budget'!$R$7*100*('Item Budget'!$R$17*(AD160+25*AH160)+'Item Budget'!$S$17*(AE160+25*AJ160))/'Item Budget'!$Z$17+'Item Budget'!$R$9*AF160+IFERROR(INDEX('Item Budget'!$O$25:$O$95,MATCH(AL160,'Item Budget'!$B$25:$B$95,0)),0),0)</f>
        <v/>
      </c>
      <c r="BB160" s="52">
        <f>IF(OR($I160&lt;1,IF($I160&gt;=6,AX160,AT160)&lt;=0),"",IF(SUMPRODUCT(MAX(($C$5:$C$215=$C160)*($I$5:$I$215&gt;=1)*($I$5:$I$215&lt;$I160)*IF($I160&gt;=6,$AX$5:$AX$215,$AT$5:$AT$215)))&lt;=0,"",SUMPRODUCT(MAX(($C$5:$C$215=$C160)*($I$5:$I$215=$I160)*IF($I160&gt;=6,$AX$5:$AX$215,$AT$5:$AT$215)))/SUMPRODUCT(MAX(($C$5:$C$215=$C160)*($I$5:$I$215&gt;=1)*($I$5:$I$215&lt;$I160)*IF($I160&gt;=6,$AX$5:$AX$215,$AT$5:$AT$215)))-1))</f>
        <v/>
      </c>
      <c r="BC160" s="52">
        <f>IF(OR($I160&lt;1,IF($I160&gt;=6,AY160,AU160)&lt;=0),"",IF(SUMPRODUCT(MAX(($C$5:$C$215=$C160)*($I$5:$I$215&gt;=1)*($I$5:$I$215&lt;$I160)*IF($I160&gt;=6,$AY$5:$AY$215,$AU$5:$AU$215)))&lt;=0,"",SUMPRODUCT(MAX(($C$5:$C$215=$C160)*($I$5:$I$215=$I160)*IF($I160&gt;=6,$AY$5:$AY$215,$AU$5:$AU$215)))/SUMPRODUCT(MAX(($C$5:$C$215=$C160)*($I$5:$I$215&gt;=1)*($I$5:$I$215&lt;$I160)*IF($I160&gt;=6,$AY$5:$AY$215,$AU$5:$AU$215)))-1))</f>
        <v/>
      </c>
      <c r="BD160" s="52">
        <f>IF(OR($I160&lt;1,IF($I160&gt;=6,AZ160,AV160)&lt;=0),"",IF(SUMPRODUCT(MAX(($C$5:$C$215=$C160)*($I$5:$I$215&gt;=1)*($I$5:$I$215&lt;$I160)*IF($I160&gt;=6,$AZ$5:$AZ$215,$AV$5:$AV$215)))&lt;=0,"",SUMPRODUCT(MAX(($C$5:$C$215=$C160)*($I$5:$I$215=$I160)*IF($I160&gt;=6,$AZ$5:$AZ$215,$AV$5:$AV$215)))/SUMPRODUCT(MAX(($C$5:$C$215=$C160)*($I$5:$I$215&gt;=1)*($I$5:$I$215&lt;$I160)*IF($I160&gt;=6,$AZ$5:$AZ$215,$AV$5:$AV$215)))-1))</f>
        <v/>
      </c>
      <c r="BE160" s="52">
        <f>IF(OR($I160&lt;1,IF($I160&gt;=6,BA160,AW160)&lt;=0),"",IF(SUMPRODUCT(MAX(($C$5:$C$215=$C160)*($I$5:$I$215&gt;=1)*($I$5:$I$215&lt;$I160)*IF($I160&gt;=6,$BA$5:$BA$215,$AW$5:$AW$215)))&lt;=0,"",SUMPRODUCT(MAX(($C$5:$C$215=$C160)*($I$5:$I$215=$I160)*IF($I160&gt;=6,$BA$5:$BA$215,$AW$5:$AW$215)))/SUMPRODUCT(MAX(($C$5:$C$215=$C160)*($I$5:$I$215&gt;=1)*($I$5:$I$215&lt;$I160)*IF($I160&gt;=6,$BA$5:$BA$215,$AW$5:$AW$215)))-1))</f>
        <v/>
      </c>
      <c r="BF160" s="19">
        <f>IF(AND(BB160="",BC160="",BD160="",BE160=""),"",IF(IF(AND(ISNUMBER(BB160),BB160&lt;'Item Budget'!$R$11),"W ","")&amp;IF(AND(ISNUMBER(BC160),BC160&lt;'Item Budget'!$R$11),"R ","")&amp;IF(AND(ISNUMBER(BD160),BD160&lt;'Item Budget'!$R$11),"M ","")&amp;IF(AND(ISNUMBER(BE160),BE160&lt;'Item Budget'!$R$11),"P ","")="","OK","Not above lower step: "&amp;IF(AND(ISNUMBER(BB160),BB160&lt;'Item Budget'!$R$11),"W ","")&amp;IF(AND(ISNUMBER(BC160),BC160&lt;'Item Budget'!$R$11),"R ","")&amp;IF(AND(ISNUMBER(BD160),BD160&lt;'Item Budget'!$R$11),"M ","")&amp;IF(AND(ISNUMBER(BE160),BE160&lt;'Item Budget'!$R$11),"P ","")))</f>
        <v/>
      </c>
    </row>
    <row r="161">
      <c r="A161" s="21" t="n">
        <v>507</v>
      </c>
      <c r="B161" s="21" t="inlineStr">
        <is>
          <t>Clerics Ward of Nobility</t>
        </is>
      </c>
      <c r="C161" s="21" t="inlineStr">
        <is>
          <t>Shield</t>
        </is>
      </c>
      <c r="D161" s="21" t="inlineStr">
        <is>
          <t>Priest</t>
        </is>
      </c>
      <c r="E161" s="21" t="inlineStr">
        <is>
          <t>Priest</t>
        </is>
      </c>
      <c r="F161" s="21" t="inlineStr">
        <is>
          <t>Caster cloth</t>
        </is>
      </c>
      <c r="G161" s="21" t="inlineStr">
        <is>
          <t>drop: Queen Butcher 20%</t>
        </is>
      </c>
      <c r="H161" s="37" t="n">
        <v>200000000</v>
      </c>
      <c r="I161" s="21" t="n">
        <v>8</v>
      </c>
      <c r="J161" s="19" t="inlineStr">
        <is>
          <t>Pass 2</t>
        </is>
      </c>
      <c r="K161" s="21" t="inlineStr">
        <is>
          <t>Rare boss drop</t>
        </is>
      </c>
      <c r="L161" s="31">
        <f>INDEX('Item Budget'!$F$5:$F$13,MATCH(K161,'Item Budget'!$E$5:$E$13,0))+IF(E161="All",0,'Item Budget'!$F$15)+LOOKUP(H161,'Item Budget'!$E$19:$E$23,'Item Budget'!$F$19:$F$23)</f>
        <v/>
      </c>
      <c r="M161" s="21" t="n">
        <v>50</v>
      </c>
      <c r="N161" s="21" t="n">
        <v>1000</v>
      </c>
      <c r="O161" s="21" t="n">
        <v>1000</v>
      </c>
      <c r="P161" s="21" t="n">
        <v>200</v>
      </c>
      <c r="Q161" s="21" t="n">
        <v>0</v>
      </c>
      <c r="R161" s="21" t="n">
        <v>0</v>
      </c>
      <c r="S161" s="21" t="n">
        <v>0</v>
      </c>
      <c r="T161" s="21" t="n">
        <v>0</v>
      </c>
      <c r="U161" s="21" t="n">
        <v>0</v>
      </c>
      <c r="V161" s="21" t="inlineStr">
        <is>
          <t>Increased Spell Damage XV</t>
        </is>
      </c>
      <c r="W161" s="61">
        <f>N161*'Item Budget'!$B$5+R161*'Item Budget'!$B$7+P161*'Item Budget'!$B$11+S161*'Item Budget'!$B$10+Q161*'Item Budget'!$B$9+IFERROR(INDEX('Item Budget'!$M$25:$M$95,MATCH(V161,'Item Budget'!$B$25:$B$95,0)),0)+IF($C161="Weapon",U161*'Item Budget'!$B$9,0)</f>
        <v/>
      </c>
      <c r="X161" s="61">
        <f>N161*'Item Budget'!$B$5+R161*'Item Budget'!$B$7+P161*'Item Budget'!$B$11+S161*'Item Budget'!$B$10+O161*'Item Budget'!$B$6+T161*'Item Budget'!$B$8+IFERROR(INDEX('Item Budget'!$N$25:$N$95,MATCH(V161,'Item Budget'!$B$25:$B$95,0)),0)</f>
        <v/>
      </c>
      <c r="Y161" s="61">
        <f>MAX('Item Budget'!$F$16,INDEX('Gear Budget'!$C$8:$C$14,MATCH($C161,'Gear Budget'!$A$8:$A$14,0))*MIN(M161,50))*$L161</f>
        <v/>
      </c>
      <c r="Z161" s="41">
        <f>IF($C161="Caster weapon",X161,MAX(W161,X161))/Y161</f>
        <v/>
      </c>
      <c r="AA161" s="61">
        <f>IF(OR($C161="Weapon",$C161="Caster weapon"),"",'Gear Budget'!$B$5*MAX(1,MIN(M161,50))*INDEX('Gear Budget'!$B$8:$B$14,MATCH($C161,'Gear Budget'!$A$8:$A$14,0))*IF($C161="Shield",IF(D161="Warrior",1,IF(OR(D161="Rogue",D161="All"),0.38/0.6,0.25/0.6)),IFERROR(INDEX('Gear Budget'!$B$18:$B$21,MATCH($F161,'Gear Budget'!$A$18:$A$21,0)),1)))</f>
        <v/>
      </c>
      <c r="AB161" s="41">
        <f>IF(AA161="","",P161/AA161)</f>
        <v/>
      </c>
      <c r="AC161" s="21" t="n">
        <v>50</v>
      </c>
      <c r="AD161" s="20" t="n">
        <v>1525</v>
      </c>
      <c r="AE161" s="20" t="n">
        <v>1525</v>
      </c>
      <c r="AF161" s="21" t="n">
        <v>200</v>
      </c>
      <c r="AG161" s="21" t="n">
        <v>0</v>
      </c>
      <c r="AH161" s="21" t="n">
        <v>0</v>
      </c>
      <c r="AI161" s="21" t="n">
        <v>0</v>
      </c>
      <c r="AJ161" s="21" t="n">
        <v>0</v>
      </c>
      <c r="AK161" s="21" t="n">
        <v>0</v>
      </c>
      <c r="AL161" s="21" t="inlineStr">
        <is>
          <t>Increased Spell Damage XV</t>
        </is>
      </c>
      <c r="AM161" s="61">
        <f>AD161*'Item Budget'!$B$5+AH161*'Item Budget'!$B$7+AF161*'Item Budget'!$B$11+AI161*'Item Budget'!$B$10+AG161*'Item Budget'!$B$9+IFERROR(INDEX('Item Budget'!$M$25:$M$95,MATCH(AL161,'Item Budget'!$B$25:$B$95,0)),0)+IF($C161="Weapon",AK161*'Item Budget'!$B$9,0)</f>
        <v/>
      </c>
      <c r="AN161" s="61">
        <f>AD161*'Item Budget'!$B$5+AH161*'Item Budget'!$B$7+AF161*'Item Budget'!$B$11+AI161*'Item Budget'!$B$10+AE161*'Item Budget'!$B$6+AJ161*'Item Budget'!$B$8+IFERROR(INDEX('Item Budget'!$N$25:$N$95,MATCH(AL161,'Item Budget'!$B$25:$B$95,0)),0)</f>
        <v/>
      </c>
      <c r="AO161" s="61">
        <f>MAX('Item Budget'!$F$16,INDEX('Gear Budget'!$C$8:$C$14,MATCH($C161,'Gear Budget'!$A$8:$A$14,0))*MIN(AC161,50))*$L161</f>
        <v/>
      </c>
      <c r="AP161" s="41">
        <f>IF($C161="Caster weapon",AN161,MAX(AM161,AN161))/AO161</f>
        <v/>
      </c>
      <c r="AQ161" s="61">
        <f>IF(OR($C161="Weapon",$C161="Caster weapon"),"",'Gear Budget'!$B$5*MAX(1,MIN(AC161,50))*INDEX('Gear Budget'!$B$8:$B$14,MATCH($C161,'Gear Budget'!$A$8:$A$14,0))*IF($C161="Shield",IF(E161="Warrior",1,IF(OR(E161="Rogue",E161="All"),0.38/0.6,0.25/0.6)),IFERROR(INDEX('Gear Budget'!$B$18:$B$21,MATCH($F161,'Gear Budget'!$A$18:$A$21,0)),1)))</f>
        <v/>
      </c>
      <c r="AR161" s="41">
        <f>IF(AQ161="","",AF161/AQ161)</f>
        <v/>
      </c>
      <c r="AS161" s="64" t="inlineStr">
        <is>
          <t>Raised so it is 10% over Ward of Destruction for Priest (pass 2 class weights)</t>
        </is>
      </c>
      <c r="AT161" s="44">
        <f>IF(OR($E161="All",ISNUMBER(SEARCH("Warrior",$E161))),IF($C161="Caster weapon",(AN161+AF161*('Item Budget'!$AB$14-'Item Budget'!$B$11)),(AM161+AF161*('Item Budget'!$AB$14-'Item Budget'!$B$11))),0)</f>
        <v/>
      </c>
      <c r="AU161" s="44">
        <f>IF(OR($E161="All",ISNUMBER(SEARCH("Rogue",$E161))),IF($C161="Caster weapon",(AN161+AF161*('Item Budget'!$AB$15-'Item Budget'!$B$11)),(AM161+AF161*('Item Budget'!$AB$15-'Item Budget'!$B$11))),0)</f>
        <v/>
      </c>
      <c r="AV161" s="44">
        <f>IF(OR($E161="All",ISNUMBER(SEARCH("Magus",$E161))),(AN161+AF161*('Item Budget'!$AB$16-'Item Budget'!$B$11)),0)</f>
        <v/>
      </c>
      <c r="AW161" s="44">
        <f>IF(OR($E161="All",ISNUMBER(SEARCH("Priest",$E161))),(AN161+AF161*('Item Budget'!$AB$17-'Item Budget'!$B$11)),0)</f>
        <v/>
      </c>
      <c r="AX161" s="44">
        <f>IF(AND(OR($E161="All",ISNUMBER(SEARCH("Warrior",$E161))),AC161&gt;='Item Budget'!$R$10),'Item Budget'!$R$7*100*('Item Budget'!$R$14*(AD161+25*AH161)+'Item Budget'!$S$14*(AE161+25*AJ161))/'Item Budget'!$Z$14+'Item Budget'!$R$9*AF161+IFERROR(INDEX('Item Budget'!$O$25:$O$95,MATCH(AL161,'Item Budget'!$B$25:$B$95,0)),0),0)</f>
        <v/>
      </c>
      <c r="AY161" s="44">
        <f>IF(AND(OR($E161="All",ISNUMBER(SEARCH("Rogue",$E161))),AC161&gt;='Item Budget'!$R$10),'Item Budget'!$R$7*100*('Item Budget'!$R$15*(AD161+25*AH161)+'Item Budget'!$S$15*(AE161+25*AJ161))/'Item Budget'!$Z$15+'Item Budget'!$R$9*AF161+IFERROR(INDEX('Item Budget'!$O$25:$O$95,MATCH(AL161,'Item Budget'!$B$25:$B$95,0)),0),0)</f>
        <v/>
      </c>
      <c r="AZ161" s="44">
        <f>IF(AND(OR($E161="All",ISNUMBER(SEARCH("Magus",$E161))),AC161&gt;='Item Budget'!$R$10),'Item Budget'!$R$7*100*('Item Budget'!$R$16*(AD161+25*AH161)+'Item Budget'!$S$16*(AE161+25*AJ161))/'Item Budget'!$Z$16+'Item Budget'!$R$9*AF161+IFERROR(INDEX('Item Budget'!$O$25:$O$95,MATCH(AL161,'Item Budget'!$B$25:$B$95,0)),0),0)</f>
        <v/>
      </c>
      <c r="BA161" s="44">
        <f>IF(AND(OR($E161="All",ISNUMBER(SEARCH("Priest",$E161))),AC161&gt;='Item Budget'!$R$10),'Item Budget'!$R$7*100*('Item Budget'!$R$17*(AD161+25*AH161)+'Item Budget'!$S$17*(AE161+25*AJ161))/'Item Budget'!$Z$17+'Item Budget'!$R$9*AF161+IFERROR(INDEX('Item Budget'!$O$25:$O$95,MATCH(AL161,'Item Budget'!$B$25:$B$95,0)),0),0)</f>
        <v/>
      </c>
      <c r="BB161" s="52">
        <f>IF(OR($I161&lt;1,IF($I161&gt;=6,AX161,AT161)&lt;=0),"",IF(SUMPRODUCT(MAX(($C$5:$C$215=$C161)*($I$5:$I$215&gt;=1)*($I$5:$I$215&lt;$I161)*IF($I161&gt;=6,$AX$5:$AX$215,$AT$5:$AT$215)))&lt;=0,"",SUMPRODUCT(MAX(($C$5:$C$215=$C161)*($I$5:$I$215=$I161)*IF($I161&gt;=6,$AX$5:$AX$215,$AT$5:$AT$215)))/SUMPRODUCT(MAX(($C$5:$C$215=$C161)*($I$5:$I$215&gt;=1)*($I$5:$I$215&lt;$I161)*IF($I161&gt;=6,$AX$5:$AX$215,$AT$5:$AT$215)))-1))</f>
        <v/>
      </c>
      <c r="BC161" s="52">
        <f>IF(OR($I161&lt;1,IF($I161&gt;=6,AY161,AU161)&lt;=0),"",IF(SUMPRODUCT(MAX(($C$5:$C$215=$C161)*($I$5:$I$215&gt;=1)*($I$5:$I$215&lt;$I161)*IF($I161&gt;=6,$AY$5:$AY$215,$AU$5:$AU$215)))&lt;=0,"",SUMPRODUCT(MAX(($C$5:$C$215=$C161)*($I$5:$I$215=$I161)*IF($I161&gt;=6,$AY$5:$AY$215,$AU$5:$AU$215)))/SUMPRODUCT(MAX(($C$5:$C$215=$C161)*($I$5:$I$215&gt;=1)*($I$5:$I$215&lt;$I161)*IF($I161&gt;=6,$AY$5:$AY$215,$AU$5:$AU$215)))-1))</f>
        <v/>
      </c>
      <c r="BD161" s="52">
        <f>IF(OR($I161&lt;1,IF($I161&gt;=6,AZ161,AV161)&lt;=0),"",IF(SUMPRODUCT(MAX(($C$5:$C$215=$C161)*($I$5:$I$215&gt;=1)*($I$5:$I$215&lt;$I161)*IF($I161&gt;=6,$AZ$5:$AZ$215,$AV$5:$AV$215)))&lt;=0,"",SUMPRODUCT(MAX(($C$5:$C$215=$C161)*($I$5:$I$215=$I161)*IF($I161&gt;=6,$AZ$5:$AZ$215,$AV$5:$AV$215)))/SUMPRODUCT(MAX(($C$5:$C$215=$C161)*($I$5:$I$215&gt;=1)*($I$5:$I$215&lt;$I161)*IF($I161&gt;=6,$AZ$5:$AZ$215,$AV$5:$AV$215)))-1))</f>
        <v/>
      </c>
      <c r="BE161" s="52">
        <f>IF(OR($I161&lt;1,IF($I161&gt;=6,BA161,AW161)&lt;=0),"",IF(SUMPRODUCT(MAX(($C$5:$C$215=$C161)*($I$5:$I$215&gt;=1)*($I$5:$I$215&lt;$I161)*IF($I161&gt;=6,$BA$5:$BA$215,$AW$5:$AW$215)))&lt;=0,"",SUMPRODUCT(MAX(($C$5:$C$215=$C161)*($I$5:$I$215=$I161)*IF($I161&gt;=6,$BA$5:$BA$215,$AW$5:$AW$215)))/SUMPRODUCT(MAX(($C$5:$C$215=$C161)*($I$5:$I$215&gt;=1)*($I$5:$I$215&lt;$I161)*IF($I161&gt;=6,$BA$5:$BA$215,$AW$5:$AW$215)))-1))</f>
        <v/>
      </c>
      <c r="BF161" s="19">
        <f>IF(AND(BB161="",BC161="",BD161="",BE161=""),"",IF(IF(AND(ISNUMBER(BB161),BB161&lt;'Item Budget'!$R$11),"W ","")&amp;IF(AND(ISNUMBER(BC161),BC161&lt;'Item Budget'!$R$11),"R ","")&amp;IF(AND(ISNUMBER(BD161),BD161&lt;'Item Budget'!$R$11),"M ","")&amp;IF(AND(ISNUMBER(BE161),BE161&lt;'Item Budget'!$R$11),"P ","")="","OK","Not above lower step: "&amp;IF(AND(ISNUMBER(BB161),BB161&lt;'Item Budget'!$R$11),"W ","")&amp;IF(AND(ISNUMBER(BC161),BC161&lt;'Item Budget'!$R$11),"R ","")&amp;IF(AND(ISNUMBER(BD161),BD161&lt;'Item Budget'!$R$11),"M ","")&amp;IF(AND(ISNUMBER(BE161),BE161&lt;'Item Budget'!$R$11),"P ","")))</f>
        <v/>
      </c>
    </row>
    <row r="162">
      <c r="A162" s="21" t="n">
        <v>3</v>
      </c>
      <c r="B162" s="21" t="inlineStr">
        <is>
          <t>Stick</t>
        </is>
      </c>
      <c r="C162" s="21" t="inlineStr">
        <is>
          <t>Weapon</t>
        </is>
      </c>
      <c r="D162" s="21" t="inlineStr">
        <is>
          <t>All</t>
        </is>
      </c>
      <c r="E162" s="21" t="inlineStr">
        <is>
          <t>All</t>
        </is>
      </c>
      <c r="F162" s="21" t="inlineStr"/>
      <c r="G162" s="21" t="inlineStr">
        <is>
          <t>drop: Mouse 5%</t>
        </is>
      </c>
      <c r="H162" s="37" t="n">
        <v>0</v>
      </c>
      <c r="I162" s="21" t="n">
        <v>0</v>
      </c>
      <c r="J162" s="19" t="inlineStr">
        <is>
          <t>Leave</t>
        </is>
      </c>
      <c r="K162" s="21" t="inlineStr">
        <is>
          <t>Vendor</t>
        </is>
      </c>
      <c r="L162" s="31">
        <f>INDEX('Item Budget'!$F$5:$F$13,MATCH(K162,'Item Budget'!$E$5:$E$13,0))+IF(E162="All",0,'Item Budget'!$F$15)+LOOKUP(H162,'Item Budget'!$E$19:$E$23,'Item Budget'!$F$19:$F$23)</f>
        <v/>
      </c>
      <c r="M162" s="21" t="n">
        <v>0</v>
      </c>
      <c r="N162" s="21" t="n">
        <v>0</v>
      </c>
      <c r="O162" s="21" t="n">
        <v>0</v>
      </c>
      <c r="P162" s="21" t="n">
        <v>0</v>
      </c>
      <c r="Q162" s="21" t="n">
        <v>0</v>
      </c>
      <c r="R162" s="21" t="n">
        <v>0</v>
      </c>
      <c r="S162" s="21" t="n">
        <v>0</v>
      </c>
      <c r="T162" s="21" t="n">
        <v>0</v>
      </c>
      <c r="U162" s="21" t="n">
        <v>3</v>
      </c>
      <c r="V162" s="21" t="inlineStr">
        <is>
          <t>(none)</t>
        </is>
      </c>
      <c r="W162" s="61">
        <f>N162*'Item Budget'!$B$5+R162*'Item Budget'!$B$7+P162*'Item Budget'!$B$11+S162*'Item Budget'!$B$10+Q162*'Item Budget'!$B$9+IFERROR(INDEX('Item Budget'!$M$25:$M$95,MATCH(V162,'Item Budget'!$B$25:$B$95,0)),0)+IF($C162="Weapon",U162*'Item Budget'!$B$9,0)</f>
        <v/>
      </c>
      <c r="X162" s="61">
        <f>N162*'Item Budget'!$B$5+R162*'Item Budget'!$B$7+P162*'Item Budget'!$B$11+S162*'Item Budget'!$B$10+O162*'Item Budget'!$B$6+T162*'Item Budget'!$B$8+IFERROR(INDEX('Item Budget'!$N$25:$N$95,MATCH(V162,'Item Budget'!$B$25:$B$95,0)),0)</f>
        <v/>
      </c>
      <c r="Y162" s="61">
        <f>MAX('Item Budget'!$F$16,INDEX('Gear Budget'!$C$8:$C$14,MATCH($C162,'Gear Budget'!$A$8:$A$14,0))*MIN(M162,50))*$L162</f>
        <v/>
      </c>
      <c r="Z162" s="41">
        <f>IF($C162="Caster weapon",X162,MAX(W162,X162))/Y162</f>
        <v/>
      </c>
      <c r="AA162" s="61">
        <f>IF(OR($C162="Weapon",$C162="Caster weapon"),"",'Gear Budget'!$B$5*MAX(1,MIN(M162,50))*INDEX('Gear Budget'!$B$8:$B$14,MATCH($C162,'Gear Budget'!$A$8:$A$14,0))*IF($C162="Shield",IF(D162="Warrior",1,IF(OR(D162="Rogue",D162="All"),0.38/0.6,0.25/0.6)),IFERROR(INDEX('Gear Budget'!$B$18:$B$21,MATCH($F162,'Gear Budget'!$A$18:$A$21,0)),1)))</f>
        <v/>
      </c>
      <c r="AB162" s="41">
        <f>IF(AA162="","",P162/AA162)</f>
        <v/>
      </c>
      <c r="AC162" s="21" t="n">
        <v>0</v>
      </c>
      <c r="AD162" s="21" t="n">
        <v>0</v>
      </c>
      <c r="AE162" s="21" t="n">
        <v>0</v>
      </c>
      <c r="AF162" s="21" t="n">
        <v>0</v>
      </c>
      <c r="AG162" s="21" t="n">
        <v>0</v>
      </c>
      <c r="AH162" s="21" t="n">
        <v>0</v>
      </c>
      <c r="AI162" s="21" t="n">
        <v>0</v>
      </c>
      <c r="AJ162" s="21" t="n">
        <v>0</v>
      </c>
      <c r="AK162" s="21" t="n">
        <v>3</v>
      </c>
      <c r="AL162" s="21" t="inlineStr">
        <is>
          <t>(none)</t>
        </is>
      </c>
      <c r="AM162" s="61">
        <f>AD162*'Item Budget'!$B$5+AH162*'Item Budget'!$B$7+AF162*'Item Budget'!$B$11+AI162*'Item Budget'!$B$10+AG162*'Item Budget'!$B$9+IFERROR(INDEX('Item Budget'!$M$25:$M$95,MATCH(AL162,'Item Budget'!$B$25:$B$95,0)),0)+IF($C162="Weapon",AK162*'Item Budget'!$B$9,0)</f>
        <v/>
      </c>
      <c r="AN162" s="61">
        <f>AD162*'Item Budget'!$B$5+AH162*'Item Budget'!$B$7+AF162*'Item Budget'!$B$11+AI162*'Item Budget'!$B$10+AE162*'Item Budget'!$B$6+AJ162*'Item Budget'!$B$8+IFERROR(INDEX('Item Budget'!$N$25:$N$95,MATCH(AL162,'Item Budget'!$B$25:$B$95,0)),0)</f>
        <v/>
      </c>
      <c r="AO162" s="61">
        <f>MAX('Item Budget'!$F$16,INDEX('Gear Budget'!$C$8:$C$14,MATCH($C162,'Gear Budget'!$A$8:$A$14,0))*MIN(AC162,50))*$L162</f>
        <v/>
      </c>
      <c r="AP162" s="41">
        <f>IF($C162="Caster weapon",AN162,MAX(AM162,AN162))/AO162</f>
        <v/>
      </c>
      <c r="AQ162" s="61">
        <f>IF(OR($C162="Weapon",$C162="Caster weapon"),"",'Gear Budget'!$B$5*MAX(1,MIN(AC162,50))*INDEX('Gear Budget'!$B$8:$B$14,MATCH($C162,'Gear Budget'!$A$8:$A$14,0))*IF($C162="Shield",IF(E162="Warrior",1,IF(OR(E162="Rogue",E162="All"),0.38/0.6,0.25/0.6)),IFERROR(INDEX('Gear Budget'!$B$18:$B$21,MATCH($F162,'Gear Budget'!$A$18:$A$21,0)),1)))</f>
        <v/>
      </c>
      <c r="AR162" s="41">
        <f>IF(AQ162="","",AF162/AQ162)</f>
        <v/>
      </c>
      <c r="AS162" s="64" t="inlineStr">
        <is>
          <t>Pass 1 (applied): Starter weapon.</t>
        </is>
      </c>
      <c r="AT162" s="44">
        <f>IF(OR($E162="All",ISNUMBER(SEARCH("Warrior",$E162))),IF($C162="Caster weapon",(AN162+AF162*('Item Budget'!$AB$14-'Item Budget'!$B$11)),(AM162+AF162*('Item Budget'!$AB$14-'Item Budget'!$B$11))),0)</f>
        <v/>
      </c>
      <c r="AU162" s="44">
        <f>IF(OR($E162="All",ISNUMBER(SEARCH("Rogue",$E162))),IF($C162="Caster weapon",(AN162+AF162*('Item Budget'!$AB$15-'Item Budget'!$B$11)),(AM162+AF162*('Item Budget'!$AB$15-'Item Budget'!$B$11))),0)</f>
        <v/>
      </c>
      <c r="AV162" s="44">
        <f>IF(OR($E162="All",ISNUMBER(SEARCH("Magus",$E162))),(AN162+AF162*('Item Budget'!$AB$16-'Item Budget'!$B$11)),0)</f>
        <v/>
      </c>
      <c r="AW162" s="44">
        <f>IF(OR($E162="All",ISNUMBER(SEARCH("Priest",$E162))),(AN162+AF162*('Item Budget'!$AB$17-'Item Budget'!$B$11)),0)</f>
        <v/>
      </c>
      <c r="AX162" s="44">
        <f>IF(AND(OR($E162="All",ISNUMBER(SEARCH("Warrior",$E162))),AC162&gt;='Item Budget'!$R$10),'Item Budget'!$R$7*100*('Item Budget'!$R$14*(AD162+25*AH162)+'Item Budget'!$S$14*(AE162+25*AJ162))/'Item Budget'!$Z$14+'Item Budget'!$R$9*AF162+IFERROR(INDEX('Item Budget'!$O$25:$O$95,MATCH(AL162,'Item Budget'!$B$25:$B$95,0)),0),0)</f>
        <v/>
      </c>
      <c r="AY162" s="44">
        <f>IF(AND(OR($E162="All",ISNUMBER(SEARCH("Rogue",$E162))),AC162&gt;='Item Budget'!$R$10),'Item Budget'!$R$7*100*('Item Budget'!$R$15*(AD162+25*AH162)+'Item Budget'!$S$15*(AE162+25*AJ162))/'Item Budget'!$Z$15+'Item Budget'!$R$9*AF162+IFERROR(INDEX('Item Budget'!$O$25:$O$95,MATCH(AL162,'Item Budget'!$B$25:$B$95,0)),0),0)</f>
        <v/>
      </c>
      <c r="AZ162" s="44">
        <f>IF(AND(OR($E162="All",ISNUMBER(SEARCH("Magus",$E162))),AC162&gt;='Item Budget'!$R$10),'Item Budget'!$R$7*100*('Item Budget'!$R$16*(AD162+25*AH162)+'Item Budget'!$S$16*(AE162+25*AJ162))/'Item Budget'!$Z$16+'Item Budget'!$R$9*AF162+IFERROR(INDEX('Item Budget'!$O$25:$O$95,MATCH(AL162,'Item Budget'!$B$25:$B$95,0)),0),0)</f>
        <v/>
      </c>
      <c r="BA162" s="44">
        <f>IF(AND(OR($E162="All",ISNUMBER(SEARCH("Priest",$E162))),AC162&gt;='Item Budget'!$R$10),'Item Budget'!$R$7*100*('Item Budget'!$R$17*(AD162+25*AH162)+'Item Budget'!$S$17*(AE162+25*AJ162))/'Item Budget'!$Z$17+'Item Budget'!$R$9*AF162+IFERROR(INDEX('Item Budget'!$O$25:$O$95,MATCH(AL162,'Item Budget'!$B$25:$B$95,0)),0),0)</f>
        <v/>
      </c>
      <c r="BB162" s="52">
        <f>IF(OR($I162&lt;1,IF($I162&gt;=6,AX162,AT162)&lt;=0),"",IF(SUMPRODUCT(MAX(($C$5:$C$215=$C162)*($I$5:$I$215&gt;=1)*($I$5:$I$215&lt;$I162)*IF($I162&gt;=6,$AX$5:$AX$215,$AT$5:$AT$215)))&lt;=0,"",SUMPRODUCT(MAX(($C$5:$C$215=$C162)*($I$5:$I$215=$I162)*IF($I162&gt;=6,$AX$5:$AX$215,$AT$5:$AT$215)))/SUMPRODUCT(MAX(($C$5:$C$215=$C162)*($I$5:$I$215&gt;=1)*($I$5:$I$215&lt;$I162)*IF($I162&gt;=6,$AX$5:$AX$215,$AT$5:$AT$215)))-1))</f>
        <v/>
      </c>
      <c r="BC162" s="52">
        <f>IF(OR($I162&lt;1,IF($I162&gt;=6,AY162,AU162)&lt;=0),"",IF(SUMPRODUCT(MAX(($C$5:$C$215=$C162)*($I$5:$I$215&gt;=1)*($I$5:$I$215&lt;$I162)*IF($I162&gt;=6,$AY$5:$AY$215,$AU$5:$AU$215)))&lt;=0,"",SUMPRODUCT(MAX(($C$5:$C$215=$C162)*($I$5:$I$215=$I162)*IF($I162&gt;=6,$AY$5:$AY$215,$AU$5:$AU$215)))/SUMPRODUCT(MAX(($C$5:$C$215=$C162)*($I$5:$I$215&gt;=1)*($I$5:$I$215&lt;$I162)*IF($I162&gt;=6,$AY$5:$AY$215,$AU$5:$AU$215)))-1))</f>
        <v/>
      </c>
      <c r="BD162" s="52">
        <f>IF(OR($I162&lt;1,IF($I162&gt;=6,AZ162,AV162)&lt;=0),"",IF(SUMPRODUCT(MAX(($C$5:$C$215=$C162)*($I$5:$I$215&gt;=1)*($I$5:$I$215&lt;$I162)*IF($I162&gt;=6,$AZ$5:$AZ$215,$AV$5:$AV$215)))&lt;=0,"",SUMPRODUCT(MAX(($C$5:$C$215=$C162)*($I$5:$I$215=$I162)*IF($I162&gt;=6,$AZ$5:$AZ$215,$AV$5:$AV$215)))/SUMPRODUCT(MAX(($C$5:$C$215=$C162)*($I$5:$I$215&gt;=1)*($I$5:$I$215&lt;$I162)*IF($I162&gt;=6,$AZ$5:$AZ$215,$AV$5:$AV$215)))-1))</f>
        <v/>
      </c>
      <c r="BE162" s="52">
        <f>IF(OR($I162&lt;1,IF($I162&gt;=6,BA162,AW162)&lt;=0),"",IF(SUMPRODUCT(MAX(($C$5:$C$215=$C162)*($I$5:$I$215&gt;=1)*($I$5:$I$215&lt;$I162)*IF($I162&gt;=6,$BA$5:$BA$215,$AW$5:$AW$215)))&lt;=0,"",SUMPRODUCT(MAX(($C$5:$C$215=$C162)*($I$5:$I$215=$I162)*IF($I162&gt;=6,$BA$5:$BA$215,$AW$5:$AW$215)))/SUMPRODUCT(MAX(($C$5:$C$215=$C162)*($I$5:$I$215&gt;=1)*($I$5:$I$215&lt;$I162)*IF($I162&gt;=6,$BA$5:$BA$215,$AW$5:$AW$215)))-1))</f>
        <v/>
      </c>
      <c r="BF162" s="19">
        <f>IF(AND(BB162="",BC162="",BD162="",BE162=""),"",IF(IF(AND(ISNUMBER(BB162),BB162&lt;'Item Budget'!$R$11),"W ","")&amp;IF(AND(ISNUMBER(BC162),BC162&lt;'Item Budget'!$R$11),"R ","")&amp;IF(AND(ISNUMBER(BD162),BD162&lt;'Item Budget'!$R$11),"M ","")&amp;IF(AND(ISNUMBER(BE162),BE162&lt;'Item Budget'!$R$11),"P ","")="","OK","Not above lower step: "&amp;IF(AND(ISNUMBER(BB162),BB162&lt;'Item Budget'!$R$11),"W ","")&amp;IF(AND(ISNUMBER(BC162),BC162&lt;'Item Budget'!$R$11),"R ","")&amp;IF(AND(ISNUMBER(BD162),BD162&lt;'Item Budget'!$R$11),"M ","")&amp;IF(AND(ISNUMBER(BE162),BE162&lt;'Item Budget'!$R$11),"P ","")))</f>
        <v/>
      </c>
    </row>
    <row r="163">
      <c r="A163" s="21" t="n">
        <v>6</v>
      </c>
      <c r="B163" s="21" t="inlineStr">
        <is>
          <t>Tin Can</t>
        </is>
      </c>
      <c r="C163" s="21" t="inlineStr">
        <is>
          <t>Weapon</t>
        </is>
      </c>
      <c r="D163" s="21" t="inlineStr">
        <is>
          <t>All</t>
        </is>
      </c>
      <c r="E163" s="21" t="inlineStr">
        <is>
          <t>All</t>
        </is>
      </c>
      <c r="F163" s="21" t="inlineStr"/>
      <c r="G163" s="21" t="inlineStr">
        <is>
          <t>drop: Rabid Rabbit 3%</t>
        </is>
      </c>
      <c r="H163" s="37" t="n">
        <v>0</v>
      </c>
      <c r="I163" s="21" t="n">
        <v>0</v>
      </c>
      <c r="J163" s="19" t="inlineStr">
        <is>
          <t>Leave</t>
        </is>
      </c>
      <c r="K163" s="21" t="inlineStr">
        <is>
          <t>Rare drop</t>
        </is>
      </c>
      <c r="L163" s="31">
        <f>INDEX('Item Budget'!$F$5:$F$13,MATCH(K163,'Item Budget'!$E$5:$E$13,0))+IF(E163="All",0,'Item Budget'!$F$15)+LOOKUP(H163,'Item Budget'!$E$19:$E$23,'Item Budget'!$F$19:$F$23)</f>
        <v/>
      </c>
      <c r="M163" s="21" t="n">
        <v>0</v>
      </c>
      <c r="N163" s="21" t="n">
        <v>5</v>
      </c>
      <c r="O163" s="21" t="n">
        <v>0</v>
      </c>
      <c r="P163" s="21" t="n">
        <v>0</v>
      </c>
      <c r="Q163" s="21" t="n">
        <v>1</v>
      </c>
      <c r="R163" s="21" t="n">
        <v>0</v>
      </c>
      <c r="S163" s="21" t="n">
        <v>0</v>
      </c>
      <c r="T163" s="21" t="n">
        <v>0</v>
      </c>
      <c r="U163" s="21" t="n">
        <v>13</v>
      </c>
      <c r="V163" s="21" t="inlineStr">
        <is>
          <t>(none)</t>
        </is>
      </c>
      <c r="W163" s="61">
        <f>N163*'Item Budget'!$B$5+R163*'Item Budget'!$B$7+P163*'Item Budget'!$B$11+S163*'Item Budget'!$B$10+Q163*'Item Budget'!$B$9+IFERROR(INDEX('Item Budget'!$M$25:$M$95,MATCH(V163,'Item Budget'!$B$25:$B$95,0)),0)+IF($C163="Weapon",U163*'Item Budget'!$B$9,0)</f>
        <v/>
      </c>
      <c r="X163" s="61">
        <f>N163*'Item Budget'!$B$5+R163*'Item Budget'!$B$7+P163*'Item Budget'!$B$11+S163*'Item Budget'!$B$10+O163*'Item Budget'!$B$6+T163*'Item Budget'!$B$8+IFERROR(INDEX('Item Budget'!$N$25:$N$95,MATCH(V163,'Item Budget'!$B$25:$B$95,0)),0)</f>
        <v/>
      </c>
      <c r="Y163" s="61">
        <f>MAX('Item Budget'!$F$16,INDEX('Gear Budget'!$C$8:$C$14,MATCH($C163,'Gear Budget'!$A$8:$A$14,0))*MIN(M163,50))*$L163</f>
        <v/>
      </c>
      <c r="Z163" s="41">
        <f>IF($C163="Caster weapon",X163,MAX(W163,X163))/Y163</f>
        <v/>
      </c>
      <c r="AA163" s="61">
        <f>IF(OR($C163="Weapon",$C163="Caster weapon"),"",'Gear Budget'!$B$5*MAX(1,MIN(M163,50))*INDEX('Gear Budget'!$B$8:$B$14,MATCH($C163,'Gear Budget'!$A$8:$A$14,0))*IF($C163="Shield",IF(D163="Warrior",1,IF(OR(D163="Rogue",D163="All"),0.38/0.6,0.25/0.6)),IFERROR(INDEX('Gear Budget'!$B$18:$B$21,MATCH($F163,'Gear Budget'!$A$18:$A$21,0)),1)))</f>
        <v/>
      </c>
      <c r="AB163" s="41">
        <f>IF(AA163="","",P163/AA163)</f>
        <v/>
      </c>
      <c r="AC163" s="21" t="n">
        <v>0</v>
      </c>
      <c r="AD163" s="21" t="n">
        <v>5</v>
      </c>
      <c r="AE163" s="21" t="n">
        <v>0</v>
      </c>
      <c r="AF163" s="21" t="n">
        <v>0</v>
      </c>
      <c r="AG163" s="21" t="n">
        <v>1</v>
      </c>
      <c r="AH163" s="21" t="n">
        <v>0</v>
      </c>
      <c r="AI163" s="21" t="n">
        <v>0</v>
      </c>
      <c r="AJ163" s="21" t="n">
        <v>0</v>
      </c>
      <c r="AK163" s="21" t="n">
        <v>13</v>
      </c>
      <c r="AL163" s="21" t="inlineStr">
        <is>
          <t>(none)</t>
        </is>
      </c>
      <c r="AM163" s="61">
        <f>AD163*'Item Budget'!$B$5+AH163*'Item Budget'!$B$7+AF163*'Item Budget'!$B$11+AI163*'Item Budget'!$B$10+AG163*'Item Budget'!$B$9+IFERROR(INDEX('Item Budget'!$M$25:$M$95,MATCH(AL163,'Item Budget'!$B$25:$B$95,0)),0)+IF($C163="Weapon",AK163*'Item Budget'!$B$9,0)</f>
        <v/>
      </c>
      <c r="AN163" s="61">
        <f>AD163*'Item Budget'!$B$5+AH163*'Item Budget'!$B$7+AF163*'Item Budget'!$B$11+AI163*'Item Budget'!$B$10+AE163*'Item Budget'!$B$6+AJ163*'Item Budget'!$B$8+IFERROR(INDEX('Item Budget'!$N$25:$N$95,MATCH(AL163,'Item Budget'!$B$25:$B$95,0)),0)</f>
        <v/>
      </c>
      <c r="AO163" s="61">
        <f>MAX('Item Budget'!$F$16,INDEX('Gear Budget'!$C$8:$C$14,MATCH($C163,'Gear Budget'!$A$8:$A$14,0))*MIN(AC163,50))*$L163</f>
        <v/>
      </c>
      <c r="AP163" s="41">
        <f>IF($C163="Caster weapon",AN163,MAX(AM163,AN163))/AO163</f>
        <v/>
      </c>
      <c r="AQ163" s="61">
        <f>IF(OR($C163="Weapon",$C163="Caster weapon"),"",'Gear Budget'!$B$5*MAX(1,MIN(AC163,50))*INDEX('Gear Budget'!$B$8:$B$14,MATCH($C163,'Gear Budget'!$A$8:$A$14,0))*IF($C163="Shield",IF(E163="Warrior",1,IF(OR(E163="Rogue",E163="All"),0.38/0.6,0.25/0.6)),IFERROR(INDEX('Gear Budget'!$B$18:$B$21,MATCH($F163,'Gear Budget'!$A$18:$A$21,0)),1)))</f>
        <v/>
      </c>
      <c r="AR163" s="41">
        <f>IF(AQ163="","",AF163/AQ163)</f>
        <v/>
      </c>
      <c r="AS163" s="64" t="n"/>
      <c r="AT163" s="44">
        <f>IF(OR($E163="All",ISNUMBER(SEARCH("Warrior",$E163))),IF($C163="Caster weapon",(AN163+AF163*('Item Budget'!$AB$14-'Item Budget'!$B$11)),(AM163+AF163*('Item Budget'!$AB$14-'Item Budget'!$B$11))),0)</f>
        <v/>
      </c>
      <c r="AU163" s="44">
        <f>IF(OR($E163="All",ISNUMBER(SEARCH("Rogue",$E163))),IF($C163="Caster weapon",(AN163+AF163*('Item Budget'!$AB$15-'Item Budget'!$B$11)),(AM163+AF163*('Item Budget'!$AB$15-'Item Budget'!$B$11))),0)</f>
        <v/>
      </c>
      <c r="AV163" s="44">
        <f>IF(OR($E163="All",ISNUMBER(SEARCH("Magus",$E163))),(AN163+AF163*('Item Budget'!$AB$16-'Item Budget'!$B$11)),0)</f>
        <v/>
      </c>
      <c r="AW163" s="44">
        <f>IF(OR($E163="All",ISNUMBER(SEARCH("Priest",$E163))),(AN163+AF163*('Item Budget'!$AB$17-'Item Budget'!$B$11)),0)</f>
        <v/>
      </c>
      <c r="AX163" s="44">
        <f>IF(AND(OR($E163="All",ISNUMBER(SEARCH("Warrior",$E163))),AC163&gt;='Item Budget'!$R$10),'Item Budget'!$R$7*100*('Item Budget'!$R$14*(AD163+25*AH163)+'Item Budget'!$S$14*(AE163+25*AJ163))/'Item Budget'!$Z$14+'Item Budget'!$R$9*AF163+IFERROR(INDEX('Item Budget'!$O$25:$O$95,MATCH(AL163,'Item Budget'!$B$25:$B$95,0)),0),0)</f>
        <v/>
      </c>
      <c r="AY163" s="44">
        <f>IF(AND(OR($E163="All",ISNUMBER(SEARCH("Rogue",$E163))),AC163&gt;='Item Budget'!$R$10),'Item Budget'!$R$7*100*('Item Budget'!$R$15*(AD163+25*AH163)+'Item Budget'!$S$15*(AE163+25*AJ163))/'Item Budget'!$Z$15+'Item Budget'!$R$9*AF163+IFERROR(INDEX('Item Budget'!$O$25:$O$95,MATCH(AL163,'Item Budget'!$B$25:$B$95,0)),0),0)</f>
        <v/>
      </c>
      <c r="AZ163" s="44">
        <f>IF(AND(OR($E163="All",ISNUMBER(SEARCH("Magus",$E163))),AC163&gt;='Item Budget'!$R$10),'Item Budget'!$R$7*100*('Item Budget'!$R$16*(AD163+25*AH163)+'Item Budget'!$S$16*(AE163+25*AJ163))/'Item Budget'!$Z$16+'Item Budget'!$R$9*AF163+IFERROR(INDEX('Item Budget'!$O$25:$O$95,MATCH(AL163,'Item Budget'!$B$25:$B$95,0)),0),0)</f>
        <v/>
      </c>
      <c r="BA163" s="44">
        <f>IF(AND(OR($E163="All",ISNUMBER(SEARCH("Priest",$E163))),AC163&gt;='Item Budget'!$R$10),'Item Budget'!$R$7*100*('Item Budget'!$R$17*(AD163+25*AH163)+'Item Budget'!$S$17*(AE163+25*AJ163))/'Item Budget'!$Z$17+'Item Budget'!$R$9*AF163+IFERROR(INDEX('Item Budget'!$O$25:$O$95,MATCH(AL163,'Item Budget'!$B$25:$B$95,0)),0),0)</f>
        <v/>
      </c>
      <c r="BB163" s="52">
        <f>IF(OR($I163&lt;1,IF($I163&gt;=6,AX163,AT163)&lt;=0),"",IF(SUMPRODUCT(MAX(($C$5:$C$215=$C163)*($I$5:$I$215&gt;=1)*($I$5:$I$215&lt;$I163)*IF($I163&gt;=6,$AX$5:$AX$215,$AT$5:$AT$215)))&lt;=0,"",SUMPRODUCT(MAX(($C$5:$C$215=$C163)*($I$5:$I$215=$I163)*IF($I163&gt;=6,$AX$5:$AX$215,$AT$5:$AT$215)))/SUMPRODUCT(MAX(($C$5:$C$215=$C163)*($I$5:$I$215&gt;=1)*($I$5:$I$215&lt;$I163)*IF($I163&gt;=6,$AX$5:$AX$215,$AT$5:$AT$215)))-1))</f>
        <v/>
      </c>
      <c r="BC163" s="52">
        <f>IF(OR($I163&lt;1,IF($I163&gt;=6,AY163,AU163)&lt;=0),"",IF(SUMPRODUCT(MAX(($C$5:$C$215=$C163)*($I$5:$I$215&gt;=1)*($I$5:$I$215&lt;$I163)*IF($I163&gt;=6,$AY$5:$AY$215,$AU$5:$AU$215)))&lt;=0,"",SUMPRODUCT(MAX(($C$5:$C$215=$C163)*($I$5:$I$215=$I163)*IF($I163&gt;=6,$AY$5:$AY$215,$AU$5:$AU$215)))/SUMPRODUCT(MAX(($C$5:$C$215=$C163)*($I$5:$I$215&gt;=1)*($I$5:$I$215&lt;$I163)*IF($I163&gt;=6,$AY$5:$AY$215,$AU$5:$AU$215)))-1))</f>
        <v/>
      </c>
      <c r="BD163" s="52">
        <f>IF(OR($I163&lt;1,IF($I163&gt;=6,AZ163,AV163)&lt;=0),"",IF(SUMPRODUCT(MAX(($C$5:$C$215=$C163)*($I$5:$I$215&gt;=1)*($I$5:$I$215&lt;$I163)*IF($I163&gt;=6,$AZ$5:$AZ$215,$AV$5:$AV$215)))&lt;=0,"",SUMPRODUCT(MAX(($C$5:$C$215=$C163)*($I$5:$I$215=$I163)*IF($I163&gt;=6,$AZ$5:$AZ$215,$AV$5:$AV$215)))/SUMPRODUCT(MAX(($C$5:$C$215=$C163)*($I$5:$I$215&gt;=1)*($I$5:$I$215&lt;$I163)*IF($I163&gt;=6,$AZ$5:$AZ$215,$AV$5:$AV$215)))-1))</f>
        <v/>
      </c>
      <c r="BE163" s="52">
        <f>IF(OR($I163&lt;1,IF($I163&gt;=6,BA163,AW163)&lt;=0),"",IF(SUMPRODUCT(MAX(($C$5:$C$215=$C163)*($I$5:$I$215&gt;=1)*($I$5:$I$215&lt;$I163)*IF($I163&gt;=6,$BA$5:$BA$215,$AW$5:$AW$215)))&lt;=0,"",SUMPRODUCT(MAX(($C$5:$C$215=$C163)*($I$5:$I$215=$I163)*IF($I163&gt;=6,$BA$5:$BA$215,$AW$5:$AW$215)))/SUMPRODUCT(MAX(($C$5:$C$215=$C163)*($I$5:$I$215&gt;=1)*($I$5:$I$215&lt;$I163)*IF($I163&gt;=6,$BA$5:$BA$215,$AW$5:$AW$215)))-1))</f>
        <v/>
      </c>
      <c r="BF163" s="19">
        <f>IF(AND(BB163="",BC163="",BD163="",BE163=""),"",IF(IF(AND(ISNUMBER(BB163),BB163&lt;'Item Budget'!$R$11),"W ","")&amp;IF(AND(ISNUMBER(BC163),BC163&lt;'Item Budget'!$R$11),"R ","")&amp;IF(AND(ISNUMBER(BD163),BD163&lt;'Item Budget'!$R$11),"M ","")&amp;IF(AND(ISNUMBER(BE163),BE163&lt;'Item Budget'!$R$11),"P ","")="","OK","Not above lower step: "&amp;IF(AND(ISNUMBER(BB163),BB163&lt;'Item Budget'!$R$11),"W ","")&amp;IF(AND(ISNUMBER(BC163),BC163&lt;'Item Budget'!$R$11),"R ","")&amp;IF(AND(ISNUMBER(BD163),BD163&lt;'Item Budget'!$R$11),"M ","")&amp;IF(AND(ISNUMBER(BE163),BE163&lt;'Item Budget'!$R$11),"P ","")))</f>
        <v/>
      </c>
    </row>
    <row r="164">
      <c r="A164" s="21" t="n">
        <v>11</v>
      </c>
      <c r="B164" s="21" t="inlineStr">
        <is>
          <t>Small Hammer</t>
        </is>
      </c>
      <c r="C164" s="21" t="inlineStr">
        <is>
          <t>Weapon</t>
        </is>
      </c>
      <c r="D164" s="21" t="inlineStr">
        <is>
          <t>Warrior/Priest</t>
        </is>
      </c>
      <c r="E164" s="21" t="inlineStr">
        <is>
          <t>Warrior/Priest</t>
        </is>
      </c>
      <c r="F164" s="21" t="inlineStr"/>
      <c r="G164" s="21" t="inlineStr">
        <is>
          <t>drop: Asp 3%</t>
        </is>
      </c>
      <c r="H164" s="37" t="n">
        <v>0</v>
      </c>
      <c r="I164" s="21" t="n">
        <v>0</v>
      </c>
      <c r="J164" s="19" t="inlineStr">
        <is>
          <t>Leave</t>
        </is>
      </c>
      <c r="K164" s="21" t="inlineStr">
        <is>
          <t>Vendor</t>
        </is>
      </c>
      <c r="L164" s="31">
        <f>INDEX('Item Budget'!$F$5:$F$13,MATCH(K164,'Item Budget'!$E$5:$E$13,0))+IF(E164="All",0,'Item Budget'!$F$15)+LOOKUP(H164,'Item Budget'!$E$19:$E$23,'Item Budget'!$F$19:$F$23)</f>
        <v/>
      </c>
      <c r="M164" s="21" t="n">
        <v>5</v>
      </c>
      <c r="N164" s="21" t="n">
        <v>0</v>
      </c>
      <c r="O164" s="21" t="n">
        <v>0</v>
      </c>
      <c r="P164" s="21" t="n">
        <v>0</v>
      </c>
      <c r="Q164" s="21" t="n">
        <v>0</v>
      </c>
      <c r="R164" s="21" t="n">
        <v>0</v>
      </c>
      <c r="S164" s="21" t="n">
        <v>0</v>
      </c>
      <c r="T164" s="21" t="n">
        <v>0</v>
      </c>
      <c r="U164" s="21" t="n">
        <v>12</v>
      </c>
      <c r="V164" s="21" t="inlineStr">
        <is>
          <t>(none)</t>
        </is>
      </c>
      <c r="W164" s="61">
        <f>N164*'Item Budget'!$B$5+R164*'Item Budget'!$B$7+P164*'Item Budget'!$B$11+S164*'Item Budget'!$B$10+Q164*'Item Budget'!$B$9+IFERROR(INDEX('Item Budget'!$M$25:$M$95,MATCH(V164,'Item Budget'!$B$25:$B$95,0)),0)+IF($C164="Weapon",U164*'Item Budget'!$B$9,0)</f>
        <v/>
      </c>
      <c r="X164" s="61">
        <f>N164*'Item Budget'!$B$5+R164*'Item Budget'!$B$7+P164*'Item Budget'!$B$11+S164*'Item Budget'!$B$10+O164*'Item Budget'!$B$6+T164*'Item Budget'!$B$8+IFERROR(INDEX('Item Budget'!$N$25:$N$95,MATCH(V164,'Item Budget'!$B$25:$B$95,0)),0)</f>
        <v/>
      </c>
      <c r="Y164" s="61">
        <f>MAX('Item Budget'!$F$16,INDEX('Gear Budget'!$C$8:$C$14,MATCH($C164,'Gear Budget'!$A$8:$A$14,0))*MIN(M164,50))*$L164</f>
        <v/>
      </c>
      <c r="Z164" s="41">
        <f>IF($C164="Caster weapon",X164,MAX(W164,X164))/Y164</f>
        <v/>
      </c>
      <c r="AA164" s="61">
        <f>IF(OR($C164="Weapon",$C164="Caster weapon"),"",'Gear Budget'!$B$5*MAX(1,MIN(M164,50))*INDEX('Gear Budget'!$B$8:$B$14,MATCH($C164,'Gear Budget'!$A$8:$A$14,0))*IF($C164="Shield",IF(D164="Warrior",1,IF(OR(D164="Rogue",D164="All"),0.38/0.6,0.25/0.6)),IFERROR(INDEX('Gear Budget'!$B$18:$B$21,MATCH($F164,'Gear Budget'!$A$18:$A$21,0)),1)))</f>
        <v/>
      </c>
      <c r="AB164" s="41">
        <f>IF(AA164="","",P164/AA164)</f>
        <v/>
      </c>
      <c r="AC164" s="21" t="n">
        <v>5</v>
      </c>
      <c r="AD164" s="21" t="n">
        <v>0</v>
      </c>
      <c r="AE164" s="21" t="n">
        <v>0</v>
      </c>
      <c r="AF164" s="21" t="n">
        <v>0</v>
      </c>
      <c r="AG164" s="21" t="n">
        <v>0</v>
      </c>
      <c r="AH164" s="21" t="n">
        <v>0</v>
      </c>
      <c r="AI164" s="21" t="n">
        <v>0</v>
      </c>
      <c r="AJ164" s="21" t="n">
        <v>0</v>
      </c>
      <c r="AK164" s="21" t="n">
        <v>12</v>
      </c>
      <c r="AL164" s="21" t="inlineStr">
        <is>
          <t>(none)</t>
        </is>
      </c>
      <c r="AM164" s="61">
        <f>AD164*'Item Budget'!$B$5+AH164*'Item Budget'!$B$7+AF164*'Item Budget'!$B$11+AI164*'Item Budget'!$B$10+AG164*'Item Budget'!$B$9+IFERROR(INDEX('Item Budget'!$M$25:$M$95,MATCH(AL164,'Item Budget'!$B$25:$B$95,0)),0)+IF($C164="Weapon",AK164*'Item Budget'!$B$9,0)</f>
        <v/>
      </c>
      <c r="AN164" s="61">
        <f>AD164*'Item Budget'!$B$5+AH164*'Item Budget'!$B$7+AF164*'Item Budget'!$B$11+AI164*'Item Budget'!$B$10+AE164*'Item Budget'!$B$6+AJ164*'Item Budget'!$B$8+IFERROR(INDEX('Item Budget'!$N$25:$N$95,MATCH(AL164,'Item Budget'!$B$25:$B$95,0)),0)</f>
        <v/>
      </c>
      <c r="AO164" s="61">
        <f>MAX('Item Budget'!$F$16,INDEX('Gear Budget'!$C$8:$C$14,MATCH($C164,'Gear Budget'!$A$8:$A$14,0))*MIN(AC164,50))*$L164</f>
        <v/>
      </c>
      <c r="AP164" s="41">
        <f>IF($C164="Caster weapon",AN164,MAX(AM164,AN164))/AO164</f>
        <v/>
      </c>
      <c r="AQ164" s="61">
        <f>IF(OR($C164="Weapon",$C164="Caster weapon"),"",'Gear Budget'!$B$5*MAX(1,MIN(AC164,50))*INDEX('Gear Budget'!$B$8:$B$14,MATCH($C164,'Gear Budget'!$A$8:$A$14,0))*IF($C164="Shield",IF(E164="Warrior",1,IF(OR(E164="Rogue",E164="All"),0.38/0.6,0.25/0.6)),IFERROR(INDEX('Gear Budget'!$B$18:$B$21,MATCH($F164,'Gear Budget'!$A$18:$A$21,0)),1)))</f>
        <v/>
      </c>
      <c r="AR164" s="41">
        <f>IF(AQ164="","",AF164/AQ164)</f>
        <v/>
      </c>
      <c r="AS164" s="64" t="n"/>
      <c r="AT164" s="44">
        <f>IF(OR($E164="All",ISNUMBER(SEARCH("Warrior",$E164))),IF($C164="Caster weapon",(AN164+AF164*('Item Budget'!$AB$14-'Item Budget'!$B$11)),(AM164+AF164*('Item Budget'!$AB$14-'Item Budget'!$B$11))),0)</f>
        <v/>
      </c>
      <c r="AU164" s="44">
        <f>IF(OR($E164="All",ISNUMBER(SEARCH("Rogue",$E164))),IF($C164="Caster weapon",(AN164+AF164*('Item Budget'!$AB$15-'Item Budget'!$B$11)),(AM164+AF164*('Item Budget'!$AB$15-'Item Budget'!$B$11))),0)</f>
        <v/>
      </c>
      <c r="AV164" s="44">
        <f>IF(OR($E164="All",ISNUMBER(SEARCH("Magus",$E164))),(AN164+AF164*('Item Budget'!$AB$16-'Item Budget'!$B$11)),0)</f>
        <v/>
      </c>
      <c r="AW164" s="44">
        <f>IF(OR($E164="All",ISNUMBER(SEARCH("Priest",$E164))),(AN164+AF164*('Item Budget'!$AB$17-'Item Budget'!$B$11)),0)</f>
        <v/>
      </c>
      <c r="AX164" s="44">
        <f>IF(AND(OR($E164="All",ISNUMBER(SEARCH("Warrior",$E164))),AC164&gt;='Item Budget'!$R$10),'Item Budget'!$R$7*100*('Item Budget'!$R$14*(AD164+25*AH164)+'Item Budget'!$S$14*(AE164+25*AJ164))/'Item Budget'!$Z$14+'Item Budget'!$R$9*AF164+IFERROR(INDEX('Item Budget'!$O$25:$O$95,MATCH(AL164,'Item Budget'!$B$25:$B$95,0)),0),0)</f>
        <v/>
      </c>
      <c r="AY164" s="44">
        <f>IF(AND(OR($E164="All",ISNUMBER(SEARCH("Rogue",$E164))),AC164&gt;='Item Budget'!$R$10),'Item Budget'!$R$7*100*('Item Budget'!$R$15*(AD164+25*AH164)+'Item Budget'!$S$15*(AE164+25*AJ164))/'Item Budget'!$Z$15+'Item Budget'!$R$9*AF164+IFERROR(INDEX('Item Budget'!$O$25:$O$95,MATCH(AL164,'Item Budget'!$B$25:$B$95,0)),0),0)</f>
        <v/>
      </c>
      <c r="AZ164" s="44">
        <f>IF(AND(OR($E164="All",ISNUMBER(SEARCH("Magus",$E164))),AC164&gt;='Item Budget'!$R$10),'Item Budget'!$R$7*100*('Item Budget'!$R$16*(AD164+25*AH164)+'Item Budget'!$S$16*(AE164+25*AJ164))/'Item Budget'!$Z$16+'Item Budget'!$R$9*AF164+IFERROR(INDEX('Item Budget'!$O$25:$O$95,MATCH(AL164,'Item Budget'!$B$25:$B$95,0)),0),0)</f>
        <v/>
      </c>
      <c r="BA164" s="44">
        <f>IF(AND(OR($E164="All",ISNUMBER(SEARCH("Priest",$E164))),AC164&gt;='Item Budget'!$R$10),'Item Budget'!$R$7*100*('Item Budget'!$R$17*(AD164+25*AH164)+'Item Budget'!$S$17*(AE164+25*AJ164))/'Item Budget'!$Z$17+'Item Budget'!$R$9*AF164+IFERROR(INDEX('Item Budget'!$O$25:$O$95,MATCH(AL164,'Item Budget'!$B$25:$B$95,0)),0),0)</f>
        <v/>
      </c>
      <c r="BB164" s="52">
        <f>IF(OR($I164&lt;1,IF($I164&gt;=6,AX164,AT164)&lt;=0),"",IF(SUMPRODUCT(MAX(($C$5:$C$215=$C164)*($I$5:$I$215&gt;=1)*($I$5:$I$215&lt;$I164)*IF($I164&gt;=6,$AX$5:$AX$215,$AT$5:$AT$215)))&lt;=0,"",SUMPRODUCT(MAX(($C$5:$C$215=$C164)*($I$5:$I$215=$I164)*IF($I164&gt;=6,$AX$5:$AX$215,$AT$5:$AT$215)))/SUMPRODUCT(MAX(($C$5:$C$215=$C164)*($I$5:$I$215&gt;=1)*($I$5:$I$215&lt;$I164)*IF($I164&gt;=6,$AX$5:$AX$215,$AT$5:$AT$215)))-1))</f>
        <v/>
      </c>
      <c r="BC164" s="52">
        <f>IF(OR($I164&lt;1,IF($I164&gt;=6,AY164,AU164)&lt;=0),"",IF(SUMPRODUCT(MAX(($C$5:$C$215=$C164)*($I$5:$I$215&gt;=1)*($I$5:$I$215&lt;$I164)*IF($I164&gt;=6,$AY$5:$AY$215,$AU$5:$AU$215)))&lt;=0,"",SUMPRODUCT(MAX(($C$5:$C$215=$C164)*($I$5:$I$215=$I164)*IF($I164&gt;=6,$AY$5:$AY$215,$AU$5:$AU$215)))/SUMPRODUCT(MAX(($C$5:$C$215=$C164)*($I$5:$I$215&gt;=1)*($I$5:$I$215&lt;$I164)*IF($I164&gt;=6,$AY$5:$AY$215,$AU$5:$AU$215)))-1))</f>
        <v/>
      </c>
      <c r="BD164" s="52">
        <f>IF(OR($I164&lt;1,IF($I164&gt;=6,AZ164,AV164)&lt;=0),"",IF(SUMPRODUCT(MAX(($C$5:$C$215=$C164)*($I$5:$I$215&gt;=1)*($I$5:$I$215&lt;$I164)*IF($I164&gt;=6,$AZ$5:$AZ$215,$AV$5:$AV$215)))&lt;=0,"",SUMPRODUCT(MAX(($C$5:$C$215=$C164)*($I$5:$I$215=$I164)*IF($I164&gt;=6,$AZ$5:$AZ$215,$AV$5:$AV$215)))/SUMPRODUCT(MAX(($C$5:$C$215=$C164)*($I$5:$I$215&gt;=1)*($I$5:$I$215&lt;$I164)*IF($I164&gt;=6,$AZ$5:$AZ$215,$AV$5:$AV$215)))-1))</f>
        <v/>
      </c>
      <c r="BE164" s="52">
        <f>IF(OR($I164&lt;1,IF($I164&gt;=6,BA164,AW164)&lt;=0),"",IF(SUMPRODUCT(MAX(($C$5:$C$215=$C164)*($I$5:$I$215&gt;=1)*($I$5:$I$215&lt;$I164)*IF($I164&gt;=6,$BA$5:$BA$215,$AW$5:$AW$215)))&lt;=0,"",SUMPRODUCT(MAX(($C$5:$C$215=$C164)*($I$5:$I$215=$I164)*IF($I164&gt;=6,$BA$5:$BA$215,$AW$5:$AW$215)))/SUMPRODUCT(MAX(($C$5:$C$215=$C164)*($I$5:$I$215&gt;=1)*($I$5:$I$215&lt;$I164)*IF($I164&gt;=6,$BA$5:$BA$215,$AW$5:$AW$215)))-1))</f>
        <v/>
      </c>
      <c r="BF164" s="19">
        <f>IF(AND(BB164="",BC164="",BD164="",BE164=""),"",IF(IF(AND(ISNUMBER(BB164),BB164&lt;'Item Budget'!$R$11),"W ","")&amp;IF(AND(ISNUMBER(BC164),BC164&lt;'Item Budget'!$R$11),"R ","")&amp;IF(AND(ISNUMBER(BD164),BD164&lt;'Item Budget'!$R$11),"M ","")&amp;IF(AND(ISNUMBER(BE164),BE164&lt;'Item Budget'!$R$11),"P ","")="","OK","Not above lower step: "&amp;IF(AND(ISNUMBER(BB164),BB164&lt;'Item Budget'!$R$11),"W ","")&amp;IF(AND(ISNUMBER(BC164),BC164&lt;'Item Budget'!$R$11),"R ","")&amp;IF(AND(ISNUMBER(BD164),BD164&lt;'Item Budget'!$R$11),"M ","")&amp;IF(AND(ISNUMBER(BE164),BE164&lt;'Item Budget'!$R$11),"P ","")))</f>
        <v/>
      </c>
    </row>
    <row r="165">
      <c r="A165" s="21" t="n">
        <v>12</v>
      </c>
      <c r="B165" s="21" t="inlineStr">
        <is>
          <t>Wooden Stave</t>
        </is>
      </c>
      <c r="C165" s="21" t="inlineStr">
        <is>
          <t>Weapon</t>
        </is>
      </c>
      <c r="D165" s="21" t="inlineStr">
        <is>
          <t>Warrior/Magus</t>
        </is>
      </c>
      <c r="E165" s="21" t="inlineStr">
        <is>
          <t>Warrior/Magus</t>
        </is>
      </c>
      <c r="F165" s="21" t="inlineStr"/>
      <c r="G165" s="21" t="inlineStr">
        <is>
          <t>drop: Asp 3%</t>
        </is>
      </c>
      <c r="H165" s="37" t="n">
        <v>0</v>
      </c>
      <c r="I165" s="21" t="n">
        <v>0</v>
      </c>
      <c r="J165" s="19" t="inlineStr">
        <is>
          <t>Leave</t>
        </is>
      </c>
      <c r="K165" s="21" t="inlineStr">
        <is>
          <t>Vendor</t>
        </is>
      </c>
      <c r="L165" s="31">
        <f>INDEX('Item Budget'!$F$5:$F$13,MATCH(K165,'Item Budget'!$E$5:$E$13,0))+IF(E165="All",0,'Item Budget'!$F$15)+LOOKUP(H165,'Item Budget'!$E$19:$E$23,'Item Budget'!$F$19:$F$23)</f>
        <v/>
      </c>
      <c r="M165" s="21" t="n">
        <v>5</v>
      </c>
      <c r="N165" s="21" t="n">
        <v>0</v>
      </c>
      <c r="O165" s="21" t="n">
        <v>0</v>
      </c>
      <c r="P165" s="21" t="n">
        <v>0</v>
      </c>
      <c r="Q165" s="21" t="n">
        <v>0</v>
      </c>
      <c r="R165" s="21" t="n">
        <v>0</v>
      </c>
      <c r="S165" s="21" t="n">
        <v>0</v>
      </c>
      <c r="T165" s="21" t="n">
        <v>0</v>
      </c>
      <c r="U165" s="21" t="n">
        <v>9</v>
      </c>
      <c r="V165" s="21" t="inlineStr">
        <is>
          <t>(none)</t>
        </is>
      </c>
      <c r="W165" s="61">
        <f>N165*'Item Budget'!$B$5+R165*'Item Budget'!$B$7+P165*'Item Budget'!$B$11+S165*'Item Budget'!$B$10+Q165*'Item Budget'!$B$9+IFERROR(INDEX('Item Budget'!$M$25:$M$95,MATCH(V165,'Item Budget'!$B$25:$B$95,0)),0)+IF($C165="Weapon",U165*'Item Budget'!$B$9,0)</f>
        <v/>
      </c>
      <c r="X165" s="61">
        <f>N165*'Item Budget'!$B$5+R165*'Item Budget'!$B$7+P165*'Item Budget'!$B$11+S165*'Item Budget'!$B$10+O165*'Item Budget'!$B$6+T165*'Item Budget'!$B$8+IFERROR(INDEX('Item Budget'!$N$25:$N$95,MATCH(V165,'Item Budget'!$B$25:$B$95,0)),0)</f>
        <v/>
      </c>
      <c r="Y165" s="61">
        <f>MAX('Item Budget'!$F$16,INDEX('Gear Budget'!$C$8:$C$14,MATCH($C165,'Gear Budget'!$A$8:$A$14,0))*MIN(M165,50))*$L165</f>
        <v/>
      </c>
      <c r="Z165" s="41">
        <f>IF($C165="Caster weapon",X165,MAX(W165,X165))/Y165</f>
        <v/>
      </c>
      <c r="AA165" s="61">
        <f>IF(OR($C165="Weapon",$C165="Caster weapon"),"",'Gear Budget'!$B$5*MAX(1,MIN(M165,50))*INDEX('Gear Budget'!$B$8:$B$14,MATCH($C165,'Gear Budget'!$A$8:$A$14,0))*IF($C165="Shield",IF(D165="Warrior",1,IF(OR(D165="Rogue",D165="All"),0.38/0.6,0.25/0.6)),IFERROR(INDEX('Gear Budget'!$B$18:$B$21,MATCH($F165,'Gear Budget'!$A$18:$A$21,0)),1)))</f>
        <v/>
      </c>
      <c r="AB165" s="41">
        <f>IF(AA165="","",P165/AA165)</f>
        <v/>
      </c>
      <c r="AC165" s="21" t="n">
        <v>5</v>
      </c>
      <c r="AD165" s="21" t="n">
        <v>0</v>
      </c>
      <c r="AE165" s="21" t="n">
        <v>0</v>
      </c>
      <c r="AF165" s="21" t="n">
        <v>0</v>
      </c>
      <c r="AG165" s="21" t="n">
        <v>0</v>
      </c>
      <c r="AH165" s="21" t="n">
        <v>0</v>
      </c>
      <c r="AI165" s="21" t="n">
        <v>0</v>
      </c>
      <c r="AJ165" s="21" t="n">
        <v>0</v>
      </c>
      <c r="AK165" s="21" t="n">
        <v>9</v>
      </c>
      <c r="AL165" s="21" t="inlineStr">
        <is>
          <t>(none)</t>
        </is>
      </c>
      <c r="AM165" s="61">
        <f>AD165*'Item Budget'!$B$5+AH165*'Item Budget'!$B$7+AF165*'Item Budget'!$B$11+AI165*'Item Budget'!$B$10+AG165*'Item Budget'!$B$9+IFERROR(INDEX('Item Budget'!$M$25:$M$95,MATCH(AL165,'Item Budget'!$B$25:$B$95,0)),0)+IF($C165="Weapon",AK165*'Item Budget'!$B$9,0)</f>
        <v/>
      </c>
      <c r="AN165" s="61">
        <f>AD165*'Item Budget'!$B$5+AH165*'Item Budget'!$B$7+AF165*'Item Budget'!$B$11+AI165*'Item Budget'!$B$10+AE165*'Item Budget'!$B$6+AJ165*'Item Budget'!$B$8+IFERROR(INDEX('Item Budget'!$N$25:$N$95,MATCH(AL165,'Item Budget'!$B$25:$B$95,0)),0)</f>
        <v/>
      </c>
      <c r="AO165" s="61">
        <f>MAX('Item Budget'!$F$16,INDEX('Gear Budget'!$C$8:$C$14,MATCH($C165,'Gear Budget'!$A$8:$A$14,0))*MIN(AC165,50))*$L165</f>
        <v/>
      </c>
      <c r="AP165" s="41">
        <f>IF($C165="Caster weapon",AN165,MAX(AM165,AN165))/AO165</f>
        <v/>
      </c>
      <c r="AQ165" s="61">
        <f>IF(OR($C165="Weapon",$C165="Caster weapon"),"",'Gear Budget'!$B$5*MAX(1,MIN(AC165,50))*INDEX('Gear Budget'!$B$8:$B$14,MATCH($C165,'Gear Budget'!$A$8:$A$14,0))*IF($C165="Shield",IF(E165="Warrior",1,IF(OR(E165="Rogue",E165="All"),0.38/0.6,0.25/0.6)),IFERROR(INDEX('Gear Budget'!$B$18:$B$21,MATCH($F165,'Gear Budget'!$A$18:$A$21,0)),1)))</f>
        <v/>
      </c>
      <c r="AR165" s="41">
        <f>IF(AQ165="","",AF165/AQ165)</f>
        <v/>
      </c>
      <c r="AS165" s="64" t="n"/>
      <c r="AT165" s="44">
        <f>IF(OR($E165="All",ISNUMBER(SEARCH("Warrior",$E165))),IF($C165="Caster weapon",(AN165+AF165*('Item Budget'!$AB$14-'Item Budget'!$B$11)),(AM165+AF165*('Item Budget'!$AB$14-'Item Budget'!$B$11))),0)</f>
        <v/>
      </c>
      <c r="AU165" s="44">
        <f>IF(OR($E165="All",ISNUMBER(SEARCH("Rogue",$E165))),IF($C165="Caster weapon",(AN165+AF165*('Item Budget'!$AB$15-'Item Budget'!$B$11)),(AM165+AF165*('Item Budget'!$AB$15-'Item Budget'!$B$11))),0)</f>
        <v/>
      </c>
      <c r="AV165" s="44">
        <f>IF(OR($E165="All",ISNUMBER(SEARCH("Magus",$E165))),(AN165+AF165*('Item Budget'!$AB$16-'Item Budget'!$B$11)),0)</f>
        <v/>
      </c>
      <c r="AW165" s="44">
        <f>IF(OR($E165="All",ISNUMBER(SEARCH("Priest",$E165))),(AN165+AF165*('Item Budget'!$AB$17-'Item Budget'!$B$11)),0)</f>
        <v/>
      </c>
      <c r="AX165" s="44">
        <f>IF(AND(OR($E165="All",ISNUMBER(SEARCH("Warrior",$E165))),AC165&gt;='Item Budget'!$R$10),'Item Budget'!$R$7*100*('Item Budget'!$R$14*(AD165+25*AH165)+'Item Budget'!$S$14*(AE165+25*AJ165))/'Item Budget'!$Z$14+'Item Budget'!$R$9*AF165+IFERROR(INDEX('Item Budget'!$O$25:$O$95,MATCH(AL165,'Item Budget'!$B$25:$B$95,0)),0),0)</f>
        <v/>
      </c>
      <c r="AY165" s="44">
        <f>IF(AND(OR($E165="All",ISNUMBER(SEARCH("Rogue",$E165))),AC165&gt;='Item Budget'!$R$10),'Item Budget'!$R$7*100*('Item Budget'!$R$15*(AD165+25*AH165)+'Item Budget'!$S$15*(AE165+25*AJ165))/'Item Budget'!$Z$15+'Item Budget'!$R$9*AF165+IFERROR(INDEX('Item Budget'!$O$25:$O$95,MATCH(AL165,'Item Budget'!$B$25:$B$95,0)),0),0)</f>
        <v/>
      </c>
      <c r="AZ165" s="44">
        <f>IF(AND(OR($E165="All",ISNUMBER(SEARCH("Magus",$E165))),AC165&gt;='Item Budget'!$R$10),'Item Budget'!$R$7*100*('Item Budget'!$R$16*(AD165+25*AH165)+'Item Budget'!$S$16*(AE165+25*AJ165))/'Item Budget'!$Z$16+'Item Budget'!$R$9*AF165+IFERROR(INDEX('Item Budget'!$O$25:$O$95,MATCH(AL165,'Item Budget'!$B$25:$B$95,0)),0),0)</f>
        <v/>
      </c>
      <c r="BA165" s="44">
        <f>IF(AND(OR($E165="All",ISNUMBER(SEARCH("Priest",$E165))),AC165&gt;='Item Budget'!$R$10),'Item Budget'!$R$7*100*('Item Budget'!$R$17*(AD165+25*AH165)+'Item Budget'!$S$17*(AE165+25*AJ165))/'Item Budget'!$Z$17+'Item Budget'!$R$9*AF165+IFERROR(INDEX('Item Budget'!$O$25:$O$95,MATCH(AL165,'Item Budget'!$B$25:$B$95,0)),0),0)</f>
        <v/>
      </c>
      <c r="BB165" s="52">
        <f>IF(OR($I165&lt;1,IF($I165&gt;=6,AX165,AT165)&lt;=0),"",IF(SUMPRODUCT(MAX(($C$5:$C$215=$C165)*($I$5:$I$215&gt;=1)*($I$5:$I$215&lt;$I165)*IF($I165&gt;=6,$AX$5:$AX$215,$AT$5:$AT$215)))&lt;=0,"",SUMPRODUCT(MAX(($C$5:$C$215=$C165)*($I$5:$I$215=$I165)*IF($I165&gt;=6,$AX$5:$AX$215,$AT$5:$AT$215)))/SUMPRODUCT(MAX(($C$5:$C$215=$C165)*($I$5:$I$215&gt;=1)*($I$5:$I$215&lt;$I165)*IF($I165&gt;=6,$AX$5:$AX$215,$AT$5:$AT$215)))-1))</f>
        <v/>
      </c>
      <c r="BC165" s="52">
        <f>IF(OR($I165&lt;1,IF($I165&gt;=6,AY165,AU165)&lt;=0),"",IF(SUMPRODUCT(MAX(($C$5:$C$215=$C165)*($I$5:$I$215&gt;=1)*($I$5:$I$215&lt;$I165)*IF($I165&gt;=6,$AY$5:$AY$215,$AU$5:$AU$215)))&lt;=0,"",SUMPRODUCT(MAX(($C$5:$C$215=$C165)*($I$5:$I$215=$I165)*IF($I165&gt;=6,$AY$5:$AY$215,$AU$5:$AU$215)))/SUMPRODUCT(MAX(($C$5:$C$215=$C165)*($I$5:$I$215&gt;=1)*($I$5:$I$215&lt;$I165)*IF($I165&gt;=6,$AY$5:$AY$215,$AU$5:$AU$215)))-1))</f>
        <v/>
      </c>
      <c r="BD165" s="52">
        <f>IF(OR($I165&lt;1,IF($I165&gt;=6,AZ165,AV165)&lt;=0),"",IF(SUMPRODUCT(MAX(($C$5:$C$215=$C165)*($I$5:$I$215&gt;=1)*($I$5:$I$215&lt;$I165)*IF($I165&gt;=6,$AZ$5:$AZ$215,$AV$5:$AV$215)))&lt;=0,"",SUMPRODUCT(MAX(($C$5:$C$215=$C165)*($I$5:$I$215=$I165)*IF($I165&gt;=6,$AZ$5:$AZ$215,$AV$5:$AV$215)))/SUMPRODUCT(MAX(($C$5:$C$215=$C165)*($I$5:$I$215&gt;=1)*($I$5:$I$215&lt;$I165)*IF($I165&gt;=6,$AZ$5:$AZ$215,$AV$5:$AV$215)))-1))</f>
        <v/>
      </c>
      <c r="BE165" s="52">
        <f>IF(OR($I165&lt;1,IF($I165&gt;=6,BA165,AW165)&lt;=0),"",IF(SUMPRODUCT(MAX(($C$5:$C$215=$C165)*($I$5:$I$215&gt;=1)*($I$5:$I$215&lt;$I165)*IF($I165&gt;=6,$BA$5:$BA$215,$AW$5:$AW$215)))&lt;=0,"",SUMPRODUCT(MAX(($C$5:$C$215=$C165)*($I$5:$I$215=$I165)*IF($I165&gt;=6,$BA$5:$BA$215,$AW$5:$AW$215)))/SUMPRODUCT(MAX(($C$5:$C$215=$C165)*($I$5:$I$215&gt;=1)*($I$5:$I$215&lt;$I165)*IF($I165&gt;=6,$BA$5:$BA$215,$AW$5:$AW$215)))-1))</f>
        <v/>
      </c>
      <c r="BF165" s="19">
        <f>IF(AND(BB165="",BC165="",BD165="",BE165=""),"",IF(IF(AND(ISNUMBER(BB165),BB165&lt;'Item Budget'!$R$11),"W ","")&amp;IF(AND(ISNUMBER(BC165),BC165&lt;'Item Budget'!$R$11),"R ","")&amp;IF(AND(ISNUMBER(BD165),BD165&lt;'Item Budget'!$R$11),"M ","")&amp;IF(AND(ISNUMBER(BE165),BE165&lt;'Item Budget'!$R$11),"P ","")="","OK","Not above lower step: "&amp;IF(AND(ISNUMBER(BB165),BB165&lt;'Item Budget'!$R$11),"W ","")&amp;IF(AND(ISNUMBER(BC165),BC165&lt;'Item Budget'!$R$11),"R ","")&amp;IF(AND(ISNUMBER(BD165),BD165&lt;'Item Budget'!$R$11),"M ","")&amp;IF(AND(ISNUMBER(BE165),BE165&lt;'Item Budget'!$R$11),"P ","")))</f>
        <v/>
      </c>
    </row>
    <row r="166">
      <c r="A166" s="21" t="n">
        <v>13</v>
      </c>
      <c r="B166" s="21" t="inlineStr">
        <is>
          <t>Small Dagger</t>
        </is>
      </c>
      <c r="C166" s="21" t="inlineStr">
        <is>
          <t>Weapon</t>
        </is>
      </c>
      <c r="D166" s="21" t="inlineStr">
        <is>
          <t>Rogue/Warrior/Magus</t>
        </is>
      </c>
      <c r="E166" s="21" t="inlineStr">
        <is>
          <t>Rogue/Warrior/Magus</t>
        </is>
      </c>
      <c r="F166" s="21" t="inlineStr"/>
      <c r="G166" s="21" t="inlineStr">
        <is>
          <t>drop: Asp 3%</t>
        </is>
      </c>
      <c r="H166" s="37" t="n">
        <v>0</v>
      </c>
      <c r="I166" s="21" t="n">
        <v>0</v>
      </c>
      <c r="J166" s="19" t="inlineStr">
        <is>
          <t>Leave</t>
        </is>
      </c>
      <c r="K166" s="21" t="inlineStr">
        <is>
          <t>Vendor</t>
        </is>
      </c>
      <c r="L166" s="31">
        <f>INDEX('Item Budget'!$F$5:$F$13,MATCH(K166,'Item Budget'!$E$5:$E$13,0))+IF(E166="All",0,'Item Budget'!$F$15)+LOOKUP(H166,'Item Budget'!$E$19:$E$23,'Item Budget'!$F$19:$F$23)</f>
        <v/>
      </c>
      <c r="M166" s="21" t="n">
        <v>5</v>
      </c>
      <c r="N166" s="21" t="n">
        <v>0</v>
      </c>
      <c r="O166" s="21" t="n">
        <v>0</v>
      </c>
      <c r="P166" s="21" t="n">
        <v>0</v>
      </c>
      <c r="Q166" s="21" t="n">
        <v>0</v>
      </c>
      <c r="R166" s="21" t="n">
        <v>0</v>
      </c>
      <c r="S166" s="21" t="n">
        <v>0</v>
      </c>
      <c r="T166" s="21" t="n">
        <v>0</v>
      </c>
      <c r="U166" s="21" t="n">
        <v>12</v>
      </c>
      <c r="V166" s="21" t="inlineStr">
        <is>
          <t>(none)</t>
        </is>
      </c>
      <c r="W166" s="61">
        <f>N166*'Item Budget'!$B$5+R166*'Item Budget'!$B$7+P166*'Item Budget'!$B$11+S166*'Item Budget'!$B$10+Q166*'Item Budget'!$B$9+IFERROR(INDEX('Item Budget'!$M$25:$M$95,MATCH(V166,'Item Budget'!$B$25:$B$95,0)),0)+IF($C166="Weapon",U166*'Item Budget'!$B$9,0)</f>
        <v/>
      </c>
      <c r="X166" s="61">
        <f>N166*'Item Budget'!$B$5+R166*'Item Budget'!$B$7+P166*'Item Budget'!$B$11+S166*'Item Budget'!$B$10+O166*'Item Budget'!$B$6+T166*'Item Budget'!$B$8+IFERROR(INDEX('Item Budget'!$N$25:$N$95,MATCH(V166,'Item Budget'!$B$25:$B$95,0)),0)</f>
        <v/>
      </c>
      <c r="Y166" s="61">
        <f>MAX('Item Budget'!$F$16,INDEX('Gear Budget'!$C$8:$C$14,MATCH($C166,'Gear Budget'!$A$8:$A$14,0))*MIN(M166,50))*$L166</f>
        <v/>
      </c>
      <c r="Z166" s="41">
        <f>IF($C166="Caster weapon",X166,MAX(W166,X166))/Y166</f>
        <v/>
      </c>
      <c r="AA166" s="61">
        <f>IF(OR($C166="Weapon",$C166="Caster weapon"),"",'Gear Budget'!$B$5*MAX(1,MIN(M166,50))*INDEX('Gear Budget'!$B$8:$B$14,MATCH($C166,'Gear Budget'!$A$8:$A$14,0))*IF($C166="Shield",IF(D166="Warrior",1,IF(OR(D166="Rogue",D166="All"),0.38/0.6,0.25/0.6)),IFERROR(INDEX('Gear Budget'!$B$18:$B$21,MATCH($F166,'Gear Budget'!$A$18:$A$21,0)),1)))</f>
        <v/>
      </c>
      <c r="AB166" s="41">
        <f>IF(AA166="","",P166/AA166)</f>
        <v/>
      </c>
      <c r="AC166" s="21" t="n">
        <v>5</v>
      </c>
      <c r="AD166" s="21" t="n">
        <v>0</v>
      </c>
      <c r="AE166" s="21" t="n">
        <v>0</v>
      </c>
      <c r="AF166" s="21" t="n">
        <v>0</v>
      </c>
      <c r="AG166" s="21" t="n">
        <v>0</v>
      </c>
      <c r="AH166" s="21" t="n">
        <v>0</v>
      </c>
      <c r="AI166" s="21" t="n">
        <v>0</v>
      </c>
      <c r="AJ166" s="21" t="n">
        <v>0</v>
      </c>
      <c r="AK166" s="21" t="n">
        <v>12</v>
      </c>
      <c r="AL166" s="21" t="inlineStr">
        <is>
          <t>(none)</t>
        </is>
      </c>
      <c r="AM166" s="61">
        <f>AD166*'Item Budget'!$B$5+AH166*'Item Budget'!$B$7+AF166*'Item Budget'!$B$11+AI166*'Item Budget'!$B$10+AG166*'Item Budget'!$B$9+IFERROR(INDEX('Item Budget'!$M$25:$M$95,MATCH(AL166,'Item Budget'!$B$25:$B$95,0)),0)+IF($C166="Weapon",AK166*'Item Budget'!$B$9,0)</f>
        <v/>
      </c>
      <c r="AN166" s="61">
        <f>AD166*'Item Budget'!$B$5+AH166*'Item Budget'!$B$7+AF166*'Item Budget'!$B$11+AI166*'Item Budget'!$B$10+AE166*'Item Budget'!$B$6+AJ166*'Item Budget'!$B$8+IFERROR(INDEX('Item Budget'!$N$25:$N$95,MATCH(AL166,'Item Budget'!$B$25:$B$95,0)),0)</f>
        <v/>
      </c>
      <c r="AO166" s="61">
        <f>MAX('Item Budget'!$F$16,INDEX('Gear Budget'!$C$8:$C$14,MATCH($C166,'Gear Budget'!$A$8:$A$14,0))*MIN(AC166,50))*$L166</f>
        <v/>
      </c>
      <c r="AP166" s="41">
        <f>IF($C166="Caster weapon",AN166,MAX(AM166,AN166))/AO166</f>
        <v/>
      </c>
      <c r="AQ166" s="61">
        <f>IF(OR($C166="Weapon",$C166="Caster weapon"),"",'Gear Budget'!$B$5*MAX(1,MIN(AC166,50))*INDEX('Gear Budget'!$B$8:$B$14,MATCH($C166,'Gear Budget'!$A$8:$A$14,0))*IF($C166="Shield",IF(E166="Warrior",1,IF(OR(E166="Rogue",E166="All"),0.38/0.6,0.25/0.6)),IFERROR(INDEX('Gear Budget'!$B$18:$B$21,MATCH($F166,'Gear Budget'!$A$18:$A$21,0)),1)))</f>
        <v/>
      </c>
      <c r="AR166" s="41">
        <f>IF(AQ166="","",AF166/AQ166)</f>
        <v/>
      </c>
      <c r="AS166" s="64" t="n"/>
      <c r="AT166" s="44">
        <f>IF(OR($E166="All",ISNUMBER(SEARCH("Warrior",$E166))),IF($C166="Caster weapon",(AN166+AF166*('Item Budget'!$AB$14-'Item Budget'!$B$11)),(AM166+AF166*('Item Budget'!$AB$14-'Item Budget'!$B$11))),0)</f>
        <v/>
      </c>
      <c r="AU166" s="44">
        <f>IF(OR($E166="All",ISNUMBER(SEARCH("Rogue",$E166))),IF($C166="Caster weapon",(AN166+AF166*('Item Budget'!$AB$15-'Item Budget'!$B$11)),(AM166+AF166*('Item Budget'!$AB$15-'Item Budget'!$B$11))),0)</f>
        <v/>
      </c>
      <c r="AV166" s="44">
        <f>IF(OR($E166="All",ISNUMBER(SEARCH("Magus",$E166))),(AN166+AF166*('Item Budget'!$AB$16-'Item Budget'!$B$11)),0)</f>
        <v/>
      </c>
      <c r="AW166" s="44">
        <f>IF(OR($E166="All",ISNUMBER(SEARCH("Priest",$E166))),(AN166+AF166*('Item Budget'!$AB$17-'Item Budget'!$B$11)),0)</f>
        <v/>
      </c>
      <c r="AX166" s="44">
        <f>IF(AND(OR($E166="All",ISNUMBER(SEARCH("Warrior",$E166))),AC166&gt;='Item Budget'!$R$10),'Item Budget'!$R$7*100*('Item Budget'!$R$14*(AD166+25*AH166)+'Item Budget'!$S$14*(AE166+25*AJ166))/'Item Budget'!$Z$14+'Item Budget'!$R$9*AF166+IFERROR(INDEX('Item Budget'!$O$25:$O$95,MATCH(AL166,'Item Budget'!$B$25:$B$95,0)),0),0)</f>
        <v/>
      </c>
      <c r="AY166" s="44">
        <f>IF(AND(OR($E166="All",ISNUMBER(SEARCH("Rogue",$E166))),AC166&gt;='Item Budget'!$R$10),'Item Budget'!$R$7*100*('Item Budget'!$R$15*(AD166+25*AH166)+'Item Budget'!$S$15*(AE166+25*AJ166))/'Item Budget'!$Z$15+'Item Budget'!$R$9*AF166+IFERROR(INDEX('Item Budget'!$O$25:$O$95,MATCH(AL166,'Item Budget'!$B$25:$B$95,0)),0),0)</f>
        <v/>
      </c>
      <c r="AZ166" s="44">
        <f>IF(AND(OR($E166="All",ISNUMBER(SEARCH("Magus",$E166))),AC166&gt;='Item Budget'!$R$10),'Item Budget'!$R$7*100*('Item Budget'!$R$16*(AD166+25*AH166)+'Item Budget'!$S$16*(AE166+25*AJ166))/'Item Budget'!$Z$16+'Item Budget'!$R$9*AF166+IFERROR(INDEX('Item Budget'!$O$25:$O$95,MATCH(AL166,'Item Budget'!$B$25:$B$95,0)),0),0)</f>
        <v/>
      </c>
      <c r="BA166" s="44">
        <f>IF(AND(OR($E166="All",ISNUMBER(SEARCH("Priest",$E166))),AC166&gt;='Item Budget'!$R$10),'Item Budget'!$R$7*100*('Item Budget'!$R$17*(AD166+25*AH166)+'Item Budget'!$S$17*(AE166+25*AJ166))/'Item Budget'!$Z$17+'Item Budget'!$R$9*AF166+IFERROR(INDEX('Item Budget'!$O$25:$O$95,MATCH(AL166,'Item Budget'!$B$25:$B$95,0)),0),0)</f>
        <v/>
      </c>
      <c r="BB166" s="52">
        <f>IF(OR($I166&lt;1,IF($I166&gt;=6,AX166,AT166)&lt;=0),"",IF(SUMPRODUCT(MAX(($C$5:$C$215=$C166)*($I$5:$I$215&gt;=1)*($I$5:$I$215&lt;$I166)*IF($I166&gt;=6,$AX$5:$AX$215,$AT$5:$AT$215)))&lt;=0,"",SUMPRODUCT(MAX(($C$5:$C$215=$C166)*($I$5:$I$215=$I166)*IF($I166&gt;=6,$AX$5:$AX$215,$AT$5:$AT$215)))/SUMPRODUCT(MAX(($C$5:$C$215=$C166)*($I$5:$I$215&gt;=1)*($I$5:$I$215&lt;$I166)*IF($I166&gt;=6,$AX$5:$AX$215,$AT$5:$AT$215)))-1))</f>
        <v/>
      </c>
      <c r="BC166" s="52">
        <f>IF(OR($I166&lt;1,IF($I166&gt;=6,AY166,AU166)&lt;=0),"",IF(SUMPRODUCT(MAX(($C$5:$C$215=$C166)*($I$5:$I$215&gt;=1)*($I$5:$I$215&lt;$I166)*IF($I166&gt;=6,$AY$5:$AY$215,$AU$5:$AU$215)))&lt;=0,"",SUMPRODUCT(MAX(($C$5:$C$215=$C166)*($I$5:$I$215=$I166)*IF($I166&gt;=6,$AY$5:$AY$215,$AU$5:$AU$215)))/SUMPRODUCT(MAX(($C$5:$C$215=$C166)*($I$5:$I$215&gt;=1)*($I$5:$I$215&lt;$I166)*IF($I166&gt;=6,$AY$5:$AY$215,$AU$5:$AU$215)))-1))</f>
        <v/>
      </c>
      <c r="BD166" s="52">
        <f>IF(OR($I166&lt;1,IF($I166&gt;=6,AZ166,AV166)&lt;=0),"",IF(SUMPRODUCT(MAX(($C$5:$C$215=$C166)*($I$5:$I$215&gt;=1)*($I$5:$I$215&lt;$I166)*IF($I166&gt;=6,$AZ$5:$AZ$215,$AV$5:$AV$215)))&lt;=0,"",SUMPRODUCT(MAX(($C$5:$C$215=$C166)*($I$5:$I$215=$I166)*IF($I166&gt;=6,$AZ$5:$AZ$215,$AV$5:$AV$215)))/SUMPRODUCT(MAX(($C$5:$C$215=$C166)*($I$5:$I$215&gt;=1)*($I$5:$I$215&lt;$I166)*IF($I166&gt;=6,$AZ$5:$AZ$215,$AV$5:$AV$215)))-1))</f>
        <v/>
      </c>
      <c r="BE166" s="52">
        <f>IF(OR($I166&lt;1,IF($I166&gt;=6,BA166,AW166)&lt;=0),"",IF(SUMPRODUCT(MAX(($C$5:$C$215=$C166)*($I$5:$I$215&gt;=1)*($I$5:$I$215&lt;$I166)*IF($I166&gt;=6,$BA$5:$BA$215,$AW$5:$AW$215)))&lt;=0,"",SUMPRODUCT(MAX(($C$5:$C$215=$C166)*($I$5:$I$215=$I166)*IF($I166&gt;=6,$BA$5:$BA$215,$AW$5:$AW$215)))/SUMPRODUCT(MAX(($C$5:$C$215=$C166)*($I$5:$I$215&gt;=1)*($I$5:$I$215&lt;$I166)*IF($I166&gt;=6,$BA$5:$BA$215,$AW$5:$AW$215)))-1))</f>
        <v/>
      </c>
      <c r="BF166" s="19">
        <f>IF(AND(BB166="",BC166="",BD166="",BE166=""),"",IF(IF(AND(ISNUMBER(BB166),BB166&lt;'Item Budget'!$R$11),"W ","")&amp;IF(AND(ISNUMBER(BC166),BC166&lt;'Item Budget'!$R$11),"R ","")&amp;IF(AND(ISNUMBER(BD166),BD166&lt;'Item Budget'!$R$11),"M ","")&amp;IF(AND(ISNUMBER(BE166),BE166&lt;'Item Budget'!$R$11),"P ","")="","OK","Not above lower step: "&amp;IF(AND(ISNUMBER(BB166),BB166&lt;'Item Budget'!$R$11),"W ","")&amp;IF(AND(ISNUMBER(BC166),BC166&lt;'Item Budget'!$R$11),"R ","")&amp;IF(AND(ISNUMBER(BD166),BD166&lt;'Item Budget'!$R$11),"M ","")&amp;IF(AND(ISNUMBER(BE166),BE166&lt;'Item Budget'!$R$11),"P ","")))</f>
        <v/>
      </c>
    </row>
    <row r="167">
      <c r="A167" s="21" t="n">
        <v>14</v>
      </c>
      <c r="B167" s="21" t="inlineStr">
        <is>
          <t>Small Sword</t>
        </is>
      </c>
      <c r="C167" s="21" t="inlineStr">
        <is>
          <t>Weapon</t>
        </is>
      </c>
      <c r="D167" s="21" t="inlineStr">
        <is>
          <t>Rogue/Warrior</t>
        </is>
      </c>
      <c r="E167" s="21" t="inlineStr">
        <is>
          <t>Rogue/Warrior</t>
        </is>
      </c>
      <c r="F167" s="21" t="inlineStr"/>
      <c r="G167" s="21" t="inlineStr">
        <is>
          <t>drop: Asp 3%</t>
        </is>
      </c>
      <c r="H167" s="37" t="n">
        <v>0</v>
      </c>
      <c r="I167" s="21" t="n">
        <v>0</v>
      </c>
      <c r="J167" s="19" t="inlineStr">
        <is>
          <t>Leave</t>
        </is>
      </c>
      <c r="K167" s="21" t="inlineStr">
        <is>
          <t>Vendor</t>
        </is>
      </c>
      <c r="L167" s="31">
        <f>INDEX('Item Budget'!$F$5:$F$13,MATCH(K167,'Item Budget'!$E$5:$E$13,0))+IF(E167="All",0,'Item Budget'!$F$15)+LOOKUP(H167,'Item Budget'!$E$19:$E$23,'Item Budget'!$F$19:$F$23)</f>
        <v/>
      </c>
      <c r="M167" s="21" t="n">
        <v>5</v>
      </c>
      <c r="N167" s="21" t="n">
        <v>0</v>
      </c>
      <c r="O167" s="21" t="n">
        <v>0</v>
      </c>
      <c r="P167" s="21" t="n">
        <v>0</v>
      </c>
      <c r="Q167" s="21" t="n">
        <v>0</v>
      </c>
      <c r="R167" s="21" t="n">
        <v>0</v>
      </c>
      <c r="S167" s="21" t="n">
        <v>0</v>
      </c>
      <c r="T167" s="21" t="n">
        <v>0</v>
      </c>
      <c r="U167" s="21" t="n">
        <v>14</v>
      </c>
      <c r="V167" s="21" t="inlineStr">
        <is>
          <t>(none)</t>
        </is>
      </c>
      <c r="W167" s="61">
        <f>N167*'Item Budget'!$B$5+R167*'Item Budget'!$B$7+P167*'Item Budget'!$B$11+S167*'Item Budget'!$B$10+Q167*'Item Budget'!$B$9+IFERROR(INDEX('Item Budget'!$M$25:$M$95,MATCH(V167,'Item Budget'!$B$25:$B$95,0)),0)+IF($C167="Weapon",U167*'Item Budget'!$B$9,0)</f>
        <v/>
      </c>
      <c r="X167" s="61">
        <f>N167*'Item Budget'!$B$5+R167*'Item Budget'!$B$7+P167*'Item Budget'!$B$11+S167*'Item Budget'!$B$10+O167*'Item Budget'!$B$6+T167*'Item Budget'!$B$8+IFERROR(INDEX('Item Budget'!$N$25:$N$95,MATCH(V167,'Item Budget'!$B$25:$B$95,0)),0)</f>
        <v/>
      </c>
      <c r="Y167" s="61">
        <f>MAX('Item Budget'!$F$16,INDEX('Gear Budget'!$C$8:$C$14,MATCH($C167,'Gear Budget'!$A$8:$A$14,0))*MIN(M167,50))*$L167</f>
        <v/>
      </c>
      <c r="Z167" s="41">
        <f>IF($C167="Caster weapon",X167,MAX(W167,X167))/Y167</f>
        <v/>
      </c>
      <c r="AA167" s="61">
        <f>IF(OR($C167="Weapon",$C167="Caster weapon"),"",'Gear Budget'!$B$5*MAX(1,MIN(M167,50))*INDEX('Gear Budget'!$B$8:$B$14,MATCH($C167,'Gear Budget'!$A$8:$A$14,0))*IF($C167="Shield",IF(D167="Warrior",1,IF(OR(D167="Rogue",D167="All"),0.38/0.6,0.25/0.6)),IFERROR(INDEX('Gear Budget'!$B$18:$B$21,MATCH($F167,'Gear Budget'!$A$18:$A$21,0)),1)))</f>
        <v/>
      </c>
      <c r="AB167" s="41">
        <f>IF(AA167="","",P167/AA167)</f>
        <v/>
      </c>
      <c r="AC167" s="21" t="n">
        <v>5</v>
      </c>
      <c r="AD167" s="21" t="n">
        <v>0</v>
      </c>
      <c r="AE167" s="21" t="n">
        <v>0</v>
      </c>
      <c r="AF167" s="21" t="n">
        <v>0</v>
      </c>
      <c r="AG167" s="21" t="n">
        <v>0</v>
      </c>
      <c r="AH167" s="21" t="n">
        <v>0</v>
      </c>
      <c r="AI167" s="21" t="n">
        <v>0</v>
      </c>
      <c r="AJ167" s="21" t="n">
        <v>0</v>
      </c>
      <c r="AK167" s="21" t="n">
        <v>14</v>
      </c>
      <c r="AL167" s="21" t="inlineStr">
        <is>
          <t>(none)</t>
        </is>
      </c>
      <c r="AM167" s="61">
        <f>AD167*'Item Budget'!$B$5+AH167*'Item Budget'!$B$7+AF167*'Item Budget'!$B$11+AI167*'Item Budget'!$B$10+AG167*'Item Budget'!$B$9+IFERROR(INDEX('Item Budget'!$M$25:$M$95,MATCH(AL167,'Item Budget'!$B$25:$B$95,0)),0)+IF($C167="Weapon",AK167*'Item Budget'!$B$9,0)</f>
        <v/>
      </c>
      <c r="AN167" s="61">
        <f>AD167*'Item Budget'!$B$5+AH167*'Item Budget'!$B$7+AF167*'Item Budget'!$B$11+AI167*'Item Budget'!$B$10+AE167*'Item Budget'!$B$6+AJ167*'Item Budget'!$B$8+IFERROR(INDEX('Item Budget'!$N$25:$N$95,MATCH(AL167,'Item Budget'!$B$25:$B$95,0)),0)</f>
        <v/>
      </c>
      <c r="AO167" s="61">
        <f>MAX('Item Budget'!$F$16,INDEX('Gear Budget'!$C$8:$C$14,MATCH($C167,'Gear Budget'!$A$8:$A$14,0))*MIN(AC167,50))*$L167</f>
        <v/>
      </c>
      <c r="AP167" s="41">
        <f>IF($C167="Caster weapon",AN167,MAX(AM167,AN167))/AO167</f>
        <v/>
      </c>
      <c r="AQ167" s="61">
        <f>IF(OR($C167="Weapon",$C167="Caster weapon"),"",'Gear Budget'!$B$5*MAX(1,MIN(AC167,50))*INDEX('Gear Budget'!$B$8:$B$14,MATCH($C167,'Gear Budget'!$A$8:$A$14,0))*IF($C167="Shield",IF(E167="Warrior",1,IF(OR(E167="Rogue",E167="All"),0.38/0.6,0.25/0.6)),IFERROR(INDEX('Gear Budget'!$B$18:$B$21,MATCH($F167,'Gear Budget'!$A$18:$A$21,0)),1)))</f>
        <v/>
      </c>
      <c r="AR167" s="41">
        <f>IF(AQ167="","",AF167/AQ167)</f>
        <v/>
      </c>
      <c r="AS167" s="64" t="n"/>
      <c r="AT167" s="44">
        <f>IF(OR($E167="All",ISNUMBER(SEARCH("Warrior",$E167))),IF($C167="Caster weapon",(AN167+AF167*('Item Budget'!$AB$14-'Item Budget'!$B$11)),(AM167+AF167*('Item Budget'!$AB$14-'Item Budget'!$B$11))),0)</f>
        <v/>
      </c>
      <c r="AU167" s="44">
        <f>IF(OR($E167="All",ISNUMBER(SEARCH("Rogue",$E167))),IF($C167="Caster weapon",(AN167+AF167*('Item Budget'!$AB$15-'Item Budget'!$B$11)),(AM167+AF167*('Item Budget'!$AB$15-'Item Budget'!$B$11))),0)</f>
        <v/>
      </c>
      <c r="AV167" s="44">
        <f>IF(OR($E167="All",ISNUMBER(SEARCH("Magus",$E167))),(AN167+AF167*('Item Budget'!$AB$16-'Item Budget'!$B$11)),0)</f>
        <v/>
      </c>
      <c r="AW167" s="44">
        <f>IF(OR($E167="All",ISNUMBER(SEARCH("Priest",$E167))),(AN167+AF167*('Item Budget'!$AB$17-'Item Budget'!$B$11)),0)</f>
        <v/>
      </c>
      <c r="AX167" s="44">
        <f>IF(AND(OR($E167="All",ISNUMBER(SEARCH("Warrior",$E167))),AC167&gt;='Item Budget'!$R$10),'Item Budget'!$R$7*100*('Item Budget'!$R$14*(AD167+25*AH167)+'Item Budget'!$S$14*(AE167+25*AJ167))/'Item Budget'!$Z$14+'Item Budget'!$R$9*AF167+IFERROR(INDEX('Item Budget'!$O$25:$O$95,MATCH(AL167,'Item Budget'!$B$25:$B$95,0)),0),0)</f>
        <v/>
      </c>
      <c r="AY167" s="44">
        <f>IF(AND(OR($E167="All",ISNUMBER(SEARCH("Rogue",$E167))),AC167&gt;='Item Budget'!$R$10),'Item Budget'!$R$7*100*('Item Budget'!$R$15*(AD167+25*AH167)+'Item Budget'!$S$15*(AE167+25*AJ167))/'Item Budget'!$Z$15+'Item Budget'!$R$9*AF167+IFERROR(INDEX('Item Budget'!$O$25:$O$95,MATCH(AL167,'Item Budget'!$B$25:$B$95,0)),0),0)</f>
        <v/>
      </c>
      <c r="AZ167" s="44">
        <f>IF(AND(OR($E167="All",ISNUMBER(SEARCH("Magus",$E167))),AC167&gt;='Item Budget'!$R$10),'Item Budget'!$R$7*100*('Item Budget'!$R$16*(AD167+25*AH167)+'Item Budget'!$S$16*(AE167+25*AJ167))/'Item Budget'!$Z$16+'Item Budget'!$R$9*AF167+IFERROR(INDEX('Item Budget'!$O$25:$O$95,MATCH(AL167,'Item Budget'!$B$25:$B$95,0)),0),0)</f>
        <v/>
      </c>
      <c r="BA167" s="44">
        <f>IF(AND(OR($E167="All",ISNUMBER(SEARCH("Priest",$E167))),AC167&gt;='Item Budget'!$R$10),'Item Budget'!$R$7*100*('Item Budget'!$R$17*(AD167+25*AH167)+'Item Budget'!$S$17*(AE167+25*AJ167))/'Item Budget'!$Z$17+'Item Budget'!$R$9*AF167+IFERROR(INDEX('Item Budget'!$O$25:$O$95,MATCH(AL167,'Item Budget'!$B$25:$B$95,0)),0),0)</f>
        <v/>
      </c>
      <c r="BB167" s="52">
        <f>IF(OR($I167&lt;1,IF($I167&gt;=6,AX167,AT167)&lt;=0),"",IF(SUMPRODUCT(MAX(($C$5:$C$215=$C167)*($I$5:$I$215&gt;=1)*($I$5:$I$215&lt;$I167)*IF($I167&gt;=6,$AX$5:$AX$215,$AT$5:$AT$215)))&lt;=0,"",SUMPRODUCT(MAX(($C$5:$C$215=$C167)*($I$5:$I$215=$I167)*IF($I167&gt;=6,$AX$5:$AX$215,$AT$5:$AT$215)))/SUMPRODUCT(MAX(($C$5:$C$215=$C167)*($I$5:$I$215&gt;=1)*($I$5:$I$215&lt;$I167)*IF($I167&gt;=6,$AX$5:$AX$215,$AT$5:$AT$215)))-1))</f>
        <v/>
      </c>
      <c r="BC167" s="52">
        <f>IF(OR($I167&lt;1,IF($I167&gt;=6,AY167,AU167)&lt;=0),"",IF(SUMPRODUCT(MAX(($C$5:$C$215=$C167)*($I$5:$I$215&gt;=1)*($I$5:$I$215&lt;$I167)*IF($I167&gt;=6,$AY$5:$AY$215,$AU$5:$AU$215)))&lt;=0,"",SUMPRODUCT(MAX(($C$5:$C$215=$C167)*($I$5:$I$215=$I167)*IF($I167&gt;=6,$AY$5:$AY$215,$AU$5:$AU$215)))/SUMPRODUCT(MAX(($C$5:$C$215=$C167)*($I$5:$I$215&gt;=1)*($I$5:$I$215&lt;$I167)*IF($I167&gt;=6,$AY$5:$AY$215,$AU$5:$AU$215)))-1))</f>
        <v/>
      </c>
      <c r="BD167" s="52">
        <f>IF(OR($I167&lt;1,IF($I167&gt;=6,AZ167,AV167)&lt;=0),"",IF(SUMPRODUCT(MAX(($C$5:$C$215=$C167)*($I$5:$I$215&gt;=1)*($I$5:$I$215&lt;$I167)*IF($I167&gt;=6,$AZ$5:$AZ$215,$AV$5:$AV$215)))&lt;=0,"",SUMPRODUCT(MAX(($C$5:$C$215=$C167)*($I$5:$I$215=$I167)*IF($I167&gt;=6,$AZ$5:$AZ$215,$AV$5:$AV$215)))/SUMPRODUCT(MAX(($C$5:$C$215=$C167)*($I$5:$I$215&gt;=1)*($I$5:$I$215&lt;$I167)*IF($I167&gt;=6,$AZ$5:$AZ$215,$AV$5:$AV$215)))-1))</f>
        <v/>
      </c>
      <c r="BE167" s="52">
        <f>IF(OR($I167&lt;1,IF($I167&gt;=6,BA167,AW167)&lt;=0),"",IF(SUMPRODUCT(MAX(($C$5:$C$215=$C167)*($I$5:$I$215&gt;=1)*($I$5:$I$215&lt;$I167)*IF($I167&gt;=6,$BA$5:$BA$215,$AW$5:$AW$215)))&lt;=0,"",SUMPRODUCT(MAX(($C$5:$C$215=$C167)*($I$5:$I$215=$I167)*IF($I167&gt;=6,$BA$5:$BA$215,$AW$5:$AW$215)))/SUMPRODUCT(MAX(($C$5:$C$215=$C167)*($I$5:$I$215&gt;=1)*($I$5:$I$215&lt;$I167)*IF($I167&gt;=6,$BA$5:$BA$215,$AW$5:$AW$215)))-1))</f>
        <v/>
      </c>
      <c r="BF167" s="19">
        <f>IF(AND(BB167="",BC167="",BD167="",BE167=""),"",IF(IF(AND(ISNUMBER(BB167),BB167&lt;'Item Budget'!$R$11),"W ","")&amp;IF(AND(ISNUMBER(BC167),BC167&lt;'Item Budget'!$R$11),"R ","")&amp;IF(AND(ISNUMBER(BD167),BD167&lt;'Item Budget'!$R$11),"M ","")&amp;IF(AND(ISNUMBER(BE167),BE167&lt;'Item Budget'!$R$11),"P ","")="","OK","Not above lower step: "&amp;IF(AND(ISNUMBER(BB167),BB167&lt;'Item Budget'!$R$11),"W ","")&amp;IF(AND(ISNUMBER(BC167),BC167&lt;'Item Budget'!$R$11),"R ","")&amp;IF(AND(ISNUMBER(BD167),BD167&lt;'Item Budget'!$R$11),"M ","")&amp;IF(AND(ISNUMBER(BE167),BE167&lt;'Item Budget'!$R$11),"P ","")))</f>
        <v/>
      </c>
    </row>
    <row r="168">
      <c r="A168" s="21" t="n">
        <v>645</v>
      </c>
      <c r="B168" s="21" t="inlineStr">
        <is>
          <t>Rusty Hammer</t>
        </is>
      </c>
      <c r="C168" s="21" t="inlineStr">
        <is>
          <t>Weapon</t>
        </is>
      </c>
      <c r="D168" s="21" t="inlineStr">
        <is>
          <t>Warrior/Priest</t>
        </is>
      </c>
      <c r="E168" s="21" t="inlineStr">
        <is>
          <t>Warrior/Priest</t>
        </is>
      </c>
      <c r="F168" s="21" t="inlineStr"/>
      <c r="G168" s="21" t="inlineStr">
        <is>
          <t>quest</t>
        </is>
      </c>
      <c r="H168" s="37" t="n">
        <v>0</v>
      </c>
      <c r="I168" s="21" t="n">
        <v>0</v>
      </c>
      <c r="J168" s="19" t="inlineStr">
        <is>
          <t>Leave</t>
        </is>
      </c>
      <c r="K168" s="21" t="inlineStr">
        <is>
          <t>Common drop</t>
        </is>
      </c>
      <c r="L168" s="31">
        <f>INDEX('Item Budget'!$F$5:$F$13,MATCH(K168,'Item Budget'!$E$5:$E$13,0))+IF(E168="All",0,'Item Budget'!$F$15)+LOOKUP(H168,'Item Budget'!$E$19:$E$23,'Item Budget'!$F$19:$F$23)</f>
        <v/>
      </c>
      <c r="M168" s="21" t="n">
        <v>5</v>
      </c>
      <c r="N168" s="21" t="n">
        <v>0</v>
      </c>
      <c r="O168" s="21" t="n">
        <v>0</v>
      </c>
      <c r="P168" s="21" t="n">
        <v>0</v>
      </c>
      <c r="Q168" s="21" t="n">
        <v>0</v>
      </c>
      <c r="R168" s="21" t="n">
        <v>0</v>
      </c>
      <c r="S168" s="21" t="n">
        <v>0</v>
      </c>
      <c r="T168" s="21" t="n">
        <v>0</v>
      </c>
      <c r="U168" s="21" t="n">
        <v>7</v>
      </c>
      <c r="V168" s="21" t="inlineStr">
        <is>
          <t>(none)</t>
        </is>
      </c>
      <c r="W168" s="61">
        <f>N168*'Item Budget'!$B$5+R168*'Item Budget'!$B$7+P168*'Item Budget'!$B$11+S168*'Item Budget'!$B$10+Q168*'Item Budget'!$B$9+IFERROR(INDEX('Item Budget'!$M$25:$M$95,MATCH(V168,'Item Budget'!$B$25:$B$95,0)),0)+IF($C168="Weapon",U168*'Item Budget'!$B$9,0)</f>
        <v/>
      </c>
      <c r="X168" s="61">
        <f>N168*'Item Budget'!$B$5+R168*'Item Budget'!$B$7+P168*'Item Budget'!$B$11+S168*'Item Budget'!$B$10+O168*'Item Budget'!$B$6+T168*'Item Budget'!$B$8+IFERROR(INDEX('Item Budget'!$N$25:$N$95,MATCH(V168,'Item Budget'!$B$25:$B$95,0)),0)</f>
        <v/>
      </c>
      <c r="Y168" s="61">
        <f>MAX('Item Budget'!$F$16,INDEX('Gear Budget'!$C$8:$C$14,MATCH($C168,'Gear Budget'!$A$8:$A$14,0))*MIN(M168,50))*$L168</f>
        <v/>
      </c>
      <c r="Z168" s="41">
        <f>IF($C168="Caster weapon",X168,MAX(W168,X168))/Y168</f>
        <v/>
      </c>
      <c r="AA168" s="61">
        <f>IF(OR($C168="Weapon",$C168="Caster weapon"),"",'Gear Budget'!$B$5*MAX(1,MIN(M168,50))*INDEX('Gear Budget'!$B$8:$B$14,MATCH($C168,'Gear Budget'!$A$8:$A$14,0))*IF($C168="Shield",IF(D168="Warrior",1,IF(OR(D168="Rogue",D168="All"),0.38/0.6,0.25/0.6)),IFERROR(INDEX('Gear Budget'!$B$18:$B$21,MATCH($F168,'Gear Budget'!$A$18:$A$21,0)),1)))</f>
        <v/>
      </c>
      <c r="AB168" s="41">
        <f>IF(AA168="","",P168/AA168)</f>
        <v/>
      </c>
      <c r="AC168" s="21" t="n">
        <v>5</v>
      </c>
      <c r="AD168" s="21" t="n">
        <v>0</v>
      </c>
      <c r="AE168" s="21" t="n">
        <v>0</v>
      </c>
      <c r="AF168" s="21" t="n">
        <v>0</v>
      </c>
      <c r="AG168" s="21" t="n">
        <v>0</v>
      </c>
      <c r="AH168" s="21" t="n">
        <v>0</v>
      </c>
      <c r="AI168" s="21" t="n">
        <v>0</v>
      </c>
      <c r="AJ168" s="21" t="n">
        <v>0</v>
      </c>
      <c r="AK168" s="21" t="n">
        <v>7</v>
      </c>
      <c r="AL168" s="21" t="inlineStr">
        <is>
          <t>(none)</t>
        </is>
      </c>
      <c r="AM168" s="61">
        <f>AD168*'Item Budget'!$B$5+AH168*'Item Budget'!$B$7+AF168*'Item Budget'!$B$11+AI168*'Item Budget'!$B$10+AG168*'Item Budget'!$B$9+IFERROR(INDEX('Item Budget'!$M$25:$M$95,MATCH(AL168,'Item Budget'!$B$25:$B$95,0)),0)+IF($C168="Weapon",AK168*'Item Budget'!$B$9,0)</f>
        <v/>
      </c>
      <c r="AN168" s="61">
        <f>AD168*'Item Budget'!$B$5+AH168*'Item Budget'!$B$7+AF168*'Item Budget'!$B$11+AI168*'Item Budget'!$B$10+AE168*'Item Budget'!$B$6+AJ168*'Item Budget'!$B$8+IFERROR(INDEX('Item Budget'!$N$25:$N$95,MATCH(AL168,'Item Budget'!$B$25:$B$95,0)),0)</f>
        <v/>
      </c>
      <c r="AO168" s="61">
        <f>MAX('Item Budget'!$F$16,INDEX('Gear Budget'!$C$8:$C$14,MATCH($C168,'Gear Budget'!$A$8:$A$14,0))*MIN(AC168,50))*$L168</f>
        <v/>
      </c>
      <c r="AP168" s="41">
        <f>IF($C168="Caster weapon",AN168,MAX(AM168,AN168))/AO168</f>
        <v/>
      </c>
      <c r="AQ168" s="61">
        <f>IF(OR($C168="Weapon",$C168="Caster weapon"),"",'Gear Budget'!$B$5*MAX(1,MIN(AC168,50))*INDEX('Gear Budget'!$B$8:$B$14,MATCH($C168,'Gear Budget'!$A$8:$A$14,0))*IF($C168="Shield",IF(E168="Warrior",1,IF(OR(E168="Rogue",E168="All"),0.38/0.6,0.25/0.6)),IFERROR(INDEX('Gear Budget'!$B$18:$B$21,MATCH($F168,'Gear Budget'!$A$18:$A$21,0)),1)))</f>
        <v/>
      </c>
      <c r="AR168" s="41">
        <f>IF(AQ168="","",AF168/AQ168)</f>
        <v/>
      </c>
      <c r="AS168" s="64" t="inlineStr">
        <is>
          <t>Pass 1 (applied): Quest starter weapon.</t>
        </is>
      </c>
      <c r="AT168" s="44">
        <f>IF(OR($E168="All",ISNUMBER(SEARCH("Warrior",$E168))),IF($C168="Caster weapon",(AN168+AF168*('Item Budget'!$AB$14-'Item Budget'!$B$11)),(AM168+AF168*('Item Budget'!$AB$14-'Item Budget'!$B$11))),0)</f>
        <v/>
      </c>
      <c r="AU168" s="44">
        <f>IF(OR($E168="All",ISNUMBER(SEARCH("Rogue",$E168))),IF($C168="Caster weapon",(AN168+AF168*('Item Budget'!$AB$15-'Item Budget'!$B$11)),(AM168+AF168*('Item Budget'!$AB$15-'Item Budget'!$B$11))),0)</f>
        <v/>
      </c>
      <c r="AV168" s="44">
        <f>IF(OR($E168="All",ISNUMBER(SEARCH("Magus",$E168))),(AN168+AF168*('Item Budget'!$AB$16-'Item Budget'!$B$11)),0)</f>
        <v/>
      </c>
      <c r="AW168" s="44">
        <f>IF(OR($E168="All",ISNUMBER(SEARCH("Priest",$E168))),(AN168+AF168*('Item Budget'!$AB$17-'Item Budget'!$B$11)),0)</f>
        <v/>
      </c>
      <c r="AX168" s="44">
        <f>IF(AND(OR($E168="All",ISNUMBER(SEARCH("Warrior",$E168))),AC168&gt;='Item Budget'!$R$10),'Item Budget'!$R$7*100*('Item Budget'!$R$14*(AD168+25*AH168)+'Item Budget'!$S$14*(AE168+25*AJ168))/'Item Budget'!$Z$14+'Item Budget'!$R$9*AF168+IFERROR(INDEX('Item Budget'!$O$25:$O$95,MATCH(AL168,'Item Budget'!$B$25:$B$95,0)),0),0)</f>
        <v/>
      </c>
      <c r="AY168" s="44">
        <f>IF(AND(OR($E168="All",ISNUMBER(SEARCH("Rogue",$E168))),AC168&gt;='Item Budget'!$R$10),'Item Budget'!$R$7*100*('Item Budget'!$R$15*(AD168+25*AH168)+'Item Budget'!$S$15*(AE168+25*AJ168))/'Item Budget'!$Z$15+'Item Budget'!$R$9*AF168+IFERROR(INDEX('Item Budget'!$O$25:$O$95,MATCH(AL168,'Item Budget'!$B$25:$B$95,0)),0),0)</f>
        <v/>
      </c>
      <c r="AZ168" s="44">
        <f>IF(AND(OR($E168="All",ISNUMBER(SEARCH("Magus",$E168))),AC168&gt;='Item Budget'!$R$10),'Item Budget'!$R$7*100*('Item Budget'!$R$16*(AD168+25*AH168)+'Item Budget'!$S$16*(AE168+25*AJ168))/'Item Budget'!$Z$16+'Item Budget'!$R$9*AF168+IFERROR(INDEX('Item Budget'!$O$25:$O$95,MATCH(AL168,'Item Budget'!$B$25:$B$95,0)),0),0)</f>
        <v/>
      </c>
      <c r="BA168" s="44">
        <f>IF(AND(OR($E168="All",ISNUMBER(SEARCH("Priest",$E168))),AC168&gt;='Item Budget'!$R$10),'Item Budget'!$R$7*100*('Item Budget'!$R$17*(AD168+25*AH168)+'Item Budget'!$S$17*(AE168+25*AJ168))/'Item Budget'!$Z$17+'Item Budget'!$R$9*AF168+IFERROR(INDEX('Item Budget'!$O$25:$O$95,MATCH(AL168,'Item Budget'!$B$25:$B$95,0)),0),0)</f>
        <v/>
      </c>
      <c r="BB168" s="52">
        <f>IF(OR($I168&lt;1,IF($I168&gt;=6,AX168,AT168)&lt;=0),"",IF(SUMPRODUCT(MAX(($C$5:$C$215=$C168)*($I$5:$I$215&gt;=1)*($I$5:$I$215&lt;$I168)*IF($I168&gt;=6,$AX$5:$AX$215,$AT$5:$AT$215)))&lt;=0,"",SUMPRODUCT(MAX(($C$5:$C$215=$C168)*($I$5:$I$215=$I168)*IF($I168&gt;=6,$AX$5:$AX$215,$AT$5:$AT$215)))/SUMPRODUCT(MAX(($C$5:$C$215=$C168)*($I$5:$I$215&gt;=1)*($I$5:$I$215&lt;$I168)*IF($I168&gt;=6,$AX$5:$AX$215,$AT$5:$AT$215)))-1))</f>
        <v/>
      </c>
      <c r="BC168" s="52">
        <f>IF(OR($I168&lt;1,IF($I168&gt;=6,AY168,AU168)&lt;=0),"",IF(SUMPRODUCT(MAX(($C$5:$C$215=$C168)*($I$5:$I$215&gt;=1)*($I$5:$I$215&lt;$I168)*IF($I168&gt;=6,$AY$5:$AY$215,$AU$5:$AU$215)))&lt;=0,"",SUMPRODUCT(MAX(($C$5:$C$215=$C168)*($I$5:$I$215=$I168)*IF($I168&gt;=6,$AY$5:$AY$215,$AU$5:$AU$215)))/SUMPRODUCT(MAX(($C$5:$C$215=$C168)*($I$5:$I$215&gt;=1)*($I$5:$I$215&lt;$I168)*IF($I168&gt;=6,$AY$5:$AY$215,$AU$5:$AU$215)))-1))</f>
        <v/>
      </c>
      <c r="BD168" s="52">
        <f>IF(OR($I168&lt;1,IF($I168&gt;=6,AZ168,AV168)&lt;=0),"",IF(SUMPRODUCT(MAX(($C$5:$C$215=$C168)*($I$5:$I$215&gt;=1)*($I$5:$I$215&lt;$I168)*IF($I168&gt;=6,$AZ$5:$AZ$215,$AV$5:$AV$215)))&lt;=0,"",SUMPRODUCT(MAX(($C$5:$C$215=$C168)*($I$5:$I$215=$I168)*IF($I168&gt;=6,$AZ$5:$AZ$215,$AV$5:$AV$215)))/SUMPRODUCT(MAX(($C$5:$C$215=$C168)*($I$5:$I$215&gt;=1)*($I$5:$I$215&lt;$I168)*IF($I168&gt;=6,$AZ$5:$AZ$215,$AV$5:$AV$215)))-1))</f>
        <v/>
      </c>
      <c r="BE168" s="52">
        <f>IF(OR($I168&lt;1,IF($I168&gt;=6,BA168,AW168)&lt;=0),"",IF(SUMPRODUCT(MAX(($C$5:$C$215=$C168)*($I$5:$I$215&gt;=1)*($I$5:$I$215&lt;$I168)*IF($I168&gt;=6,$BA$5:$BA$215,$AW$5:$AW$215)))&lt;=0,"",SUMPRODUCT(MAX(($C$5:$C$215=$C168)*($I$5:$I$215=$I168)*IF($I168&gt;=6,$BA$5:$BA$215,$AW$5:$AW$215)))/SUMPRODUCT(MAX(($C$5:$C$215=$C168)*($I$5:$I$215&gt;=1)*($I$5:$I$215&lt;$I168)*IF($I168&gt;=6,$BA$5:$BA$215,$AW$5:$AW$215)))-1))</f>
        <v/>
      </c>
      <c r="BF168" s="19">
        <f>IF(AND(BB168="",BC168="",BD168="",BE168=""),"",IF(IF(AND(ISNUMBER(BB168),BB168&lt;'Item Budget'!$R$11),"W ","")&amp;IF(AND(ISNUMBER(BC168),BC168&lt;'Item Budget'!$R$11),"R ","")&amp;IF(AND(ISNUMBER(BD168),BD168&lt;'Item Budget'!$R$11),"M ","")&amp;IF(AND(ISNUMBER(BE168),BE168&lt;'Item Budget'!$R$11),"P ","")="","OK","Not above lower step: "&amp;IF(AND(ISNUMBER(BB168),BB168&lt;'Item Budget'!$R$11),"W ","")&amp;IF(AND(ISNUMBER(BC168),BC168&lt;'Item Budget'!$R$11),"R ","")&amp;IF(AND(ISNUMBER(BD168),BD168&lt;'Item Budget'!$R$11),"M ","")&amp;IF(AND(ISNUMBER(BE168),BE168&lt;'Item Budget'!$R$11),"P ","")))</f>
        <v/>
      </c>
    </row>
    <row r="169">
      <c r="A169" s="21" t="n">
        <v>646</v>
      </c>
      <c r="B169" s="21" t="inlineStr">
        <is>
          <t>Old Stave</t>
        </is>
      </c>
      <c r="C169" s="21" t="inlineStr">
        <is>
          <t>Weapon</t>
        </is>
      </c>
      <c r="D169" s="21" t="inlineStr">
        <is>
          <t>Warrior/Magus</t>
        </is>
      </c>
      <c r="E169" s="21" t="inlineStr">
        <is>
          <t>Warrior/Magus</t>
        </is>
      </c>
      <c r="F169" s="21" t="inlineStr"/>
      <c r="G169" s="21" t="inlineStr">
        <is>
          <t>quest</t>
        </is>
      </c>
      <c r="H169" s="37" t="n">
        <v>0</v>
      </c>
      <c r="I169" s="21" t="n">
        <v>0</v>
      </c>
      <c r="J169" s="19" t="inlineStr">
        <is>
          <t>Leave</t>
        </is>
      </c>
      <c r="K169" s="21" t="inlineStr">
        <is>
          <t>Common drop</t>
        </is>
      </c>
      <c r="L169" s="31">
        <f>INDEX('Item Budget'!$F$5:$F$13,MATCH(K169,'Item Budget'!$E$5:$E$13,0))+IF(E169="All",0,'Item Budget'!$F$15)+LOOKUP(H169,'Item Budget'!$E$19:$E$23,'Item Budget'!$F$19:$F$23)</f>
        <v/>
      </c>
      <c r="M169" s="21" t="n">
        <v>5</v>
      </c>
      <c r="N169" s="21" t="n">
        <v>0</v>
      </c>
      <c r="O169" s="21" t="n">
        <v>0</v>
      </c>
      <c r="P169" s="21" t="n">
        <v>0</v>
      </c>
      <c r="Q169" s="21" t="n">
        <v>0</v>
      </c>
      <c r="R169" s="21" t="n">
        <v>0</v>
      </c>
      <c r="S169" s="21" t="n">
        <v>0</v>
      </c>
      <c r="T169" s="21" t="n">
        <v>0</v>
      </c>
      <c r="U169" s="21" t="n">
        <v>7</v>
      </c>
      <c r="V169" s="21" t="inlineStr">
        <is>
          <t>(none)</t>
        </is>
      </c>
      <c r="W169" s="61">
        <f>N169*'Item Budget'!$B$5+R169*'Item Budget'!$B$7+P169*'Item Budget'!$B$11+S169*'Item Budget'!$B$10+Q169*'Item Budget'!$B$9+IFERROR(INDEX('Item Budget'!$M$25:$M$95,MATCH(V169,'Item Budget'!$B$25:$B$95,0)),0)+IF($C169="Weapon",U169*'Item Budget'!$B$9,0)</f>
        <v/>
      </c>
      <c r="X169" s="61">
        <f>N169*'Item Budget'!$B$5+R169*'Item Budget'!$B$7+P169*'Item Budget'!$B$11+S169*'Item Budget'!$B$10+O169*'Item Budget'!$B$6+T169*'Item Budget'!$B$8+IFERROR(INDEX('Item Budget'!$N$25:$N$95,MATCH(V169,'Item Budget'!$B$25:$B$95,0)),0)</f>
        <v/>
      </c>
      <c r="Y169" s="61">
        <f>MAX('Item Budget'!$F$16,INDEX('Gear Budget'!$C$8:$C$14,MATCH($C169,'Gear Budget'!$A$8:$A$14,0))*MIN(M169,50))*$L169</f>
        <v/>
      </c>
      <c r="Z169" s="41">
        <f>IF($C169="Caster weapon",X169,MAX(W169,X169))/Y169</f>
        <v/>
      </c>
      <c r="AA169" s="61">
        <f>IF(OR($C169="Weapon",$C169="Caster weapon"),"",'Gear Budget'!$B$5*MAX(1,MIN(M169,50))*INDEX('Gear Budget'!$B$8:$B$14,MATCH($C169,'Gear Budget'!$A$8:$A$14,0))*IF($C169="Shield",IF(D169="Warrior",1,IF(OR(D169="Rogue",D169="All"),0.38/0.6,0.25/0.6)),IFERROR(INDEX('Gear Budget'!$B$18:$B$21,MATCH($F169,'Gear Budget'!$A$18:$A$21,0)),1)))</f>
        <v/>
      </c>
      <c r="AB169" s="41">
        <f>IF(AA169="","",P169/AA169)</f>
        <v/>
      </c>
      <c r="AC169" s="21" t="n">
        <v>5</v>
      </c>
      <c r="AD169" s="21" t="n">
        <v>0</v>
      </c>
      <c r="AE169" s="21" t="n">
        <v>0</v>
      </c>
      <c r="AF169" s="21" t="n">
        <v>0</v>
      </c>
      <c r="AG169" s="21" t="n">
        <v>0</v>
      </c>
      <c r="AH169" s="21" t="n">
        <v>0</v>
      </c>
      <c r="AI169" s="21" t="n">
        <v>0</v>
      </c>
      <c r="AJ169" s="21" t="n">
        <v>0</v>
      </c>
      <c r="AK169" s="21" t="n">
        <v>7</v>
      </c>
      <c r="AL169" s="21" t="inlineStr">
        <is>
          <t>(none)</t>
        </is>
      </c>
      <c r="AM169" s="61">
        <f>AD169*'Item Budget'!$B$5+AH169*'Item Budget'!$B$7+AF169*'Item Budget'!$B$11+AI169*'Item Budget'!$B$10+AG169*'Item Budget'!$B$9+IFERROR(INDEX('Item Budget'!$M$25:$M$95,MATCH(AL169,'Item Budget'!$B$25:$B$95,0)),0)+IF($C169="Weapon",AK169*'Item Budget'!$B$9,0)</f>
        <v/>
      </c>
      <c r="AN169" s="61">
        <f>AD169*'Item Budget'!$B$5+AH169*'Item Budget'!$B$7+AF169*'Item Budget'!$B$11+AI169*'Item Budget'!$B$10+AE169*'Item Budget'!$B$6+AJ169*'Item Budget'!$B$8+IFERROR(INDEX('Item Budget'!$N$25:$N$95,MATCH(AL169,'Item Budget'!$B$25:$B$95,0)),0)</f>
        <v/>
      </c>
      <c r="AO169" s="61">
        <f>MAX('Item Budget'!$F$16,INDEX('Gear Budget'!$C$8:$C$14,MATCH($C169,'Gear Budget'!$A$8:$A$14,0))*MIN(AC169,50))*$L169</f>
        <v/>
      </c>
      <c r="AP169" s="41">
        <f>IF($C169="Caster weapon",AN169,MAX(AM169,AN169))/AO169</f>
        <v/>
      </c>
      <c r="AQ169" s="61">
        <f>IF(OR($C169="Weapon",$C169="Caster weapon"),"",'Gear Budget'!$B$5*MAX(1,MIN(AC169,50))*INDEX('Gear Budget'!$B$8:$B$14,MATCH($C169,'Gear Budget'!$A$8:$A$14,0))*IF($C169="Shield",IF(E169="Warrior",1,IF(OR(E169="Rogue",E169="All"),0.38/0.6,0.25/0.6)),IFERROR(INDEX('Gear Budget'!$B$18:$B$21,MATCH($F169,'Gear Budget'!$A$18:$A$21,0)),1)))</f>
        <v/>
      </c>
      <c r="AR169" s="41">
        <f>IF(AQ169="","",AF169/AQ169)</f>
        <v/>
      </c>
      <c r="AS169" s="64" t="inlineStr">
        <is>
          <t>Pass 1 (applied): Quest starter weapon.</t>
        </is>
      </c>
      <c r="AT169" s="44">
        <f>IF(OR($E169="All",ISNUMBER(SEARCH("Warrior",$E169))),IF($C169="Caster weapon",(AN169+AF169*('Item Budget'!$AB$14-'Item Budget'!$B$11)),(AM169+AF169*('Item Budget'!$AB$14-'Item Budget'!$B$11))),0)</f>
        <v/>
      </c>
      <c r="AU169" s="44">
        <f>IF(OR($E169="All",ISNUMBER(SEARCH("Rogue",$E169))),IF($C169="Caster weapon",(AN169+AF169*('Item Budget'!$AB$15-'Item Budget'!$B$11)),(AM169+AF169*('Item Budget'!$AB$15-'Item Budget'!$B$11))),0)</f>
        <v/>
      </c>
      <c r="AV169" s="44">
        <f>IF(OR($E169="All",ISNUMBER(SEARCH("Magus",$E169))),(AN169+AF169*('Item Budget'!$AB$16-'Item Budget'!$B$11)),0)</f>
        <v/>
      </c>
      <c r="AW169" s="44">
        <f>IF(OR($E169="All",ISNUMBER(SEARCH("Priest",$E169))),(AN169+AF169*('Item Budget'!$AB$17-'Item Budget'!$B$11)),0)</f>
        <v/>
      </c>
      <c r="AX169" s="44">
        <f>IF(AND(OR($E169="All",ISNUMBER(SEARCH("Warrior",$E169))),AC169&gt;='Item Budget'!$R$10),'Item Budget'!$R$7*100*('Item Budget'!$R$14*(AD169+25*AH169)+'Item Budget'!$S$14*(AE169+25*AJ169))/'Item Budget'!$Z$14+'Item Budget'!$R$9*AF169+IFERROR(INDEX('Item Budget'!$O$25:$O$95,MATCH(AL169,'Item Budget'!$B$25:$B$95,0)),0),0)</f>
        <v/>
      </c>
      <c r="AY169" s="44">
        <f>IF(AND(OR($E169="All",ISNUMBER(SEARCH("Rogue",$E169))),AC169&gt;='Item Budget'!$R$10),'Item Budget'!$R$7*100*('Item Budget'!$R$15*(AD169+25*AH169)+'Item Budget'!$S$15*(AE169+25*AJ169))/'Item Budget'!$Z$15+'Item Budget'!$R$9*AF169+IFERROR(INDEX('Item Budget'!$O$25:$O$95,MATCH(AL169,'Item Budget'!$B$25:$B$95,0)),0),0)</f>
        <v/>
      </c>
      <c r="AZ169" s="44">
        <f>IF(AND(OR($E169="All",ISNUMBER(SEARCH("Magus",$E169))),AC169&gt;='Item Budget'!$R$10),'Item Budget'!$R$7*100*('Item Budget'!$R$16*(AD169+25*AH169)+'Item Budget'!$S$16*(AE169+25*AJ169))/'Item Budget'!$Z$16+'Item Budget'!$R$9*AF169+IFERROR(INDEX('Item Budget'!$O$25:$O$95,MATCH(AL169,'Item Budget'!$B$25:$B$95,0)),0),0)</f>
        <v/>
      </c>
      <c r="BA169" s="44">
        <f>IF(AND(OR($E169="All",ISNUMBER(SEARCH("Priest",$E169))),AC169&gt;='Item Budget'!$R$10),'Item Budget'!$R$7*100*('Item Budget'!$R$17*(AD169+25*AH169)+'Item Budget'!$S$17*(AE169+25*AJ169))/'Item Budget'!$Z$17+'Item Budget'!$R$9*AF169+IFERROR(INDEX('Item Budget'!$O$25:$O$95,MATCH(AL169,'Item Budget'!$B$25:$B$95,0)),0),0)</f>
        <v/>
      </c>
      <c r="BB169" s="52">
        <f>IF(OR($I169&lt;1,IF($I169&gt;=6,AX169,AT169)&lt;=0),"",IF(SUMPRODUCT(MAX(($C$5:$C$215=$C169)*($I$5:$I$215&gt;=1)*($I$5:$I$215&lt;$I169)*IF($I169&gt;=6,$AX$5:$AX$215,$AT$5:$AT$215)))&lt;=0,"",SUMPRODUCT(MAX(($C$5:$C$215=$C169)*($I$5:$I$215=$I169)*IF($I169&gt;=6,$AX$5:$AX$215,$AT$5:$AT$215)))/SUMPRODUCT(MAX(($C$5:$C$215=$C169)*($I$5:$I$215&gt;=1)*($I$5:$I$215&lt;$I169)*IF($I169&gt;=6,$AX$5:$AX$215,$AT$5:$AT$215)))-1))</f>
        <v/>
      </c>
      <c r="BC169" s="52">
        <f>IF(OR($I169&lt;1,IF($I169&gt;=6,AY169,AU169)&lt;=0),"",IF(SUMPRODUCT(MAX(($C$5:$C$215=$C169)*($I$5:$I$215&gt;=1)*($I$5:$I$215&lt;$I169)*IF($I169&gt;=6,$AY$5:$AY$215,$AU$5:$AU$215)))&lt;=0,"",SUMPRODUCT(MAX(($C$5:$C$215=$C169)*($I$5:$I$215=$I169)*IF($I169&gt;=6,$AY$5:$AY$215,$AU$5:$AU$215)))/SUMPRODUCT(MAX(($C$5:$C$215=$C169)*($I$5:$I$215&gt;=1)*($I$5:$I$215&lt;$I169)*IF($I169&gt;=6,$AY$5:$AY$215,$AU$5:$AU$215)))-1))</f>
        <v/>
      </c>
      <c r="BD169" s="52">
        <f>IF(OR($I169&lt;1,IF($I169&gt;=6,AZ169,AV169)&lt;=0),"",IF(SUMPRODUCT(MAX(($C$5:$C$215=$C169)*($I$5:$I$215&gt;=1)*($I$5:$I$215&lt;$I169)*IF($I169&gt;=6,$AZ$5:$AZ$215,$AV$5:$AV$215)))&lt;=0,"",SUMPRODUCT(MAX(($C$5:$C$215=$C169)*($I$5:$I$215=$I169)*IF($I169&gt;=6,$AZ$5:$AZ$215,$AV$5:$AV$215)))/SUMPRODUCT(MAX(($C$5:$C$215=$C169)*($I$5:$I$215&gt;=1)*($I$5:$I$215&lt;$I169)*IF($I169&gt;=6,$AZ$5:$AZ$215,$AV$5:$AV$215)))-1))</f>
        <v/>
      </c>
      <c r="BE169" s="52">
        <f>IF(OR($I169&lt;1,IF($I169&gt;=6,BA169,AW169)&lt;=0),"",IF(SUMPRODUCT(MAX(($C$5:$C$215=$C169)*($I$5:$I$215&gt;=1)*($I$5:$I$215&lt;$I169)*IF($I169&gt;=6,$BA$5:$BA$215,$AW$5:$AW$215)))&lt;=0,"",SUMPRODUCT(MAX(($C$5:$C$215=$C169)*($I$5:$I$215=$I169)*IF($I169&gt;=6,$BA$5:$BA$215,$AW$5:$AW$215)))/SUMPRODUCT(MAX(($C$5:$C$215=$C169)*($I$5:$I$215&gt;=1)*($I$5:$I$215&lt;$I169)*IF($I169&gt;=6,$BA$5:$BA$215,$AW$5:$AW$215)))-1))</f>
        <v/>
      </c>
      <c r="BF169" s="19">
        <f>IF(AND(BB169="",BC169="",BD169="",BE169=""),"",IF(IF(AND(ISNUMBER(BB169),BB169&lt;'Item Budget'!$R$11),"W ","")&amp;IF(AND(ISNUMBER(BC169),BC169&lt;'Item Budget'!$R$11),"R ","")&amp;IF(AND(ISNUMBER(BD169),BD169&lt;'Item Budget'!$R$11),"M ","")&amp;IF(AND(ISNUMBER(BE169),BE169&lt;'Item Budget'!$R$11),"P ","")="","OK","Not above lower step: "&amp;IF(AND(ISNUMBER(BB169),BB169&lt;'Item Budget'!$R$11),"W ","")&amp;IF(AND(ISNUMBER(BC169),BC169&lt;'Item Budget'!$R$11),"R ","")&amp;IF(AND(ISNUMBER(BD169),BD169&lt;'Item Budget'!$R$11),"M ","")&amp;IF(AND(ISNUMBER(BE169),BE169&lt;'Item Budget'!$R$11),"P ","")))</f>
        <v/>
      </c>
    </row>
    <row r="170">
      <c r="A170" s="21" t="n">
        <v>647</v>
      </c>
      <c r="B170" s="21" t="inlineStr">
        <is>
          <t>Rusty Dagger</t>
        </is>
      </c>
      <c r="C170" s="21" t="inlineStr">
        <is>
          <t>Weapon</t>
        </is>
      </c>
      <c r="D170" s="21" t="inlineStr">
        <is>
          <t>Rogue/Warrior/Magus</t>
        </is>
      </c>
      <c r="E170" s="21" t="inlineStr">
        <is>
          <t>Rogue/Warrior/Magus</t>
        </is>
      </c>
      <c r="F170" s="21" t="inlineStr"/>
      <c r="G170" s="21" t="inlineStr">
        <is>
          <t>quest</t>
        </is>
      </c>
      <c r="H170" s="37" t="n">
        <v>0</v>
      </c>
      <c r="I170" s="21" t="n">
        <v>0</v>
      </c>
      <c r="J170" s="19" t="inlineStr">
        <is>
          <t>Leave</t>
        </is>
      </c>
      <c r="K170" s="21" t="inlineStr">
        <is>
          <t>Common drop</t>
        </is>
      </c>
      <c r="L170" s="31">
        <f>INDEX('Item Budget'!$F$5:$F$13,MATCH(K170,'Item Budget'!$E$5:$E$13,0))+IF(E170="All",0,'Item Budget'!$F$15)+LOOKUP(H170,'Item Budget'!$E$19:$E$23,'Item Budget'!$F$19:$F$23)</f>
        <v/>
      </c>
      <c r="M170" s="21" t="n">
        <v>5</v>
      </c>
      <c r="N170" s="21" t="n">
        <v>0</v>
      </c>
      <c r="O170" s="21" t="n">
        <v>0</v>
      </c>
      <c r="P170" s="21" t="n">
        <v>0</v>
      </c>
      <c r="Q170" s="21" t="n">
        <v>0</v>
      </c>
      <c r="R170" s="21" t="n">
        <v>0</v>
      </c>
      <c r="S170" s="21" t="n">
        <v>0</v>
      </c>
      <c r="T170" s="21" t="n">
        <v>0</v>
      </c>
      <c r="U170" s="21" t="n">
        <v>7</v>
      </c>
      <c r="V170" s="21" t="inlineStr">
        <is>
          <t>(none)</t>
        </is>
      </c>
      <c r="W170" s="61">
        <f>N170*'Item Budget'!$B$5+R170*'Item Budget'!$B$7+P170*'Item Budget'!$B$11+S170*'Item Budget'!$B$10+Q170*'Item Budget'!$B$9+IFERROR(INDEX('Item Budget'!$M$25:$M$95,MATCH(V170,'Item Budget'!$B$25:$B$95,0)),0)+IF($C170="Weapon",U170*'Item Budget'!$B$9,0)</f>
        <v/>
      </c>
      <c r="X170" s="61">
        <f>N170*'Item Budget'!$B$5+R170*'Item Budget'!$B$7+P170*'Item Budget'!$B$11+S170*'Item Budget'!$B$10+O170*'Item Budget'!$B$6+T170*'Item Budget'!$B$8+IFERROR(INDEX('Item Budget'!$N$25:$N$95,MATCH(V170,'Item Budget'!$B$25:$B$95,0)),0)</f>
        <v/>
      </c>
      <c r="Y170" s="61">
        <f>MAX('Item Budget'!$F$16,INDEX('Gear Budget'!$C$8:$C$14,MATCH($C170,'Gear Budget'!$A$8:$A$14,0))*MIN(M170,50))*$L170</f>
        <v/>
      </c>
      <c r="Z170" s="41">
        <f>IF($C170="Caster weapon",X170,MAX(W170,X170))/Y170</f>
        <v/>
      </c>
      <c r="AA170" s="61">
        <f>IF(OR($C170="Weapon",$C170="Caster weapon"),"",'Gear Budget'!$B$5*MAX(1,MIN(M170,50))*INDEX('Gear Budget'!$B$8:$B$14,MATCH($C170,'Gear Budget'!$A$8:$A$14,0))*IF($C170="Shield",IF(D170="Warrior",1,IF(OR(D170="Rogue",D170="All"),0.38/0.6,0.25/0.6)),IFERROR(INDEX('Gear Budget'!$B$18:$B$21,MATCH($F170,'Gear Budget'!$A$18:$A$21,0)),1)))</f>
        <v/>
      </c>
      <c r="AB170" s="41">
        <f>IF(AA170="","",P170/AA170)</f>
        <v/>
      </c>
      <c r="AC170" s="21" t="n">
        <v>5</v>
      </c>
      <c r="AD170" s="21" t="n">
        <v>0</v>
      </c>
      <c r="AE170" s="21" t="n">
        <v>0</v>
      </c>
      <c r="AF170" s="21" t="n">
        <v>0</v>
      </c>
      <c r="AG170" s="21" t="n">
        <v>0</v>
      </c>
      <c r="AH170" s="21" t="n">
        <v>0</v>
      </c>
      <c r="AI170" s="21" t="n">
        <v>0</v>
      </c>
      <c r="AJ170" s="21" t="n">
        <v>0</v>
      </c>
      <c r="AK170" s="21" t="n">
        <v>7</v>
      </c>
      <c r="AL170" s="21" t="inlineStr">
        <is>
          <t>(none)</t>
        </is>
      </c>
      <c r="AM170" s="61">
        <f>AD170*'Item Budget'!$B$5+AH170*'Item Budget'!$B$7+AF170*'Item Budget'!$B$11+AI170*'Item Budget'!$B$10+AG170*'Item Budget'!$B$9+IFERROR(INDEX('Item Budget'!$M$25:$M$95,MATCH(AL170,'Item Budget'!$B$25:$B$95,0)),0)+IF($C170="Weapon",AK170*'Item Budget'!$B$9,0)</f>
        <v/>
      </c>
      <c r="AN170" s="61">
        <f>AD170*'Item Budget'!$B$5+AH170*'Item Budget'!$B$7+AF170*'Item Budget'!$B$11+AI170*'Item Budget'!$B$10+AE170*'Item Budget'!$B$6+AJ170*'Item Budget'!$B$8+IFERROR(INDEX('Item Budget'!$N$25:$N$95,MATCH(AL170,'Item Budget'!$B$25:$B$95,0)),0)</f>
        <v/>
      </c>
      <c r="AO170" s="61">
        <f>MAX('Item Budget'!$F$16,INDEX('Gear Budget'!$C$8:$C$14,MATCH($C170,'Gear Budget'!$A$8:$A$14,0))*MIN(AC170,50))*$L170</f>
        <v/>
      </c>
      <c r="AP170" s="41">
        <f>IF($C170="Caster weapon",AN170,MAX(AM170,AN170))/AO170</f>
        <v/>
      </c>
      <c r="AQ170" s="61">
        <f>IF(OR($C170="Weapon",$C170="Caster weapon"),"",'Gear Budget'!$B$5*MAX(1,MIN(AC170,50))*INDEX('Gear Budget'!$B$8:$B$14,MATCH($C170,'Gear Budget'!$A$8:$A$14,0))*IF($C170="Shield",IF(E170="Warrior",1,IF(OR(E170="Rogue",E170="All"),0.38/0.6,0.25/0.6)),IFERROR(INDEX('Gear Budget'!$B$18:$B$21,MATCH($F170,'Gear Budget'!$A$18:$A$21,0)),1)))</f>
        <v/>
      </c>
      <c r="AR170" s="41">
        <f>IF(AQ170="","",AF170/AQ170)</f>
        <v/>
      </c>
      <c r="AS170" s="64" t="inlineStr">
        <is>
          <t>Pass 1 (applied): Quest starter weapon.</t>
        </is>
      </c>
      <c r="AT170" s="44">
        <f>IF(OR($E170="All",ISNUMBER(SEARCH("Warrior",$E170))),IF($C170="Caster weapon",(AN170+AF170*('Item Budget'!$AB$14-'Item Budget'!$B$11)),(AM170+AF170*('Item Budget'!$AB$14-'Item Budget'!$B$11))),0)</f>
        <v/>
      </c>
      <c r="AU170" s="44">
        <f>IF(OR($E170="All",ISNUMBER(SEARCH("Rogue",$E170))),IF($C170="Caster weapon",(AN170+AF170*('Item Budget'!$AB$15-'Item Budget'!$B$11)),(AM170+AF170*('Item Budget'!$AB$15-'Item Budget'!$B$11))),0)</f>
        <v/>
      </c>
      <c r="AV170" s="44">
        <f>IF(OR($E170="All",ISNUMBER(SEARCH("Magus",$E170))),(AN170+AF170*('Item Budget'!$AB$16-'Item Budget'!$B$11)),0)</f>
        <v/>
      </c>
      <c r="AW170" s="44">
        <f>IF(OR($E170="All",ISNUMBER(SEARCH("Priest",$E170))),(AN170+AF170*('Item Budget'!$AB$17-'Item Budget'!$B$11)),0)</f>
        <v/>
      </c>
      <c r="AX170" s="44">
        <f>IF(AND(OR($E170="All",ISNUMBER(SEARCH("Warrior",$E170))),AC170&gt;='Item Budget'!$R$10),'Item Budget'!$R$7*100*('Item Budget'!$R$14*(AD170+25*AH170)+'Item Budget'!$S$14*(AE170+25*AJ170))/'Item Budget'!$Z$14+'Item Budget'!$R$9*AF170+IFERROR(INDEX('Item Budget'!$O$25:$O$95,MATCH(AL170,'Item Budget'!$B$25:$B$95,0)),0),0)</f>
        <v/>
      </c>
      <c r="AY170" s="44">
        <f>IF(AND(OR($E170="All",ISNUMBER(SEARCH("Rogue",$E170))),AC170&gt;='Item Budget'!$R$10),'Item Budget'!$R$7*100*('Item Budget'!$R$15*(AD170+25*AH170)+'Item Budget'!$S$15*(AE170+25*AJ170))/'Item Budget'!$Z$15+'Item Budget'!$R$9*AF170+IFERROR(INDEX('Item Budget'!$O$25:$O$95,MATCH(AL170,'Item Budget'!$B$25:$B$95,0)),0),0)</f>
        <v/>
      </c>
      <c r="AZ170" s="44">
        <f>IF(AND(OR($E170="All",ISNUMBER(SEARCH("Magus",$E170))),AC170&gt;='Item Budget'!$R$10),'Item Budget'!$R$7*100*('Item Budget'!$R$16*(AD170+25*AH170)+'Item Budget'!$S$16*(AE170+25*AJ170))/'Item Budget'!$Z$16+'Item Budget'!$R$9*AF170+IFERROR(INDEX('Item Budget'!$O$25:$O$95,MATCH(AL170,'Item Budget'!$B$25:$B$95,0)),0),0)</f>
        <v/>
      </c>
      <c r="BA170" s="44">
        <f>IF(AND(OR($E170="All",ISNUMBER(SEARCH("Priest",$E170))),AC170&gt;='Item Budget'!$R$10),'Item Budget'!$R$7*100*('Item Budget'!$R$17*(AD170+25*AH170)+'Item Budget'!$S$17*(AE170+25*AJ170))/'Item Budget'!$Z$17+'Item Budget'!$R$9*AF170+IFERROR(INDEX('Item Budget'!$O$25:$O$95,MATCH(AL170,'Item Budget'!$B$25:$B$95,0)),0),0)</f>
        <v/>
      </c>
      <c r="BB170" s="52">
        <f>IF(OR($I170&lt;1,IF($I170&gt;=6,AX170,AT170)&lt;=0),"",IF(SUMPRODUCT(MAX(($C$5:$C$215=$C170)*($I$5:$I$215&gt;=1)*($I$5:$I$215&lt;$I170)*IF($I170&gt;=6,$AX$5:$AX$215,$AT$5:$AT$215)))&lt;=0,"",SUMPRODUCT(MAX(($C$5:$C$215=$C170)*($I$5:$I$215=$I170)*IF($I170&gt;=6,$AX$5:$AX$215,$AT$5:$AT$215)))/SUMPRODUCT(MAX(($C$5:$C$215=$C170)*($I$5:$I$215&gt;=1)*($I$5:$I$215&lt;$I170)*IF($I170&gt;=6,$AX$5:$AX$215,$AT$5:$AT$215)))-1))</f>
        <v/>
      </c>
      <c r="BC170" s="52">
        <f>IF(OR($I170&lt;1,IF($I170&gt;=6,AY170,AU170)&lt;=0),"",IF(SUMPRODUCT(MAX(($C$5:$C$215=$C170)*($I$5:$I$215&gt;=1)*($I$5:$I$215&lt;$I170)*IF($I170&gt;=6,$AY$5:$AY$215,$AU$5:$AU$215)))&lt;=0,"",SUMPRODUCT(MAX(($C$5:$C$215=$C170)*($I$5:$I$215=$I170)*IF($I170&gt;=6,$AY$5:$AY$215,$AU$5:$AU$215)))/SUMPRODUCT(MAX(($C$5:$C$215=$C170)*($I$5:$I$215&gt;=1)*($I$5:$I$215&lt;$I170)*IF($I170&gt;=6,$AY$5:$AY$215,$AU$5:$AU$215)))-1))</f>
        <v/>
      </c>
      <c r="BD170" s="52">
        <f>IF(OR($I170&lt;1,IF($I170&gt;=6,AZ170,AV170)&lt;=0),"",IF(SUMPRODUCT(MAX(($C$5:$C$215=$C170)*($I$5:$I$215&gt;=1)*($I$5:$I$215&lt;$I170)*IF($I170&gt;=6,$AZ$5:$AZ$215,$AV$5:$AV$215)))&lt;=0,"",SUMPRODUCT(MAX(($C$5:$C$215=$C170)*($I$5:$I$215=$I170)*IF($I170&gt;=6,$AZ$5:$AZ$215,$AV$5:$AV$215)))/SUMPRODUCT(MAX(($C$5:$C$215=$C170)*($I$5:$I$215&gt;=1)*($I$5:$I$215&lt;$I170)*IF($I170&gt;=6,$AZ$5:$AZ$215,$AV$5:$AV$215)))-1))</f>
        <v/>
      </c>
      <c r="BE170" s="52">
        <f>IF(OR($I170&lt;1,IF($I170&gt;=6,BA170,AW170)&lt;=0),"",IF(SUMPRODUCT(MAX(($C$5:$C$215=$C170)*($I$5:$I$215&gt;=1)*($I$5:$I$215&lt;$I170)*IF($I170&gt;=6,$BA$5:$BA$215,$AW$5:$AW$215)))&lt;=0,"",SUMPRODUCT(MAX(($C$5:$C$215=$C170)*($I$5:$I$215=$I170)*IF($I170&gt;=6,$BA$5:$BA$215,$AW$5:$AW$215)))/SUMPRODUCT(MAX(($C$5:$C$215=$C170)*($I$5:$I$215&gt;=1)*($I$5:$I$215&lt;$I170)*IF($I170&gt;=6,$BA$5:$BA$215,$AW$5:$AW$215)))-1))</f>
        <v/>
      </c>
      <c r="BF170" s="19">
        <f>IF(AND(BB170="",BC170="",BD170="",BE170=""),"",IF(IF(AND(ISNUMBER(BB170),BB170&lt;'Item Budget'!$R$11),"W ","")&amp;IF(AND(ISNUMBER(BC170),BC170&lt;'Item Budget'!$R$11),"R ","")&amp;IF(AND(ISNUMBER(BD170),BD170&lt;'Item Budget'!$R$11),"M ","")&amp;IF(AND(ISNUMBER(BE170),BE170&lt;'Item Budget'!$R$11),"P ","")="","OK","Not above lower step: "&amp;IF(AND(ISNUMBER(BB170),BB170&lt;'Item Budget'!$R$11),"W ","")&amp;IF(AND(ISNUMBER(BC170),BC170&lt;'Item Budget'!$R$11),"R ","")&amp;IF(AND(ISNUMBER(BD170),BD170&lt;'Item Budget'!$R$11),"M ","")&amp;IF(AND(ISNUMBER(BE170),BE170&lt;'Item Budget'!$R$11),"P ","")))</f>
        <v/>
      </c>
    </row>
    <row r="171">
      <c r="A171" s="21" t="n">
        <v>648</v>
      </c>
      <c r="B171" s="21" t="inlineStr">
        <is>
          <t>Rusty Sword</t>
        </is>
      </c>
      <c r="C171" s="21" t="inlineStr">
        <is>
          <t>Weapon</t>
        </is>
      </c>
      <c r="D171" s="21" t="inlineStr">
        <is>
          <t>Rogue/Warrior</t>
        </is>
      </c>
      <c r="E171" s="21" t="inlineStr">
        <is>
          <t>Rogue/Warrior</t>
        </is>
      </c>
      <c r="F171" s="21" t="inlineStr"/>
      <c r="G171" s="21" t="inlineStr">
        <is>
          <t>quest</t>
        </is>
      </c>
      <c r="H171" s="37" t="n">
        <v>0</v>
      </c>
      <c r="I171" s="21" t="n">
        <v>0</v>
      </c>
      <c r="J171" s="19" t="inlineStr">
        <is>
          <t>Leave</t>
        </is>
      </c>
      <c r="K171" s="21" t="inlineStr">
        <is>
          <t>Common drop</t>
        </is>
      </c>
      <c r="L171" s="31">
        <f>INDEX('Item Budget'!$F$5:$F$13,MATCH(K171,'Item Budget'!$E$5:$E$13,0))+IF(E171="All",0,'Item Budget'!$F$15)+LOOKUP(H171,'Item Budget'!$E$19:$E$23,'Item Budget'!$F$19:$F$23)</f>
        <v/>
      </c>
      <c r="M171" s="21" t="n">
        <v>5</v>
      </c>
      <c r="N171" s="21" t="n">
        <v>0</v>
      </c>
      <c r="O171" s="21" t="n">
        <v>0</v>
      </c>
      <c r="P171" s="21" t="n">
        <v>0</v>
      </c>
      <c r="Q171" s="21" t="n">
        <v>0</v>
      </c>
      <c r="R171" s="21" t="n">
        <v>0</v>
      </c>
      <c r="S171" s="21" t="n">
        <v>0</v>
      </c>
      <c r="T171" s="21" t="n">
        <v>0</v>
      </c>
      <c r="U171" s="21" t="n">
        <v>7</v>
      </c>
      <c r="V171" s="21" t="inlineStr">
        <is>
          <t>(none)</t>
        </is>
      </c>
      <c r="W171" s="61">
        <f>N171*'Item Budget'!$B$5+R171*'Item Budget'!$B$7+P171*'Item Budget'!$B$11+S171*'Item Budget'!$B$10+Q171*'Item Budget'!$B$9+IFERROR(INDEX('Item Budget'!$M$25:$M$95,MATCH(V171,'Item Budget'!$B$25:$B$95,0)),0)+IF($C171="Weapon",U171*'Item Budget'!$B$9,0)</f>
        <v/>
      </c>
      <c r="X171" s="61">
        <f>N171*'Item Budget'!$B$5+R171*'Item Budget'!$B$7+P171*'Item Budget'!$B$11+S171*'Item Budget'!$B$10+O171*'Item Budget'!$B$6+T171*'Item Budget'!$B$8+IFERROR(INDEX('Item Budget'!$N$25:$N$95,MATCH(V171,'Item Budget'!$B$25:$B$95,0)),0)</f>
        <v/>
      </c>
      <c r="Y171" s="61">
        <f>MAX('Item Budget'!$F$16,INDEX('Gear Budget'!$C$8:$C$14,MATCH($C171,'Gear Budget'!$A$8:$A$14,0))*MIN(M171,50))*$L171</f>
        <v/>
      </c>
      <c r="Z171" s="41">
        <f>IF($C171="Caster weapon",X171,MAX(W171,X171))/Y171</f>
        <v/>
      </c>
      <c r="AA171" s="61">
        <f>IF(OR($C171="Weapon",$C171="Caster weapon"),"",'Gear Budget'!$B$5*MAX(1,MIN(M171,50))*INDEX('Gear Budget'!$B$8:$B$14,MATCH($C171,'Gear Budget'!$A$8:$A$14,0))*IF($C171="Shield",IF(D171="Warrior",1,IF(OR(D171="Rogue",D171="All"),0.38/0.6,0.25/0.6)),IFERROR(INDEX('Gear Budget'!$B$18:$B$21,MATCH($F171,'Gear Budget'!$A$18:$A$21,0)),1)))</f>
        <v/>
      </c>
      <c r="AB171" s="41">
        <f>IF(AA171="","",P171/AA171)</f>
        <v/>
      </c>
      <c r="AC171" s="21" t="n">
        <v>5</v>
      </c>
      <c r="AD171" s="21" t="n">
        <v>0</v>
      </c>
      <c r="AE171" s="21" t="n">
        <v>0</v>
      </c>
      <c r="AF171" s="21" t="n">
        <v>0</v>
      </c>
      <c r="AG171" s="21" t="n">
        <v>0</v>
      </c>
      <c r="AH171" s="21" t="n">
        <v>0</v>
      </c>
      <c r="AI171" s="21" t="n">
        <v>0</v>
      </c>
      <c r="AJ171" s="21" t="n">
        <v>0</v>
      </c>
      <c r="AK171" s="21" t="n">
        <v>7</v>
      </c>
      <c r="AL171" s="21" t="inlineStr">
        <is>
          <t>(none)</t>
        </is>
      </c>
      <c r="AM171" s="61">
        <f>AD171*'Item Budget'!$B$5+AH171*'Item Budget'!$B$7+AF171*'Item Budget'!$B$11+AI171*'Item Budget'!$B$10+AG171*'Item Budget'!$B$9+IFERROR(INDEX('Item Budget'!$M$25:$M$95,MATCH(AL171,'Item Budget'!$B$25:$B$95,0)),0)+IF($C171="Weapon",AK171*'Item Budget'!$B$9,0)</f>
        <v/>
      </c>
      <c r="AN171" s="61">
        <f>AD171*'Item Budget'!$B$5+AH171*'Item Budget'!$B$7+AF171*'Item Budget'!$B$11+AI171*'Item Budget'!$B$10+AE171*'Item Budget'!$B$6+AJ171*'Item Budget'!$B$8+IFERROR(INDEX('Item Budget'!$N$25:$N$95,MATCH(AL171,'Item Budget'!$B$25:$B$95,0)),0)</f>
        <v/>
      </c>
      <c r="AO171" s="61">
        <f>MAX('Item Budget'!$F$16,INDEX('Gear Budget'!$C$8:$C$14,MATCH($C171,'Gear Budget'!$A$8:$A$14,0))*MIN(AC171,50))*$L171</f>
        <v/>
      </c>
      <c r="AP171" s="41">
        <f>IF($C171="Caster weapon",AN171,MAX(AM171,AN171))/AO171</f>
        <v/>
      </c>
      <c r="AQ171" s="61">
        <f>IF(OR($C171="Weapon",$C171="Caster weapon"),"",'Gear Budget'!$B$5*MAX(1,MIN(AC171,50))*INDEX('Gear Budget'!$B$8:$B$14,MATCH($C171,'Gear Budget'!$A$8:$A$14,0))*IF($C171="Shield",IF(E171="Warrior",1,IF(OR(E171="Rogue",E171="All"),0.38/0.6,0.25/0.6)),IFERROR(INDEX('Gear Budget'!$B$18:$B$21,MATCH($F171,'Gear Budget'!$A$18:$A$21,0)),1)))</f>
        <v/>
      </c>
      <c r="AR171" s="41">
        <f>IF(AQ171="","",AF171/AQ171)</f>
        <v/>
      </c>
      <c r="AS171" s="64" t="inlineStr">
        <is>
          <t>Pass 1 (applied): Quest starter weapon.</t>
        </is>
      </c>
      <c r="AT171" s="44">
        <f>IF(OR($E171="All",ISNUMBER(SEARCH("Warrior",$E171))),IF($C171="Caster weapon",(AN171+AF171*('Item Budget'!$AB$14-'Item Budget'!$B$11)),(AM171+AF171*('Item Budget'!$AB$14-'Item Budget'!$B$11))),0)</f>
        <v/>
      </c>
      <c r="AU171" s="44">
        <f>IF(OR($E171="All",ISNUMBER(SEARCH("Rogue",$E171))),IF($C171="Caster weapon",(AN171+AF171*('Item Budget'!$AB$15-'Item Budget'!$B$11)),(AM171+AF171*('Item Budget'!$AB$15-'Item Budget'!$B$11))),0)</f>
        <v/>
      </c>
      <c r="AV171" s="44">
        <f>IF(OR($E171="All",ISNUMBER(SEARCH("Magus",$E171))),(AN171+AF171*('Item Budget'!$AB$16-'Item Budget'!$B$11)),0)</f>
        <v/>
      </c>
      <c r="AW171" s="44">
        <f>IF(OR($E171="All",ISNUMBER(SEARCH("Priest",$E171))),(AN171+AF171*('Item Budget'!$AB$17-'Item Budget'!$B$11)),0)</f>
        <v/>
      </c>
      <c r="AX171" s="44">
        <f>IF(AND(OR($E171="All",ISNUMBER(SEARCH("Warrior",$E171))),AC171&gt;='Item Budget'!$R$10),'Item Budget'!$R$7*100*('Item Budget'!$R$14*(AD171+25*AH171)+'Item Budget'!$S$14*(AE171+25*AJ171))/'Item Budget'!$Z$14+'Item Budget'!$R$9*AF171+IFERROR(INDEX('Item Budget'!$O$25:$O$95,MATCH(AL171,'Item Budget'!$B$25:$B$95,0)),0),0)</f>
        <v/>
      </c>
      <c r="AY171" s="44">
        <f>IF(AND(OR($E171="All",ISNUMBER(SEARCH("Rogue",$E171))),AC171&gt;='Item Budget'!$R$10),'Item Budget'!$R$7*100*('Item Budget'!$R$15*(AD171+25*AH171)+'Item Budget'!$S$15*(AE171+25*AJ171))/'Item Budget'!$Z$15+'Item Budget'!$R$9*AF171+IFERROR(INDEX('Item Budget'!$O$25:$O$95,MATCH(AL171,'Item Budget'!$B$25:$B$95,0)),0),0)</f>
        <v/>
      </c>
      <c r="AZ171" s="44">
        <f>IF(AND(OR($E171="All",ISNUMBER(SEARCH("Magus",$E171))),AC171&gt;='Item Budget'!$R$10),'Item Budget'!$R$7*100*('Item Budget'!$R$16*(AD171+25*AH171)+'Item Budget'!$S$16*(AE171+25*AJ171))/'Item Budget'!$Z$16+'Item Budget'!$R$9*AF171+IFERROR(INDEX('Item Budget'!$O$25:$O$95,MATCH(AL171,'Item Budget'!$B$25:$B$95,0)),0),0)</f>
        <v/>
      </c>
      <c r="BA171" s="44">
        <f>IF(AND(OR($E171="All",ISNUMBER(SEARCH("Priest",$E171))),AC171&gt;='Item Budget'!$R$10),'Item Budget'!$R$7*100*('Item Budget'!$R$17*(AD171+25*AH171)+'Item Budget'!$S$17*(AE171+25*AJ171))/'Item Budget'!$Z$17+'Item Budget'!$R$9*AF171+IFERROR(INDEX('Item Budget'!$O$25:$O$95,MATCH(AL171,'Item Budget'!$B$25:$B$95,0)),0),0)</f>
        <v/>
      </c>
      <c r="BB171" s="52">
        <f>IF(OR($I171&lt;1,IF($I171&gt;=6,AX171,AT171)&lt;=0),"",IF(SUMPRODUCT(MAX(($C$5:$C$215=$C171)*($I$5:$I$215&gt;=1)*($I$5:$I$215&lt;$I171)*IF($I171&gt;=6,$AX$5:$AX$215,$AT$5:$AT$215)))&lt;=0,"",SUMPRODUCT(MAX(($C$5:$C$215=$C171)*($I$5:$I$215=$I171)*IF($I171&gt;=6,$AX$5:$AX$215,$AT$5:$AT$215)))/SUMPRODUCT(MAX(($C$5:$C$215=$C171)*($I$5:$I$215&gt;=1)*($I$5:$I$215&lt;$I171)*IF($I171&gt;=6,$AX$5:$AX$215,$AT$5:$AT$215)))-1))</f>
        <v/>
      </c>
      <c r="BC171" s="52">
        <f>IF(OR($I171&lt;1,IF($I171&gt;=6,AY171,AU171)&lt;=0),"",IF(SUMPRODUCT(MAX(($C$5:$C$215=$C171)*($I$5:$I$215&gt;=1)*($I$5:$I$215&lt;$I171)*IF($I171&gt;=6,$AY$5:$AY$215,$AU$5:$AU$215)))&lt;=0,"",SUMPRODUCT(MAX(($C$5:$C$215=$C171)*($I$5:$I$215=$I171)*IF($I171&gt;=6,$AY$5:$AY$215,$AU$5:$AU$215)))/SUMPRODUCT(MAX(($C$5:$C$215=$C171)*($I$5:$I$215&gt;=1)*($I$5:$I$215&lt;$I171)*IF($I171&gt;=6,$AY$5:$AY$215,$AU$5:$AU$215)))-1))</f>
        <v/>
      </c>
      <c r="BD171" s="52">
        <f>IF(OR($I171&lt;1,IF($I171&gt;=6,AZ171,AV171)&lt;=0),"",IF(SUMPRODUCT(MAX(($C$5:$C$215=$C171)*($I$5:$I$215&gt;=1)*($I$5:$I$215&lt;$I171)*IF($I171&gt;=6,$AZ$5:$AZ$215,$AV$5:$AV$215)))&lt;=0,"",SUMPRODUCT(MAX(($C$5:$C$215=$C171)*($I$5:$I$215=$I171)*IF($I171&gt;=6,$AZ$5:$AZ$215,$AV$5:$AV$215)))/SUMPRODUCT(MAX(($C$5:$C$215=$C171)*($I$5:$I$215&gt;=1)*($I$5:$I$215&lt;$I171)*IF($I171&gt;=6,$AZ$5:$AZ$215,$AV$5:$AV$215)))-1))</f>
        <v/>
      </c>
      <c r="BE171" s="52">
        <f>IF(OR($I171&lt;1,IF($I171&gt;=6,BA171,AW171)&lt;=0),"",IF(SUMPRODUCT(MAX(($C$5:$C$215=$C171)*($I$5:$I$215&gt;=1)*($I$5:$I$215&lt;$I171)*IF($I171&gt;=6,$BA$5:$BA$215,$AW$5:$AW$215)))&lt;=0,"",SUMPRODUCT(MAX(($C$5:$C$215=$C171)*($I$5:$I$215=$I171)*IF($I171&gt;=6,$BA$5:$BA$215,$AW$5:$AW$215)))/SUMPRODUCT(MAX(($C$5:$C$215=$C171)*($I$5:$I$215&gt;=1)*($I$5:$I$215&lt;$I171)*IF($I171&gt;=6,$BA$5:$BA$215,$AW$5:$AW$215)))-1))</f>
        <v/>
      </c>
      <c r="BF171" s="19">
        <f>IF(AND(BB171="",BC171="",BD171="",BE171=""),"",IF(IF(AND(ISNUMBER(BB171),BB171&lt;'Item Budget'!$R$11),"W ","")&amp;IF(AND(ISNUMBER(BC171),BC171&lt;'Item Budget'!$R$11),"R ","")&amp;IF(AND(ISNUMBER(BD171),BD171&lt;'Item Budget'!$R$11),"M ","")&amp;IF(AND(ISNUMBER(BE171),BE171&lt;'Item Budget'!$R$11),"P ","")="","OK","Not above lower step: "&amp;IF(AND(ISNUMBER(BB171),BB171&lt;'Item Budget'!$R$11),"W ","")&amp;IF(AND(ISNUMBER(BC171),BC171&lt;'Item Budget'!$R$11),"R ","")&amp;IF(AND(ISNUMBER(BD171),BD171&lt;'Item Budget'!$R$11),"M ","")&amp;IF(AND(ISNUMBER(BE171),BE171&lt;'Item Budget'!$R$11),"P ","")))</f>
        <v/>
      </c>
    </row>
    <row r="172">
      <c r="A172" s="21" t="n">
        <v>451</v>
      </c>
      <c r="B172" s="21" t="inlineStr">
        <is>
          <t>Practice Katana</t>
        </is>
      </c>
      <c r="C172" s="21" t="inlineStr">
        <is>
          <t>Weapon</t>
        </is>
      </c>
      <c r="D172" s="21" t="inlineStr">
        <is>
          <t>Rogue/Warrior</t>
        </is>
      </c>
      <c r="E172" s="21" t="inlineStr">
        <is>
          <t>Rogue/Warrior</t>
        </is>
      </c>
      <c r="F172" s="21" t="inlineStr"/>
      <c r="G172" s="21" t="inlineStr">
        <is>
          <t>craft</t>
        </is>
      </c>
      <c r="H172" s="37" t="n">
        <v>0</v>
      </c>
      <c r="I172" s="21" t="n">
        <v>0</v>
      </c>
      <c r="J172" s="19" t="inlineStr">
        <is>
          <t>Leave</t>
        </is>
      </c>
      <c r="K172" s="21" t="inlineStr">
        <is>
          <t>Crafted</t>
        </is>
      </c>
      <c r="L172" s="31">
        <f>INDEX('Item Budget'!$F$5:$F$13,MATCH(K172,'Item Budget'!$E$5:$E$13,0))+IF(E172="All",0,'Item Budget'!$F$15)+LOOKUP(H172,'Item Budget'!$E$19:$E$23,'Item Budget'!$F$19:$F$23)</f>
        <v/>
      </c>
      <c r="M172" s="21" t="n">
        <v>10</v>
      </c>
      <c r="N172" s="21" t="n">
        <v>0</v>
      </c>
      <c r="O172" s="21" t="n">
        <v>0</v>
      </c>
      <c r="P172" s="21" t="n">
        <v>0</v>
      </c>
      <c r="Q172" s="21" t="n">
        <v>0</v>
      </c>
      <c r="R172" s="21" t="n">
        <v>1</v>
      </c>
      <c r="S172" s="21" t="n">
        <v>5</v>
      </c>
      <c r="T172" s="21" t="n">
        <v>0</v>
      </c>
      <c r="U172" s="21" t="n">
        <v>26</v>
      </c>
      <c r="V172" s="21" t="inlineStr">
        <is>
          <t>(none)</t>
        </is>
      </c>
      <c r="W172" s="61">
        <f>N172*'Item Budget'!$B$5+R172*'Item Budget'!$B$7+P172*'Item Budget'!$B$11+S172*'Item Budget'!$B$10+Q172*'Item Budget'!$B$9+IFERROR(INDEX('Item Budget'!$M$25:$M$95,MATCH(V172,'Item Budget'!$B$25:$B$95,0)),0)+IF($C172="Weapon",U172*'Item Budget'!$B$9,0)</f>
        <v/>
      </c>
      <c r="X172" s="61">
        <f>N172*'Item Budget'!$B$5+R172*'Item Budget'!$B$7+P172*'Item Budget'!$B$11+S172*'Item Budget'!$B$10+O172*'Item Budget'!$B$6+T172*'Item Budget'!$B$8+IFERROR(INDEX('Item Budget'!$N$25:$N$95,MATCH(V172,'Item Budget'!$B$25:$B$95,0)),0)</f>
        <v/>
      </c>
      <c r="Y172" s="61">
        <f>MAX('Item Budget'!$F$16,INDEX('Gear Budget'!$C$8:$C$14,MATCH($C172,'Gear Budget'!$A$8:$A$14,0))*MIN(M172,50))*$L172</f>
        <v/>
      </c>
      <c r="Z172" s="41">
        <f>IF($C172="Caster weapon",X172,MAX(W172,X172))/Y172</f>
        <v/>
      </c>
      <c r="AA172" s="61">
        <f>IF(OR($C172="Weapon",$C172="Caster weapon"),"",'Gear Budget'!$B$5*MAX(1,MIN(M172,50))*INDEX('Gear Budget'!$B$8:$B$14,MATCH($C172,'Gear Budget'!$A$8:$A$14,0))*IF($C172="Shield",IF(D172="Warrior",1,IF(OR(D172="Rogue",D172="All"),0.38/0.6,0.25/0.6)),IFERROR(INDEX('Gear Budget'!$B$18:$B$21,MATCH($F172,'Gear Budget'!$A$18:$A$21,0)),1)))</f>
        <v/>
      </c>
      <c r="AB172" s="41">
        <f>IF(AA172="","",P172/AA172)</f>
        <v/>
      </c>
      <c r="AC172" s="21" t="n">
        <v>10</v>
      </c>
      <c r="AD172" s="21" t="n">
        <v>0</v>
      </c>
      <c r="AE172" s="21" t="n">
        <v>0</v>
      </c>
      <c r="AF172" s="21" t="n">
        <v>0</v>
      </c>
      <c r="AG172" s="21" t="n">
        <v>0</v>
      </c>
      <c r="AH172" s="21" t="n">
        <v>1</v>
      </c>
      <c r="AI172" s="21" t="n">
        <v>5</v>
      </c>
      <c r="AJ172" s="21" t="n">
        <v>0</v>
      </c>
      <c r="AK172" s="21" t="n">
        <v>26</v>
      </c>
      <c r="AL172" s="21" t="inlineStr">
        <is>
          <t>(none)</t>
        </is>
      </c>
      <c r="AM172" s="61">
        <f>AD172*'Item Budget'!$B$5+AH172*'Item Budget'!$B$7+AF172*'Item Budget'!$B$11+AI172*'Item Budget'!$B$10+AG172*'Item Budget'!$B$9+IFERROR(INDEX('Item Budget'!$M$25:$M$95,MATCH(AL172,'Item Budget'!$B$25:$B$95,0)),0)+IF($C172="Weapon",AK172*'Item Budget'!$B$9,0)</f>
        <v/>
      </c>
      <c r="AN172" s="61">
        <f>AD172*'Item Budget'!$B$5+AH172*'Item Budget'!$B$7+AF172*'Item Budget'!$B$11+AI172*'Item Budget'!$B$10+AE172*'Item Budget'!$B$6+AJ172*'Item Budget'!$B$8+IFERROR(INDEX('Item Budget'!$N$25:$N$95,MATCH(AL172,'Item Budget'!$B$25:$B$95,0)),0)</f>
        <v/>
      </c>
      <c r="AO172" s="61">
        <f>MAX('Item Budget'!$F$16,INDEX('Gear Budget'!$C$8:$C$14,MATCH($C172,'Gear Budget'!$A$8:$A$14,0))*MIN(AC172,50))*$L172</f>
        <v/>
      </c>
      <c r="AP172" s="41">
        <f>IF($C172="Caster weapon",AN172,MAX(AM172,AN172))/AO172</f>
        <v/>
      </c>
      <c r="AQ172" s="61">
        <f>IF(OR($C172="Weapon",$C172="Caster weapon"),"",'Gear Budget'!$B$5*MAX(1,MIN(AC172,50))*INDEX('Gear Budget'!$B$8:$B$14,MATCH($C172,'Gear Budget'!$A$8:$A$14,0))*IF($C172="Shield",IF(E172="Warrior",1,IF(OR(E172="Rogue",E172="All"),0.38/0.6,0.25/0.6)),IFERROR(INDEX('Gear Budget'!$B$18:$B$21,MATCH($F172,'Gear Budget'!$A$18:$A$21,0)),1)))</f>
        <v/>
      </c>
      <c r="AR172" s="41">
        <f>IF(AQ172="","",AF172/AQ172)</f>
        <v/>
      </c>
      <c r="AS172" s="64" t="n"/>
      <c r="AT172" s="44">
        <f>IF(OR($E172="All",ISNUMBER(SEARCH("Warrior",$E172))),IF($C172="Caster weapon",(AN172+AF172*('Item Budget'!$AB$14-'Item Budget'!$B$11)),(AM172+AF172*('Item Budget'!$AB$14-'Item Budget'!$B$11))),0)</f>
        <v/>
      </c>
      <c r="AU172" s="44">
        <f>IF(OR($E172="All",ISNUMBER(SEARCH("Rogue",$E172))),IF($C172="Caster weapon",(AN172+AF172*('Item Budget'!$AB$15-'Item Budget'!$B$11)),(AM172+AF172*('Item Budget'!$AB$15-'Item Budget'!$B$11))),0)</f>
        <v/>
      </c>
      <c r="AV172" s="44">
        <f>IF(OR($E172="All",ISNUMBER(SEARCH("Magus",$E172))),(AN172+AF172*('Item Budget'!$AB$16-'Item Budget'!$B$11)),0)</f>
        <v/>
      </c>
      <c r="AW172" s="44">
        <f>IF(OR($E172="All",ISNUMBER(SEARCH("Priest",$E172))),(AN172+AF172*('Item Budget'!$AB$17-'Item Budget'!$B$11)),0)</f>
        <v/>
      </c>
      <c r="AX172" s="44">
        <f>IF(AND(OR($E172="All",ISNUMBER(SEARCH("Warrior",$E172))),AC172&gt;='Item Budget'!$R$10),'Item Budget'!$R$7*100*('Item Budget'!$R$14*(AD172+25*AH172)+'Item Budget'!$S$14*(AE172+25*AJ172))/'Item Budget'!$Z$14+'Item Budget'!$R$9*AF172+IFERROR(INDEX('Item Budget'!$O$25:$O$95,MATCH(AL172,'Item Budget'!$B$25:$B$95,0)),0),0)</f>
        <v/>
      </c>
      <c r="AY172" s="44">
        <f>IF(AND(OR($E172="All",ISNUMBER(SEARCH("Rogue",$E172))),AC172&gt;='Item Budget'!$R$10),'Item Budget'!$R$7*100*('Item Budget'!$R$15*(AD172+25*AH172)+'Item Budget'!$S$15*(AE172+25*AJ172))/'Item Budget'!$Z$15+'Item Budget'!$R$9*AF172+IFERROR(INDEX('Item Budget'!$O$25:$O$95,MATCH(AL172,'Item Budget'!$B$25:$B$95,0)),0),0)</f>
        <v/>
      </c>
      <c r="AZ172" s="44">
        <f>IF(AND(OR($E172="All",ISNUMBER(SEARCH("Magus",$E172))),AC172&gt;='Item Budget'!$R$10),'Item Budget'!$R$7*100*('Item Budget'!$R$16*(AD172+25*AH172)+'Item Budget'!$S$16*(AE172+25*AJ172))/'Item Budget'!$Z$16+'Item Budget'!$R$9*AF172+IFERROR(INDEX('Item Budget'!$O$25:$O$95,MATCH(AL172,'Item Budget'!$B$25:$B$95,0)),0),0)</f>
        <v/>
      </c>
      <c r="BA172" s="44">
        <f>IF(AND(OR($E172="All",ISNUMBER(SEARCH("Priest",$E172))),AC172&gt;='Item Budget'!$R$10),'Item Budget'!$R$7*100*('Item Budget'!$R$17*(AD172+25*AH172)+'Item Budget'!$S$17*(AE172+25*AJ172))/'Item Budget'!$Z$17+'Item Budget'!$R$9*AF172+IFERROR(INDEX('Item Budget'!$O$25:$O$95,MATCH(AL172,'Item Budget'!$B$25:$B$95,0)),0),0)</f>
        <v/>
      </c>
      <c r="BB172" s="52">
        <f>IF(OR($I172&lt;1,IF($I172&gt;=6,AX172,AT172)&lt;=0),"",IF(SUMPRODUCT(MAX(($C$5:$C$215=$C172)*($I$5:$I$215&gt;=1)*($I$5:$I$215&lt;$I172)*IF($I172&gt;=6,$AX$5:$AX$215,$AT$5:$AT$215)))&lt;=0,"",SUMPRODUCT(MAX(($C$5:$C$215=$C172)*($I$5:$I$215=$I172)*IF($I172&gt;=6,$AX$5:$AX$215,$AT$5:$AT$215)))/SUMPRODUCT(MAX(($C$5:$C$215=$C172)*($I$5:$I$215&gt;=1)*($I$5:$I$215&lt;$I172)*IF($I172&gt;=6,$AX$5:$AX$215,$AT$5:$AT$215)))-1))</f>
        <v/>
      </c>
      <c r="BC172" s="52">
        <f>IF(OR($I172&lt;1,IF($I172&gt;=6,AY172,AU172)&lt;=0),"",IF(SUMPRODUCT(MAX(($C$5:$C$215=$C172)*($I$5:$I$215&gt;=1)*($I$5:$I$215&lt;$I172)*IF($I172&gt;=6,$AY$5:$AY$215,$AU$5:$AU$215)))&lt;=0,"",SUMPRODUCT(MAX(($C$5:$C$215=$C172)*($I$5:$I$215=$I172)*IF($I172&gt;=6,$AY$5:$AY$215,$AU$5:$AU$215)))/SUMPRODUCT(MAX(($C$5:$C$215=$C172)*($I$5:$I$215&gt;=1)*($I$5:$I$215&lt;$I172)*IF($I172&gt;=6,$AY$5:$AY$215,$AU$5:$AU$215)))-1))</f>
        <v/>
      </c>
      <c r="BD172" s="52">
        <f>IF(OR($I172&lt;1,IF($I172&gt;=6,AZ172,AV172)&lt;=0),"",IF(SUMPRODUCT(MAX(($C$5:$C$215=$C172)*($I$5:$I$215&gt;=1)*($I$5:$I$215&lt;$I172)*IF($I172&gt;=6,$AZ$5:$AZ$215,$AV$5:$AV$215)))&lt;=0,"",SUMPRODUCT(MAX(($C$5:$C$215=$C172)*($I$5:$I$215=$I172)*IF($I172&gt;=6,$AZ$5:$AZ$215,$AV$5:$AV$215)))/SUMPRODUCT(MAX(($C$5:$C$215=$C172)*($I$5:$I$215&gt;=1)*($I$5:$I$215&lt;$I172)*IF($I172&gt;=6,$AZ$5:$AZ$215,$AV$5:$AV$215)))-1))</f>
        <v/>
      </c>
      <c r="BE172" s="52">
        <f>IF(OR($I172&lt;1,IF($I172&gt;=6,BA172,AW172)&lt;=0),"",IF(SUMPRODUCT(MAX(($C$5:$C$215=$C172)*($I$5:$I$215&gt;=1)*($I$5:$I$215&lt;$I172)*IF($I172&gt;=6,$BA$5:$BA$215,$AW$5:$AW$215)))&lt;=0,"",SUMPRODUCT(MAX(($C$5:$C$215=$C172)*($I$5:$I$215=$I172)*IF($I172&gt;=6,$BA$5:$BA$215,$AW$5:$AW$215)))/SUMPRODUCT(MAX(($C$5:$C$215=$C172)*($I$5:$I$215&gt;=1)*($I$5:$I$215&lt;$I172)*IF($I172&gt;=6,$BA$5:$BA$215,$AW$5:$AW$215)))-1))</f>
        <v/>
      </c>
      <c r="BF172" s="19">
        <f>IF(AND(BB172="",BC172="",BD172="",BE172=""),"",IF(IF(AND(ISNUMBER(BB172),BB172&lt;'Item Budget'!$R$11),"W ","")&amp;IF(AND(ISNUMBER(BC172),BC172&lt;'Item Budget'!$R$11),"R ","")&amp;IF(AND(ISNUMBER(BD172),BD172&lt;'Item Budget'!$R$11),"M ","")&amp;IF(AND(ISNUMBER(BE172),BE172&lt;'Item Budget'!$R$11),"P ","")="","OK","Not above lower step: "&amp;IF(AND(ISNUMBER(BB172),BB172&lt;'Item Budget'!$R$11),"W ","")&amp;IF(AND(ISNUMBER(BC172),BC172&lt;'Item Budget'!$R$11),"R ","")&amp;IF(AND(ISNUMBER(BD172),BD172&lt;'Item Budget'!$R$11),"M ","")&amp;IF(AND(ISNUMBER(BE172),BE172&lt;'Item Budget'!$R$11),"P ","")))</f>
        <v/>
      </c>
    </row>
    <row r="173">
      <c r="A173" s="21" t="n">
        <v>41</v>
      </c>
      <c r="B173" s="21" t="inlineStr">
        <is>
          <t>Winter Blade</t>
        </is>
      </c>
      <c r="C173" s="21" t="inlineStr">
        <is>
          <t>Weapon</t>
        </is>
      </c>
      <c r="D173" s="21" t="inlineStr">
        <is>
          <t>Rogue/Warrior</t>
        </is>
      </c>
      <c r="E173" s="21" t="inlineStr">
        <is>
          <t>Rogue/Warrior</t>
        </is>
      </c>
      <c r="F173" s="21" t="inlineStr"/>
      <c r="G173" s="21" t="inlineStr">
        <is>
          <t>drop: Leafeater 4%</t>
        </is>
      </c>
      <c r="H173" s="37" t="n">
        <v>0</v>
      </c>
      <c r="I173" s="21" t="n">
        <v>0</v>
      </c>
      <c r="J173" s="3" t="inlineStr">
        <is>
          <t>Applied</t>
        </is>
      </c>
      <c r="K173" s="21" t="inlineStr">
        <is>
          <t>Rare boss drop</t>
        </is>
      </c>
      <c r="L173" s="31">
        <f>INDEX('Item Budget'!$F$5:$F$13,MATCH(K173,'Item Budget'!$E$5:$E$13,0))+IF(E173="All",0,'Item Budget'!$F$15)+LOOKUP(H173,'Item Budget'!$E$19:$E$23,'Item Budget'!$F$19:$F$23)</f>
        <v/>
      </c>
      <c r="M173" s="21" t="n">
        <v>12</v>
      </c>
      <c r="N173" s="21" t="n">
        <v>5</v>
      </c>
      <c r="O173" s="21" t="n">
        <v>0</v>
      </c>
      <c r="P173" s="21" t="n">
        <v>0</v>
      </c>
      <c r="Q173" s="21" t="n">
        <v>3</v>
      </c>
      <c r="R173" s="21" t="n">
        <v>0</v>
      </c>
      <c r="S173" s="21" t="n">
        <v>5</v>
      </c>
      <c r="T173" s="21" t="n">
        <v>0</v>
      </c>
      <c r="U173" s="21" t="n">
        <v>30</v>
      </c>
      <c r="V173" s="21" t="inlineStr">
        <is>
          <t>(none)</t>
        </is>
      </c>
      <c r="W173" s="61">
        <f>N173*'Item Budget'!$B$5+R173*'Item Budget'!$B$7+P173*'Item Budget'!$B$11+S173*'Item Budget'!$B$10+Q173*'Item Budget'!$B$9+IFERROR(INDEX('Item Budget'!$M$25:$M$95,MATCH(V173,'Item Budget'!$B$25:$B$95,0)),0)+IF($C173="Weapon",U173*'Item Budget'!$B$9,0)</f>
        <v/>
      </c>
      <c r="X173" s="61">
        <f>N173*'Item Budget'!$B$5+R173*'Item Budget'!$B$7+P173*'Item Budget'!$B$11+S173*'Item Budget'!$B$10+O173*'Item Budget'!$B$6+T173*'Item Budget'!$B$8+IFERROR(INDEX('Item Budget'!$N$25:$N$95,MATCH(V173,'Item Budget'!$B$25:$B$95,0)),0)</f>
        <v/>
      </c>
      <c r="Y173" s="61">
        <f>MAX('Item Budget'!$F$16,INDEX('Gear Budget'!$C$8:$C$14,MATCH($C173,'Gear Budget'!$A$8:$A$14,0))*MIN(M173,50))*$L173</f>
        <v/>
      </c>
      <c r="Z173" s="41">
        <f>IF($C173="Caster weapon",X173,MAX(W173,X173))/Y173</f>
        <v/>
      </c>
      <c r="AA173" s="61">
        <f>IF(OR($C173="Weapon",$C173="Caster weapon"),"",'Gear Budget'!$B$5*MAX(1,MIN(M173,50))*INDEX('Gear Budget'!$B$8:$B$14,MATCH($C173,'Gear Budget'!$A$8:$A$14,0))*IF($C173="Shield",IF(D173="Warrior",1,IF(OR(D173="Rogue",D173="All"),0.38/0.6,0.25/0.6)),IFERROR(INDEX('Gear Budget'!$B$18:$B$21,MATCH($F173,'Gear Budget'!$A$18:$A$21,0)),1)))</f>
        <v/>
      </c>
      <c r="AB173" s="41">
        <f>IF(AA173="","",P173/AA173)</f>
        <v/>
      </c>
      <c r="AC173" s="21" t="n">
        <v>12</v>
      </c>
      <c r="AD173" s="21" t="n">
        <v>5</v>
      </c>
      <c r="AE173" s="21" t="n">
        <v>0</v>
      </c>
      <c r="AF173" s="21" t="n">
        <v>0</v>
      </c>
      <c r="AG173" s="21" t="n">
        <v>3</v>
      </c>
      <c r="AH173" s="21" t="n">
        <v>0</v>
      </c>
      <c r="AI173" s="21" t="n">
        <v>5</v>
      </c>
      <c r="AJ173" s="21" t="n">
        <v>0</v>
      </c>
      <c r="AK173" s="21" t="n">
        <v>30</v>
      </c>
      <c r="AL173" s="21" t="inlineStr">
        <is>
          <t>(none)</t>
        </is>
      </c>
      <c r="AM173" s="61">
        <f>AD173*'Item Budget'!$B$5+AH173*'Item Budget'!$B$7+AF173*'Item Budget'!$B$11+AI173*'Item Budget'!$B$10+AG173*'Item Budget'!$B$9+IFERROR(INDEX('Item Budget'!$M$25:$M$95,MATCH(AL173,'Item Budget'!$B$25:$B$95,0)),0)+IF($C173="Weapon",AK173*'Item Budget'!$B$9,0)</f>
        <v/>
      </c>
      <c r="AN173" s="61">
        <f>AD173*'Item Budget'!$B$5+AH173*'Item Budget'!$B$7+AF173*'Item Budget'!$B$11+AI173*'Item Budget'!$B$10+AE173*'Item Budget'!$B$6+AJ173*'Item Budget'!$B$8+IFERROR(INDEX('Item Budget'!$N$25:$N$95,MATCH(AL173,'Item Budget'!$B$25:$B$95,0)),0)</f>
        <v/>
      </c>
      <c r="AO173" s="61">
        <f>MAX('Item Budget'!$F$16,INDEX('Gear Budget'!$C$8:$C$14,MATCH($C173,'Gear Budget'!$A$8:$A$14,0))*MIN(AC173,50))*$L173</f>
        <v/>
      </c>
      <c r="AP173" s="41">
        <f>IF($C173="Caster weapon",AN173,MAX(AM173,AN173))/AO173</f>
        <v/>
      </c>
      <c r="AQ173" s="61">
        <f>IF(OR($C173="Weapon",$C173="Caster weapon"),"",'Gear Budget'!$B$5*MAX(1,MIN(AC173,50))*INDEX('Gear Budget'!$B$8:$B$14,MATCH($C173,'Gear Budget'!$A$8:$A$14,0))*IF($C173="Shield",IF(E173="Warrior",1,IF(OR(E173="Rogue",E173="All"),0.38/0.6,0.25/0.6)),IFERROR(INDEX('Gear Budget'!$B$18:$B$21,MATCH($F173,'Gear Budget'!$A$18:$A$21,0)),1)))</f>
        <v/>
      </c>
      <c r="AR173" s="41">
        <f>IF(AQ173="","",AF173/AQ173)</f>
        <v/>
      </c>
      <c r="AS173" s="64" t="inlineStr">
        <is>
          <t>Pass 1 (applied): Leafeater boss drop: damage 26 -&gt; 30 and +3 STR.</t>
        </is>
      </c>
      <c r="AT173" s="44">
        <f>IF(OR($E173="All",ISNUMBER(SEARCH("Warrior",$E173))),IF($C173="Caster weapon",(AN173+AF173*('Item Budget'!$AB$14-'Item Budget'!$B$11)),(AM173+AF173*('Item Budget'!$AB$14-'Item Budget'!$B$11))),0)</f>
        <v/>
      </c>
      <c r="AU173" s="44">
        <f>IF(OR($E173="All",ISNUMBER(SEARCH("Rogue",$E173))),IF($C173="Caster weapon",(AN173+AF173*('Item Budget'!$AB$15-'Item Budget'!$B$11)),(AM173+AF173*('Item Budget'!$AB$15-'Item Budget'!$B$11))),0)</f>
        <v/>
      </c>
      <c r="AV173" s="44">
        <f>IF(OR($E173="All",ISNUMBER(SEARCH("Magus",$E173))),(AN173+AF173*('Item Budget'!$AB$16-'Item Budget'!$B$11)),0)</f>
        <v/>
      </c>
      <c r="AW173" s="44">
        <f>IF(OR($E173="All",ISNUMBER(SEARCH("Priest",$E173))),(AN173+AF173*('Item Budget'!$AB$17-'Item Budget'!$B$11)),0)</f>
        <v/>
      </c>
      <c r="AX173" s="44">
        <f>IF(AND(OR($E173="All",ISNUMBER(SEARCH("Warrior",$E173))),AC173&gt;='Item Budget'!$R$10),'Item Budget'!$R$7*100*('Item Budget'!$R$14*(AD173+25*AH173)+'Item Budget'!$S$14*(AE173+25*AJ173))/'Item Budget'!$Z$14+'Item Budget'!$R$9*AF173+IFERROR(INDEX('Item Budget'!$O$25:$O$95,MATCH(AL173,'Item Budget'!$B$25:$B$95,0)),0),0)</f>
        <v/>
      </c>
      <c r="AY173" s="44">
        <f>IF(AND(OR($E173="All",ISNUMBER(SEARCH("Rogue",$E173))),AC173&gt;='Item Budget'!$R$10),'Item Budget'!$R$7*100*('Item Budget'!$R$15*(AD173+25*AH173)+'Item Budget'!$S$15*(AE173+25*AJ173))/'Item Budget'!$Z$15+'Item Budget'!$R$9*AF173+IFERROR(INDEX('Item Budget'!$O$25:$O$95,MATCH(AL173,'Item Budget'!$B$25:$B$95,0)),0),0)</f>
        <v/>
      </c>
      <c r="AZ173" s="44">
        <f>IF(AND(OR($E173="All",ISNUMBER(SEARCH("Magus",$E173))),AC173&gt;='Item Budget'!$R$10),'Item Budget'!$R$7*100*('Item Budget'!$R$16*(AD173+25*AH173)+'Item Budget'!$S$16*(AE173+25*AJ173))/'Item Budget'!$Z$16+'Item Budget'!$R$9*AF173+IFERROR(INDEX('Item Budget'!$O$25:$O$95,MATCH(AL173,'Item Budget'!$B$25:$B$95,0)),0),0)</f>
        <v/>
      </c>
      <c r="BA173" s="44">
        <f>IF(AND(OR($E173="All",ISNUMBER(SEARCH("Priest",$E173))),AC173&gt;='Item Budget'!$R$10),'Item Budget'!$R$7*100*('Item Budget'!$R$17*(AD173+25*AH173)+'Item Budget'!$S$17*(AE173+25*AJ173))/'Item Budget'!$Z$17+'Item Budget'!$R$9*AF173+IFERROR(INDEX('Item Budget'!$O$25:$O$95,MATCH(AL173,'Item Budget'!$B$25:$B$95,0)),0),0)</f>
        <v/>
      </c>
      <c r="BB173" s="52">
        <f>IF(OR($I173&lt;1,IF($I173&gt;=6,AX173,AT173)&lt;=0),"",IF(SUMPRODUCT(MAX(($C$5:$C$215=$C173)*($I$5:$I$215&gt;=1)*($I$5:$I$215&lt;$I173)*IF($I173&gt;=6,$AX$5:$AX$215,$AT$5:$AT$215)))&lt;=0,"",SUMPRODUCT(MAX(($C$5:$C$215=$C173)*($I$5:$I$215=$I173)*IF($I173&gt;=6,$AX$5:$AX$215,$AT$5:$AT$215)))/SUMPRODUCT(MAX(($C$5:$C$215=$C173)*($I$5:$I$215&gt;=1)*($I$5:$I$215&lt;$I173)*IF($I173&gt;=6,$AX$5:$AX$215,$AT$5:$AT$215)))-1))</f>
        <v/>
      </c>
      <c r="BC173" s="52">
        <f>IF(OR($I173&lt;1,IF($I173&gt;=6,AY173,AU173)&lt;=0),"",IF(SUMPRODUCT(MAX(($C$5:$C$215=$C173)*($I$5:$I$215&gt;=1)*($I$5:$I$215&lt;$I173)*IF($I173&gt;=6,$AY$5:$AY$215,$AU$5:$AU$215)))&lt;=0,"",SUMPRODUCT(MAX(($C$5:$C$215=$C173)*($I$5:$I$215=$I173)*IF($I173&gt;=6,$AY$5:$AY$215,$AU$5:$AU$215)))/SUMPRODUCT(MAX(($C$5:$C$215=$C173)*($I$5:$I$215&gt;=1)*($I$5:$I$215&lt;$I173)*IF($I173&gt;=6,$AY$5:$AY$215,$AU$5:$AU$215)))-1))</f>
        <v/>
      </c>
      <c r="BD173" s="52">
        <f>IF(OR($I173&lt;1,IF($I173&gt;=6,AZ173,AV173)&lt;=0),"",IF(SUMPRODUCT(MAX(($C$5:$C$215=$C173)*($I$5:$I$215&gt;=1)*($I$5:$I$215&lt;$I173)*IF($I173&gt;=6,$AZ$5:$AZ$215,$AV$5:$AV$215)))&lt;=0,"",SUMPRODUCT(MAX(($C$5:$C$215=$C173)*($I$5:$I$215=$I173)*IF($I173&gt;=6,$AZ$5:$AZ$215,$AV$5:$AV$215)))/SUMPRODUCT(MAX(($C$5:$C$215=$C173)*($I$5:$I$215&gt;=1)*($I$5:$I$215&lt;$I173)*IF($I173&gt;=6,$AZ$5:$AZ$215,$AV$5:$AV$215)))-1))</f>
        <v/>
      </c>
      <c r="BE173" s="52">
        <f>IF(OR($I173&lt;1,IF($I173&gt;=6,BA173,AW173)&lt;=0),"",IF(SUMPRODUCT(MAX(($C$5:$C$215=$C173)*($I$5:$I$215&gt;=1)*($I$5:$I$215&lt;$I173)*IF($I173&gt;=6,$BA$5:$BA$215,$AW$5:$AW$215)))&lt;=0,"",SUMPRODUCT(MAX(($C$5:$C$215=$C173)*($I$5:$I$215=$I173)*IF($I173&gt;=6,$BA$5:$BA$215,$AW$5:$AW$215)))/SUMPRODUCT(MAX(($C$5:$C$215=$C173)*($I$5:$I$215&gt;=1)*($I$5:$I$215&lt;$I173)*IF($I173&gt;=6,$BA$5:$BA$215,$AW$5:$AW$215)))-1))</f>
        <v/>
      </c>
      <c r="BF173" s="19">
        <f>IF(AND(BB173="",BC173="",BD173="",BE173=""),"",IF(IF(AND(ISNUMBER(BB173),BB173&lt;'Item Budget'!$R$11),"W ","")&amp;IF(AND(ISNUMBER(BC173),BC173&lt;'Item Budget'!$R$11),"R ","")&amp;IF(AND(ISNUMBER(BD173),BD173&lt;'Item Budget'!$R$11),"M ","")&amp;IF(AND(ISNUMBER(BE173),BE173&lt;'Item Budget'!$R$11),"P ","")="","OK","Not above lower step: "&amp;IF(AND(ISNUMBER(BB173),BB173&lt;'Item Budget'!$R$11),"W ","")&amp;IF(AND(ISNUMBER(BC173),BC173&lt;'Item Budget'!$R$11),"R ","")&amp;IF(AND(ISNUMBER(BD173),BD173&lt;'Item Budget'!$R$11),"M ","")&amp;IF(AND(ISNUMBER(BE173),BE173&lt;'Item Budget'!$R$11),"P ","")))</f>
        <v/>
      </c>
    </row>
    <row r="174">
      <c r="A174" s="21" t="n">
        <v>363</v>
      </c>
      <c r="B174" s="21" t="inlineStr">
        <is>
          <t>Low Quality Walde</t>
        </is>
      </c>
      <c r="C174" s="21" t="inlineStr">
        <is>
          <t>Weapon</t>
        </is>
      </c>
      <c r="D174" s="21" t="inlineStr">
        <is>
          <t>Rogue/Warrior</t>
        </is>
      </c>
      <c r="E174" s="21" t="inlineStr">
        <is>
          <t>Rogue/Warrior</t>
        </is>
      </c>
      <c r="F174" s="21" t="inlineStr"/>
      <c r="G174" s="21" t="inlineStr">
        <is>
          <t>craft</t>
        </is>
      </c>
      <c r="H174" s="37" t="n">
        <v>0</v>
      </c>
      <c r="I174" s="21" t="n">
        <v>0</v>
      </c>
      <c r="J174" s="19" t="inlineStr">
        <is>
          <t>Pass 2</t>
        </is>
      </c>
      <c r="K174" s="21" t="inlineStr">
        <is>
          <t>Crafted</t>
        </is>
      </c>
      <c r="L174" s="31">
        <f>INDEX('Item Budget'!$F$5:$F$13,MATCH(K174,'Item Budget'!$E$5:$E$13,0))+IF(E174="All",0,'Item Budget'!$F$15)+LOOKUP(H174,'Item Budget'!$E$19:$E$23,'Item Budget'!$F$19:$F$23)</f>
        <v/>
      </c>
      <c r="M174" s="21" t="n">
        <v>13</v>
      </c>
      <c r="N174" s="21" t="n">
        <v>0</v>
      </c>
      <c r="O174" s="21" t="n">
        <v>0</v>
      </c>
      <c r="P174" s="21" t="n">
        <v>0</v>
      </c>
      <c r="Q174" s="21" t="n">
        <v>2</v>
      </c>
      <c r="R174" s="21" t="n">
        <v>1</v>
      </c>
      <c r="S174" s="21" t="n">
        <v>0</v>
      </c>
      <c r="T174" s="21" t="n">
        <v>0</v>
      </c>
      <c r="U174" s="21" t="n">
        <v>26</v>
      </c>
      <c r="V174" s="21" t="inlineStr">
        <is>
          <t>(none)</t>
        </is>
      </c>
      <c r="W174" s="61">
        <f>N174*'Item Budget'!$B$5+R174*'Item Budget'!$B$7+P174*'Item Budget'!$B$11+S174*'Item Budget'!$B$10+Q174*'Item Budget'!$B$9+IFERROR(INDEX('Item Budget'!$M$25:$M$95,MATCH(V174,'Item Budget'!$B$25:$B$95,0)),0)+IF($C174="Weapon",U174*'Item Budget'!$B$9,0)</f>
        <v/>
      </c>
      <c r="X174" s="61">
        <f>N174*'Item Budget'!$B$5+R174*'Item Budget'!$B$7+P174*'Item Budget'!$B$11+S174*'Item Budget'!$B$10+O174*'Item Budget'!$B$6+T174*'Item Budget'!$B$8+IFERROR(INDEX('Item Budget'!$N$25:$N$95,MATCH(V174,'Item Budget'!$B$25:$B$95,0)),0)</f>
        <v/>
      </c>
      <c r="Y174" s="61">
        <f>MAX('Item Budget'!$F$16,INDEX('Gear Budget'!$C$8:$C$14,MATCH($C174,'Gear Budget'!$A$8:$A$14,0))*MIN(M174,50))*$L174</f>
        <v/>
      </c>
      <c r="Z174" s="41">
        <f>IF($C174="Caster weapon",X174,MAX(W174,X174))/Y174</f>
        <v/>
      </c>
      <c r="AA174" s="61">
        <f>IF(OR($C174="Weapon",$C174="Caster weapon"),"",'Gear Budget'!$B$5*MAX(1,MIN(M174,50))*INDEX('Gear Budget'!$B$8:$B$14,MATCH($C174,'Gear Budget'!$A$8:$A$14,0))*IF($C174="Shield",IF(D174="Warrior",1,IF(OR(D174="Rogue",D174="All"),0.38/0.6,0.25/0.6)),IFERROR(INDEX('Gear Budget'!$B$18:$B$21,MATCH($F174,'Gear Budget'!$A$18:$A$21,0)),1)))</f>
        <v/>
      </c>
      <c r="AB174" s="41">
        <f>IF(AA174="","",P174/AA174)</f>
        <v/>
      </c>
      <c r="AC174" s="21" t="n">
        <v>13</v>
      </c>
      <c r="AD174" s="21" t="n">
        <v>0</v>
      </c>
      <c r="AE174" s="21" t="n">
        <v>0</v>
      </c>
      <c r="AF174" s="21" t="n">
        <v>0</v>
      </c>
      <c r="AG174" s="20" t="n">
        <v>3</v>
      </c>
      <c r="AH174" s="21" t="n">
        <v>1</v>
      </c>
      <c r="AI174" s="21" t="n">
        <v>0</v>
      </c>
      <c r="AJ174" s="21" t="n">
        <v>0</v>
      </c>
      <c r="AK174" s="20" t="n">
        <v>27</v>
      </c>
      <c r="AL174" s="21" t="inlineStr">
        <is>
          <t>(none)</t>
        </is>
      </c>
      <c r="AM174" s="61">
        <f>AD174*'Item Budget'!$B$5+AH174*'Item Budget'!$B$7+AF174*'Item Budget'!$B$11+AI174*'Item Budget'!$B$10+AG174*'Item Budget'!$B$9+IFERROR(INDEX('Item Budget'!$M$25:$M$95,MATCH(AL174,'Item Budget'!$B$25:$B$95,0)),0)+IF($C174="Weapon",AK174*'Item Budget'!$B$9,0)</f>
        <v/>
      </c>
      <c r="AN174" s="61">
        <f>AD174*'Item Budget'!$B$5+AH174*'Item Budget'!$B$7+AF174*'Item Budget'!$B$11+AI174*'Item Budget'!$B$10+AE174*'Item Budget'!$B$6+AJ174*'Item Budget'!$B$8+IFERROR(INDEX('Item Budget'!$N$25:$N$95,MATCH(AL174,'Item Budget'!$B$25:$B$95,0)),0)</f>
        <v/>
      </c>
      <c r="AO174" s="61">
        <f>MAX('Item Budget'!$F$16,INDEX('Gear Budget'!$C$8:$C$14,MATCH($C174,'Gear Budget'!$A$8:$A$14,0))*MIN(AC174,50))*$L174</f>
        <v/>
      </c>
      <c r="AP174" s="41">
        <f>IF($C174="Caster weapon",AN174,MAX(AM174,AN174))/AO174</f>
        <v/>
      </c>
      <c r="AQ174" s="61">
        <f>IF(OR($C174="Weapon",$C174="Caster weapon"),"",'Gear Budget'!$B$5*MAX(1,MIN(AC174,50))*INDEX('Gear Budget'!$B$8:$B$14,MATCH($C174,'Gear Budget'!$A$8:$A$14,0))*IF($C174="Shield",IF(E174="Warrior",1,IF(OR(E174="Rogue",E174="All"),0.38/0.6,0.25/0.6)),IFERROR(INDEX('Gear Budget'!$B$18:$B$21,MATCH($F174,'Gear Budget'!$A$18:$A$21,0)),1)))</f>
        <v/>
      </c>
      <c r="AR174" s="41">
        <f>IF(AQ174="","",AF174/AQ174)</f>
        <v/>
      </c>
      <c r="AS174" s="64" t="inlineStr">
        <is>
          <t>Low Quality Walde: damage 27, STR 3 (30) so Winter Blade (33) stays ~10% ahead</t>
        </is>
      </c>
      <c r="AT174" s="44">
        <f>IF(OR($E174="All",ISNUMBER(SEARCH("Warrior",$E174))),IF($C174="Caster weapon",(AN174+AF174*('Item Budget'!$AB$14-'Item Budget'!$B$11)),(AM174+AF174*('Item Budget'!$AB$14-'Item Budget'!$B$11))),0)</f>
        <v/>
      </c>
      <c r="AU174" s="44">
        <f>IF(OR($E174="All",ISNUMBER(SEARCH("Rogue",$E174))),IF($C174="Caster weapon",(AN174+AF174*('Item Budget'!$AB$15-'Item Budget'!$B$11)),(AM174+AF174*('Item Budget'!$AB$15-'Item Budget'!$B$11))),0)</f>
        <v/>
      </c>
      <c r="AV174" s="44">
        <f>IF(OR($E174="All",ISNUMBER(SEARCH("Magus",$E174))),(AN174+AF174*('Item Budget'!$AB$16-'Item Budget'!$B$11)),0)</f>
        <v/>
      </c>
      <c r="AW174" s="44">
        <f>IF(OR($E174="All",ISNUMBER(SEARCH("Priest",$E174))),(AN174+AF174*('Item Budget'!$AB$17-'Item Budget'!$B$11)),0)</f>
        <v/>
      </c>
      <c r="AX174" s="44">
        <f>IF(AND(OR($E174="All",ISNUMBER(SEARCH("Warrior",$E174))),AC174&gt;='Item Budget'!$R$10),'Item Budget'!$R$7*100*('Item Budget'!$R$14*(AD174+25*AH174)+'Item Budget'!$S$14*(AE174+25*AJ174))/'Item Budget'!$Z$14+'Item Budget'!$R$9*AF174+IFERROR(INDEX('Item Budget'!$O$25:$O$95,MATCH(AL174,'Item Budget'!$B$25:$B$95,0)),0),0)</f>
        <v/>
      </c>
      <c r="AY174" s="44">
        <f>IF(AND(OR($E174="All",ISNUMBER(SEARCH("Rogue",$E174))),AC174&gt;='Item Budget'!$R$10),'Item Budget'!$R$7*100*('Item Budget'!$R$15*(AD174+25*AH174)+'Item Budget'!$S$15*(AE174+25*AJ174))/'Item Budget'!$Z$15+'Item Budget'!$R$9*AF174+IFERROR(INDEX('Item Budget'!$O$25:$O$95,MATCH(AL174,'Item Budget'!$B$25:$B$95,0)),0),0)</f>
        <v/>
      </c>
      <c r="AZ174" s="44">
        <f>IF(AND(OR($E174="All",ISNUMBER(SEARCH("Magus",$E174))),AC174&gt;='Item Budget'!$R$10),'Item Budget'!$R$7*100*('Item Budget'!$R$16*(AD174+25*AH174)+'Item Budget'!$S$16*(AE174+25*AJ174))/'Item Budget'!$Z$16+'Item Budget'!$R$9*AF174+IFERROR(INDEX('Item Budget'!$O$25:$O$95,MATCH(AL174,'Item Budget'!$B$25:$B$95,0)),0),0)</f>
        <v/>
      </c>
      <c r="BA174" s="44">
        <f>IF(AND(OR($E174="All",ISNUMBER(SEARCH("Priest",$E174))),AC174&gt;='Item Budget'!$R$10),'Item Budget'!$R$7*100*('Item Budget'!$R$17*(AD174+25*AH174)+'Item Budget'!$S$17*(AE174+25*AJ174))/'Item Budget'!$Z$17+'Item Budget'!$R$9*AF174+IFERROR(INDEX('Item Budget'!$O$25:$O$95,MATCH(AL174,'Item Budget'!$B$25:$B$95,0)),0),0)</f>
        <v/>
      </c>
      <c r="BB174" s="52">
        <f>IF(OR($I174&lt;1,IF($I174&gt;=6,AX174,AT174)&lt;=0),"",IF(SUMPRODUCT(MAX(($C$5:$C$215=$C174)*($I$5:$I$215&gt;=1)*($I$5:$I$215&lt;$I174)*IF($I174&gt;=6,$AX$5:$AX$215,$AT$5:$AT$215)))&lt;=0,"",SUMPRODUCT(MAX(($C$5:$C$215=$C174)*($I$5:$I$215=$I174)*IF($I174&gt;=6,$AX$5:$AX$215,$AT$5:$AT$215)))/SUMPRODUCT(MAX(($C$5:$C$215=$C174)*($I$5:$I$215&gt;=1)*($I$5:$I$215&lt;$I174)*IF($I174&gt;=6,$AX$5:$AX$215,$AT$5:$AT$215)))-1))</f>
        <v/>
      </c>
      <c r="BC174" s="52">
        <f>IF(OR($I174&lt;1,IF($I174&gt;=6,AY174,AU174)&lt;=0),"",IF(SUMPRODUCT(MAX(($C$5:$C$215=$C174)*($I$5:$I$215&gt;=1)*($I$5:$I$215&lt;$I174)*IF($I174&gt;=6,$AY$5:$AY$215,$AU$5:$AU$215)))&lt;=0,"",SUMPRODUCT(MAX(($C$5:$C$215=$C174)*($I$5:$I$215=$I174)*IF($I174&gt;=6,$AY$5:$AY$215,$AU$5:$AU$215)))/SUMPRODUCT(MAX(($C$5:$C$215=$C174)*($I$5:$I$215&gt;=1)*($I$5:$I$215&lt;$I174)*IF($I174&gt;=6,$AY$5:$AY$215,$AU$5:$AU$215)))-1))</f>
        <v/>
      </c>
      <c r="BD174" s="52">
        <f>IF(OR($I174&lt;1,IF($I174&gt;=6,AZ174,AV174)&lt;=0),"",IF(SUMPRODUCT(MAX(($C$5:$C$215=$C174)*($I$5:$I$215&gt;=1)*($I$5:$I$215&lt;$I174)*IF($I174&gt;=6,$AZ$5:$AZ$215,$AV$5:$AV$215)))&lt;=0,"",SUMPRODUCT(MAX(($C$5:$C$215=$C174)*($I$5:$I$215=$I174)*IF($I174&gt;=6,$AZ$5:$AZ$215,$AV$5:$AV$215)))/SUMPRODUCT(MAX(($C$5:$C$215=$C174)*($I$5:$I$215&gt;=1)*($I$5:$I$215&lt;$I174)*IF($I174&gt;=6,$AZ$5:$AZ$215,$AV$5:$AV$215)))-1))</f>
        <v/>
      </c>
      <c r="BE174" s="52">
        <f>IF(OR($I174&lt;1,IF($I174&gt;=6,BA174,AW174)&lt;=0),"",IF(SUMPRODUCT(MAX(($C$5:$C$215=$C174)*($I$5:$I$215&gt;=1)*($I$5:$I$215&lt;$I174)*IF($I174&gt;=6,$BA$5:$BA$215,$AW$5:$AW$215)))&lt;=0,"",SUMPRODUCT(MAX(($C$5:$C$215=$C174)*($I$5:$I$215=$I174)*IF($I174&gt;=6,$BA$5:$BA$215,$AW$5:$AW$215)))/SUMPRODUCT(MAX(($C$5:$C$215=$C174)*($I$5:$I$215&gt;=1)*($I$5:$I$215&lt;$I174)*IF($I174&gt;=6,$BA$5:$BA$215,$AW$5:$AW$215)))-1))</f>
        <v/>
      </c>
      <c r="BF174" s="19">
        <f>IF(AND(BB174="",BC174="",BD174="",BE174=""),"",IF(IF(AND(ISNUMBER(BB174),BB174&lt;'Item Budget'!$R$11),"W ","")&amp;IF(AND(ISNUMBER(BC174),BC174&lt;'Item Budget'!$R$11),"R ","")&amp;IF(AND(ISNUMBER(BD174),BD174&lt;'Item Budget'!$R$11),"M ","")&amp;IF(AND(ISNUMBER(BE174),BE174&lt;'Item Budget'!$R$11),"P ","")="","OK","Not above lower step: "&amp;IF(AND(ISNUMBER(BB174),BB174&lt;'Item Budget'!$R$11),"W ","")&amp;IF(AND(ISNUMBER(BC174),BC174&lt;'Item Budget'!$R$11),"R ","")&amp;IF(AND(ISNUMBER(BD174),BD174&lt;'Item Budget'!$R$11),"M ","")&amp;IF(AND(ISNUMBER(BE174),BE174&lt;'Item Budget'!$R$11),"P ","")))</f>
        <v/>
      </c>
    </row>
    <row r="175">
      <c r="A175" s="21" t="n">
        <v>15</v>
      </c>
      <c r="B175" s="21" t="inlineStr">
        <is>
          <t>Stone Hammer</t>
        </is>
      </c>
      <c r="C175" s="21" t="inlineStr">
        <is>
          <t>Weapon</t>
        </is>
      </c>
      <c r="D175" s="21" t="inlineStr">
        <is>
          <t>Warrior/Priest</t>
        </is>
      </c>
      <c r="E175" s="21" t="inlineStr">
        <is>
          <t>Warrior/Priest</t>
        </is>
      </c>
      <c r="F175" s="21" t="inlineStr"/>
      <c r="G175" s="21" t="inlineStr">
        <is>
          <t>drop: Bat 3%</t>
        </is>
      </c>
      <c r="H175" s="37" t="n">
        <v>0</v>
      </c>
      <c r="I175" s="21" t="n">
        <v>0</v>
      </c>
      <c r="J175" s="3" t="inlineStr">
        <is>
          <t>Applied</t>
        </is>
      </c>
      <c r="K175" s="21" t="inlineStr">
        <is>
          <t>Vendor</t>
        </is>
      </c>
      <c r="L175" s="31">
        <f>INDEX('Item Budget'!$F$5:$F$13,MATCH(K175,'Item Budget'!$E$5:$E$13,0))+IF(E175="All",0,'Item Budget'!$F$15)+LOOKUP(H175,'Item Budget'!$E$19:$E$23,'Item Budget'!$F$19:$F$23)</f>
        <v/>
      </c>
      <c r="M175" s="21" t="n">
        <v>15</v>
      </c>
      <c r="N175" s="21" t="n">
        <v>0</v>
      </c>
      <c r="O175" s="21" t="n">
        <v>0</v>
      </c>
      <c r="P175" s="21" t="n">
        <v>0</v>
      </c>
      <c r="Q175" s="21" t="n">
        <v>3</v>
      </c>
      <c r="R175" s="21" t="n">
        <v>2</v>
      </c>
      <c r="S175" s="21" t="n">
        <v>0</v>
      </c>
      <c r="T175" s="21" t="n">
        <v>0</v>
      </c>
      <c r="U175" s="21" t="n">
        <v>18</v>
      </c>
      <c r="V175" s="21" t="inlineStr">
        <is>
          <t>(none)</t>
        </is>
      </c>
      <c r="W175" s="61">
        <f>N175*'Item Budget'!$B$5+R175*'Item Budget'!$B$7+P175*'Item Budget'!$B$11+S175*'Item Budget'!$B$10+Q175*'Item Budget'!$B$9+IFERROR(INDEX('Item Budget'!$M$25:$M$95,MATCH(V175,'Item Budget'!$B$25:$B$95,0)),0)+IF($C175="Weapon",U175*'Item Budget'!$B$9,0)</f>
        <v/>
      </c>
      <c r="X175" s="61">
        <f>N175*'Item Budget'!$B$5+R175*'Item Budget'!$B$7+P175*'Item Budget'!$B$11+S175*'Item Budget'!$B$10+O175*'Item Budget'!$B$6+T175*'Item Budget'!$B$8+IFERROR(INDEX('Item Budget'!$N$25:$N$95,MATCH(V175,'Item Budget'!$B$25:$B$95,0)),0)</f>
        <v/>
      </c>
      <c r="Y175" s="61">
        <f>MAX('Item Budget'!$F$16,INDEX('Gear Budget'!$C$8:$C$14,MATCH($C175,'Gear Budget'!$A$8:$A$14,0))*MIN(M175,50))*$L175</f>
        <v/>
      </c>
      <c r="Z175" s="41">
        <f>IF($C175="Caster weapon",X175,MAX(W175,X175))/Y175</f>
        <v/>
      </c>
      <c r="AA175" s="61">
        <f>IF(OR($C175="Weapon",$C175="Caster weapon"),"",'Gear Budget'!$B$5*MAX(1,MIN(M175,50))*INDEX('Gear Budget'!$B$8:$B$14,MATCH($C175,'Gear Budget'!$A$8:$A$14,0))*IF($C175="Shield",IF(D175="Warrior",1,IF(OR(D175="Rogue",D175="All"),0.38/0.6,0.25/0.6)),IFERROR(INDEX('Gear Budget'!$B$18:$B$21,MATCH($F175,'Gear Budget'!$A$18:$A$21,0)),1)))</f>
        <v/>
      </c>
      <c r="AB175" s="41">
        <f>IF(AA175="","",P175/AA175)</f>
        <v/>
      </c>
      <c r="AC175" s="21" t="n">
        <v>15</v>
      </c>
      <c r="AD175" s="21" t="n">
        <v>0</v>
      </c>
      <c r="AE175" s="21" t="n">
        <v>0</v>
      </c>
      <c r="AF175" s="21" t="n">
        <v>0</v>
      </c>
      <c r="AG175" s="21" t="n">
        <v>3</v>
      </c>
      <c r="AH175" s="21" t="n">
        <v>2</v>
      </c>
      <c r="AI175" s="21" t="n">
        <v>0</v>
      </c>
      <c r="AJ175" s="21" t="n">
        <v>0</v>
      </c>
      <c r="AK175" s="21" t="n">
        <v>18</v>
      </c>
      <c r="AL175" s="21" t="inlineStr">
        <is>
          <t>(none)</t>
        </is>
      </c>
      <c r="AM175" s="61">
        <f>AD175*'Item Budget'!$B$5+AH175*'Item Budget'!$B$7+AF175*'Item Budget'!$B$11+AI175*'Item Budget'!$B$10+AG175*'Item Budget'!$B$9+IFERROR(INDEX('Item Budget'!$M$25:$M$95,MATCH(AL175,'Item Budget'!$B$25:$B$95,0)),0)+IF($C175="Weapon",AK175*'Item Budget'!$B$9,0)</f>
        <v/>
      </c>
      <c r="AN175" s="61">
        <f>AD175*'Item Budget'!$B$5+AH175*'Item Budget'!$B$7+AF175*'Item Budget'!$B$11+AI175*'Item Budget'!$B$10+AE175*'Item Budget'!$B$6+AJ175*'Item Budget'!$B$8+IFERROR(INDEX('Item Budget'!$N$25:$N$95,MATCH(AL175,'Item Budget'!$B$25:$B$95,0)),0)</f>
        <v/>
      </c>
      <c r="AO175" s="61">
        <f>MAX('Item Budget'!$F$16,INDEX('Gear Budget'!$C$8:$C$14,MATCH($C175,'Gear Budget'!$A$8:$A$14,0))*MIN(AC175,50))*$L175</f>
        <v/>
      </c>
      <c r="AP175" s="41">
        <f>IF($C175="Caster weapon",AN175,MAX(AM175,AN175))/AO175</f>
        <v/>
      </c>
      <c r="AQ175" s="61">
        <f>IF(OR($C175="Weapon",$C175="Caster weapon"),"",'Gear Budget'!$B$5*MAX(1,MIN(AC175,50))*INDEX('Gear Budget'!$B$8:$B$14,MATCH($C175,'Gear Budget'!$A$8:$A$14,0))*IF($C175="Shield",IF(E175="Warrior",1,IF(OR(E175="Rogue",E175="All"),0.38/0.6,0.25/0.6)),IFERROR(INDEX('Gear Budget'!$B$18:$B$21,MATCH($F175,'Gear Budget'!$A$18:$A$21,0)),1)))</f>
        <v/>
      </c>
      <c r="AR175" s="41">
        <f>IF(AQ175="","",AF175/AQ175)</f>
        <v/>
      </c>
      <c r="AS175" s="64" t="inlineStr">
        <is>
          <t>Pass 1 (applied): Damage 15 -&gt; 18 plus STR/STA.</t>
        </is>
      </c>
      <c r="AT175" s="44">
        <f>IF(OR($E175="All",ISNUMBER(SEARCH("Warrior",$E175))),IF($C175="Caster weapon",(AN175+AF175*('Item Budget'!$AB$14-'Item Budget'!$B$11)),(AM175+AF175*('Item Budget'!$AB$14-'Item Budget'!$B$11))),0)</f>
        <v/>
      </c>
      <c r="AU175" s="44">
        <f>IF(OR($E175="All",ISNUMBER(SEARCH("Rogue",$E175))),IF($C175="Caster weapon",(AN175+AF175*('Item Budget'!$AB$15-'Item Budget'!$B$11)),(AM175+AF175*('Item Budget'!$AB$15-'Item Budget'!$B$11))),0)</f>
        <v/>
      </c>
      <c r="AV175" s="44">
        <f>IF(OR($E175="All",ISNUMBER(SEARCH("Magus",$E175))),(AN175+AF175*('Item Budget'!$AB$16-'Item Budget'!$B$11)),0)</f>
        <v/>
      </c>
      <c r="AW175" s="44">
        <f>IF(OR($E175="All",ISNUMBER(SEARCH("Priest",$E175))),(AN175+AF175*('Item Budget'!$AB$17-'Item Budget'!$B$11)),0)</f>
        <v/>
      </c>
      <c r="AX175" s="44">
        <f>IF(AND(OR($E175="All",ISNUMBER(SEARCH("Warrior",$E175))),AC175&gt;='Item Budget'!$R$10),'Item Budget'!$R$7*100*('Item Budget'!$R$14*(AD175+25*AH175)+'Item Budget'!$S$14*(AE175+25*AJ175))/'Item Budget'!$Z$14+'Item Budget'!$R$9*AF175+IFERROR(INDEX('Item Budget'!$O$25:$O$95,MATCH(AL175,'Item Budget'!$B$25:$B$95,0)),0),0)</f>
        <v/>
      </c>
      <c r="AY175" s="44">
        <f>IF(AND(OR($E175="All",ISNUMBER(SEARCH("Rogue",$E175))),AC175&gt;='Item Budget'!$R$10),'Item Budget'!$R$7*100*('Item Budget'!$R$15*(AD175+25*AH175)+'Item Budget'!$S$15*(AE175+25*AJ175))/'Item Budget'!$Z$15+'Item Budget'!$R$9*AF175+IFERROR(INDEX('Item Budget'!$O$25:$O$95,MATCH(AL175,'Item Budget'!$B$25:$B$95,0)),0),0)</f>
        <v/>
      </c>
      <c r="AZ175" s="44">
        <f>IF(AND(OR($E175="All",ISNUMBER(SEARCH("Magus",$E175))),AC175&gt;='Item Budget'!$R$10),'Item Budget'!$R$7*100*('Item Budget'!$R$16*(AD175+25*AH175)+'Item Budget'!$S$16*(AE175+25*AJ175))/'Item Budget'!$Z$16+'Item Budget'!$R$9*AF175+IFERROR(INDEX('Item Budget'!$O$25:$O$95,MATCH(AL175,'Item Budget'!$B$25:$B$95,0)),0),0)</f>
        <v/>
      </c>
      <c r="BA175" s="44">
        <f>IF(AND(OR($E175="All",ISNUMBER(SEARCH("Priest",$E175))),AC175&gt;='Item Budget'!$R$10),'Item Budget'!$R$7*100*('Item Budget'!$R$17*(AD175+25*AH175)+'Item Budget'!$S$17*(AE175+25*AJ175))/'Item Budget'!$Z$17+'Item Budget'!$R$9*AF175+IFERROR(INDEX('Item Budget'!$O$25:$O$95,MATCH(AL175,'Item Budget'!$B$25:$B$95,0)),0),0)</f>
        <v/>
      </c>
      <c r="BB175" s="52">
        <f>IF(OR($I175&lt;1,IF($I175&gt;=6,AX175,AT175)&lt;=0),"",IF(SUMPRODUCT(MAX(($C$5:$C$215=$C175)*($I$5:$I$215&gt;=1)*($I$5:$I$215&lt;$I175)*IF($I175&gt;=6,$AX$5:$AX$215,$AT$5:$AT$215)))&lt;=0,"",SUMPRODUCT(MAX(($C$5:$C$215=$C175)*($I$5:$I$215=$I175)*IF($I175&gt;=6,$AX$5:$AX$215,$AT$5:$AT$215)))/SUMPRODUCT(MAX(($C$5:$C$215=$C175)*($I$5:$I$215&gt;=1)*($I$5:$I$215&lt;$I175)*IF($I175&gt;=6,$AX$5:$AX$215,$AT$5:$AT$215)))-1))</f>
        <v/>
      </c>
      <c r="BC175" s="52">
        <f>IF(OR($I175&lt;1,IF($I175&gt;=6,AY175,AU175)&lt;=0),"",IF(SUMPRODUCT(MAX(($C$5:$C$215=$C175)*($I$5:$I$215&gt;=1)*($I$5:$I$215&lt;$I175)*IF($I175&gt;=6,$AY$5:$AY$215,$AU$5:$AU$215)))&lt;=0,"",SUMPRODUCT(MAX(($C$5:$C$215=$C175)*($I$5:$I$215=$I175)*IF($I175&gt;=6,$AY$5:$AY$215,$AU$5:$AU$215)))/SUMPRODUCT(MAX(($C$5:$C$215=$C175)*($I$5:$I$215&gt;=1)*($I$5:$I$215&lt;$I175)*IF($I175&gt;=6,$AY$5:$AY$215,$AU$5:$AU$215)))-1))</f>
        <v/>
      </c>
      <c r="BD175" s="52">
        <f>IF(OR($I175&lt;1,IF($I175&gt;=6,AZ175,AV175)&lt;=0),"",IF(SUMPRODUCT(MAX(($C$5:$C$215=$C175)*($I$5:$I$215&gt;=1)*($I$5:$I$215&lt;$I175)*IF($I175&gt;=6,$AZ$5:$AZ$215,$AV$5:$AV$215)))&lt;=0,"",SUMPRODUCT(MAX(($C$5:$C$215=$C175)*($I$5:$I$215=$I175)*IF($I175&gt;=6,$AZ$5:$AZ$215,$AV$5:$AV$215)))/SUMPRODUCT(MAX(($C$5:$C$215=$C175)*($I$5:$I$215&gt;=1)*($I$5:$I$215&lt;$I175)*IF($I175&gt;=6,$AZ$5:$AZ$215,$AV$5:$AV$215)))-1))</f>
        <v/>
      </c>
      <c r="BE175" s="52">
        <f>IF(OR($I175&lt;1,IF($I175&gt;=6,BA175,AW175)&lt;=0),"",IF(SUMPRODUCT(MAX(($C$5:$C$215=$C175)*($I$5:$I$215&gt;=1)*($I$5:$I$215&lt;$I175)*IF($I175&gt;=6,$BA$5:$BA$215,$AW$5:$AW$215)))&lt;=0,"",SUMPRODUCT(MAX(($C$5:$C$215=$C175)*($I$5:$I$215=$I175)*IF($I175&gt;=6,$BA$5:$BA$215,$AW$5:$AW$215)))/SUMPRODUCT(MAX(($C$5:$C$215=$C175)*($I$5:$I$215&gt;=1)*($I$5:$I$215&lt;$I175)*IF($I175&gt;=6,$BA$5:$BA$215,$AW$5:$AW$215)))-1))</f>
        <v/>
      </c>
      <c r="BF175" s="19">
        <f>IF(AND(BB175="",BC175="",BD175="",BE175=""),"",IF(IF(AND(ISNUMBER(BB175),BB175&lt;'Item Budget'!$R$11),"W ","")&amp;IF(AND(ISNUMBER(BC175),BC175&lt;'Item Budget'!$R$11),"R ","")&amp;IF(AND(ISNUMBER(BD175),BD175&lt;'Item Budget'!$R$11),"M ","")&amp;IF(AND(ISNUMBER(BE175),BE175&lt;'Item Budget'!$R$11),"P ","")="","OK","Not above lower step: "&amp;IF(AND(ISNUMBER(BB175),BB175&lt;'Item Budget'!$R$11),"W ","")&amp;IF(AND(ISNUMBER(BC175),BC175&lt;'Item Budget'!$R$11),"R ","")&amp;IF(AND(ISNUMBER(BD175),BD175&lt;'Item Budget'!$R$11),"M ","")&amp;IF(AND(ISNUMBER(BE175),BE175&lt;'Item Budget'!$R$11),"P ","")))</f>
        <v/>
      </c>
    </row>
    <row r="176">
      <c r="A176" s="21" t="n">
        <v>16</v>
      </c>
      <c r="B176" s="21" t="inlineStr">
        <is>
          <t>Hardwood Stave</t>
        </is>
      </c>
      <c r="C176" s="21" t="inlineStr">
        <is>
          <t>Weapon</t>
        </is>
      </c>
      <c r="D176" s="21" t="inlineStr">
        <is>
          <t>Warrior/Magus</t>
        </is>
      </c>
      <c r="E176" s="21" t="inlineStr">
        <is>
          <t>Warrior/Magus</t>
        </is>
      </c>
      <c r="F176" s="21" t="inlineStr"/>
      <c r="G176" s="21" t="inlineStr">
        <is>
          <t>drop: Bat 3%</t>
        </is>
      </c>
      <c r="H176" s="37" t="n">
        <v>0</v>
      </c>
      <c r="I176" s="21" t="n">
        <v>0</v>
      </c>
      <c r="J176" s="3" t="inlineStr">
        <is>
          <t>Applied</t>
        </is>
      </c>
      <c r="K176" s="21" t="inlineStr">
        <is>
          <t>Vendor</t>
        </is>
      </c>
      <c r="L176" s="31">
        <f>INDEX('Item Budget'!$F$5:$F$13,MATCH(K176,'Item Budget'!$E$5:$E$13,0))+IF(E176="All",0,'Item Budget'!$F$15)+LOOKUP(H176,'Item Budget'!$E$19:$E$23,'Item Budget'!$F$19:$F$23)</f>
        <v/>
      </c>
      <c r="M176" s="21" t="n">
        <v>15</v>
      </c>
      <c r="N176" s="21" t="n">
        <v>0</v>
      </c>
      <c r="O176" s="21" t="n">
        <v>0</v>
      </c>
      <c r="P176" s="21" t="n">
        <v>0</v>
      </c>
      <c r="Q176" s="21" t="n">
        <v>2</v>
      </c>
      <c r="R176" s="21" t="n">
        <v>0</v>
      </c>
      <c r="S176" s="21" t="n">
        <v>0</v>
      </c>
      <c r="T176" s="21" t="n">
        <v>3</v>
      </c>
      <c r="U176" s="21" t="n">
        <v>18</v>
      </c>
      <c r="V176" s="21" t="inlineStr">
        <is>
          <t>(none)</t>
        </is>
      </c>
      <c r="W176" s="61">
        <f>N176*'Item Budget'!$B$5+R176*'Item Budget'!$B$7+P176*'Item Budget'!$B$11+S176*'Item Budget'!$B$10+Q176*'Item Budget'!$B$9+IFERROR(INDEX('Item Budget'!$M$25:$M$95,MATCH(V176,'Item Budget'!$B$25:$B$95,0)),0)+IF($C176="Weapon",U176*'Item Budget'!$B$9,0)</f>
        <v/>
      </c>
      <c r="X176" s="61">
        <f>N176*'Item Budget'!$B$5+R176*'Item Budget'!$B$7+P176*'Item Budget'!$B$11+S176*'Item Budget'!$B$10+O176*'Item Budget'!$B$6+T176*'Item Budget'!$B$8+IFERROR(INDEX('Item Budget'!$N$25:$N$95,MATCH(V176,'Item Budget'!$B$25:$B$95,0)),0)</f>
        <v/>
      </c>
      <c r="Y176" s="61">
        <f>MAX('Item Budget'!$F$16,INDEX('Gear Budget'!$C$8:$C$14,MATCH($C176,'Gear Budget'!$A$8:$A$14,0))*MIN(M176,50))*$L176</f>
        <v/>
      </c>
      <c r="Z176" s="41">
        <f>IF($C176="Caster weapon",X176,MAX(W176,X176))/Y176</f>
        <v/>
      </c>
      <c r="AA176" s="61">
        <f>IF(OR($C176="Weapon",$C176="Caster weapon"),"",'Gear Budget'!$B$5*MAX(1,MIN(M176,50))*INDEX('Gear Budget'!$B$8:$B$14,MATCH($C176,'Gear Budget'!$A$8:$A$14,0))*IF($C176="Shield",IF(D176="Warrior",1,IF(OR(D176="Rogue",D176="All"),0.38/0.6,0.25/0.6)),IFERROR(INDEX('Gear Budget'!$B$18:$B$21,MATCH($F176,'Gear Budget'!$A$18:$A$21,0)),1)))</f>
        <v/>
      </c>
      <c r="AB176" s="41">
        <f>IF(AA176="","",P176/AA176)</f>
        <v/>
      </c>
      <c r="AC176" s="21" t="n">
        <v>15</v>
      </c>
      <c r="AD176" s="21" t="n">
        <v>0</v>
      </c>
      <c r="AE176" s="21" t="n">
        <v>0</v>
      </c>
      <c r="AF176" s="21" t="n">
        <v>0</v>
      </c>
      <c r="AG176" s="21" t="n">
        <v>2</v>
      </c>
      <c r="AH176" s="21" t="n">
        <v>0</v>
      </c>
      <c r="AI176" s="21" t="n">
        <v>0</v>
      </c>
      <c r="AJ176" s="21" t="n">
        <v>3</v>
      </c>
      <c r="AK176" s="21" t="n">
        <v>18</v>
      </c>
      <c r="AL176" s="21" t="inlineStr">
        <is>
          <t>(none)</t>
        </is>
      </c>
      <c r="AM176" s="61">
        <f>AD176*'Item Budget'!$B$5+AH176*'Item Budget'!$B$7+AF176*'Item Budget'!$B$11+AI176*'Item Budget'!$B$10+AG176*'Item Budget'!$B$9+IFERROR(INDEX('Item Budget'!$M$25:$M$95,MATCH(AL176,'Item Budget'!$B$25:$B$95,0)),0)+IF($C176="Weapon",AK176*'Item Budget'!$B$9,0)</f>
        <v/>
      </c>
      <c r="AN176" s="61">
        <f>AD176*'Item Budget'!$B$5+AH176*'Item Budget'!$B$7+AF176*'Item Budget'!$B$11+AI176*'Item Budget'!$B$10+AE176*'Item Budget'!$B$6+AJ176*'Item Budget'!$B$8+IFERROR(INDEX('Item Budget'!$N$25:$N$95,MATCH(AL176,'Item Budget'!$B$25:$B$95,0)),0)</f>
        <v/>
      </c>
      <c r="AO176" s="61">
        <f>MAX('Item Budget'!$F$16,INDEX('Gear Budget'!$C$8:$C$14,MATCH($C176,'Gear Budget'!$A$8:$A$14,0))*MIN(AC176,50))*$L176</f>
        <v/>
      </c>
      <c r="AP176" s="41">
        <f>IF($C176="Caster weapon",AN176,MAX(AM176,AN176))/AO176</f>
        <v/>
      </c>
      <c r="AQ176" s="61">
        <f>IF(OR($C176="Weapon",$C176="Caster weapon"),"",'Gear Budget'!$B$5*MAX(1,MIN(AC176,50))*INDEX('Gear Budget'!$B$8:$B$14,MATCH($C176,'Gear Budget'!$A$8:$A$14,0))*IF($C176="Shield",IF(E176="Warrior",1,IF(OR(E176="Rogue",E176="All"),0.38/0.6,0.25/0.6)),IFERROR(INDEX('Gear Budget'!$B$18:$B$21,MATCH($F176,'Gear Budget'!$A$18:$A$21,0)),1)))</f>
        <v/>
      </c>
      <c r="AR176" s="41">
        <f>IF(AQ176="","",AF176/AQ176)</f>
        <v/>
      </c>
      <c r="AS176" s="64" t="inlineStr">
        <is>
          <t>Pass 1 (applied): Damage 15 -&gt; 18 plus STR/INT.</t>
        </is>
      </c>
      <c r="AT176" s="44">
        <f>IF(OR($E176="All",ISNUMBER(SEARCH("Warrior",$E176))),IF($C176="Caster weapon",(AN176+AF176*('Item Budget'!$AB$14-'Item Budget'!$B$11)),(AM176+AF176*('Item Budget'!$AB$14-'Item Budget'!$B$11))),0)</f>
        <v/>
      </c>
      <c r="AU176" s="44">
        <f>IF(OR($E176="All",ISNUMBER(SEARCH("Rogue",$E176))),IF($C176="Caster weapon",(AN176+AF176*('Item Budget'!$AB$15-'Item Budget'!$B$11)),(AM176+AF176*('Item Budget'!$AB$15-'Item Budget'!$B$11))),0)</f>
        <v/>
      </c>
      <c r="AV176" s="44">
        <f>IF(OR($E176="All",ISNUMBER(SEARCH("Magus",$E176))),(AN176+AF176*('Item Budget'!$AB$16-'Item Budget'!$B$11)),0)</f>
        <v/>
      </c>
      <c r="AW176" s="44">
        <f>IF(OR($E176="All",ISNUMBER(SEARCH("Priest",$E176))),(AN176+AF176*('Item Budget'!$AB$17-'Item Budget'!$B$11)),0)</f>
        <v/>
      </c>
      <c r="AX176" s="44">
        <f>IF(AND(OR($E176="All",ISNUMBER(SEARCH("Warrior",$E176))),AC176&gt;='Item Budget'!$R$10),'Item Budget'!$R$7*100*('Item Budget'!$R$14*(AD176+25*AH176)+'Item Budget'!$S$14*(AE176+25*AJ176))/'Item Budget'!$Z$14+'Item Budget'!$R$9*AF176+IFERROR(INDEX('Item Budget'!$O$25:$O$95,MATCH(AL176,'Item Budget'!$B$25:$B$95,0)),0),0)</f>
        <v/>
      </c>
      <c r="AY176" s="44">
        <f>IF(AND(OR($E176="All",ISNUMBER(SEARCH("Rogue",$E176))),AC176&gt;='Item Budget'!$R$10),'Item Budget'!$R$7*100*('Item Budget'!$R$15*(AD176+25*AH176)+'Item Budget'!$S$15*(AE176+25*AJ176))/'Item Budget'!$Z$15+'Item Budget'!$R$9*AF176+IFERROR(INDEX('Item Budget'!$O$25:$O$95,MATCH(AL176,'Item Budget'!$B$25:$B$95,0)),0),0)</f>
        <v/>
      </c>
      <c r="AZ176" s="44">
        <f>IF(AND(OR($E176="All",ISNUMBER(SEARCH("Magus",$E176))),AC176&gt;='Item Budget'!$R$10),'Item Budget'!$R$7*100*('Item Budget'!$R$16*(AD176+25*AH176)+'Item Budget'!$S$16*(AE176+25*AJ176))/'Item Budget'!$Z$16+'Item Budget'!$R$9*AF176+IFERROR(INDEX('Item Budget'!$O$25:$O$95,MATCH(AL176,'Item Budget'!$B$25:$B$95,0)),0),0)</f>
        <v/>
      </c>
      <c r="BA176" s="44">
        <f>IF(AND(OR($E176="All",ISNUMBER(SEARCH("Priest",$E176))),AC176&gt;='Item Budget'!$R$10),'Item Budget'!$R$7*100*('Item Budget'!$R$17*(AD176+25*AH176)+'Item Budget'!$S$17*(AE176+25*AJ176))/'Item Budget'!$Z$17+'Item Budget'!$R$9*AF176+IFERROR(INDEX('Item Budget'!$O$25:$O$95,MATCH(AL176,'Item Budget'!$B$25:$B$95,0)),0),0)</f>
        <v/>
      </c>
      <c r="BB176" s="52">
        <f>IF(OR($I176&lt;1,IF($I176&gt;=6,AX176,AT176)&lt;=0),"",IF(SUMPRODUCT(MAX(($C$5:$C$215=$C176)*($I$5:$I$215&gt;=1)*($I$5:$I$215&lt;$I176)*IF($I176&gt;=6,$AX$5:$AX$215,$AT$5:$AT$215)))&lt;=0,"",SUMPRODUCT(MAX(($C$5:$C$215=$C176)*($I$5:$I$215=$I176)*IF($I176&gt;=6,$AX$5:$AX$215,$AT$5:$AT$215)))/SUMPRODUCT(MAX(($C$5:$C$215=$C176)*($I$5:$I$215&gt;=1)*($I$5:$I$215&lt;$I176)*IF($I176&gt;=6,$AX$5:$AX$215,$AT$5:$AT$215)))-1))</f>
        <v/>
      </c>
      <c r="BC176" s="52">
        <f>IF(OR($I176&lt;1,IF($I176&gt;=6,AY176,AU176)&lt;=0),"",IF(SUMPRODUCT(MAX(($C$5:$C$215=$C176)*($I$5:$I$215&gt;=1)*($I$5:$I$215&lt;$I176)*IF($I176&gt;=6,$AY$5:$AY$215,$AU$5:$AU$215)))&lt;=0,"",SUMPRODUCT(MAX(($C$5:$C$215=$C176)*($I$5:$I$215=$I176)*IF($I176&gt;=6,$AY$5:$AY$215,$AU$5:$AU$215)))/SUMPRODUCT(MAX(($C$5:$C$215=$C176)*($I$5:$I$215&gt;=1)*($I$5:$I$215&lt;$I176)*IF($I176&gt;=6,$AY$5:$AY$215,$AU$5:$AU$215)))-1))</f>
        <v/>
      </c>
      <c r="BD176" s="52">
        <f>IF(OR($I176&lt;1,IF($I176&gt;=6,AZ176,AV176)&lt;=0),"",IF(SUMPRODUCT(MAX(($C$5:$C$215=$C176)*($I$5:$I$215&gt;=1)*($I$5:$I$215&lt;$I176)*IF($I176&gt;=6,$AZ$5:$AZ$215,$AV$5:$AV$215)))&lt;=0,"",SUMPRODUCT(MAX(($C$5:$C$215=$C176)*($I$5:$I$215=$I176)*IF($I176&gt;=6,$AZ$5:$AZ$215,$AV$5:$AV$215)))/SUMPRODUCT(MAX(($C$5:$C$215=$C176)*($I$5:$I$215&gt;=1)*($I$5:$I$215&lt;$I176)*IF($I176&gt;=6,$AZ$5:$AZ$215,$AV$5:$AV$215)))-1))</f>
        <v/>
      </c>
      <c r="BE176" s="52">
        <f>IF(OR($I176&lt;1,IF($I176&gt;=6,BA176,AW176)&lt;=0),"",IF(SUMPRODUCT(MAX(($C$5:$C$215=$C176)*($I$5:$I$215&gt;=1)*($I$5:$I$215&lt;$I176)*IF($I176&gt;=6,$BA$5:$BA$215,$AW$5:$AW$215)))&lt;=0,"",SUMPRODUCT(MAX(($C$5:$C$215=$C176)*($I$5:$I$215=$I176)*IF($I176&gt;=6,$BA$5:$BA$215,$AW$5:$AW$215)))/SUMPRODUCT(MAX(($C$5:$C$215=$C176)*($I$5:$I$215&gt;=1)*($I$5:$I$215&lt;$I176)*IF($I176&gt;=6,$BA$5:$BA$215,$AW$5:$AW$215)))-1))</f>
        <v/>
      </c>
      <c r="BF176" s="19">
        <f>IF(AND(BB176="",BC176="",BD176="",BE176=""),"",IF(IF(AND(ISNUMBER(BB176),BB176&lt;'Item Budget'!$R$11),"W ","")&amp;IF(AND(ISNUMBER(BC176),BC176&lt;'Item Budget'!$R$11),"R ","")&amp;IF(AND(ISNUMBER(BD176),BD176&lt;'Item Budget'!$R$11),"M ","")&amp;IF(AND(ISNUMBER(BE176),BE176&lt;'Item Budget'!$R$11),"P ","")="","OK","Not above lower step: "&amp;IF(AND(ISNUMBER(BB176),BB176&lt;'Item Budget'!$R$11),"W ","")&amp;IF(AND(ISNUMBER(BC176),BC176&lt;'Item Budget'!$R$11),"R ","")&amp;IF(AND(ISNUMBER(BD176),BD176&lt;'Item Budget'!$R$11),"M ","")&amp;IF(AND(ISNUMBER(BE176),BE176&lt;'Item Budget'!$R$11),"P ","")))</f>
        <v/>
      </c>
    </row>
    <row r="177">
      <c r="A177" s="21" t="n">
        <v>17</v>
      </c>
      <c r="B177" s="21" t="inlineStr">
        <is>
          <t>Grim Dagger</t>
        </is>
      </c>
      <c r="C177" s="21" t="inlineStr">
        <is>
          <t>Weapon</t>
        </is>
      </c>
      <c r="D177" s="21" t="inlineStr">
        <is>
          <t>Rogue/Warrior/Magus</t>
        </is>
      </c>
      <c r="E177" s="21" t="inlineStr">
        <is>
          <t>Rogue/Warrior/Magus</t>
        </is>
      </c>
      <c r="F177" s="21" t="inlineStr"/>
      <c r="G177" s="21" t="inlineStr">
        <is>
          <t>drop: Bat 3%</t>
        </is>
      </c>
      <c r="H177" s="37" t="n">
        <v>0</v>
      </c>
      <c r="I177" s="21" t="n">
        <v>0</v>
      </c>
      <c r="J177" s="3" t="inlineStr">
        <is>
          <t>Applied</t>
        </is>
      </c>
      <c r="K177" s="21" t="inlineStr">
        <is>
          <t>Vendor</t>
        </is>
      </c>
      <c r="L177" s="31">
        <f>INDEX('Item Budget'!$F$5:$F$13,MATCH(K177,'Item Budget'!$E$5:$E$13,0))+IF(E177="All",0,'Item Budget'!$F$15)+LOOKUP(H177,'Item Budget'!$E$19:$E$23,'Item Budget'!$F$19:$F$23)</f>
        <v/>
      </c>
      <c r="M177" s="21" t="n">
        <v>15</v>
      </c>
      <c r="N177" s="21" t="n">
        <v>0</v>
      </c>
      <c r="O177" s="21" t="n">
        <v>0</v>
      </c>
      <c r="P177" s="21" t="n">
        <v>0</v>
      </c>
      <c r="Q177" s="21" t="n">
        <v>2</v>
      </c>
      <c r="R177" s="21" t="n">
        <v>0</v>
      </c>
      <c r="S177" s="21" t="n">
        <v>5</v>
      </c>
      <c r="T177" s="21" t="n">
        <v>0</v>
      </c>
      <c r="U177" s="21" t="n">
        <v>19</v>
      </c>
      <c r="V177" s="21" t="inlineStr">
        <is>
          <t>(none)</t>
        </is>
      </c>
      <c r="W177" s="61">
        <f>N177*'Item Budget'!$B$5+R177*'Item Budget'!$B$7+P177*'Item Budget'!$B$11+S177*'Item Budget'!$B$10+Q177*'Item Budget'!$B$9+IFERROR(INDEX('Item Budget'!$M$25:$M$95,MATCH(V177,'Item Budget'!$B$25:$B$95,0)),0)+IF($C177="Weapon",U177*'Item Budget'!$B$9,0)</f>
        <v/>
      </c>
      <c r="X177" s="61">
        <f>N177*'Item Budget'!$B$5+R177*'Item Budget'!$B$7+P177*'Item Budget'!$B$11+S177*'Item Budget'!$B$10+O177*'Item Budget'!$B$6+T177*'Item Budget'!$B$8+IFERROR(INDEX('Item Budget'!$N$25:$N$95,MATCH(V177,'Item Budget'!$B$25:$B$95,0)),0)</f>
        <v/>
      </c>
      <c r="Y177" s="61">
        <f>MAX('Item Budget'!$F$16,INDEX('Gear Budget'!$C$8:$C$14,MATCH($C177,'Gear Budget'!$A$8:$A$14,0))*MIN(M177,50))*$L177</f>
        <v/>
      </c>
      <c r="Z177" s="41">
        <f>IF($C177="Caster weapon",X177,MAX(W177,X177))/Y177</f>
        <v/>
      </c>
      <c r="AA177" s="61">
        <f>IF(OR($C177="Weapon",$C177="Caster weapon"),"",'Gear Budget'!$B$5*MAX(1,MIN(M177,50))*INDEX('Gear Budget'!$B$8:$B$14,MATCH($C177,'Gear Budget'!$A$8:$A$14,0))*IF($C177="Shield",IF(D177="Warrior",1,IF(OR(D177="Rogue",D177="All"),0.38/0.6,0.25/0.6)),IFERROR(INDEX('Gear Budget'!$B$18:$B$21,MATCH($F177,'Gear Budget'!$A$18:$A$21,0)),1)))</f>
        <v/>
      </c>
      <c r="AB177" s="41">
        <f>IF(AA177="","",P177/AA177)</f>
        <v/>
      </c>
      <c r="AC177" s="21" t="n">
        <v>15</v>
      </c>
      <c r="AD177" s="21" t="n">
        <v>0</v>
      </c>
      <c r="AE177" s="21" t="n">
        <v>0</v>
      </c>
      <c r="AF177" s="21" t="n">
        <v>0</v>
      </c>
      <c r="AG177" s="21" t="n">
        <v>2</v>
      </c>
      <c r="AH177" s="21" t="n">
        <v>0</v>
      </c>
      <c r="AI177" s="21" t="n">
        <v>5</v>
      </c>
      <c r="AJ177" s="21" t="n">
        <v>0</v>
      </c>
      <c r="AK177" s="21" t="n">
        <v>19</v>
      </c>
      <c r="AL177" s="21" t="inlineStr">
        <is>
          <t>(none)</t>
        </is>
      </c>
      <c r="AM177" s="61">
        <f>AD177*'Item Budget'!$B$5+AH177*'Item Budget'!$B$7+AF177*'Item Budget'!$B$11+AI177*'Item Budget'!$B$10+AG177*'Item Budget'!$B$9+IFERROR(INDEX('Item Budget'!$M$25:$M$95,MATCH(AL177,'Item Budget'!$B$25:$B$95,0)),0)+IF($C177="Weapon",AK177*'Item Budget'!$B$9,0)</f>
        <v/>
      </c>
      <c r="AN177" s="61">
        <f>AD177*'Item Budget'!$B$5+AH177*'Item Budget'!$B$7+AF177*'Item Budget'!$B$11+AI177*'Item Budget'!$B$10+AE177*'Item Budget'!$B$6+AJ177*'Item Budget'!$B$8+IFERROR(INDEX('Item Budget'!$N$25:$N$95,MATCH(AL177,'Item Budget'!$B$25:$B$95,0)),0)</f>
        <v/>
      </c>
      <c r="AO177" s="61">
        <f>MAX('Item Budget'!$F$16,INDEX('Gear Budget'!$C$8:$C$14,MATCH($C177,'Gear Budget'!$A$8:$A$14,0))*MIN(AC177,50))*$L177</f>
        <v/>
      </c>
      <c r="AP177" s="41">
        <f>IF($C177="Caster weapon",AN177,MAX(AM177,AN177))/AO177</f>
        <v/>
      </c>
      <c r="AQ177" s="61">
        <f>IF(OR($C177="Weapon",$C177="Caster weapon"),"",'Gear Budget'!$B$5*MAX(1,MIN(AC177,50))*INDEX('Gear Budget'!$B$8:$B$14,MATCH($C177,'Gear Budget'!$A$8:$A$14,0))*IF($C177="Shield",IF(E177="Warrior",1,IF(OR(E177="Rogue",E177="All"),0.38/0.6,0.25/0.6)),IFERROR(INDEX('Gear Budget'!$B$18:$B$21,MATCH($F177,'Gear Budget'!$A$18:$A$21,0)),1)))</f>
        <v/>
      </c>
      <c r="AR177" s="41">
        <f>IF(AQ177="","",AF177/AQ177)</f>
        <v/>
      </c>
      <c r="AS177" s="64" t="inlineStr">
        <is>
          <t>Pass 1 (applied): Token STR/DEX.</t>
        </is>
      </c>
      <c r="AT177" s="44">
        <f>IF(OR($E177="All",ISNUMBER(SEARCH("Warrior",$E177))),IF($C177="Caster weapon",(AN177+AF177*('Item Budget'!$AB$14-'Item Budget'!$B$11)),(AM177+AF177*('Item Budget'!$AB$14-'Item Budget'!$B$11))),0)</f>
        <v/>
      </c>
      <c r="AU177" s="44">
        <f>IF(OR($E177="All",ISNUMBER(SEARCH("Rogue",$E177))),IF($C177="Caster weapon",(AN177+AF177*('Item Budget'!$AB$15-'Item Budget'!$B$11)),(AM177+AF177*('Item Budget'!$AB$15-'Item Budget'!$B$11))),0)</f>
        <v/>
      </c>
      <c r="AV177" s="44">
        <f>IF(OR($E177="All",ISNUMBER(SEARCH("Magus",$E177))),(AN177+AF177*('Item Budget'!$AB$16-'Item Budget'!$B$11)),0)</f>
        <v/>
      </c>
      <c r="AW177" s="44">
        <f>IF(OR($E177="All",ISNUMBER(SEARCH("Priest",$E177))),(AN177+AF177*('Item Budget'!$AB$17-'Item Budget'!$B$11)),0)</f>
        <v/>
      </c>
      <c r="AX177" s="44">
        <f>IF(AND(OR($E177="All",ISNUMBER(SEARCH("Warrior",$E177))),AC177&gt;='Item Budget'!$R$10),'Item Budget'!$R$7*100*('Item Budget'!$R$14*(AD177+25*AH177)+'Item Budget'!$S$14*(AE177+25*AJ177))/'Item Budget'!$Z$14+'Item Budget'!$R$9*AF177+IFERROR(INDEX('Item Budget'!$O$25:$O$95,MATCH(AL177,'Item Budget'!$B$25:$B$95,0)),0),0)</f>
        <v/>
      </c>
      <c r="AY177" s="44">
        <f>IF(AND(OR($E177="All",ISNUMBER(SEARCH("Rogue",$E177))),AC177&gt;='Item Budget'!$R$10),'Item Budget'!$R$7*100*('Item Budget'!$R$15*(AD177+25*AH177)+'Item Budget'!$S$15*(AE177+25*AJ177))/'Item Budget'!$Z$15+'Item Budget'!$R$9*AF177+IFERROR(INDEX('Item Budget'!$O$25:$O$95,MATCH(AL177,'Item Budget'!$B$25:$B$95,0)),0),0)</f>
        <v/>
      </c>
      <c r="AZ177" s="44">
        <f>IF(AND(OR($E177="All",ISNUMBER(SEARCH("Magus",$E177))),AC177&gt;='Item Budget'!$R$10),'Item Budget'!$R$7*100*('Item Budget'!$R$16*(AD177+25*AH177)+'Item Budget'!$S$16*(AE177+25*AJ177))/'Item Budget'!$Z$16+'Item Budget'!$R$9*AF177+IFERROR(INDEX('Item Budget'!$O$25:$O$95,MATCH(AL177,'Item Budget'!$B$25:$B$95,0)),0),0)</f>
        <v/>
      </c>
      <c r="BA177" s="44">
        <f>IF(AND(OR($E177="All",ISNUMBER(SEARCH("Priest",$E177))),AC177&gt;='Item Budget'!$R$10),'Item Budget'!$R$7*100*('Item Budget'!$R$17*(AD177+25*AH177)+'Item Budget'!$S$17*(AE177+25*AJ177))/'Item Budget'!$Z$17+'Item Budget'!$R$9*AF177+IFERROR(INDEX('Item Budget'!$O$25:$O$95,MATCH(AL177,'Item Budget'!$B$25:$B$95,0)),0),0)</f>
        <v/>
      </c>
      <c r="BB177" s="52">
        <f>IF(OR($I177&lt;1,IF($I177&gt;=6,AX177,AT177)&lt;=0),"",IF(SUMPRODUCT(MAX(($C$5:$C$215=$C177)*($I$5:$I$215&gt;=1)*($I$5:$I$215&lt;$I177)*IF($I177&gt;=6,$AX$5:$AX$215,$AT$5:$AT$215)))&lt;=0,"",SUMPRODUCT(MAX(($C$5:$C$215=$C177)*($I$5:$I$215=$I177)*IF($I177&gt;=6,$AX$5:$AX$215,$AT$5:$AT$215)))/SUMPRODUCT(MAX(($C$5:$C$215=$C177)*($I$5:$I$215&gt;=1)*($I$5:$I$215&lt;$I177)*IF($I177&gt;=6,$AX$5:$AX$215,$AT$5:$AT$215)))-1))</f>
        <v/>
      </c>
      <c r="BC177" s="52">
        <f>IF(OR($I177&lt;1,IF($I177&gt;=6,AY177,AU177)&lt;=0),"",IF(SUMPRODUCT(MAX(($C$5:$C$215=$C177)*($I$5:$I$215&gt;=1)*($I$5:$I$215&lt;$I177)*IF($I177&gt;=6,$AY$5:$AY$215,$AU$5:$AU$215)))&lt;=0,"",SUMPRODUCT(MAX(($C$5:$C$215=$C177)*($I$5:$I$215=$I177)*IF($I177&gt;=6,$AY$5:$AY$215,$AU$5:$AU$215)))/SUMPRODUCT(MAX(($C$5:$C$215=$C177)*($I$5:$I$215&gt;=1)*($I$5:$I$215&lt;$I177)*IF($I177&gt;=6,$AY$5:$AY$215,$AU$5:$AU$215)))-1))</f>
        <v/>
      </c>
      <c r="BD177" s="52">
        <f>IF(OR($I177&lt;1,IF($I177&gt;=6,AZ177,AV177)&lt;=0),"",IF(SUMPRODUCT(MAX(($C$5:$C$215=$C177)*($I$5:$I$215&gt;=1)*($I$5:$I$215&lt;$I177)*IF($I177&gt;=6,$AZ$5:$AZ$215,$AV$5:$AV$215)))&lt;=0,"",SUMPRODUCT(MAX(($C$5:$C$215=$C177)*($I$5:$I$215=$I177)*IF($I177&gt;=6,$AZ$5:$AZ$215,$AV$5:$AV$215)))/SUMPRODUCT(MAX(($C$5:$C$215=$C177)*($I$5:$I$215&gt;=1)*($I$5:$I$215&lt;$I177)*IF($I177&gt;=6,$AZ$5:$AZ$215,$AV$5:$AV$215)))-1))</f>
        <v/>
      </c>
      <c r="BE177" s="52">
        <f>IF(OR($I177&lt;1,IF($I177&gt;=6,BA177,AW177)&lt;=0),"",IF(SUMPRODUCT(MAX(($C$5:$C$215=$C177)*($I$5:$I$215&gt;=1)*($I$5:$I$215&lt;$I177)*IF($I177&gt;=6,$BA$5:$BA$215,$AW$5:$AW$215)))&lt;=0,"",SUMPRODUCT(MAX(($C$5:$C$215=$C177)*($I$5:$I$215=$I177)*IF($I177&gt;=6,$BA$5:$BA$215,$AW$5:$AW$215)))/SUMPRODUCT(MAX(($C$5:$C$215=$C177)*($I$5:$I$215&gt;=1)*($I$5:$I$215&lt;$I177)*IF($I177&gt;=6,$BA$5:$BA$215,$AW$5:$AW$215)))-1))</f>
        <v/>
      </c>
      <c r="BF177" s="19">
        <f>IF(AND(BB177="",BC177="",BD177="",BE177=""),"",IF(IF(AND(ISNUMBER(BB177),BB177&lt;'Item Budget'!$R$11),"W ","")&amp;IF(AND(ISNUMBER(BC177),BC177&lt;'Item Budget'!$R$11),"R ","")&amp;IF(AND(ISNUMBER(BD177),BD177&lt;'Item Budget'!$R$11),"M ","")&amp;IF(AND(ISNUMBER(BE177),BE177&lt;'Item Budget'!$R$11),"P ","")="","OK","Not above lower step: "&amp;IF(AND(ISNUMBER(BB177),BB177&lt;'Item Budget'!$R$11),"W ","")&amp;IF(AND(ISNUMBER(BC177),BC177&lt;'Item Budget'!$R$11),"R ","")&amp;IF(AND(ISNUMBER(BD177),BD177&lt;'Item Budget'!$R$11),"M ","")&amp;IF(AND(ISNUMBER(BE177),BE177&lt;'Item Budget'!$R$11),"P ","")))</f>
        <v/>
      </c>
    </row>
    <row r="178">
      <c r="A178" s="21" t="n">
        <v>18</v>
      </c>
      <c r="B178" s="21" t="inlineStr">
        <is>
          <t>Long Sword</t>
        </is>
      </c>
      <c r="C178" s="21" t="inlineStr">
        <is>
          <t>Weapon</t>
        </is>
      </c>
      <c r="D178" s="21" t="inlineStr">
        <is>
          <t>Rogue/Warrior</t>
        </is>
      </c>
      <c r="E178" s="21" t="inlineStr">
        <is>
          <t>Rogue/Warrior</t>
        </is>
      </c>
      <c r="F178" s="21" t="inlineStr"/>
      <c r="G178" s="21" t="inlineStr">
        <is>
          <t>drop: Bat 3%</t>
        </is>
      </c>
      <c r="H178" s="37" t="n">
        <v>0</v>
      </c>
      <c r="I178" s="21" t="n">
        <v>0</v>
      </c>
      <c r="J178" s="3" t="inlineStr">
        <is>
          <t>Applied</t>
        </is>
      </c>
      <c r="K178" s="21" t="inlineStr">
        <is>
          <t>Vendor</t>
        </is>
      </c>
      <c r="L178" s="31">
        <f>INDEX('Item Budget'!$F$5:$F$13,MATCH(K178,'Item Budget'!$E$5:$E$13,0))+IF(E178="All",0,'Item Budget'!$F$15)+LOOKUP(H178,'Item Budget'!$E$19:$E$23,'Item Budget'!$F$19:$F$23)</f>
        <v/>
      </c>
      <c r="M178" s="21" t="n">
        <v>15</v>
      </c>
      <c r="N178" s="21" t="n">
        <v>0</v>
      </c>
      <c r="O178" s="21" t="n">
        <v>0</v>
      </c>
      <c r="P178" s="21" t="n">
        <v>0</v>
      </c>
      <c r="Q178" s="21" t="n">
        <v>2</v>
      </c>
      <c r="R178" s="21" t="n">
        <v>0</v>
      </c>
      <c r="S178" s="21" t="n">
        <v>0</v>
      </c>
      <c r="T178" s="21" t="n">
        <v>0</v>
      </c>
      <c r="U178" s="21" t="n">
        <v>24</v>
      </c>
      <c r="V178" s="21" t="inlineStr">
        <is>
          <t>(none)</t>
        </is>
      </c>
      <c r="W178" s="61">
        <f>N178*'Item Budget'!$B$5+R178*'Item Budget'!$B$7+P178*'Item Budget'!$B$11+S178*'Item Budget'!$B$10+Q178*'Item Budget'!$B$9+IFERROR(INDEX('Item Budget'!$M$25:$M$95,MATCH(V178,'Item Budget'!$B$25:$B$95,0)),0)+IF($C178="Weapon",U178*'Item Budget'!$B$9,0)</f>
        <v/>
      </c>
      <c r="X178" s="61">
        <f>N178*'Item Budget'!$B$5+R178*'Item Budget'!$B$7+P178*'Item Budget'!$B$11+S178*'Item Budget'!$B$10+O178*'Item Budget'!$B$6+T178*'Item Budget'!$B$8+IFERROR(INDEX('Item Budget'!$N$25:$N$95,MATCH(V178,'Item Budget'!$B$25:$B$95,0)),0)</f>
        <v/>
      </c>
      <c r="Y178" s="61">
        <f>MAX('Item Budget'!$F$16,INDEX('Gear Budget'!$C$8:$C$14,MATCH($C178,'Gear Budget'!$A$8:$A$14,0))*MIN(M178,50))*$L178</f>
        <v/>
      </c>
      <c r="Z178" s="41">
        <f>IF($C178="Caster weapon",X178,MAX(W178,X178))/Y178</f>
        <v/>
      </c>
      <c r="AA178" s="61">
        <f>IF(OR($C178="Weapon",$C178="Caster weapon"),"",'Gear Budget'!$B$5*MAX(1,MIN(M178,50))*INDEX('Gear Budget'!$B$8:$B$14,MATCH($C178,'Gear Budget'!$A$8:$A$14,0))*IF($C178="Shield",IF(D178="Warrior",1,IF(OR(D178="Rogue",D178="All"),0.38/0.6,0.25/0.6)),IFERROR(INDEX('Gear Budget'!$B$18:$B$21,MATCH($F178,'Gear Budget'!$A$18:$A$21,0)),1)))</f>
        <v/>
      </c>
      <c r="AB178" s="41">
        <f>IF(AA178="","",P178/AA178)</f>
        <v/>
      </c>
      <c r="AC178" s="21" t="n">
        <v>15</v>
      </c>
      <c r="AD178" s="21" t="n">
        <v>0</v>
      </c>
      <c r="AE178" s="21" t="n">
        <v>0</v>
      </c>
      <c r="AF178" s="21" t="n">
        <v>0</v>
      </c>
      <c r="AG178" s="21" t="n">
        <v>2</v>
      </c>
      <c r="AH178" s="21" t="n">
        <v>0</v>
      </c>
      <c r="AI178" s="21" t="n">
        <v>0</v>
      </c>
      <c r="AJ178" s="21" t="n">
        <v>0</v>
      </c>
      <c r="AK178" s="21" t="n">
        <v>24</v>
      </c>
      <c r="AL178" s="21" t="inlineStr">
        <is>
          <t>(none)</t>
        </is>
      </c>
      <c r="AM178" s="61">
        <f>AD178*'Item Budget'!$B$5+AH178*'Item Budget'!$B$7+AF178*'Item Budget'!$B$11+AI178*'Item Budget'!$B$10+AG178*'Item Budget'!$B$9+IFERROR(INDEX('Item Budget'!$M$25:$M$95,MATCH(AL178,'Item Budget'!$B$25:$B$95,0)),0)+IF($C178="Weapon",AK178*'Item Budget'!$B$9,0)</f>
        <v/>
      </c>
      <c r="AN178" s="61">
        <f>AD178*'Item Budget'!$B$5+AH178*'Item Budget'!$B$7+AF178*'Item Budget'!$B$11+AI178*'Item Budget'!$B$10+AE178*'Item Budget'!$B$6+AJ178*'Item Budget'!$B$8+IFERROR(INDEX('Item Budget'!$N$25:$N$95,MATCH(AL178,'Item Budget'!$B$25:$B$95,0)),0)</f>
        <v/>
      </c>
      <c r="AO178" s="61">
        <f>MAX('Item Budget'!$F$16,INDEX('Gear Budget'!$C$8:$C$14,MATCH($C178,'Gear Budget'!$A$8:$A$14,0))*MIN(AC178,50))*$L178</f>
        <v/>
      </c>
      <c r="AP178" s="41">
        <f>IF($C178="Caster weapon",AN178,MAX(AM178,AN178))/AO178</f>
        <v/>
      </c>
      <c r="AQ178" s="61">
        <f>IF(OR($C178="Weapon",$C178="Caster weapon"),"",'Gear Budget'!$B$5*MAX(1,MIN(AC178,50))*INDEX('Gear Budget'!$B$8:$B$14,MATCH($C178,'Gear Budget'!$A$8:$A$14,0))*IF($C178="Shield",IF(E178="Warrior",1,IF(OR(E178="Rogue",E178="All"),0.38/0.6,0.25/0.6)),IFERROR(INDEX('Gear Budget'!$B$18:$B$21,MATCH($F178,'Gear Budget'!$A$18:$A$21,0)),1)))</f>
        <v/>
      </c>
      <c r="AR178" s="41">
        <f>IF(AQ178="","",AF178/AQ178)</f>
        <v/>
      </c>
      <c r="AS178" s="64" t="inlineStr">
        <is>
          <t>Pass 1 (applied): Token +2 STR.</t>
        </is>
      </c>
      <c r="AT178" s="44">
        <f>IF(OR($E178="All",ISNUMBER(SEARCH("Warrior",$E178))),IF($C178="Caster weapon",(AN178+AF178*('Item Budget'!$AB$14-'Item Budget'!$B$11)),(AM178+AF178*('Item Budget'!$AB$14-'Item Budget'!$B$11))),0)</f>
        <v/>
      </c>
      <c r="AU178" s="44">
        <f>IF(OR($E178="All",ISNUMBER(SEARCH("Rogue",$E178))),IF($C178="Caster weapon",(AN178+AF178*('Item Budget'!$AB$15-'Item Budget'!$B$11)),(AM178+AF178*('Item Budget'!$AB$15-'Item Budget'!$B$11))),0)</f>
        <v/>
      </c>
      <c r="AV178" s="44">
        <f>IF(OR($E178="All",ISNUMBER(SEARCH("Magus",$E178))),(AN178+AF178*('Item Budget'!$AB$16-'Item Budget'!$B$11)),0)</f>
        <v/>
      </c>
      <c r="AW178" s="44">
        <f>IF(OR($E178="All",ISNUMBER(SEARCH("Priest",$E178))),(AN178+AF178*('Item Budget'!$AB$17-'Item Budget'!$B$11)),0)</f>
        <v/>
      </c>
      <c r="AX178" s="44">
        <f>IF(AND(OR($E178="All",ISNUMBER(SEARCH("Warrior",$E178))),AC178&gt;='Item Budget'!$R$10),'Item Budget'!$R$7*100*('Item Budget'!$R$14*(AD178+25*AH178)+'Item Budget'!$S$14*(AE178+25*AJ178))/'Item Budget'!$Z$14+'Item Budget'!$R$9*AF178+IFERROR(INDEX('Item Budget'!$O$25:$O$95,MATCH(AL178,'Item Budget'!$B$25:$B$95,0)),0),0)</f>
        <v/>
      </c>
      <c r="AY178" s="44">
        <f>IF(AND(OR($E178="All",ISNUMBER(SEARCH("Rogue",$E178))),AC178&gt;='Item Budget'!$R$10),'Item Budget'!$R$7*100*('Item Budget'!$R$15*(AD178+25*AH178)+'Item Budget'!$S$15*(AE178+25*AJ178))/'Item Budget'!$Z$15+'Item Budget'!$R$9*AF178+IFERROR(INDEX('Item Budget'!$O$25:$O$95,MATCH(AL178,'Item Budget'!$B$25:$B$95,0)),0),0)</f>
        <v/>
      </c>
      <c r="AZ178" s="44">
        <f>IF(AND(OR($E178="All",ISNUMBER(SEARCH("Magus",$E178))),AC178&gt;='Item Budget'!$R$10),'Item Budget'!$R$7*100*('Item Budget'!$R$16*(AD178+25*AH178)+'Item Budget'!$S$16*(AE178+25*AJ178))/'Item Budget'!$Z$16+'Item Budget'!$R$9*AF178+IFERROR(INDEX('Item Budget'!$O$25:$O$95,MATCH(AL178,'Item Budget'!$B$25:$B$95,0)),0),0)</f>
        <v/>
      </c>
      <c r="BA178" s="44">
        <f>IF(AND(OR($E178="All",ISNUMBER(SEARCH("Priest",$E178))),AC178&gt;='Item Budget'!$R$10),'Item Budget'!$R$7*100*('Item Budget'!$R$17*(AD178+25*AH178)+'Item Budget'!$S$17*(AE178+25*AJ178))/'Item Budget'!$Z$17+'Item Budget'!$R$9*AF178+IFERROR(INDEX('Item Budget'!$O$25:$O$95,MATCH(AL178,'Item Budget'!$B$25:$B$95,0)),0),0)</f>
        <v/>
      </c>
      <c r="BB178" s="52">
        <f>IF(OR($I178&lt;1,IF($I178&gt;=6,AX178,AT178)&lt;=0),"",IF(SUMPRODUCT(MAX(($C$5:$C$215=$C178)*($I$5:$I$215&gt;=1)*($I$5:$I$215&lt;$I178)*IF($I178&gt;=6,$AX$5:$AX$215,$AT$5:$AT$215)))&lt;=0,"",SUMPRODUCT(MAX(($C$5:$C$215=$C178)*($I$5:$I$215=$I178)*IF($I178&gt;=6,$AX$5:$AX$215,$AT$5:$AT$215)))/SUMPRODUCT(MAX(($C$5:$C$215=$C178)*($I$5:$I$215&gt;=1)*($I$5:$I$215&lt;$I178)*IF($I178&gt;=6,$AX$5:$AX$215,$AT$5:$AT$215)))-1))</f>
        <v/>
      </c>
      <c r="BC178" s="52">
        <f>IF(OR($I178&lt;1,IF($I178&gt;=6,AY178,AU178)&lt;=0),"",IF(SUMPRODUCT(MAX(($C$5:$C$215=$C178)*($I$5:$I$215&gt;=1)*($I$5:$I$215&lt;$I178)*IF($I178&gt;=6,$AY$5:$AY$215,$AU$5:$AU$215)))&lt;=0,"",SUMPRODUCT(MAX(($C$5:$C$215=$C178)*($I$5:$I$215=$I178)*IF($I178&gt;=6,$AY$5:$AY$215,$AU$5:$AU$215)))/SUMPRODUCT(MAX(($C$5:$C$215=$C178)*($I$5:$I$215&gt;=1)*($I$5:$I$215&lt;$I178)*IF($I178&gt;=6,$AY$5:$AY$215,$AU$5:$AU$215)))-1))</f>
        <v/>
      </c>
      <c r="BD178" s="52">
        <f>IF(OR($I178&lt;1,IF($I178&gt;=6,AZ178,AV178)&lt;=0),"",IF(SUMPRODUCT(MAX(($C$5:$C$215=$C178)*($I$5:$I$215&gt;=1)*($I$5:$I$215&lt;$I178)*IF($I178&gt;=6,$AZ$5:$AZ$215,$AV$5:$AV$215)))&lt;=0,"",SUMPRODUCT(MAX(($C$5:$C$215=$C178)*($I$5:$I$215=$I178)*IF($I178&gt;=6,$AZ$5:$AZ$215,$AV$5:$AV$215)))/SUMPRODUCT(MAX(($C$5:$C$215=$C178)*($I$5:$I$215&gt;=1)*($I$5:$I$215&lt;$I178)*IF($I178&gt;=6,$AZ$5:$AZ$215,$AV$5:$AV$215)))-1))</f>
        <v/>
      </c>
      <c r="BE178" s="52">
        <f>IF(OR($I178&lt;1,IF($I178&gt;=6,BA178,AW178)&lt;=0),"",IF(SUMPRODUCT(MAX(($C$5:$C$215=$C178)*($I$5:$I$215&gt;=1)*($I$5:$I$215&lt;$I178)*IF($I178&gt;=6,$BA$5:$BA$215,$AW$5:$AW$215)))&lt;=0,"",SUMPRODUCT(MAX(($C$5:$C$215=$C178)*($I$5:$I$215=$I178)*IF($I178&gt;=6,$BA$5:$BA$215,$AW$5:$AW$215)))/SUMPRODUCT(MAX(($C$5:$C$215=$C178)*($I$5:$I$215&gt;=1)*($I$5:$I$215&lt;$I178)*IF($I178&gt;=6,$BA$5:$BA$215,$AW$5:$AW$215)))-1))</f>
        <v/>
      </c>
      <c r="BF178" s="19">
        <f>IF(AND(BB178="",BC178="",BD178="",BE178=""),"",IF(IF(AND(ISNUMBER(BB178),BB178&lt;'Item Budget'!$R$11),"W ","")&amp;IF(AND(ISNUMBER(BC178),BC178&lt;'Item Budget'!$R$11),"R ","")&amp;IF(AND(ISNUMBER(BD178),BD178&lt;'Item Budget'!$R$11),"M ","")&amp;IF(AND(ISNUMBER(BE178),BE178&lt;'Item Budget'!$R$11),"P ","")="","OK","Not above lower step: "&amp;IF(AND(ISNUMBER(BB178),BB178&lt;'Item Budget'!$R$11),"W ","")&amp;IF(AND(ISNUMBER(BC178),BC178&lt;'Item Budget'!$R$11),"R ","")&amp;IF(AND(ISNUMBER(BD178),BD178&lt;'Item Budget'!$R$11),"M ","")&amp;IF(AND(ISNUMBER(BE178),BE178&lt;'Item Budget'!$R$11),"P ","")))</f>
        <v/>
      </c>
    </row>
    <row r="179">
      <c r="A179" s="21" t="n">
        <v>362</v>
      </c>
      <c r="B179" s="21" t="inlineStr">
        <is>
          <t>Medium Quality Walde</t>
        </is>
      </c>
      <c r="C179" s="21" t="inlineStr">
        <is>
          <t>Weapon</t>
        </is>
      </c>
      <c r="D179" s="21" t="inlineStr">
        <is>
          <t>Rogue/Warrior</t>
        </is>
      </c>
      <c r="E179" s="21" t="inlineStr">
        <is>
          <t>Rogue/Warrior</t>
        </is>
      </c>
      <c r="F179" s="21" t="inlineStr"/>
      <c r="G179" s="21" t="inlineStr">
        <is>
          <t>craft</t>
        </is>
      </c>
      <c r="H179" s="37" t="n">
        <v>0</v>
      </c>
      <c r="I179" s="21" t="n">
        <v>0</v>
      </c>
      <c r="J179" s="19" t="inlineStr">
        <is>
          <t>Pass 2</t>
        </is>
      </c>
      <c r="K179" s="21" t="inlineStr">
        <is>
          <t>Crafted</t>
        </is>
      </c>
      <c r="L179" s="31">
        <f>INDEX('Item Budget'!$F$5:$F$13,MATCH(K179,'Item Budget'!$E$5:$E$13,0))+IF(E179="All",0,'Item Budget'!$F$15)+LOOKUP(H179,'Item Budget'!$E$19:$E$23,'Item Budget'!$F$19:$F$23)</f>
        <v/>
      </c>
      <c r="M179" s="21" t="n">
        <v>20</v>
      </c>
      <c r="N179" s="21" t="n">
        <v>0</v>
      </c>
      <c r="O179" s="21" t="n">
        <v>0</v>
      </c>
      <c r="P179" s="21" t="n">
        <v>0</v>
      </c>
      <c r="Q179" s="21" t="n">
        <v>5</v>
      </c>
      <c r="R179" s="21" t="n">
        <v>2</v>
      </c>
      <c r="S179" s="21" t="n">
        <v>0</v>
      </c>
      <c r="T179" s="21" t="n">
        <v>0</v>
      </c>
      <c r="U179" s="21" t="n">
        <v>30</v>
      </c>
      <c r="V179" s="21" t="inlineStr">
        <is>
          <t>(none)</t>
        </is>
      </c>
      <c r="W179" s="61">
        <f>N179*'Item Budget'!$B$5+R179*'Item Budget'!$B$7+P179*'Item Budget'!$B$11+S179*'Item Budget'!$B$10+Q179*'Item Budget'!$B$9+IFERROR(INDEX('Item Budget'!$M$25:$M$95,MATCH(V179,'Item Budget'!$B$25:$B$95,0)),0)+IF($C179="Weapon",U179*'Item Budget'!$B$9,0)</f>
        <v/>
      </c>
      <c r="X179" s="61">
        <f>N179*'Item Budget'!$B$5+R179*'Item Budget'!$B$7+P179*'Item Budget'!$B$11+S179*'Item Budget'!$B$10+O179*'Item Budget'!$B$6+T179*'Item Budget'!$B$8+IFERROR(INDEX('Item Budget'!$N$25:$N$95,MATCH(V179,'Item Budget'!$B$25:$B$95,0)),0)</f>
        <v/>
      </c>
      <c r="Y179" s="61">
        <f>MAX('Item Budget'!$F$16,INDEX('Gear Budget'!$C$8:$C$14,MATCH($C179,'Gear Budget'!$A$8:$A$14,0))*MIN(M179,50))*$L179</f>
        <v/>
      </c>
      <c r="Z179" s="41">
        <f>IF($C179="Caster weapon",X179,MAX(W179,X179))/Y179</f>
        <v/>
      </c>
      <c r="AA179" s="61">
        <f>IF(OR($C179="Weapon",$C179="Caster weapon"),"",'Gear Budget'!$B$5*MAX(1,MIN(M179,50))*INDEX('Gear Budget'!$B$8:$B$14,MATCH($C179,'Gear Budget'!$A$8:$A$14,0))*IF($C179="Shield",IF(D179="Warrior",1,IF(OR(D179="Rogue",D179="All"),0.38/0.6,0.25/0.6)),IFERROR(INDEX('Gear Budget'!$B$18:$B$21,MATCH($F179,'Gear Budget'!$A$18:$A$21,0)),1)))</f>
        <v/>
      </c>
      <c r="AB179" s="41">
        <f>IF(AA179="","",P179/AA179)</f>
        <v/>
      </c>
      <c r="AC179" s="21" t="n">
        <v>20</v>
      </c>
      <c r="AD179" s="21" t="n">
        <v>0</v>
      </c>
      <c r="AE179" s="21" t="n">
        <v>0</v>
      </c>
      <c r="AF179" s="21" t="n">
        <v>0</v>
      </c>
      <c r="AG179" s="20" t="n">
        <v>7</v>
      </c>
      <c r="AH179" s="21" t="n">
        <v>2</v>
      </c>
      <c r="AI179" s="21" t="n">
        <v>0</v>
      </c>
      <c r="AJ179" s="21" t="n">
        <v>0</v>
      </c>
      <c r="AK179" s="20" t="n">
        <v>33</v>
      </c>
      <c r="AL179" s="21" t="inlineStr">
        <is>
          <t>(none)</t>
        </is>
      </c>
      <c r="AM179" s="61">
        <f>AD179*'Item Budget'!$B$5+AH179*'Item Budget'!$B$7+AF179*'Item Budget'!$B$11+AI179*'Item Budget'!$B$10+AG179*'Item Budget'!$B$9+IFERROR(INDEX('Item Budget'!$M$25:$M$95,MATCH(AL179,'Item Budget'!$B$25:$B$95,0)),0)+IF($C179="Weapon",AK179*'Item Budget'!$B$9,0)</f>
        <v/>
      </c>
      <c r="AN179" s="61">
        <f>AD179*'Item Budget'!$B$5+AH179*'Item Budget'!$B$7+AF179*'Item Budget'!$B$11+AI179*'Item Budget'!$B$10+AE179*'Item Budget'!$B$6+AJ179*'Item Budget'!$B$8+IFERROR(INDEX('Item Budget'!$N$25:$N$95,MATCH(AL179,'Item Budget'!$B$25:$B$95,0)),0)</f>
        <v/>
      </c>
      <c r="AO179" s="61">
        <f>MAX('Item Budget'!$F$16,INDEX('Gear Budget'!$C$8:$C$14,MATCH($C179,'Gear Budget'!$A$8:$A$14,0))*MIN(AC179,50))*$L179</f>
        <v/>
      </c>
      <c r="AP179" s="41">
        <f>IF($C179="Caster weapon",AN179,MAX(AM179,AN179))/AO179</f>
        <v/>
      </c>
      <c r="AQ179" s="61">
        <f>IF(OR($C179="Weapon",$C179="Caster weapon"),"",'Gear Budget'!$B$5*MAX(1,MIN(AC179,50))*INDEX('Gear Budget'!$B$8:$B$14,MATCH($C179,'Gear Budget'!$A$8:$A$14,0))*IF($C179="Shield",IF(E179="Warrior",1,IF(OR(E179="Rogue",E179="All"),0.38/0.6,0.25/0.6)),IFERROR(INDEX('Gear Budget'!$B$18:$B$21,MATCH($F179,'Gear Budget'!$A$18:$A$21,0)),1)))</f>
        <v/>
      </c>
      <c r="AR179" s="41">
        <f>IF(AQ179="","",AF179/AQ179)</f>
        <v/>
      </c>
      <c r="AS179" s="64" t="inlineStr">
        <is>
          <t>Medium Quality Walde: damage 33, STR 7 (40); clearly above Winter Blade, just under Chicken Leg</t>
        </is>
      </c>
      <c r="AT179" s="44">
        <f>IF(OR($E179="All",ISNUMBER(SEARCH("Warrior",$E179))),IF($C179="Caster weapon",(AN179+AF179*('Item Budget'!$AB$14-'Item Budget'!$B$11)),(AM179+AF179*('Item Budget'!$AB$14-'Item Budget'!$B$11))),0)</f>
        <v/>
      </c>
      <c r="AU179" s="44">
        <f>IF(OR($E179="All",ISNUMBER(SEARCH("Rogue",$E179))),IF($C179="Caster weapon",(AN179+AF179*('Item Budget'!$AB$15-'Item Budget'!$B$11)),(AM179+AF179*('Item Budget'!$AB$15-'Item Budget'!$B$11))),0)</f>
        <v/>
      </c>
      <c r="AV179" s="44">
        <f>IF(OR($E179="All",ISNUMBER(SEARCH("Magus",$E179))),(AN179+AF179*('Item Budget'!$AB$16-'Item Budget'!$B$11)),0)</f>
        <v/>
      </c>
      <c r="AW179" s="44">
        <f>IF(OR($E179="All",ISNUMBER(SEARCH("Priest",$E179))),(AN179+AF179*('Item Budget'!$AB$17-'Item Budget'!$B$11)),0)</f>
        <v/>
      </c>
      <c r="AX179" s="44">
        <f>IF(AND(OR($E179="All",ISNUMBER(SEARCH("Warrior",$E179))),AC179&gt;='Item Budget'!$R$10),'Item Budget'!$R$7*100*('Item Budget'!$R$14*(AD179+25*AH179)+'Item Budget'!$S$14*(AE179+25*AJ179))/'Item Budget'!$Z$14+'Item Budget'!$R$9*AF179+IFERROR(INDEX('Item Budget'!$O$25:$O$95,MATCH(AL179,'Item Budget'!$B$25:$B$95,0)),0),0)</f>
        <v/>
      </c>
      <c r="AY179" s="44">
        <f>IF(AND(OR($E179="All",ISNUMBER(SEARCH("Rogue",$E179))),AC179&gt;='Item Budget'!$R$10),'Item Budget'!$R$7*100*('Item Budget'!$R$15*(AD179+25*AH179)+'Item Budget'!$S$15*(AE179+25*AJ179))/'Item Budget'!$Z$15+'Item Budget'!$R$9*AF179+IFERROR(INDEX('Item Budget'!$O$25:$O$95,MATCH(AL179,'Item Budget'!$B$25:$B$95,0)),0),0)</f>
        <v/>
      </c>
      <c r="AZ179" s="44">
        <f>IF(AND(OR($E179="All",ISNUMBER(SEARCH("Magus",$E179))),AC179&gt;='Item Budget'!$R$10),'Item Budget'!$R$7*100*('Item Budget'!$R$16*(AD179+25*AH179)+'Item Budget'!$S$16*(AE179+25*AJ179))/'Item Budget'!$Z$16+'Item Budget'!$R$9*AF179+IFERROR(INDEX('Item Budget'!$O$25:$O$95,MATCH(AL179,'Item Budget'!$B$25:$B$95,0)),0),0)</f>
        <v/>
      </c>
      <c r="BA179" s="44">
        <f>IF(AND(OR($E179="All",ISNUMBER(SEARCH("Priest",$E179))),AC179&gt;='Item Budget'!$R$10),'Item Budget'!$R$7*100*('Item Budget'!$R$17*(AD179+25*AH179)+'Item Budget'!$S$17*(AE179+25*AJ179))/'Item Budget'!$Z$17+'Item Budget'!$R$9*AF179+IFERROR(INDEX('Item Budget'!$O$25:$O$95,MATCH(AL179,'Item Budget'!$B$25:$B$95,0)),0),0)</f>
        <v/>
      </c>
      <c r="BB179" s="52">
        <f>IF(OR($I179&lt;1,IF($I179&gt;=6,AX179,AT179)&lt;=0),"",IF(SUMPRODUCT(MAX(($C$5:$C$215=$C179)*($I$5:$I$215&gt;=1)*($I$5:$I$215&lt;$I179)*IF($I179&gt;=6,$AX$5:$AX$215,$AT$5:$AT$215)))&lt;=0,"",SUMPRODUCT(MAX(($C$5:$C$215=$C179)*($I$5:$I$215=$I179)*IF($I179&gt;=6,$AX$5:$AX$215,$AT$5:$AT$215)))/SUMPRODUCT(MAX(($C$5:$C$215=$C179)*($I$5:$I$215&gt;=1)*($I$5:$I$215&lt;$I179)*IF($I179&gt;=6,$AX$5:$AX$215,$AT$5:$AT$215)))-1))</f>
        <v/>
      </c>
      <c r="BC179" s="52">
        <f>IF(OR($I179&lt;1,IF($I179&gt;=6,AY179,AU179)&lt;=0),"",IF(SUMPRODUCT(MAX(($C$5:$C$215=$C179)*($I$5:$I$215&gt;=1)*($I$5:$I$215&lt;$I179)*IF($I179&gt;=6,$AY$5:$AY$215,$AU$5:$AU$215)))&lt;=0,"",SUMPRODUCT(MAX(($C$5:$C$215=$C179)*($I$5:$I$215=$I179)*IF($I179&gt;=6,$AY$5:$AY$215,$AU$5:$AU$215)))/SUMPRODUCT(MAX(($C$5:$C$215=$C179)*($I$5:$I$215&gt;=1)*($I$5:$I$215&lt;$I179)*IF($I179&gt;=6,$AY$5:$AY$215,$AU$5:$AU$215)))-1))</f>
        <v/>
      </c>
      <c r="BD179" s="52">
        <f>IF(OR($I179&lt;1,IF($I179&gt;=6,AZ179,AV179)&lt;=0),"",IF(SUMPRODUCT(MAX(($C$5:$C$215=$C179)*($I$5:$I$215&gt;=1)*($I$5:$I$215&lt;$I179)*IF($I179&gt;=6,$AZ$5:$AZ$215,$AV$5:$AV$215)))&lt;=0,"",SUMPRODUCT(MAX(($C$5:$C$215=$C179)*($I$5:$I$215=$I179)*IF($I179&gt;=6,$AZ$5:$AZ$215,$AV$5:$AV$215)))/SUMPRODUCT(MAX(($C$5:$C$215=$C179)*($I$5:$I$215&gt;=1)*($I$5:$I$215&lt;$I179)*IF($I179&gt;=6,$AZ$5:$AZ$215,$AV$5:$AV$215)))-1))</f>
        <v/>
      </c>
      <c r="BE179" s="52">
        <f>IF(OR($I179&lt;1,IF($I179&gt;=6,BA179,AW179)&lt;=0),"",IF(SUMPRODUCT(MAX(($C$5:$C$215=$C179)*($I$5:$I$215&gt;=1)*($I$5:$I$215&lt;$I179)*IF($I179&gt;=6,$BA$5:$BA$215,$AW$5:$AW$215)))&lt;=0,"",SUMPRODUCT(MAX(($C$5:$C$215=$C179)*($I$5:$I$215=$I179)*IF($I179&gt;=6,$BA$5:$BA$215,$AW$5:$AW$215)))/SUMPRODUCT(MAX(($C$5:$C$215=$C179)*($I$5:$I$215&gt;=1)*($I$5:$I$215&lt;$I179)*IF($I179&gt;=6,$BA$5:$BA$215,$AW$5:$AW$215)))-1))</f>
        <v/>
      </c>
      <c r="BF179" s="19">
        <f>IF(AND(BB179="",BC179="",BD179="",BE179=""),"",IF(IF(AND(ISNUMBER(BB179),BB179&lt;'Item Budget'!$R$11),"W ","")&amp;IF(AND(ISNUMBER(BC179),BC179&lt;'Item Budget'!$R$11),"R ","")&amp;IF(AND(ISNUMBER(BD179),BD179&lt;'Item Budget'!$R$11),"M ","")&amp;IF(AND(ISNUMBER(BE179),BE179&lt;'Item Budget'!$R$11),"P ","")="","OK","Not above lower step: "&amp;IF(AND(ISNUMBER(BB179),BB179&lt;'Item Budget'!$R$11),"W ","")&amp;IF(AND(ISNUMBER(BC179),BC179&lt;'Item Budget'!$R$11),"R ","")&amp;IF(AND(ISNUMBER(BD179),BD179&lt;'Item Budget'!$R$11),"M ","")&amp;IF(AND(ISNUMBER(BE179),BE179&lt;'Item Budget'!$R$11),"P ","")))</f>
        <v/>
      </c>
    </row>
    <row r="180">
      <c r="A180" s="21" t="n">
        <v>53</v>
      </c>
      <c r="B180" s="21" t="inlineStr">
        <is>
          <t>Chicken Leg</t>
        </is>
      </c>
      <c r="C180" s="21" t="inlineStr">
        <is>
          <t>Weapon</t>
        </is>
      </c>
      <c r="D180" s="21" t="inlineStr">
        <is>
          <t>All</t>
        </is>
      </c>
      <c r="E180" s="21" t="inlineStr">
        <is>
          <t>All</t>
        </is>
      </c>
      <c r="F180" s="21" t="inlineStr"/>
      <c r="G180" s="21" t="inlineStr">
        <is>
          <t>drop: Goo Jr. 15%</t>
        </is>
      </c>
      <c r="H180" s="37" t="n">
        <v>0</v>
      </c>
      <c r="I180" s="21" t="n">
        <v>0</v>
      </c>
      <c r="J180" s="3" t="inlineStr">
        <is>
          <t>Applied</t>
        </is>
      </c>
      <c r="K180" s="21" t="inlineStr">
        <is>
          <t>Rare boss drop</t>
        </is>
      </c>
      <c r="L180" s="31">
        <f>INDEX('Item Budget'!$F$5:$F$13,MATCH(K180,'Item Budget'!$E$5:$E$13,0))+IF(E180="All",0,'Item Budget'!$F$15)+LOOKUP(H180,'Item Budget'!$E$19:$E$23,'Item Budget'!$F$19:$F$23)</f>
        <v/>
      </c>
      <c r="M180" s="21" t="n">
        <v>20</v>
      </c>
      <c r="N180" s="21" t="n">
        <v>20</v>
      </c>
      <c r="O180" s="21" t="n">
        <v>0</v>
      </c>
      <c r="P180" s="21" t="n">
        <v>10</v>
      </c>
      <c r="Q180" s="21" t="n">
        <v>12</v>
      </c>
      <c r="R180" s="21" t="n">
        <v>0</v>
      </c>
      <c r="S180" s="21" t="n">
        <v>0</v>
      </c>
      <c r="T180" s="21" t="n">
        <v>0</v>
      </c>
      <c r="U180" s="21" t="n">
        <v>30</v>
      </c>
      <c r="V180" s="21" t="inlineStr">
        <is>
          <t>(none)</t>
        </is>
      </c>
      <c r="W180" s="61">
        <f>N180*'Item Budget'!$B$5+R180*'Item Budget'!$B$7+P180*'Item Budget'!$B$11+S180*'Item Budget'!$B$10+Q180*'Item Budget'!$B$9+IFERROR(INDEX('Item Budget'!$M$25:$M$95,MATCH(V180,'Item Budget'!$B$25:$B$95,0)),0)+IF($C180="Weapon",U180*'Item Budget'!$B$9,0)</f>
        <v/>
      </c>
      <c r="X180" s="61">
        <f>N180*'Item Budget'!$B$5+R180*'Item Budget'!$B$7+P180*'Item Budget'!$B$11+S180*'Item Budget'!$B$10+O180*'Item Budget'!$B$6+T180*'Item Budget'!$B$8+IFERROR(INDEX('Item Budget'!$N$25:$N$95,MATCH(V180,'Item Budget'!$B$25:$B$95,0)),0)</f>
        <v/>
      </c>
      <c r="Y180" s="61">
        <f>MAX('Item Budget'!$F$16,INDEX('Gear Budget'!$C$8:$C$14,MATCH($C180,'Gear Budget'!$A$8:$A$14,0))*MIN(M180,50))*$L180</f>
        <v/>
      </c>
      <c r="Z180" s="41">
        <f>IF($C180="Caster weapon",X180,MAX(W180,X180))/Y180</f>
        <v/>
      </c>
      <c r="AA180" s="61">
        <f>IF(OR($C180="Weapon",$C180="Caster weapon"),"",'Gear Budget'!$B$5*MAX(1,MIN(M180,50))*INDEX('Gear Budget'!$B$8:$B$14,MATCH($C180,'Gear Budget'!$A$8:$A$14,0))*IF($C180="Shield",IF(D180="Warrior",1,IF(OR(D180="Rogue",D180="All"),0.38/0.6,0.25/0.6)),IFERROR(INDEX('Gear Budget'!$B$18:$B$21,MATCH($F180,'Gear Budget'!$A$18:$A$21,0)),1)))</f>
        <v/>
      </c>
      <c r="AB180" s="41">
        <f>IF(AA180="","",P180/AA180)</f>
        <v/>
      </c>
      <c r="AC180" s="21" t="n">
        <v>20</v>
      </c>
      <c r="AD180" s="21" t="n">
        <v>20</v>
      </c>
      <c r="AE180" s="21" t="n">
        <v>0</v>
      </c>
      <c r="AF180" s="21" t="n">
        <v>10</v>
      </c>
      <c r="AG180" s="21" t="n">
        <v>12</v>
      </c>
      <c r="AH180" s="21" t="n">
        <v>0</v>
      </c>
      <c r="AI180" s="21" t="n">
        <v>0</v>
      </c>
      <c r="AJ180" s="21" t="n">
        <v>0</v>
      </c>
      <c r="AK180" s="21" t="n">
        <v>30</v>
      </c>
      <c r="AL180" s="21" t="inlineStr">
        <is>
          <t>(none)</t>
        </is>
      </c>
      <c r="AM180" s="61">
        <f>AD180*'Item Budget'!$B$5+AH180*'Item Budget'!$B$7+AF180*'Item Budget'!$B$11+AI180*'Item Budget'!$B$10+AG180*'Item Budget'!$B$9+IFERROR(INDEX('Item Budget'!$M$25:$M$95,MATCH(AL180,'Item Budget'!$B$25:$B$95,0)),0)+IF($C180="Weapon",AK180*'Item Budget'!$B$9,0)</f>
        <v/>
      </c>
      <c r="AN180" s="61">
        <f>AD180*'Item Budget'!$B$5+AH180*'Item Budget'!$B$7+AF180*'Item Budget'!$B$11+AI180*'Item Budget'!$B$10+AE180*'Item Budget'!$B$6+AJ180*'Item Budget'!$B$8+IFERROR(INDEX('Item Budget'!$N$25:$N$95,MATCH(AL180,'Item Budget'!$B$25:$B$95,0)),0)</f>
        <v/>
      </c>
      <c r="AO180" s="61">
        <f>MAX('Item Budget'!$F$16,INDEX('Gear Budget'!$C$8:$C$14,MATCH($C180,'Gear Budget'!$A$8:$A$14,0))*MIN(AC180,50))*$L180</f>
        <v/>
      </c>
      <c r="AP180" s="41">
        <f>IF($C180="Caster weapon",AN180,MAX(AM180,AN180))/AO180</f>
        <v/>
      </c>
      <c r="AQ180" s="61">
        <f>IF(OR($C180="Weapon",$C180="Caster weapon"),"",'Gear Budget'!$B$5*MAX(1,MIN(AC180,50))*INDEX('Gear Budget'!$B$8:$B$14,MATCH($C180,'Gear Budget'!$A$8:$A$14,0))*IF($C180="Shield",IF(E180="Warrior",1,IF(OR(E180="Rogue",E180="All"),0.38/0.6,0.25/0.6)),IFERROR(INDEX('Gear Budget'!$B$18:$B$21,MATCH($F180,'Gear Budget'!$A$18:$A$21,0)),1)))</f>
        <v/>
      </c>
      <c r="AR180" s="41">
        <f>IF(AQ180="","",AF180/AQ180)</f>
        <v/>
      </c>
      <c r="AS180" s="64" t="inlineStr">
        <is>
          <t>Pass 1 (applied): Goo Jr. boss drop: damage 23 -&gt; 30, STR 10 -&gt; 12.</t>
        </is>
      </c>
      <c r="AT180" s="44">
        <f>IF(OR($E180="All",ISNUMBER(SEARCH("Warrior",$E180))),IF($C180="Caster weapon",(AN180+AF180*('Item Budget'!$AB$14-'Item Budget'!$B$11)),(AM180+AF180*('Item Budget'!$AB$14-'Item Budget'!$B$11))),0)</f>
        <v/>
      </c>
      <c r="AU180" s="44">
        <f>IF(OR($E180="All",ISNUMBER(SEARCH("Rogue",$E180))),IF($C180="Caster weapon",(AN180+AF180*('Item Budget'!$AB$15-'Item Budget'!$B$11)),(AM180+AF180*('Item Budget'!$AB$15-'Item Budget'!$B$11))),0)</f>
        <v/>
      </c>
      <c r="AV180" s="44">
        <f>IF(OR($E180="All",ISNUMBER(SEARCH("Magus",$E180))),(AN180+AF180*('Item Budget'!$AB$16-'Item Budget'!$B$11)),0)</f>
        <v/>
      </c>
      <c r="AW180" s="44">
        <f>IF(OR($E180="All",ISNUMBER(SEARCH("Priest",$E180))),(AN180+AF180*('Item Budget'!$AB$17-'Item Budget'!$B$11)),0)</f>
        <v/>
      </c>
      <c r="AX180" s="44">
        <f>IF(AND(OR($E180="All",ISNUMBER(SEARCH("Warrior",$E180))),AC180&gt;='Item Budget'!$R$10),'Item Budget'!$R$7*100*('Item Budget'!$R$14*(AD180+25*AH180)+'Item Budget'!$S$14*(AE180+25*AJ180))/'Item Budget'!$Z$14+'Item Budget'!$R$9*AF180+IFERROR(INDEX('Item Budget'!$O$25:$O$95,MATCH(AL180,'Item Budget'!$B$25:$B$95,0)),0),0)</f>
        <v/>
      </c>
      <c r="AY180" s="44">
        <f>IF(AND(OR($E180="All",ISNUMBER(SEARCH("Rogue",$E180))),AC180&gt;='Item Budget'!$R$10),'Item Budget'!$R$7*100*('Item Budget'!$R$15*(AD180+25*AH180)+'Item Budget'!$S$15*(AE180+25*AJ180))/'Item Budget'!$Z$15+'Item Budget'!$R$9*AF180+IFERROR(INDEX('Item Budget'!$O$25:$O$95,MATCH(AL180,'Item Budget'!$B$25:$B$95,0)),0),0)</f>
        <v/>
      </c>
      <c r="AZ180" s="44">
        <f>IF(AND(OR($E180="All",ISNUMBER(SEARCH("Magus",$E180))),AC180&gt;='Item Budget'!$R$10),'Item Budget'!$R$7*100*('Item Budget'!$R$16*(AD180+25*AH180)+'Item Budget'!$S$16*(AE180+25*AJ180))/'Item Budget'!$Z$16+'Item Budget'!$R$9*AF180+IFERROR(INDEX('Item Budget'!$O$25:$O$95,MATCH(AL180,'Item Budget'!$B$25:$B$95,0)),0),0)</f>
        <v/>
      </c>
      <c r="BA180" s="44">
        <f>IF(AND(OR($E180="All",ISNUMBER(SEARCH("Priest",$E180))),AC180&gt;='Item Budget'!$R$10),'Item Budget'!$R$7*100*('Item Budget'!$R$17*(AD180+25*AH180)+'Item Budget'!$S$17*(AE180+25*AJ180))/'Item Budget'!$Z$17+'Item Budget'!$R$9*AF180+IFERROR(INDEX('Item Budget'!$O$25:$O$95,MATCH(AL180,'Item Budget'!$B$25:$B$95,0)),0),0)</f>
        <v/>
      </c>
      <c r="BB180" s="52">
        <f>IF(OR($I180&lt;1,IF($I180&gt;=6,AX180,AT180)&lt;=0),"",IF(SUMPRODUCT(MAX(($C$5:$C$215=$C180)*($I$5:$I$215&gt;=1)*($I$5:$I$215&lt;$I180)*IF($I180&gt;=6,$AX$5:$AX$215,$AT$5:$AT$215)))&lt;=0,"",SUMPRODUCT(MAX(($C$5:$C$215=$C180)*($I$5:$I$215=$I180)*IF($I180&gt;=6,$AX$5:$AX$215,$AT$5:$AT$215)))/SUMPRODUCT(MAX(($C$5:$C$215=$C180)*($I$5:$I$215&gt;=1)*($I$5:$I$215&lt;$I180)*IF($I180&gt;=6,$AX$5:$AX$215,$AT$5:$AT$215)))-1))</f>
        <v/>
      </c>
      <c r="BC180" s="52">
        <f>IF(OR($I180&lt;1,IF($I180&gt;=6,AY180,AU180)&lt;=0),"",IF(SUMPRODUCT(MAX(($C$5:$C$215=$C180)*($I$5:$I$215&gt;=1)*($I$5:$I$215&lt;$I180)*IF($I180&gt;=6,$AY$5:$AY$215,$AU$5:$AU$215)))&lt;=0,"",SUMPRODUCT(MAX(($C$5:$C$215=$C180)*($I$5:$I$215=$I180)*IF($I180&gt;=6,$AY$5:$AY$215,$AU$5:$AU$215)))/SUMPRODUCT(MAX(($C$5:$C$215=$C180)*($I$5:$I$215&gt;=1)*($I$5:$I$215&lt;$I180)*IF($I180&gt;=6,$AY$5:$AY$215,$AU$5:$AU$215)))-1))</f>
        <v/>
      </c>
      <c r="BD180" s="52">
        <f>IF(OR($I180&lt;1,IF($I180&gt;=6,AZ180,AV180)&lt;=0),"",IF(SUMPRODUCT(MAX(($C$5:$C$215=$C180)*($I$5:$I$215&gt;=1)*($I$5:$I$215&lt;$I180)*IF($I180&gt;=6,$AZ$5:$AZ$215,$AV$5:$AV$215)))&lt;=0,"",SUMPRODUCT(MAX(($C$5:$C$215=$C180)*($I$5:$I$215=$I180)*IF($I180&gt;=6,$AZ$5:$AZ$215,$AV$5:$AV$215)))/SUMPRODUCT(MAX(($C$5:$C$215=$C180)*($I$5:$I$215&gt;=1)*($I$5:$I$215&lt;$I180)*IF($I180&gt;=6,$AZ$5:$AZ$215,$AV$5:$AV$215)))-1))</f>
        <v/>
      </c>
      <c r="BE180" s="52">
        <f>IF(OR($I180&lt;1,IF($I180&gt;=6,BA180,AW180)&lt;=0),"",IF(SUMPRODUCT(MAX(($C$5:$C$215=$C180)*($I$5:$I$215&gt;=1)*($I$5:$I$215&lt;$I180)*IF($I180&gt;=6,$BA$5:$BA$215,$AW$5:$AW$215)))&lt;=0,"",SUMPRODUCT(MAX(($C$5:$C$215=$C180)*($I$5:$I$215=$I180)*IF($I180&gt;=6,$BA$5:$BA$215,$AW$5:$AW$215)))/SUMPRODUCT(MAX(($C$5:$C$215=$C180)*($I$5:$I$215&gt;=1)*($I$5:$I$215&lt;$I180)*IF($I180&gt;=6,$BA$5:$BA$215,$AW$5:$AW$215)))-1))</f>
        <v/>
      </c>
      <c r="BF180" s="19">
        <f>IF(AND(BB180="",BC180="",BD180="",BE180=""),"",IF(IF(AND(ISNUMBER(BB180),BB180&lt;'Item Budget'!$R$11),"W ","")&amp;IF(AND(ISNUMBER(BC180),BC180&lt;'Item Budget'!$R$11),"R ","")&amp;IF(AND(ISNUMBER(BD180),BD180&lt;'Item Budget'!$R$11),"M ","")&amp;IF(AND(ISNUMBER(BE180),BE180&lt;'Item Budget'!$R$11),"P ","")="","OK","Not above lower step: "&amp;IF(AND(ISNUMBER(BB180),BB180&lt;'Item Budget'!$R$11),"W ","")&amp;IF(AND(ISNUMBER(BC180),BC180&lt;'Item Budget'!$R$11),"R ","")&amp;IF(AND(ISNUMBER(BD180),BD180&lt;'Item Budget'!$R$11),"M ","")&amp;IF(AND(ISNUMBER(BE180),BE180&lt;'Item Budget'!$R$11),"P ","")))</f>
        <v/>
      </c>
    </row>
    <row r="181">
      <c r="A181" s="21" t="n">
        <v>214</v>
      </c>
      <c r="B181" s="21" t="inlineStr">
        <is>
          <t>Searing Whip</t>
        </is>
      </c>
      <c r="C181" s="21" t="inlineStr">
        <is>
          <t>Weapon</t>
        </is>
      </c>
      <c r="D181" s="21" t="inlineStr">
        <is>
          <t>All</t>
        </is>
      </c>
      <c r="E181" s="21" t="inlineStr">
        <is>
          <t>All</t>
        </is>
      </c>
      <c r="F181" s="21" t="inlineStr"/>
      <c r="G181" s="21" t="inlineStr">
        <is>
          <t>drop: Fire Asp 4%</t>
        </is>
      </c>
      <c r="H181" s="37" t="n">
        <v>0</v>
      </c>
      <c r="I181" s="21" t="n">
        <v>0</v>
      </c>
      <c r="J181" s="19" t="inlineStr">
        <is>
          <t>Leave</t>
        </is>
      </c>
      <c r="K181" s="21" t="inlineStr">
        <is>
          <t>Rare drop</t>
        </is>
      </c>
      <c r="L181" s="31">
        <f>INDEX('Item Budget'!$F$5:$F$13,MATCH(K181,'Item Budget'!$E$5:$E$13,0))+IF(E181="All",0,'Item Budget'!$F$15)+LOOKUP(H181,'Item Budget'!$E$19:$E$23,'Item Budget'!$F$19:$F$23)</f>
        <v/>
      </c>
      <c r="M181" s="21" t="n">
        <v>25</v>
      </c>
      <c r="N181" s="21" t="n">
        <v>0</v>
      </c>
      <c r="O181" s="21" t="n">
        <v>0</v>
      </c>
      <c r="P181" s="21" t="n">
        <v>0</v>
      </c>
      <c r="Q181" s="21" t="n">
        <v>20</v>
      </c>
      <c r="R181" s="21" t="n">
        <v>0</v>
      </c>
      <c r="S181" s="21" t="n">
        <v>0</v>
      </c>
      <c r="T181" s="21" t="n">
        <v>0</v>
      </c>
      <c r="U181" s="21" t="n">
        <v>40</v>
      </c>
      <c r="V181" s="21" t="inlineStr">
        <is>
          <t>(none)</t>
        </is>
      </c>
      <c r="W181" s="61">
        <f>N181*'Item Budget'!$B$5+R181*'Item Budget'!$B$7+P181*'Item Budget'!$B$11+S181*'Item Budget'!$B$10+Q181*'Item Budget'!$B$9+IFERROR(INDEX('Item Budget'!$M$25:$M$95,MATCH(V181,'Item Budget'!$B$25:$B$95,0)),0)+IF($C181="Weapon",U181*'Item Budget'!$B$9,0)</f>
        <v/>
      </c>
      <c r="X181" s="61">
        <f>N181*'Item Budget'!$B$5+R181*'Item Budget'!$B$7+P181*'Item Budget'!$B$11+S181*'Item Budget'!$B$10+O181*'Item Budget'!$B$6+T181*'Item Budget'!$B$8+IFERROR(INDEX('Item Budget'!$N$25:$N$95,MATCH(V181,'Item Budget'!$B$25:$B$95,0)),0)</f>
        <v/>
      </c>
      <c r="Y181" s="61">
        <f>MAX('Item Budget'!$F$16,INDEX('Gear Budget'!$C$8:$C$14,MATCH($C181,'Gear Budget'!$A$8:$A$14,0))*MIN(M181,50))*$L181</f>
        <v/>
      </c>
      <c r="Z181" s="41">
        <f>IF($C181="Caster weapon",X181,MAX(W181,X181))/Y181</f>
        <v/>
      </c>
      <c r="AA181" s="61">
        <f>IF(OR($C181="Weapon",$C181="Caster weapon"),"",'Gear Budget'!$B$5*MAX(1,MIN(M181,50))*INDEX('Gear Budget'!$B$8:$B$14,MATCH($C181,'Gear Budget'!$A$8:$A$14,0))*IF($C181="Shield",IF(D181="Warrior",1,IF(OR(D181="Rogue",D181="All"),0.38/0.6,0.25/0.6)),IFERROR(INDEX('Gear Budget'!$B$18:$B$21,MATCH($F181,'Gear Budget'!$A$18:$A$21,0)),1)))</f>
        <v/>
      </c>
      <c r="AB181" s="41">
        <f>IF(AA181="","",P181/AA181)</f>
        <v/>
      </c>
      <c r="AC181" s="21" t="n">
        <v>25</v>
      </c>
      <c r="AD181" s="21" t="n">
        <v>0</v>
      </c>
      <c r="AE181" s="21" t="n">
        <v>0</v>
      </c>
      <c r="AF181" s="21" t="n">
        <v>0</v>
      </c>
      <c r="AG181" s="21" t="n">
        <v>20</v>
      </c>
      <c r="AH181" s="21" t="n">
        <v>0</v>
      </c>
      <c r="AI181" s="21" t="n">
        <v>0</v>
      </c>
      <c r="AJ181" s="21" t="n">
        <v>0</v>
      </c>
      <c r="AK181" s="21" t="n">
        <v>40</v>
      </c>
      <c r="AL181" s="21" t="inlineStr">
        <is>
          <t>(none)</t>
        </is>
      </c>
      <c r="AM181" s="61">
        <f>AD181*'Item Budget'!$B$5+AH181*'Item Budget'!$B$7+AF181*'Item Budget'!$B$11+AI181*'Item Budget'!$B$10+AG181*'Item Budget'!$B$9+IFERROR(INDEX('Item Budget'!$M$25:$M$95,MATCH(AL181,'Item Budget'!$B$25:$B$95,0)),0)+IF($C181="Weapon",AK181*'Item Budget'!$B$9,0)</f>
        <v/>
      </c>
      <c r="AN181" s="61">
        <f>AD181*'Item Budget'!$B$5+AH181*'Item Budget'!$B$7+AF181*'Item Budget'!$B$11+AI181*'Item Budget'!$B$10+AE181*'Item Budget'!$B$6+AJ181*'Item Budget'!$B$8+IFERROR(INDEX('Item Budget'!$N$25:$N$95,MATCH(AL181,'Item Budget'!$B$25:$B$95,0)),0)</f>
        <v/>
      </c>
      <c r="AO181" s="61">
        <f>MAX('Item Budget'!$F$16,INDEX('Gear Budget'!$C$8:$C$14,MATCH($C181,'Gear Budget'!$A$8:$A$14,0))*MIN(AC181,50))*$L181</f>
        <v/>
      </c>
      <c r="AP181" s="41">
        <f>IF($C181="Caster weapon",AN181,MAX(AM181,AN181))/AO181</f>
        <v/>
      </c>
      <c r="AQ181" s="61">
        <f>IF(OR($C181="Weapon",$C181="Caster weapon"),"",'Gear Budget'!$B$5*MAX(1,MIN(AC181,50))*INDEX('Gear Budget'!$B$8:$B$14,MATCH($C181,'Gear Budget'!$A$8:$A$14,0))*IF($C181="Shield",IF(E181="Warrior",1,IF(OR(E181="Rogue",E181="All"),0.38/0.6,0.25/0.6)),IFERROR(INDEX('Gear Budget'!$B$18:$B$21,MATCH($F181,'Gear Budget'!$A$18:$A$21,0)),1)))</f>
        <v/>
      </c>
      <c r="AR181" s="41">
        <f>IF(AQ181="","",AF181/AQ181)</f>
        <v/>
      </c>
      <c r="AS181" s="64" t="n"/>
      <c r="AT181" s="44">
        <f>IF(OR($E181="All",ISNUMBER(SEARCH("Warrior",$E181))),IF($C181="Caster weapon",(AN181+AF181*('Item Budget'!$AB$14-'Item Budget'!$B$11)),(AM181+AF181*('Item Budget'!$AB$14-'Item Budget'!$B$11))),0)</f>
        <v/>
      </c>
      <c r="AU181" s="44">
        <f>IF(OR($E181="All",ISNUMBER(SEARCH("Rogue",$E181))),IF($C181="Caster weapon",(AN181+AF181*('Item Budget'!$AB$15-'Item Budget'!$B$11)),(AM181+AF181*('Item Budget'!$AB$15-'Item Budget'!$B$11))),0)</f>
        <v/>
      </c>
      <c r="AV181" s="44">
        <f>IF(OR($E181="All",ISNUMBER(SEARCH("Magus",$E181))),(AN181+AF181*('Item Budget'!$AB$16-'Item Budget'!$B$11)),0)</f>
        <v/>
      </c>
      <c r="AW181" s="44">
        <f>IF(OR($E181="All",ISNUMBER(SEARCH("Priest",$E181))),(AN181+AF181*('Item Budget'!$AB$17-'Item Budget'!$B$11)),0)</f>
        <v/>
      </c>
      <c r="AX181" s="44">
        <f>IF(AND(OR($E181="All",ISNUMBER(SEARCH("Warrior",$E181))),AC181&gt;='Item Budget'!$R$10),'Item Budget'!$R$7*100*('Item Budget'!$R$14*(AD181+25*AH181)+'Item Budget'!$S$14*(AE181+25*AJ181))/'Item Budget'!$Z$14+'Item Budget'!$R$9*AF181+IFERROR(INDEX('Item Budget'!$O$25:$O$95,MATCH(AL181,'Item Budget'!$B$25:$B$95,0)),0),0)</f>
        <v/>
      </c>
      <c r="AY181" s="44">
        <f>IF(AND(OR($E181="All",ISNUMBER(SEARCH("Rogue",$E181))),AC181&gt;='Item Budget'!$R$10),'Item Budget'!$R$7*100*('Item Budget'!$R$15*(AD181+25*AH181)+'Item Budget'!$S$15*(AE181+25*AJ181))/'Item Budget'!$Z$15+'Item Budget'!$R$9*AF181+IFERROR(INDEX('Item Budget'!$O$25:$O$95,MATCH(AL181,'Item Budget'!$B$25:$B$95,0)),0),0)</f>
        <v/>
      </c>
      <c r="AZ181" s="44">
        <f>IF(AND(OR($E181="All",ISNUMBER(SEARCH("Magus",$E181))),AC181&gt;='Item Budget'!$R$10),'Item Budget'!$R$7*100*('Item Budget'!$R$16*(AD181+25*AH181)+'Item Budget'!$S$16*(AE181+25*AJ181))/'Item Budget'!$Z$16+'Item Budget'!$R$9*AF181+IFERROR(INDEX('Item Budget'!$O$25:$O$95,MATCH(AL181,'Item Budget'!$B$25:$B$95,0)),0),0)</f>
        <v/>
      </c>
      <c r="BA181" s="44">
        <f>IF(AND(OR($E181="All",ISNUMBER(SEARCH("Priest",$E181))),AC181&gt;='Item Budget'!$R$10),'Item Budget'!$R$7*100*('Item Budget'!$R$17*(AD181+25*AH181)+'Item Budget'!$S$17*(AE181+25*AJ181))/'Item Budget'!$Z$17+'Item Budget'!$R$9*AF181+IFERROR(INDEX('Item Budget'!$O$25:$O$95,MATCH(AL181,'Item Budget'!$B$25:$B$95,0)),0),0)</f>
        <v/>
      </c>
      <c r="BB181" s="52">
        <f>IF(OR($I181&lt;1,IF($I181&gt;=6,AX181,AT181)&lt;=0),"",IF(SUMPRODUCT(MAX(($C$5:$C$215=$C181)*($I$5:$I$215&gt;=1)*($I$5:$I$215&lt;$I181)*IF($I181&gt;=6,$AX$5:$AX$215,$AT$5:$AT$215)))&lt;=0,"",SUMPRODUCT(MAX(($C$5:$C$215=$C181)*($I$5:$I$215=$I181)*IF($I181&gt;=6,$AX$5:$AX$215,$AT$5:$AT$215)))/SUMPRODUCT(MAX(($C$5:$C$215=$C181)*($I$5:$I$215&gt;=1)*($I$5:$I$215&lt;$I181)*IF($I181&gt;=6,$AX$5:$AX$215,$AT$5:$AT$215)))-1))</f>
        <v/>
      </c>
      <c r="BC181" s="52">
        <f>IF(OR($I181&lt;1,IF($I181&gt;=6,AY181,AU181)&lt;=0),"",IF(SUMPRODUCT(MAX(($C$5:$C$215=$C181)*($I$5:$I$215&gt;=1)*($I$5:$I$215&lt;$I181)*IF($I181&gt;=6,$AY$5:$AY$215,$AU$5:$AU$215)))&lt;=0,"",SUMPRODUCT(MAX(($C$5:$C$215=$C181)*($I$5:$I$215=$I181)*IF($I181&gt;=6,$AY$5:$AY$215,$AU$5:$AU$215)))/SUMPRODUCT(MAX(($C$5:$C$215=$C181)*($I$5:$I$215&gt;=1)*($I$5:$I$215&lt;$I181)*IF($I181&gt;=6,$AY$5:$AY$215,$AU$5:$AU$215)))-1))</f>
        <v/>
      </c>
      <c r="BD181" s="52">
        <f>IF(OR($I181&lt;1,IF($I181&gt;=6,AZ181,AV181)&lt;=0),"",IF(SUMPRODUCT(MAX(($C$5:$C$215=$C181)*($I$5:$I$215&gt;=1)*($I$5:$I$215&lt;$I181)*IF($I181&gt;=6,$AZ$5:$AZ$215,$AV$5:$AV$215)))&lt;=0,"",SUMPRODUCT(MAX(($C$5:$C$215=$C181)*($I$5:$I$215=$I181)*IF($I181&gt;=6,$AZ$5:$AZ$215,$AV$5:$AV$215)))/SUMPRODUCT(MAX(($C$5:$C$215=$C181)*($I$5:$I$215&gt;=1)*($I$5:$I$215&lt;$I181)*IF($I181&gt;=6,$AZ$5:$AZ$215,$AV$5:$AV$215)))-1))</f>
        <v/>
      </c>
      <c r="BE181" s="52">
        <f>IF(OR($I181&lt;1,IF($I181&gt;=6,BA181,AW181)&lt;=0),"",IF(SUMPRODUCT(MAX(($C$5:$C$215=$C181)*($I$5:$I$215&gt;=1)*($I$5:$I$215&lt;$I181)*IF($I181&gt;=6,$BA$5:$BA$215,$AW$5:$AW$215)))&lt;=0,"",SUMPRODUCT(MAX(($C$5:$C$215=$C181)*($I$5:$I$215=$I181)*IF($I181&gt;=6,$BA$5:$BA$215,$AW$5:$AW$215)))/SUMPRODUCT(MAX(($C$5:$C$215=$C181)*($I$5:$I$215&gt;=1)*($I$5:$I$215&lt;$I181)*IF($I181&gt;=6,$BA$5:$BA$215,$AW$5:$AW$215)))-1))</f>
        <v/>
      </c>
      <c r="BF181" s="19">
        <f>IF(AND(BB181="",BC181="",BD181="",BE181=""),"",IF(IF(AND(ISNUMBER(BB181),BB181&lt;'Item Budget'!$R$11),"W ","")&amp;IF(AND(ISNUMBER(BC181),BC181&lt;'Item Budget'!$R$11),"R ","")&amp;IF(AND(ISNUMBER(BD181),BD181&lt;'Item Budget'!$R$11),"M ","")&amp;IF(AND(ISNUMBER(BE181),BE181&lt;'Item Budget'!$R$11),"P ","")="","OK","Not above lower step: "&amp;IF(AND(ISNUMBER(BB181),BB181&lt;'Item Budget'!$R$11),"W ","")&amp;IF(AND(ISNUMBER(BC181),BC181&lt;'Item Budget'!$R$11),"R ","")&amp;IF(AND(ISNUMBER(BD181),BD181&lt;'Item Budget'!$R$11),"M ","")&amp;IF(AND(ISNUMBER(BE181),BE181&lt;'Item Budget'!$R$11),"P ","")))</f>
        <v/>
      </c>
    </row>
    <row r="182">
      <c r="A182" s="21" t="n">
        <v>202</v>
      </c>
      <c r="B182" s="21" t="inlineStr">
        <is>
          <t>Bastard Sword</t>
        </is>
      </c>
      <c r="C182" s="21" t="inlineStr">
        <is>
          <t>Weapon</t>
        </is>
      </c>
      <c r="D182" s="21" t="inlineStr">
        <is>
          <t>Warrior</t>
        </is>
      </c>
      <c r="E182" s="21" t="inlineStr">
        <is>
          <t>Warrior</t>
        </is>
      </c>
      <c r="F182" s="21" t="inlineStr"/>
      <c r="G182" s="21" t="inlineStr">
        <is>
          <t>drop: Unloved 2%</t>
        </is>
      </c>
      <c r="H182" s="37" t="n">
        <v>0</v>
      </c>
      <c r="I182" s="21" t="n">
        <v>0</v>
      </c>
      <c r="J182" s="19" t="inlineStr">
        <is>
          <t>Leave</t>
        </is>
      </c>
      <c r="K182" s="21" t="inlineStr">
        <is>
          <t>Vendor</t>
        </is>
      </c>
      <c r="L182" s="31">
        <f>INDEX('Item Budget'!$F$5:$F$13,MATCH(K182,'Item Budget'!$E$5:$E$13,0))+IF(E182="All",0,'Item Budget'!$F$15)+LOOKUP(H182,'Item Budget'!$E$19:$E$23,'Item Budget'!$F$19:$F$23)</f>
        <v/>
      </c>
      <c r="M182" s="21" t="n">
        <v>27</v>
      </c>
      <c r="N182" s="21" t="n">
        <v>0</v>
      </c>
      <c r="O182" s="21" t="n">
        <v>0</v>
      </c>
      <c r="P182" s="21" t="n">
        <v>0</v>
      </c>
      <c r="Q182" s="21" t="n">
        <v>5</v>
      </c>
      <c r="R182" s="21" t="n">
        <v>2</v>
      </c>
      <c r="S182" s="21" t="n">
        <v>0</v>
      </c>
      <c r="T182" s="21" t="n">
        <v>0</v>
      </c>
      <c r="U182" s="21" t="n">
        <v>40</v>
      </c>
      <c r="V182" s="21" t="inlineStr">
        <is>
          <t>(none)</t>
        </is>
      </c>
      <c r="W182" s="61">
        <f>N182*'Item Budget'!$B$5+R182*'Item Budget'!$B$7+P182*'Item Budget'!$B$11+S182*'Item Budget'!$B$10+Q182*'Item Budget'!$B$9+IFERROR(INDEX('Item Budget'!$M$25:$M$95,MATCH(V182,'Item Budget'!$B$25:$B$95,0)),0)+IF($C182="Weapon",U182*'Item Budget'!$B$9,0)</f>
        <v/>
      </c>
      <c r="X182" s="61">
        <f>N182*'Item Budget'!$B$5+R182*'Item Budget'!$B$7+P182*'Item Budget'!$B$11+S182*'Item Budget'!$B$10+O182*'Item Budget'!$B$6+T182*'Item Budget'!$B$8+IFERROR(INDEX('Item Budget'!$N$25:$N$95,MATCH(V182,'Item Budget'!$B$25:$B$95,0)),0)</f>
        <v/>
      </c>
      <c r="Y182" s="61">
        <f>MAX('Item Budget'!$F$16,INDEX('Gear Budget'!$C$8:$C$14,MATCH($C182,'Gear Budget'!$A$8:$A$14,0))*MIN(M182,50))*$L182</f>
        <v/>
      </c>
      <c r="Z182" s="41">
        <f>IF($C182="Caster weapon",X182,MAX(W182,X182))/Y182</f>
        <v/>
      </c>
      <c r="AA182" s="61">
        <f>IF(OR($C182="Weapon",$C182="Caster weapon"),"",'Gear Budget'!$B$5*MAX(1,MIN(M182,50))*INDEX('Gear Budget'!$B$8:$B$14,MATCH($C182,'Gear Budget'!$A$8:$A$14,0))*IF($C182="Shield",IF(D182="Warrior",1,IF(OR(D182="Rogue",D182="All"),0.38/0.6,0.25/0.6)),IFERROR(INDEX('Gear Budget'!$B$18:$B$21,MATCH($F182,'Gear Budget'!$A$18:$A$21,0)),1)))</f>
        <v/>
      </c>
      <c r="AB182" s="41">
        <f>IF(AA182="","",P182/AA182)</f>
        <v/>
      </c>
      <c r="AC182" s="21" t="n">
        <v>27</v>
      </c>
      <c r="AD182" s="21" t="n">
        <v>0</v>
      </c>
      <c r="AE182" s="21" t="n">
        <v>0</v>
      </c>
      <c r="AF182" s="21" t="n">
        <v>0</v>
      </c>
      <c r="AG182" s="21" t="n">
        <v>5</v>
      </c>
      <c r="AH182" s="21" t="n">
        <v>2</v>
      </c>
      <c r="AI182" s="21" t="n">
        <v>0</v>
      </c>
      <c r="AJ182" s="21" t="n">
        <v>0</v>
      </c>
      <c r="AK182" s="21" t="n">
        <v>40</v>
      </c>
      <c r="AL182" s="21" t="inlineStr">
        <is>
          <t>(none)</t>
        </is>
      </c>
      <c r="AM182" s="61">
        <f>AD182*'Item Budget'!$B$5+AH182*'Item Budget'!$B$7+AF182*'Item Budget'!$B$11+AI182*'Item Budget'!$B$10+AG182*'Item Budget'!$B$9+IFERROR(INDEX('Item Budget'!$M$25:$M$95,MATCH(AL182,'Item Budget'!$B$25:$B$95,0)),0)+IF($C182="Weapon",AK182*'Item Budget'!$B$9,0)</f>
        <v/>
      </c>
      <c r="AN182" s="61">
        <f>AD182*'Item Budget'!$B$5+AH182*'Item Budget'!$B$7+AF182*'Item Budget'!$B$11+AI182*'Item Budget'!$B$10+AE182*'Item Budget'!$B$6+AJ182*'Item Budget'!$B$8+IFERROR(INDEX('Item Budget'!$N$25:$N$95,MATCH(AL182,'Item Budget'!$B$25:$B$95,0)),0)</f>
        <v/>
      </c>
      <c r="AO182" s="61">
        <f>MAX('Item Budget'!$F$16,INDEX('Gear Budget'!$C$8:$C$14,MATCH($C182,'Gear Budget'!$A$8:$A$14,0))*MIN(AC182,50))*$L182</f>
        <v/>
      </c>
      <c r="AP182" s="41">
        <f>IF($C182="Caster weapon",AN182,MAX(AM182,AN182))/AO182</f>
        <v/>
      </c>
      <c r="AQ182" s="61">
        <f>IF(OR($C182="Weapon",$C182="Caster weapon"),"",'Gear Budget'!$B$5*MAX(1,MIN(AC182,50))*INDEX('Gear Budget'!$B$8:$B$14,MATCH($C182,'Gear Budget'!$A$8:$A$14,0))*IF($C182="Shield",IF(E182="Warrior",1,IF(OR(E182="Rogue",E182="All"),0.38/0.6,0.25/0.6)),IFERROR(INDEX('Gear Budget'!$B$18:$B$21,MATCH($F182,'Gear Budget'!$A$18:$A$21,0)),1)))</f>
        <v/>
      </c>
      <c r="AR182" s="41">
        <f>IF(AQ182="","",AF182/AQ182)</f>
        <v/>
      </c>
      <c r="AS182" s="64" t="inlineStr">
        <is>
          <t>Pass 1 (applied): Already has STR/STA.</t>
        </is>
      </c>
      <c r="AT182" s="44">
        <f>IF(OR($E182="All",ISNUMBER(SEARCH("Warrior",$E182))),IF($C182="Caster weapon",(AN182+AF182*('Item Budget'!$AB$14-'Item Budget'!$B$11)),(AM182+AF182*('Item Budget'!$AB$14-'Item Budget'!$B$11))),0)</f>
        <v/>
      </c>
      <c r="AU182" s="44">
        <f>IF(OR($E182="All",ISNUMBER(SEARCH("Rogue",$E182))),IF($C182="Caster weapon",(AN182+AF182*('Item Budget'!$AB$15-'Item Budget'!$B$11)),(AM182+AF182*('Item Budget'!$AB$15-'Item Budget'!$B$11))),0)</f>
        <v/>
      </c>
      <c r="AV182" s="44">
        <f>IF(OR($E182="All",ISNUMBER(SEARCH("Magus",$E182))),(AN182+AF182*('Item Budget'!$AB$16-'Item Budget'!$B$11)),0)</f>
        <v/>
      </c>
      <c r="AW182" s="44">
        <f>IF(OR($E182="All",ISNUMBER(SEARCH("Priest",$E182))),(AN182+AF182*('Item Budget'!$AB$17-'Item Budget'!$B$11)),0)</f>
        <v/>
      </c>
      <c r="AX182" s="44">
        <f>IF(AND(OR($E182="All",ISNUMBER(SEARCH("Warrior",$E182))),AC182&gt;='Item Budget'!$R$10),'Item Budget'!$R$7*100*('Item Budget'!$R$14*(AD182+25*AH182)+'Item Budget'!$S$14*(AE182+25*AJ182))/'Item Budget'!$Z$14+'Item Budget'!$R$9*AF182+IFERROR(INDEX('Item Budget'!$O$25:$O$95,MATCH(AL182,'Item Budget'!$B$25:$B$95,0)),0),0)</f>
        <v/>
      </c>
      <c r="AY182" s="44">
        <f>IF(AND(OR($E182="All",ISNUMBER(SEARCH("Rogue",$E182))),AC182&gt;='Item Budget'!$R$10),'Item Budget'!$R$7*100*('Item Budget'!$R$15*(AD182+25*AH182)+'Item Budget'!$S$15*(AE182+25*AJ182))/'Item Budget'!$Z$15+'Item Budget'!$R$9*AF182+IFERROR(INDEX('Item Budget'!$O$25:$O$95,MATCH(AL182,'Item Budget'!$B$25:$B$95,0)),0),0)</f>
        <v/>
      </c>
      <c r="AZ182" s="44">
        <f>IF(AND(OR($E182="All",ISNUMBER(SEARCH("Magus",$E182))),AC182&gt;='Item Budget'!$R$10),'Item Budget'!$R$7*100*('Item Budget'!$R$16*(AD182+25*AH182)+'Item Budget'!$S$16*(AE182+25*AJ182))/'Item Budget'!$Z$16+'Item Budget'!$R$9*AF182+IFERROR(INDEX('Item Budget'!$O$25:$O$95,MATCH(AL182,'Item Budget'!$B$25:$B$95,0)),0),0)</f>
        <v/>
      </c>
      <c r="BA182" s="44">
        <f>IF(AND(OR($E182="All",ISNUMBER(SEARCH("Priest",$E182))),AC182&gt;='Item Budget'!$R$10),'Item Budget'!$R$7*100*('Item Budget'!$R$17*(AD182+25*AH182)+'Item Budget'!$S$17*(AE182+25*AJ182))/'Item Budget'!$Z$17+'Item Budget'!$R$9*AF182+IFERROR(INDEX('Item Budget'!$O$25:$O$95,MATCH(AL182,'Item Budget'!$B$25:$B$95,0)),0),0)</f>
        <v/>
      </c>
      <c r="BB182" s="52">
        <f>IF(OR($I182&lt;1,IF($I182&gt;=6,AX182,AT182)&lt;=0),"",IF(SUMPRODUCT(MAX(($C$5:$C$215=$C182)*($I$5:$I$215&gt;=1)*($I$5:$I$215&lt;$I182)*IF($I182&gt;=6,$AX$5:$AX$215,$AT$5:$AT$215)))&lt;=0,"",SUMPRODUCT(MAX(($C$5:$C$215=$C182)*($I$5:$I$215=$I182)*IF($I182&gt;=6,$AX$5:$AX$215,$AT$5:$AT$215)))/SUMPRODUCT(MAX(($C$5:$C$215=$C182)*($I$5:$I$215&gt;=1)*($I$5:$I$215&lt;$I182)*IF($I182&gt;=6,$AX$5:$AX$215,$AT$5:$AT$215)))-1))</f>
        <v/>
      </c>
      <c r="BC182" s="52">
        <f>IF(OR($I182&lt;1,IF($I182&gt;=6,AY182,AU182)&lt;=0),"",IF(SUMPRODUCT(MAX(($C$5:$C$215=$C182)*($I$5:$I$215&gt;=1)*($I$5:$I$215&lt;$I182)*IF($I182&gt;=6,$AY$5:$AY$215,$AU$5:$AU$215)))&lt;=0,"",SUMPRODUCT(MAX(($C$5:$C$215=$C182)*($I$5:$I$215=$I182)*IF($I182&gt;=6,$AY$5:$AY$215,$AU$5:$AU$215)))/SUMPRODUCT(MAX(($C$5:$C$215=$C182)*($I$5:$I$215&gt;=1)*($I$5:$I$215&lt;$I182)*IF($I182&gt;=6,$AY$5:$AY$215,$AU$5:$AU$215)))-1))</f>
        <v/>
      </c>
      <c r="BD182" s="52">
        <f>IF(OR($I182&lt;1,IF($I182&gt;=6,AZ182,AV182)&lt;=0),"",IF(SUMPRODUCT(MAX(($C$5:$C$215=$C182)*($I$5:$I$215&gt;=1)*($I$5:$I$215&lt;$I182)*IF($I182&gt;=6,$AZ$5:$AZ$215,$AV$5:$AV$215)))&lt;=0,"",SUMPRODUCT(MAX(($C$5:$C$215=$C182)*($I$5:$I$215=$I182)*IF($I182&gt;=6,$AZ$5:$AZ$215,$AV$5:$AV$215)))/SUMPRODUCT(MAX(($C$5:$C$215=$C182)*($I$5:$I$215&gt;=1)*($I$5:$I$215&lt;$I182)*IF($I182&gt;=6,$AZ$5:$AZ$215,$AV$5:$AV$215)))-1))</f>
        <v/>
      </c>
      <c r="BE182" s="52">
        <f>IF(OR($I182&lt;1,IF($I182&gt;=6,BA182,AW182)&lt;=0),"",IF(SUMPRODUCT(MAX(($C$5:$C$215=$C182)*($I$5:$I$215&gt;=1)*($I$5:$I$215&lt;$I182)*IF($I182&gt;=6,$BA$5:$BA$215,$AW$5:$AW$215)))&lt;=0,"",SUMPRODUCT(MAX(($C$5:$C$215=$C182)*($I$5:$I$215=$I182)*IF($I182&gt;=6,$BA$5:$BA$215,$AW$5:$AW$215)))/SUMPRODUCT(MAX(($C$5:$C$215=$C182)*($I$5:$I$215&gt;=1)*($I$5:$I$215&lt;$I182)*IF($I182&gt;=6,$BA$5:$BA$215,$AW$5:$AW$215)))-1))</f>
        <v/>
      </c>
      <c r="BF182" s="19">
        <f>IF(AND(BB182="",BC182="",BD182="",BE182=""),"",IF(IF(AND(ISNUMBER(BB182),BB182&lt;'Item Budget'!$R$11),"W ","")&amp;IF(AND(ISNUMBER(BC182),BC182&lt;'Item Budget'!$R$11),"R ","")&amp;IF(AND(ISNUMBER(BD182),BD182&lt;'Item Budget'!$R$11),"M ","")&amp;IF(AND(ISNUMBER(BE182),BE182&lt;'Item Budget'!$R$11),"P ","")="","OK","Not above lower step: "&amp;IF(AND(ISNUMBER(BB182),BB182&lt;'Item Budget'!$R$11),"W ","")&amp;IF(AND(ISNUMBER(BC182),BC182&lt;'Item Budget'!$R$11),"R ","")&amp;IF(AND(ISNUMBER(BD182),BD182&lt;'Item Budget'!$R$11),"M ","")&amp;IF(AND(ISNUMBER(BE182),BE182&lt;'Item Budget'!$R$11),"P ","")))</f>
        <v/>
      </c>
    </row>
    <row r="183">
      <c r="A183" s="21" t="n">
        <v>211</v>
      </c>
      <c r="B183" s="21" t="inlineStr">
        <is>
          <t>Malignant Dagger</t>
        </is>
      </c>
      <c r="C183" s="21" t="inlineStr">
        <is>
          <t>Weapon</t>
        </is>
      </c>
      <c r="D183" s="21" t="inlineStr">
        <is>
          <t>Rogue</t>
        </is>
      </c>
      <c r="E183" s="21" t="inlineStr">
        <is>
          <t>Rogue</t>
        </is>
      </c>
      <c r="F183" s="21" t="inlineStr"/>
      <c r="G183" s="21" t="inlineStr">
        <is>
          <t>drop: Unloved 2%</t>
        </is>
      </c>
      <c r="H183" s="37" t="n">
        <v>0</v>
      </c>
      <c r="I183" s="21" t="n">
        <v>0</v>
      </c>
      <c r="J183" s="3" t="inlineStr">
        <is>
          <t>Applied</t>
        </is>
      </c>
      <c r="K183" s="21" t="inlineStr">
        <is>
          <t>Vendor</t>
        </is>
      </c>
      <c r="L183" s="31">
        <f>INDEX('Item Budget'!$F$5:$F$13,MATCH(K183,'Item Budget'!$E$5:$E$13,0))+IF(E183="All",0,'Item Budget'!$F$15)+LOOKUP(H183,'Item Budget'!$E$19:$E$23,'Item Budget'!$F$19:$F$23)</f>
        <v/>
      </c>
      <c r="M183" s="21" t="n">
        <v>27</v>
      </c>
      <c r="N183" s="21" t="n">
        <v>0</v>
      </c>
      <c r="O183" s="21" t="n">
        <v>0</v>
      </c>
      <c r="P183" s="21" t="n">
        <v>0</v>
      </c>
      <c r="Q183" s="21" t="n">
        <v>4</v>
      </c>
      <c r="R183" s="21" t="n">
        <v>2</v>
      </c>
      <c r="S183" s="21" t="n">
        <v>10</v>
      </c>
      <c r="T183" s="21" t="n">
        <v>0</v>
      </c>
      <c r="U183" s="21" t="n">
        <v>36</v>
      </c>
      <c r="V183" s="21" t="inlineStr">
        <is>
          <t>(none)</t>
        </is>
      </c>
      <c r="W183" s="61">
        <f>N183*'Item Budget'!$B$5+R183*'Item Budget'!$B$7+P183*'Item Budget'!$B$11+S183*'Item Budget'!$B$10+Q183*'Item Budget'!$B$9+IFERROR(INDEX('Item Budget'!$M$25:$M$95,MATCH(V183,'Item Budget'!$B$25:$B$95,0)),0)+IF($C183="Weapon",U183*'Item Budget'!$B$9,0)</f>
        <v/>
      </c>
      <c r="X183" s="61">
        <f>N183*'Item Budget'!$B$5+R183*'Item Budget'!$B$7+P183*'Item Budget'!$B$11+S183*'Item Budget'!$B$10+O183*'Item Budget'!$B$6+T183*'Item Budget'!$B$8+IFERROR(INDEX('Item Budget'!$N$25:$N$95,MATCH(V183,'Item Budget'!$B$25:$B$95,0)),0)</f>
        <v/>
      </c>
      <c r="Y183" s="61">
        <f>MAX('Item Budget'!$F$16,INDEX('Gear Budget'!$C$8:$C$14,MATCH($C183,'Gear Budget'!$A$8:$A$14,0))*MIN(M183,50))*$L183</f>
        <v/>
      </c>
      <c r="Z183" s="41">
        <f>IF($C183="Caster weapon",X183,MAX(W183,X183))/Y183</f>
        <v/>
      </c>
      <c r="AA183" s="61">
        <f>IF(OR($C183="Weapon",$C183="Caster weapon"),"",'Gear Budget'!$B$5*MAX(1,MIN(M183,50))*INDEX('Gear Budget'!$B$8:$B$14,MATCH($C183,'Gear Budget'!$A$8:$A$14,0))*IF($C183="Shield",IF(D183="Warrior",1,IF(OR(D183="Rogue",D183="All"),0.38/0.6,0.25/0.6)),IFERROR(INDEX('Gear Budget'!$B$18:$B$21,MATCH($F183,'Gear Budget'!$A$18:$A$21,0)),1)))</f>
        <v/>
      </c>
      <c r="AB183" s="41">
        <f>IF(AA183="","",P183/AA183)</f>
        <v/>
      </c>
      <c r="AC183" s="21" t="n">
        <v>27</v>
      </c>
      <c r="AD183" s="21" t="n">
        <v>0</v>
      </c>
      <c r="AE183" s="21" t="n">
        <v>0</v>
      </c>
      <c r="AF183" s="21" t="n">
        <v>0</v>
      </c>
      <c r="AG183" s="21" t="n">
        <v>4</v>
      </c>
      <c r="AH183" s="21" t="n">
        <v>2</v>
      </c>
      <c r="AI183" s="21" t="n">
        <v>10</v>
      </c>
      <c r="AJ183" s="21" t="n">
        <v>0</v>
      </c>
      <c r="AK183" s="21" t="n">
        <v>36</v>
      </c>
      <c r="AL183" s="21" t="inlineStr">
        <is>
          <t>(none)</t>
        </is>
      </c>
      <c r="AM183" s="61">
        <f>AD183*'Item Budget'!$B$5+AH183*'Item Budget'!$B$7+AF183*'Item Budget'!$B$11+AI183*'Item Budget'!$B$10+AG183*'Item Budget'!$B$9+IFERROR(INDEX('Item Budget'!$M$25:$M$95,MATCH(AL183,'Item Budget'!$B$25:$B$95,0)),0)+IF($C183="Weapon",AK183*'Item Budget'!$B$9,0)</f>
        <v/>
      </c>
      <c r="AN183" s="61">
        <f>AD183*'Item Budget'!$B$5+AH183*'Item Budget'!$B$7+AF183*'Item Budget'!$B$11+AI183*'Item Budget'!$B$10+AE183*'Item Budget'!$B$6+AJ183*'Item Budget'!$B$8+IFERROR(INDEX('Item Budget'!$N$25:$N$95,MATCH(AL183,'Item Budget'!$B$25:$B$95,0)),0)</f>
        <v/>
      </c>
      <c r="AO183" s="61">
        <f>MAX('Item Budget'!$F$16,INDEX('Gear Budget'!$C$8:$C$14,MATCH($C183,'Gear Budget'!$A$8:$A$14,0))*MIN(AC183,50))*$L183</f>
        <v/>
      </c>
      <c r="AP183" s="41">
        <f>IF($C183="Caster weapon",AN183,MAX(AM183,AN183))/AO183</f>
        <v/>
      </c>
      <c r="AQ183" s="61">
        <f>IF(OR($C183="Weapon",$C183="Caster weapon"),"",'Gear Budget'!$B$5*MAX(1,MIN(AC183,50))*INDEX('Gear Budget'!$B$8:$B$14,MATCH($C183,'Gear Budget'!$A$8:$A$14,0))*IF($C183="Shield",IF(E183="Warrior",1,IF(OR(E183="Rogue",E183="All"),0.38/0.6,0.25/0.6)),IFERROR(INDEX('Gear Budget'!$B$18:$B$21,MATCH($F183,'Gear Budget'!$A$18:$A$21,0)),1)))</f>
        <v/>
      </c>
      <c r="AR183" s="41">
        <f>IF(AQ183="","",AF183/AQ183)</f>
        <v/>
      </c>
      <c r="AS183" s="64" t="inlineStr">
        <is>
          <t>Pass 1 (applied): Damage 34 -&gt; 36 and more STR, to match Bastard Sword.</t>
        </is>
      </c>
      <c r="AT183" s="44">
        <f>IF(OR($E183="All",ISNUMBER(SEARCH("Warrior",$E183))),IF($C183="Caster weapon",(AN183+AF183*('Item Budget'!$AB$14-'Item Budget'!$B$11)),(AM183+AF183*('Item Budget'!$AB$14-'Item Budget'!$B$11))),0)</f>
        <v/>
      </c>
      <c r="AU183" s="44">
        <f>IF(OR($E183="All",ISNUMBER(SEARCH("Rogue",$E183))),IF($C183="Caster weapon",(AN183+AF183*('Item Budget'!$AB$15-'Item Budget'!$B$11)),(AM183+AF183*('Item Budget'!$AB$15-'Item Budget'!$B$11))),0)</f>
        <v/>
      </c>
      <c r="AV183" s="44">
        <f>IF(OR($E183="All",ISNUMBER(SEARCH("Magus",$E183))),(AN183+AF183*('Item Budget'!$AB$16-'Item Budget'!$B$11)),0)</f>
        <v/>
      </c>
      <c r="AW183" s="44">
        <f>IF(OR($E183="All",ISNUMBER(SEARCH("Priest",$E183))),(AN183+AF183*('Item Budget'!$AB$17-'Item Budget'!$B$11)),0)</f>
        <v/>
      </c>
      <c r="AX183" s="44">
        <f>IF(AND(OR($E183="All",ISNUMBER(SEARCH("Warrior",$E183))),AC183&gt;='Item Budget'!$R$10),'Item Budget'!$R$7*100*('Item Budget'!$R$14*(AD183+25*AH183)+'Item Budget'!$S$14*(AE183+25*AJ183))/'Item Budget'!$Z$14+'Item Budget'!$R$9*AF183+IFERROR(INDEX('Item Budget'!$O$25:$O$95,MATCH(AL183,'Item Budget'!$B$25:$B$95,0)),0),0)</f>
        <v/>
      </c>
      <c r="AY183" s="44">
        <f>IF(AND(OR($E183="All",ISNUMBER(SEARCH("Rogue",$E183))),AC183&gt;='Item Budget'!$R$10),'Item Budget'!$R$7*100*('Item Budget'!$R$15*(AD183+25*AH183)+'Item Budget'!$S$15*(AE183+25*AJ183))/'Item Budget'!$Z$15+'Item Budget'!$R$9*AF183+IFERROR(INDEX('Item Budget'!$O$25:$O$95,MATCH(AL183,'Item Budget'!$B$25:$B$95,0)),0),0)</f>
        <v/>
      </c>
      <c r="AZ183" s="44">
        <f>IF(AND(OR($E183="All",ISNUMBER(SEARCH("Magus",$E183))),AC183&gt;='Item Budget'!$R$10),'Item Budget'!$R$7*100*('Item Budget'!$R$16*(AD183+25*AH183)+'Item Budget'!$S$16*(AE183+25*AJ183))/'Item Budget'!$Z$16+'Item Budget'!$R$9*AF183+IFERROR(INDEX('Item Budget'!$O$25:$O$95,MATCH(AL183,'Item Budget'!$B$25:$B$95,0)),0),0)</f>
        <v/>
      </c>
      <c r="BA183" s="44">
        <f>IF(AND(OR($E183="All",ISNUMBER(SEARCH("Priest",$E183))),AC183&gt;='Item Budget'!$R$10),'Item Budget'!$R$7*100*('Item Budget'!$R$17*(AD183+25*AH183)+'Item Budget'!$S$17*(AE183+25*AJ183))/'Item Budget'!$Z$17+'Item Budget'!$R$9*AF183+IFERROR(INDEX('Item Budget'!$O$25:$O$95,MATCH(AL183,'Item Budget'!$B$25:$B$95,0)),0),0)</f>
        <v/>
      </c>
      <c r="BB183" s="52">
        <f>IF(OR($I183&lt;1,IF($I183&gt;=6,AX183,AT183)&lt;=0),"",IF(SUMPRODUCT(MAX(($C$5:$C$215=$C183)*($I$5:$I$215&gt;=1)*($I$5:$I$215&lt;$I183)*IF($I183&gt;=6,$AX$5:$AX$215,$AT$5:$AT$215)))&lt;=0,"",SUMPRODUCT(MAX(($C$5:$C$215=$C183)*($I$5:$I$215=$I183)*IF($I183&gt;=6,$AX$5:$AX$215,$AT$5:$AT$215)))/SUMPRODUCT(MAX(($C$5:$C$215=$C183)*($I$5:$I$215&gt;=1)*($I$5:$I$215&lt;$I183)*IF($I183&gt;=6,$AX$5:$AX$215,$AT$5:$AT$215)))-1))</f>
        <v/>
      </c>
      <c r="BC183" s="52">
        <f>IF(OR($I183&lt;1,IF($I183&gt;=6,AY183,AU183)&lt;=0),"",IF(SUMPRODUCT(MAX(($C$5:$C$215=$C183)*($I$5:$I$215&gt;=1)*($I$5:$I$215&lt;$I183)*IF($I183&gt;=6,$AY$5:$AY$215,$AU$5:$AU$215)))&lt;=0,"",SUMPRODUCT(MAX(($C$5:$C$215=$C183)*($I$5:$I$215=$I183)*IF($I183&gt;=6,$AY$5:$AY$215,$AU$5:$AU$215)))/SUMPRODUCT(MAX(($C$5:$C$215=$C183)*($I$5:$I$215&gt;=1)*($I$5:$I$215&lt;$I183)*IF($I183&gt;=6,$AY$5:$AY$215,$AU$5:$AU$215)))-1))</f>
        <v/>
      </c>
      <c r="BD183" s="52">
        <f>IF(OR($I183&lt;1,IF($I183&gt;=6,AZ183,AV183)&lt;=0),"",IF(SUMPRODUCT(MAX(($C$5:$C$215=$C183)*($I$5:$I$215&gt;=1)*($I$5:$I$215&lt;$I183)*IF($I183&gt;=6,$AZ$5:$AZ$215,$AV$5:$AV$215)))&lt;=0,"",SUMPRODUCT(MAX(($C$5:$C$215=$C183)*($I$5:$I$215=$I183)*IF($I183&gt;=6,$AZ$5:$AZ$215,$AV$5:$AV$215)))/SUMPRODUCT(MAX(($C$5:$C$215=$C183)*($I$5:$I$215&gt;=1)*($I$5:$I$215&lt;$I183)*IF($I183&gt;=6,$AZ$5:$AZ$215,$AV$5:$AV$215)))-1))</f>
        <v/>
      </c>
      <c r="BE183" s="52">
        <f>IF(OR($I183&lt;1,IF($I183&gt;=6,BA183,AW183)&lt;=0),"",IF(SUMPRODUCT(MAX(($C$5:$C$215=$C183)*($I$5:$I$215&gt;=1)*($I$5:$I$215&lt;$I183)*IF($I183&gt;=6,$BA$5:$BA$215,$AW$5:$AW$215)))&lt;=0,"",SUMPRODUCT(MAX(($C$5:$C$215=$C183)*($I$5:$I$215=$I183)*IF($I183&gt;=6,$BA$5:$BA$215,$AW$5:$AW$215)))/SUMPRODUCT(MAX(($C$5:$C$215=$C183)*($I$5:$I$215&gt;=1)*($I$5:$I$215&lt;$I183)*IF($I183&gt;=6,$BA$5:$BA$215,$AW$5:$AW$215)))-1))</f>
        <v/>
      </c>
      <c r="BF183" s="19">
        <f>IF(AND(BB183="",BC183="",BD183="",BE183=""),"",IF(IF(AND(ISNUMBER(BB183),BB183&lt;'Item Budget'!$R$11),"W ","")&amp;IF(AND(ISNUMBER(BC183),BC183&lt;'Item Budget'!$R$11),"R ","")&amp;IF(AND(ISNUMBER(BD183),BD183&lt;'Item Budget'!$R$11),"M ","")&amp;IF(AND(ISNUMBER(BE183),BE183&lt;'Item Budget'!$R$11),"P ","")="","OK","Not above lower step: "&amp;IF(AND(ISNUMBER(BB183),BB183&lt;'Item Budget'!$R$11),"W ","")&amp;IF(AND(ISNUMBER(BC183),BC183&lt;'Item Budget'!$R$11),"R ","")&amp;IF(AND(ISNUMBER(BD183),BD183&lt;'Item Budget'!$R$11),"M ","")&amp;IF(AND(ISNUMBER(BE183),BE183&lt;'Item Budget'!$R$11),"P ","")))</f>
        <v/>
      </c>
    </row>
    <row r="184">
      <c r="A184" s="21" t="n">
        <v>213</v>
      </c>
      <c r="B184" s="21" t="inlineStr">
        <is>
          <t>Scythe</t>
        </is>
      </c>
      <c r="C184" s="21" t="inlineStr">
        <is>
          <t>Weapon</t>
        </is>
      </c>
      <c r="D184" s="21" t="inlineStr">
        <is>
          <t>All</t>
        </is>
      </c>
      <c r="E184" s="21" t="inlineStr">
        <is>
          <t>All</t>
        </is>
      </c>
      <c r="F184" s="21" t="inlineStr"/>
      <c r="G184" s="21" t="inlineStr">
        <is>
          <t>drop: Misplaced Spouse 5%</t>
        </is>
      </c>
      <c r="H184" s="37" t="n">
        <v>0</v>
      </c>
      <c r="I184" s="21" t="n">
        <v>0</v>
      </c>
      <c r="J184" s="3" t="inlineStr">
        <is>
          <t>Pass 2</t>
        </is>
      </c>
      <c r="K184" s="21" t="inlineStr">
        <is>
          <t>Rare boss drop</t>
        </is>
      </c>
      <c r="L184" s="31">
        <f>INDEX('Item Budget'!$F$5:$F$13,MATCH(K184,'Item Budget'!$E$5:$E$13,0))+IF(E184="All",0,'Item Budget'!$F$15)+LOOKUP(H184,'Item Budget'!$E$19:$E$23,'Item Budget'!$F$19:$F$23)</f>
        <v/>
      </c>
      <c r="M184" s="21" t="n">
        <v>30</v>
      </c>
      <c r="N184" s="21" t="n">
        <v>100</v>
      </c>
      <c r="O184" s="21" t="n">
        <v>100</v>
      </c>
      <c r="P184" s="21" t="n">
        <v>10</v>
      </c>
      <c r="Q184" s="21" t="n">
        <v>12</v>
      </c>
      <c r="R184" s="21" t="n">
        <v>8</v>
      </c>
      <c r="S184" s="21" t="n">
        <v>6</v>
      </c>
      <c r="T184" s="21" t="n">
        <v>8</v>
      </c>
      <c r="U184" s="21" t="n">
        <v>60</v>
      </c>
      <c r="V184" s="21" t="inlineStr">
        <is>
          <t>(none)</t>
        </is>
      </c>
      <c r="W184" s="61">
        <f>N184*'Item Budget'!$B$5+R184*'Item Budget'!$B$7+P184*'Item Budget'!$B$11+S184*'Item Budget'!$B$10+Q184*'Item Budget'!$B$9+IFERROR(INDEX('Item Budget'!$M$25:$M$95,MATCH(V184,'Item Budget'!$B$25:$B$95,0)),0)+IF($C184="Weapon",U184*'Item Budget'!$B$9,0)</f>
        <v/>
      </c>
      <c r="X184" s="61">
        <f>N184*'Item Budget'!$B$5+R184*'Item Budget'!$B$7+P184*'Item Budget'!$B$11+S184*'Item Budget'!$B$10+O184*'Item Budget'!$B$6+T184*'Item Budget'!$B$8+IFERROR(INDEX('Item Budget'!$N$25:$N$95,MATCH(V184,'Item Budget'!$B$25:$B$95,0)),0)</f>
        <v/>
      </c>
      <c r="Y184" s="61">
        <f>MAX('Item Budget'!$F$16,INDEX('Gear Budget'!$C$8:$C$14,MATCH($C184,'Gear Budget'!$A$8:$A$14,0))*MIN(M184,50))*$L184</f>
        <v/>
      </c>
      <c r="Z184" s="41">
        <f>IF($C184="Caster weapon",X184,MAX(W184,X184))/Y184</f>
        <v/>
      </c>
      <c r="AA184" s="61">
        <f>IF(OR($C184="Weapon",$C184="Caster weapon"),"",'Gear Budget'!$B$5*MAX(1,MIN(M184,50))*INDEX('Gear Budget'!$B$8:$B$14,MATCH($C184,'Gear Budget'!$A$8:$A$14,0))*IF($C184="Shield",IF(D184="Warrior",1,IF(OR(D184="Rogue",D184="All"),0.38/0.6,0.25/0.6)),IFERROR(INDEX('Gear Budget'!$B$18:$B$21,MATCH($F184,'Gear Budget'!$A$18:$A$21,0)),1)))</f>
        <v/>
      </c>
      <c r="AB184" s="41">
        <f>IF(AA184="","",P184/AA184)</f>
        <v/>
      </c>
      <c r="AC184" s="21" t="n">
        <v>30</v>
      </c>
      <c r="AD184" s="21" t="n">
        <v>100</v>
      </c>
      <c r="AE184" s="21" t="n">
        <v>100</v>
      </c>
      <c r="AF184" s="21" t="n">
        <v>10</v>
      </c>
      <c r="AG184" s="21" t="n">
        <v>12</v>
      </c>
      <c r="AH184" s="21" t="n">
        <v>8</v>
      </c>
      <c r="AI184" s="21" t="n">
        <v>6</v>
      </c>
      <c r="AJ184" s="21" t="n">
        <v>8</v>
      </c>
      <c r="AK184" s="20" t="n">
        <v>55</v>
      </c>
      <c r="AL184" s="21" t="inlineStr">
        <is>
          <t>(none)</t>
        </is>
      </c>
      <c r="AM184" s="61">
        <f>AD184*'Item Budget'!$B$5+AH184*'Item Budget'!$B$7+AF184*'Item Budget'!$B$11+AI184*'Item Budget'!$B$10+AG184*'Item Budget'!$B$9+IFERROR(INDEX('Item Budget'!$M$25:$M$95,MATCH(AL184,'Item Budget'!$B$25:$B$95,0)),0)+IF($C184="Weapon",AK184*'Item Budget'!$B$9,0)</f>
        <v/>
      </c>
      <c r="AN184" s="61">
        <f>AD184*'Item Budget'!$B$5+AH184*'Item Budget'!$B$7+AF184*'Item Budget'!$B$11+AI184*'Item Budget'!$B$10+AE184*'Item Budget'!$B$6+AJ184*'Item Budget'!$B$8+IFERROR(INDEX('Item Budget'!$N$25:$N$95,MATCH(AL184,'Item Budget'!$B$25:$B$95,0)),0)</f>
        <v/>
      </c>
      <c r="AO184" s="61">
        <f>MAX('Item Budget'!$F$16,INDEX('Gear Budget'!$C$8:$C$14,MATCH($C184,'Gear Budget'!$A$8:$A$14,0))*MIN(AC184,50))*$L184</f>
        <v/>
      </c>
      <c r="AP184" s="41">
        <f>IF($C184="Caster weapon",AN184,MAX(AM184,AN184))/AO184</f>
        <v/>
      </c>
      <c r="AQ184" s="61">
        <f>IF(OR($C184="Weapon",$C184="Caster weapon"),"",'Gear Budget'!$B$5*MAX(1,MIN(AC184,50))*INDEX('Gear Budget'!$B$8:$B$14,MATCH($C184,'Gear Budget'!$A$8:$A$14,0))*IF($C184="Shield",IF(E184="Warrior",1,IF(OR(E184="Rogue",E184="All"),0.38/0.6,0.25/0.6)),IFERROR(INDEX('Gear Budget'!$B$18:$B$21,MATCH($F184,'Gear Budget'!$A$18:$A$21,0)),1)))</f>
        <v/>
      </c>
      <c r="AR184" s="41">
        <f>IF(AQ184="","",AF184/AQ184)</f>
        <v/>
      </c>
      <c r="AS184" s="64" t="inlineStr">
        <is>
          <t>Scythe: damage 60 -&gt; 55 (67) so the L33 Nagan weapons (78) stay 10% ahead</t>
        </is>
      </c>
      <c r="AT184" s="44">
        <f>IF(OR($E184="All",ISNUMBER(SEARCH("Warrior",$E184))),IF($C184="Caster weapon",(AN184+AF184*('Item Budget'!$AB$14-'Item Budget'!$B$11)),(AM184+AF184*('Item Budget'!$AB$14-'Item Budget'!$B$11))),0)</f>
        <v/>
      </c>
      <c r="AU184" s="44">
        <f>IF(OR($E184="All",ISNUMBER(SEARCH("Rogue",$E184))),IF($C184="Caster weapon",(AN184+AF184*('Item Budget'!$AB$15-'Item Budget'!$B$11)),(AM184+AF184*('Item Budget'!$AB$15-'Item Budget'!$B$11))),0)</f>
        <v/>
      </c>
      <c r="AV184" s="44">
        <f>IF(OR($E184="All",ISNUMBER(SEARCH("Magus",$E184))),(AN184+AF184*('Item Budget'!$AB$16-'Item Budget'!$B$11)),0)</f>
        <v/>
      </c>
      <c r="AW184" s="44">
        <f>IF(OR($E184="All",ISNUMBER(SEARCH("Priest",$E184))),(AN184+AF184*('Item Budget'!$AB$17-'Item Budget'!$B$11)),0)</f>
        <v/>
      </c>
      <c r="AX184" s="44">
        <f>IF(AND(OR($E184="All",ISNUMBER(SEARCH("Warrior",$E184))),AC184&gt;='Item Budget'!$R$10),'Item Budget'!$R$7*100*('Item Budget'!$R$14*(AD184+25*AH184)+'Item Budget'!$S$14*(AE184+25*AJ184))/'Item Budget'!$Z$14+'Item Budget'!$R$9*AF184+IFERROR(INDEX('Item Budget'!$O$25:$O$95,MATCH(AL184,'Item Budget'!$B$25:$B$95,0)),0),0)</f>
        <v/>
      </c>
      <c r="AY184" s="44">
        <f>IF(AND(OR($E184="All",ISNUMBER(SEARCH("Rogue",$E184))),AC184&gt;='Item Budget'!$R$10),'Item Budget'!$R$7*100*('Item Budget'!$R$15*(AD184+25*AH184)+'Item Budget'!$S$15*(AE184+25*AJ184))/'Item Budget'!$Z$15+'Item Budget'!$R$9*AF184+IFERROR(INDEX('Item Budget'!$O$25:$O$95,MATCH(AL184,'Item Budget'!$B$25:$B$95,0)),0),0)</f>
        <v/>
      </c>
      <c r="AZ184" s="44">
        <f>IF(AND(OR($E184="All",ISNUMBER(SEARCH("Magus",$E184))),AC184&gt;='Item Budget'!$R$10),'Item Budget'!$R$7*100*('Item Budget'!$R$16*(AD184+25*AH184)+'Item Budget'!$S$16*(AE184+25*AJ184))/'Item Budget'!$Z$16+'Item Budget'!$R$9*AF184+IFERROR(INDEX('Item Budget'!$O$25:$O$95,MATCH(AL184,'Item Budget'!$B$25:$B$95,0)),0),0)</f>
        <v/>
      </c>
      <c r="BA184" s="44">
        <f>IF(AND(OR($E184="All",ISNUMBER(SEARCH("Priest",$E184))),AC184&gt;='Item Budget'!$R$10),'Item Budget'!$R$7*100*('Item Budget'!$R$17*(AD184+25*AH184)+'Item Budget'!$S$17*(AE184+25*AJ184))/'Item Budget'!$Z$17+'Item Budget'!$R$9*AF184+IFERROR(INDEX('Item Budget'!$O$25:$O$95,MATCH(AL184,'Item Budget'!$B$25:$B$95,0)),0),0)</f>
        <v/>
      </c>
      <c r="BB184" s="52">
        <f>IF(OR($I184&lt;1,IF($I184&gt;=6,AX184,AT184)&lt;=0),"",IF(SUMPRODUCT(MAX(($C$5:$C$215=$C184)*($I$5:$I$215&gt;=1)*($I$5:$I$215&lt;$I184)*IF($I184&gt;=6,$AX$5:$AX$215,$AT$5:$AT$215)))&lt;=0,"",SUMPRODUCT(MAX(($C$5:$C$215=$C184)*($I$5:$I$215=$I184)*IF($I184&gt;=6,$AX$5:$AX$215,$AT$5:$AT$215)))/SUMPRODUCT(MAX(($C$5:$C$215=$C184)*($I$5:$I$215&gt;=1)*($I$5:$I$215&lt;$I184)*IF($I184&gt;=6,$AX$5:$AX$215,$AT$5:$AT$215)))-1))</f>
        <v/>
      </c>
      <c r="BC184" s="52">
        <f>IF(OR($I184&lt;1,IF($I184&gt;=6,AY184,AU184)&lt;=0),"",IF(SUMPRODUCT(MAX(($C$5:$C$215=$C184)*($I$5:$I$215&gt;=1)*($I$5:$I$215&lt;$I184)*IF($I184&gt;=6,$AY$5:$AY$215,$AU$5:$AU$215)))&lt;=0,"",SUMPRODUCT(MAX(($C$5:$C$215=$C184)*($I$5:$I$215=$I184)*IF($I184&gt;=6,$AY$5:$AY$215,$AU$5:$AU$215)))/SUMPRODUCT(MAX(($C$5:$C$215=$C184)*($I$5:$I$215&gt;=1)*($I$5:$I$215&lt;$I184)*IF($I184&gt;=6,$AY$5:$AY$215,$AU$5:$AU$215)))-1))</f>
        <v/>
      </c>
      <c r="BD184" s="52">
        <f>IF(OR($I184&lt;1,IF($I184&gt;=6,AZ184,AV184)&lt;=0),"",IF(SUMPRODUCT(MAX(($C$5:$C$215=$C184)*($I$5:$I$215&gt;=1)*($I$5:$I$215&lt;$I184)*IF($I184&gt;=6,$AZ$5:$AZ$215,$AV$5:$AV$215)))&lt;=0,"",SUMPRODUCT(MAX(($C$5:$C$215=$C184)*($I$5:$I$215=$I184)*IF($I184&gt;=6,$AZ$5:$AZ$215,$AV$5:$AV$215)))/SUMPRODUCT(MAX(($C$5:$C$215=$C184)*($I$5:$I$215&gt;=1)*($I$5:$I$215&lt;$I184)*IF($I184&gt;=6,$AZ$5:$AZ$215,$AV$5:$AV$215)))-1))</f>
        <v/>
      </c>
      <c r="BE184" s="52">
        <f>IF(OR($I184&lt;1,IF($I184&gt;=6,BA184,AW184)&lt;=0),"",IF(SUMPRODUCT(MAX(($C$5:$C$215=$C184)*($I$5:$I$215&gt;=1)*($I$5:$I$215&lt;$I184)*IF($I184&gt;=6,$BA$5:$BA$215,$AW$5:$AW$215)))&lt;=0,"",SUMPRODUCT(MAX(($C$5:$C$215=$C184)*($I$5:$I$215=$I184)*IF($I184&gt;=6,$BA$5:$BA$215,$AW$5:$AW$215)))/SUMPRODUCT(MAX(($C$5:$C$215=$C184)*($I$5:$I$215&gt;=1)*($I$5:$I$215&lt;$I184)*IF($I184&gt;=6,$BA$5:$BA$215,$AW$5:$AW$215)))-1))</f>
        <v/>
      </c>
      <c r="BF184" s="19">
        <f>IF(AND(BB184="",BC184="",BD184="",BE184=""),"",IF(IF(AND(ISNUMBER(BB184),BB184&lt;'Item Budget'!$R$11),"W ","")&amp;IF(AND(ISNUMBER(BC184),BC184&lt;'Item Budget'!$R$11),"R ","")&amp;IF(AND(ISNUMBER(BD184),BD184&lt;'Item Budget'!$R$11),"M ","")&amp;IF(AND(ISNUMBER(BE184),BE184&lt;'Item Budget'!$R$11),"P ","")="","OK","Not above lower step: "&amp;IF(AND(ISNUMBER(BB184),BB184&lt;'Item Budget'!$R$11),"W ","")&amp;IF(AND(ISNUMBER(BC184),BC184&lt;'Item Budget'!$R$11),"R ","")&amp;IF(AND(ISNUMBER(BD184),BD184&lt;'Item Budget'!$R$11),"M ","")&amp;IF(AND(ISNUMBER(BE184),BE184&lt;'Item Budget'!$R$11),"P ","")))</f>
        <v/>
      </c>
    </row>
    <row r="185">
      <c r="A185" s="21" t="n">
        <v>456</v>
      </c>
      <c r="B185" s="21" t="inlineStr">
        <is>
          <t>Fighting Katana</t>
        </is>
      </c>
      <c r="C185" s="21" t="inlineStr">
        <is>
          <t>Weapon</t>
        </is>
      </c>
      <c r="D185" s="21" t="inlineStr">
        <is>
          <t>Rogue/Warrior</t>
        </is>
      </c>
      <c r="E185" s="21" t="inlineStr">
        <is>
          <t>Rogue/Warrior</t>
        </is>
      </c>
      <c r="F185" s="21" t="inlineStr"/>
      <c r="G185" s="21" t="inlineStr">
        <is>
          <t>craft</t>
        </is>
      </c>
      <c r="H185" s="37" t="n">
        <v>0</v>
      </c>
      <c r="I185" s="21" t="n">
        <v>0</v>
      </c>
      <c r="J185" s="3" t="inlineStr">
        <is>
          <t>Pass 2</t>
        </is>
      </c>
      <c r="K185" s="21" t="inlineStr">
        <is>
          <t>Hard craft</t>
        </is>
      </c>
      <c r="L185" s="31">
        <f>INDEX('Item Budget'!$F$5:$F$13,MATCH(K185,'Item Budget'!$E$5:$E$13,0))+IF(E185="All",0,'Item Budget'!$F$15)+LOOKUP(H185,'Item Budget'!$E$19:$E$23,'Item Budget'!$F$19:$F$23)</f>
        <v/>
      </c>
      <c r="M185" s="21" t="n">
        <v>30</v>
      </c>
      <c r="N185" s="21" t="n">
        <v>50</v>
      </c>
      <c r="O185" s="21" t="n">
        <v>50</v>
      </c>
      <c r="P185" s="21" t="n">
        <v>0</v>
      </c>
      <c r="Q185" s="21" t="n">
        <v>14</v>
      </c>
      <c r="R185" s="21" t="n">
        <v>5</v>
      </c>
      <c r="S185" s="21" t="n">
        <v>10</v>
      </c>
      <c r="T185" s="21" t="n">
        <v>0</v>
      </c>
      <c r="U185" s="21" t="n">
        <v>70</v>
      </c>
      <c r="V185" s="21" t="inlineStr">
        <is>
          <t>(none)</t>
        </is>
      </c>
      <c r="W185" s="61">
        <f>N185*'Item Budget'!$B$5+R185*'Item Budget'!$B$7+P185*'Item Budget'!$B$11+S185*'Item Budget'!$B$10+Q185*'Item Budget'!$B$9+IFERROR(INDEX('Item Budget'!$M$25:$M$95,MATCH(V185,'Item Budget'!$B$25:$B$95,0)),0)+IF($C185="Weapon",U185*'Item Budget'!$B$9,0)</f>
        <v/>
      </c>
      <c r="X185" s="61">
        <f>N185*'Item Budget'!$B$5+R185*'Item Budget'!$B$7+P185*'Item Budget'!$B$11+S185*'Item Budget'!$B$10+O185*'Item Budget'!$B$6+T185*'Item Budget'!$B$8+IFERROR(INDEX('Item Budget'!$N$25:$N$95,MATCH(V185,'Item Budget'!$B$25:$B$95,0)),0)</f>
        <v/>
      </c>
      <c r="Y185" s="61">
        <f>MAX('Item Budget'!$F$16,INDEX('Gear Budget'!$C$8:$C$14,MATCH($C185,'Gear Budget'!$A$8:$A$14,0))*MIN(M185,50))*$L185</f>
        <v/>
      </c>
      <c r="Z185" s="41">
        <f>IF($C185="Caster weapon",X185,MAX(W185,X185))/Y185</f>
        <v/>
      </c>
      <c r="AA185" s="61">
        <f>IF(OR($C185="Weapon",$C185="Caster weapon"),"",'Gear Budget'!$B$5*MAX(1,MIN(M185,50))*INDEX('Gear Budget'!$B$8:$B$14,MATCH($C185,'Gear Budget'!$A$8:$A$14,0))*IF($C185="Shield",IF(D185="Warrior",1,IF(OR(D185="Rogue",D185="All"),0.38/0.6,0.25/0.6)),IFERROR(INDEX('Gear Budget'!$B$18:$B$21,MATCH($F185,'Gear Budget'!$A$18:$A$21,0)),1)))</f>
        <v/>
      </c>
      <c r="AB185" s="41">
        <f>IF(AA185="","",P185/AA185)</f>
        <v/>
      </c>
      <c r="AC185" s="21" t="n">
        <v>30</v>
      </c>
      <c r="AD185" s="21" t="n">
        <v>50</v>
      </c>
      <c r="AE185" s="21" t="n">
        <v>50</v>
      </c>
      <c r="AF185" s="21" t="n">
        <v>0</v>
      </c>
      <c r="AG185" s="20" t="n">
        <v>16</v>
      </c>
      <c r="AH185" s="21" t="n">
        <v>5</v>
      </c>
      <c r="AI185" s="21" t="n">
        <v>10</v>
      </c>
      <c r="AJ185" s="21" t="n">
        <v>0</v>
      </c>
      <c r="AK185" s="20" t="n">
        <v>78</v>
      </c>
      <c r="AL185" s="21" t="inlineStr">
        <is>
          <t>(none)</t>
        </is>
      </c>
      <c r="AM185" s="61">
        <f>AD185*'Item Budget'!$B$5+AH185*'Item Budget'!$B$7+AF185*'Item Budget'!$B$11+AI185*'Item Budget'!$B$10+AG185*'Item Budget'!$B$9+IFERROR(INDEX('Item Budget'!$M$25:$M$95,MATCH(AL185,'Item Budget'!$B$25:$B$95,0)),0)+IF($C185="Weapon",AK185*'Item Budget'!$B$9,0)</f>
        <v/>
      </c>
      <c r="AN185" s="61">
        <f>AD185*'Item Budget'!$B$5+AH185*'Item Budget'!$B$7+AF185*'Item Budget'!$B$11+AI185*'Item Budget'!$B$10+AE185*'Item Budget'!$B$6+AJ185*'Item Budget'!$B$8+IFERROR(INDEX('Item Budget'!$N$25:$N$95,MATCH(AL185,'Item Budget'!$B$25:$B$95,0)),0)</f>
        <v/>
      </c>
      <c r="AO185" s="61">
        <f>MAX('Item Budget'!$F$16,INDEX('Gear Budget'!$C$8:$C$14,MATCH($C185,'Gear Budget'!$A$8:$A$14,0))*MIN(AC185,50))*$L185</f>
        <v/>
      </c>
      <c r="AP185" s="41">
        <f>IF($C185="Caster weapon",AN185,MAX(AM185,AN185))/AO185</f>
        <v/>
      </c>
      <c r="AQ185" s="61">
        <f>IF(OR($C185="Weapon",$C185="Caster weapon"),"",'Gear Budget'!$B$5*MAX(1,MIN(AC185,50))*INDEX('Gear Budget'!$B$8:$B$14,MATCH($C185,'Gear Budget'!$A$8:$A$14,0))*IF($C185="Shield",IF(E185="Warrior",1,IF(OR(E185="Rogue",E185="All"),0.38/0.6,0.25/0.6)),IFERROR(INDEX('Gear Budget'!$B$18:$B$21,MATCH($F185,'Gear Budget'!$A$18:$A$21,0)),1)))</f>
        <v/>
      </c>
      <c r="AR185" s="41">
        <f>IF(AQ185="","",AF185/AQ185)</f>
        <v/>
      </c>
      <c r="AS185" s="64" t="inlineStr">
        <is>
          <t>Fighting Katana: damage 78, STR 16 (94); ~20% over the Nagan weapons</t>
        </is>
      </c>
      <c r="AT185" s="44">
        <f>IF(OR($E185="All",ISNUMBER(SEARCH("Warrior",$E185))),IF($C185="Caster weapon",(AN185+AF185*('Item Budget'!$AB$14-'Item Budget'!$B$11)),(AM185+AF185*('Item Budget'!$AB$14-'Item Budget'!$B$11))),0)</f>
        <v/>
      </c>
      <c r="AU185" s="44">
        <f>IF(OR($E185="All",ISNUMBER(SEARCH("Rogue",$E185))),IF($C185="Caster weapon",(AN185+AF185*('Item Budget'!$AB$15-'Item Budget'!$B$11)),(AM185+AF185*('Item Budget'!$AB$15-'Item Budget'!$B$11))),0)</f>
        <v/>
      </c>
      <c r="AV185" s="44">
        <f>IF(OR($E185="All",ISNUMBER(SEARCH("Magus",$E185))),(AN185+AF185*('Item Budget'!$AB$16-'Item Budget'!$B$11)),0)</f>
        <v/>
      </c>
      <c r="AW185" s="44">
        <f>IF(OR($E185="All",ISNUMBER(SEARCH("Priest",$E185))),(AN185+AF185*('Item Budget'!$AB$17-'Item Budget'!$B$11)),0)</f>
        <v/>
      </c>
      <c r="AX185" s="44">
        <f>IF(AND(OR($E185="All",ISNUMBER(SEARCH("Warrior",$E185))),AC185&gt;='Item Budget'!$R$10),'Item Budget'!$R$7*100*('Item Budget'!$R$14*(AD185+25*AH185)+'Item Budget'!$S$14*(AE185+25*AJ185))/'Item Budget'!$Z$14+'Item Budget'!$R$9*AF185+IFERROR(INDEX('Item Budget'!$O$25:$O$95,MATCH(AL185,'Item Budget'!$B$25:$B$95,0)),0),0)</f>
        <v/>
      </c>
      <c r="AY185" s="44">
        <f>IF(AND(OR($E185="All",ISNUMBER(SEARCH("Rogue",$E185))),AC185&gt;='Item Budget'!$R$10),'Item Budget'!$R$7*100*('Item Budget'!$R$15*(AD185+25*AH185)+'Item Budget'!$S$15*(AE185+25*AJ185))/'Item Budget'!$Z$15+'Item Budget'!$R$9*AF185+IFERROR(INDEX('Item Budget'!$O$25:$O$95,MATCH(AL185,'Item Budget'!$B$25:$B$95,0)),0),0)</f>
        <v/>
      </c>
      <c r="AZ185" s="44">
        <f>IF(AND(OR($E185="All",ISNUMBER(SEARCH("Magus",$E185))),AC185&gt;='Item Budget'!$R$10),'Item Budget'!$R$7*100*('Item Budget'!$R$16*(AD185+25*AH185)+'Item Budget'!$S$16*(AE185+25*AJ185))/'Item Budget'!$Z$16+'Item Budget'!$R$9*AF185+IFERROR(INDEX('Item Budget'!$O$25:$O$95,MATCH(AL185,'Item Budget'!$B$25:$B$95,0)),0),0)</f>
        <v/>
      </c>
      <c r="BA185" s="44">
        <f>IF(AND(OR($E185="All",ISNUMBER(SEARCH("Priest",$E185))),AC185&gt;='Item Budget'!$R$10),'Item Budget'!$R$7*100*('Item Budget'!$R$17*(AD185+25*AH185)+'Item Budget'!$S$17*(AE185+25*AJ185))/'Item Budget'!$Z$17+'Item Budget'!$R$9*AF185+IFERROR(INDEX('Item Budget'!$O$25:$O$95,MATCH(AL185,'Item Budget'!$B$25:$B$95,0)),0),0)</f>
        <v/>
      </c>
      <c r="BB185" s="52">
        <f>IF(OR($I185&lt;1,IF($I185&gt;=6,AX185,AT185)&lt;=0),"",IF(SUMPRODUCT(MAX(($C$5:$C$215=$C185)*($I$5:$I$215&gt;=1)*($I$5:$I$215&lt;$I185)*IF($I185&gt;=6,$AX$5:$AX$215,$AT$5:$AT$215)))&lt;=0,"",SUMPRODUCT(MAX(($C$5:$C$215=$C185)*($I$5:$I$215=$I185)*IF($I185&gt;=6,$AX$5:$AX$215,$AT$5:$AT$215)))/SUMPRODUCT(MAX(($C$5:$C$215=$C185)*($I$5:$I$215&gt;=1)*($I$5:$I$215&lt;$I185)*IF($I185&gt;=6,$AX$5:$AX$215,$AT$5:$AT$215)))-1))</f>
        <v/>
      </c>
      <c r="BC185" s="52">
        <f>IF(OR($I185&lt;1,IF($I185&gt;=6,AY185,AU185)&lt;=0),"",IF(SUMPRODUCT(MAX(($C$5:$C$215=$C185)*($I$5:$I$215&gt;=1)*($I$5:$I$215&lt;$I185)*IF($I185&gt;=6,$AY$5:$AY$215,$AU$5:$AU$215)))&lt;=0,"",SUMPRODUCT(MAX(($C$5:$C$215=$C185)*($I$5:$I$215=$I185)*IF($I185&gt;=6,$AY$5:$AY$215,$AU$5:$AU$215)))/SUMPRODUCT(MAX(($C$5:$C$215=$C185)*($I$5:$I$215&gt;=1)*($I$5:$I$215&lt;$I185)*IF($I185&gt;=6,$AY$5:$AY$215,$AU$5:$AU$215)))-1))</f>
        <v/>
      </c>
      <c r="BD185" s="52">
        <f>IF(OR($I185&lt;1,IF($I185&gt;=6,AZ185,AV185)&lt;=0),"",IF(SUMPRODUCT(MAX(($C$5:$C$215=$C185)*($I$5:$I$215&gt;=1)*($I$5:$I$215&lt;$I185)*IF($I185&gt;=6,$AZ$5:$AZ$215,$AV$5:$AV$215)))&lt;=0,"",SUMPRODUCT(MAX(($C$5:$C$215=$C185)*($I$5:$I$215=$I185)*IF($I185&gt;=6,$AZ$5:$AZ$215,$AV$5:$AV$215)))/SUMPRODUCT(MAX(($C$5:$C$215=$C185)*($I$5:$I$215&gt;=1)*($I$5:$I$215&lt;$I185)*IF($I185&gt;=6,$AZ$5:$AZ$215,$AV$5:$AV$215)))-1))</f>
        <v/>
      </c>
      <c r="BE185" s="52">
        <f>IF(OR($I185&lt;1,IF($I185&gt;=6,BA185,AW185)&lt;=0),"",IF(SUMPRODUCT(MAX(($C$5:$C$215=$C185)*($I$5:$I$215&gt;=1)*($I$5:$I$215&lt;$I185)*IF($I185&gt;=6,$BA$5:$BA$215,$AW$5:$AW$215)))&lt;=0,"",SUMPRODUCT(MAX(($C$5:$C$215=$C185)*($I$5:$I$215=$I185)*IF($I185&gt;=6,$BA$5:$BA$215,$AW$5:$AW$215)))/SUMPRODUCT(MAX(($C$5:$C$215=$C185)*($I$5:$I$215&gt;=1)*($I$5:$I$215&lt;$I185)*IF($I185&gt;=6,$BA$5:$BA$215,$AW$5:$AW$215)))-1))</f>
        <v/>
      </c>
      <c r="BF185" s="19">
        <f>IF(AND(BB185="",BC185="",BD185="",BE185=""),"",IF(IF(AND(ISNUMBER(BB185),BB185&lt;'Item Budget'!$R$11),"W ","")&amp;IF(AND(ISNUMBER(BC185),BC185&lt;'Item Budget'!$R$11),"R ","")&amp;IF(AND(ISNUMBER(BD185),BD185&lt;'Item Budget'!$R$11),"M ","")&amp;IF(AND(ISNUMBER(BE185),BE185&lt;'Item Budget'!$R$11),"P ","")="","OK","Not above lower step: "&amp;IF(AND(ISNUMBER(BB185),BB185&lt;'Item Budget'!$R$11),"W ","")&amp;IF(AND(ISNUMBER(BC185),BC185&lt;'Item Budget'!$R$11),"R ","")&amp;IF(AND(ISNUMBER(BD185),BD185&lt;'Item Budget'!$R$11),"M ","")&amp;IF(AND(ISNUMBER(BE185),BE185&lt;'Item Budget'!$R$11),"P ","")))</f>
        <v/>
      </c>
    </row>
    <row r="186">
      <c r="A186" s="21" t="n">
        <v>219</v>
      </c>
      <c r="B186" s="21" t="inlineStr">
        <is>
          <t>Nagan Sword</t>
        </is>
      </c>
      <c r="C186" s="21" t="inlineStr">
        <is>
          <t>Weapon</t>
        </is>
      </c>
      <c r="D186" s="21" t="inlineStr">
        <is>
          <t>Warrior</t>
        </is>
      </c>
      <c r="E186" s="21" t="inlineStr">
        <is>
          <t>Warrior</t>
        </is>
      </c>
      <c r="F186" s="21" t="inlineStr"/>
      <c r="G186" s="21" t="inlineStr">
        <is>
          <t>drop: Nagan Sentry 4%</t>
        </is>
      </c>
      <c r="H186" s="37" t="n">
        <v>0</v>
      </c>
      <c r="I186" s="21" t="n">
        <v>0</v>
      </c>
      <c r="J186" s="19" t="inlineStr">
        <is>
          <t>Pass 2</t>
        </is>
      </c>
      <c r="K186" s="21" t="inlineStr">
        <is>
          <t>Rare boss drop</t>
        </is>
      </c>
      <c r="L186" s="31">
        <f>INDEX('Item Budget'!$F$5:$F$13,MATCH(K186,'Item Budget'!$E$5:$E$13,0))+IF(E186="All",0,'Item Budget'!$F$15)+LOOKUP(H186,'Item Budget'!$E$19:$E$23,'Item Budget'!$F$19:$F$23)</f>
        <v/>
      </c>
      <c r="M186" s="21" t="n">
        <v>33</v>
      </c>
      <c r="N186" s="21" t="n">
        <v>0</v>
      </c>
      <c r="O186" s="21" t="n">
        <v>0</v>
      </c>
      <c r="P186" s="21" t="n">
        <v>0</v>
      </c>
      <c r="Q186" s="21" t="n">
        <v>15</v>
      </c>
      <c r="R186" s="21" t="n">
        <v>5</v>
      </c>
      <c r="S186" s="21" t="n">
        <v>2</v>
      </c>
      <c r="T186" s="21" t="n">
        <v>0</v>
      </c>
      <c r="U186" s="21" t="n">
        <v>70</v>
      </c>
      <c r="V186" s="21" t="inlineStr">
        <is>
          <t>(none)</t>
        </is>
      </c>
      <c r="W186" s="61">
        <f>N186*'Item Budget'!$B$5+R186*'Item Budget'!$B$7+P186*'Item Budget'!$B$11+S186*'Item Budget'!$B$10+Q186*'Item Budget'!$B$9+IFERROR(INDEX('Item Budget'!$M$25:$M$95,MATCH(V186,'Item Budget'!$B$25:$B$95,0)),0)+IF($C186="Weapon",U186*'Item Budget'!$B$9,0)</f>
        <v/>
      </c>
      <c r="X186" s="61">
        <f>N186*'Item Budget'!$B$5+R186*'Item Budget'!$B$7+P186*'Item Budget'!$B$11+S186*'Item Budget'!$B$10+O186*'Item Budget'!$B$6+T186*'Item Budget'!$B$8+IFERROR(INDEX('Item Budget'!$N$25:$N$95,MATCH(V186,'Item Budget'!$B$25:$B$95,0)),0)</f>
        <v/>
      </c>
      <c r="Y186" s="61">
        <f>MAX('Item Budget'!$F$16,INDEX('Gear Budget'!$C$8:$C$14,MATCH($C186,'Gear Budget'!$A$8:$A$14,0))*MIN(M186,50))*$L186</f>
        <v/>
      </c>
      <c r="Z186" s="41">
        <f>IF($C186="Caster weapon",X186,MAX(W186,X186))/Y186</f>
        <v/>
      </c>
      <c r="AA186" s="61">
        <f>IF(OR($C186="Weapon",$C186="Caster weapon"),"",'Gear Budget'!$B$5*MAX(1,MIN(M186,50))*INDEX('Gear Budget'!$B$8:$B$14,MATCH($C186,'Gear Budget'!$A$8:$A$14,0))*IF($C186="Shield",IF(D186="Warrior",1,IF(OR(D186="Rogue",D186="All"),0.38/0.6,0.25/0.6)),IFERROR(INDEX('Gear Budget'!$B$18:$B$21,MATCH($F186,'Gear Budget'!$A$18:$A$21,0)),1)))</f>
        <v/>
      </c>
      <c r="AB186" s="41">
        <f>IF(AA186="","",P186/AA186)</f>
        <v/>
      </c>
      <c r="AC186" s="21" t="n">
        <v>33</v>
      </c>
      <c r="AD186" s="21" t="n">
        <v>0</v>
      </c>
      <c r="AE186" s="21" t="n">
        <v>0</v>
      </c>
      <c r="AF186" s="21" t="n">
        <v>0</v>
      </c>
      <c r="AG186" s="21" t="n">
        <v>15</v>
      </c>
      <c r="AH186" s="21" t="n">
        <v>5</v>
      </c>
      <c r="AI186" s="21" t="n">
        <v>2</v>
      </c>
      <c r="AJ186" s="21" t="n">
        <v>0</v>
      </c>
      <c r="AK186" s="20" t="n">
        <v>63</v>
      </c>
      <c r="AL186" s="21" t="inlineStr">
        <is>
          <t>(none)</t>
        </is>
      </c>
      <c r="AM186" s="61">
        <f>AD186*'Item Budget'!$B$5+AH186*'Item Budget'!$B$7+AF186*'Item Budget'!$B$11+AI186*'Item Budget'!$B$10+AG186*'Item Budget'!$B$9+IFERROR(INDEX('Item Budget'!$M$25:$M$95,MATCH(AL186,'Item Budget'!$B$25:$B$95,0)),0)+IF($C186="Weapon",AK186*'Item Budget'!$B$9,0)</f>
        <v/>
      </c>
      <c r="AN186" s="61">
        <f>AD186*'Item Budget'!$B$5+AH186*'Item Budget'!$B$7+AF186*'Item Budget'!$B$11+AI186*'Item Budget'!$B$10+AE186*'Item Budget'!$B$6+AJ186*'Item Budget'!$B$8+IFERROR(INDEX('Item Budget'!$N$25:$N$95,MATCH(AL186,'Item Budget'!$B$25:$B$95,0)),0)</f>
        <v/>
      </c>
      <c r="AO186" s="61">
        <f>MAX('Item Budget'!$F$16,INDEX('Gear Budget'!$C$8:$C$14,MATCH($C186,'Gear Budget'!$A$8:$A$14,0))*MIN(AC186,50))*$L186</f>
        <v/>
      </c>
      <c r="AP186" s="41">
        <f>IF($C186="Caster weapon",AN186,MAX(AM186,AN186))/AO186</f>
        <v/>
      </c>
      <c r="AQ186" s="61">
        <f>IF(OR($C186="Weapon",$C186="Caster weapon"),"",'Gear Budget'!$B$5*MAX(1,MIN(AC186,50))*INDEX('Gear Budget'!$B$8:$B$14,MATCH($C186,'Gear Budget'!$A$8:$A$14,0))*IF($C186="Shield",IF(E186="Warrior",1,IF(OR(E186="Rogue",E186="All"),0.38/0.6,0.25/0.6)),IFERROR(INDEX('Gear Budget'!$B$18:$B$21,MATCH($F186,'Gear Budget'!$A$18:$A$21,0)),1)))</f>
        <v/>
      </c>
      <c r="AR186" s="41">
        <f>IF(AQ186="","",AF186/AQ186)</f>
        <v/>
      </c>
      <c r="AS186" s="64" t="inlineStr">
        <is>
          <t>Nagan Sword: damage 63 (78); Katana is the ~20% better hard craft</t>
        </is>
      </c>
      <c r="AT186" s="44">
        <f>IF(OR($E186="All",ISNUMBER(SEARCH("Warrior",$E186))),IF($C186="Caster weapon",(AN186+AF186*('Item Budget'!$AB$14-'Item Budget'!$B$11)),(AM186+AF186*('Item Budget'!$AB$14-'Item Budget'!$B$11))),0)</f>
        <v/>
      </c>
      <c r="AU186" s="44">
        <f>IF(OR($E186="All",ISNUMBER(SEARCH("Rogue",$E186))),IF($C186="Caster weapon",(AN186+AF186*('Item Budget'!$AB$15-'Item Budget'!$B$11)),(AM186+AF186*('Item Budget'!$AB$15-'Item Budget'!$B$11))),0)</f>
        <v/>
      </c>
      <c r="AV186" s="44">
        <f>IF(OR($E186="All",ISNUMBER(SEARCH("Magus",$E186))),(AN186+AF186*('Item Budget'!$AB$16-'Item Budget'!$B$11)),0)</f>
        <v/>
      </c>
      <c r="AW186" s="44">
        <f>IF(OR($E186="All",ISNUMBER(SEARCH("Priest",$E186))),(AN186+AF186*('Item Budget'!$AB$17-'Item Budget'!$B$11)),0)</f>
        <v/>
      </c>
      <c r="AX186" s="44">
        <f>IF(AND(OR($E186="All",ISNUMBER(SEARCH("Warrior",$E186))),AC186&gt;='Item Budget'!$R$10),'Item Budget'!$R$7*100*('Item Budget'!$R$14*(AD186+25*AH186)+'Item Budget'!$S$14*(AE186+25*AJ186))/'Item Budget'!$Z$14+'Item Budget'!$R$9*AF186+IFERROR(INDEX('Item Budget'!$O$25:$O$95,MATCH(AL186,'Item Budget'!$B$25:$B$95,0)),0),0)</f>
        <v/>
      </c>
      <c r="AY186" s="44">
        <f>IF(AND(OR($E186="All",ISNUMBER(SEARCH("Rogue",$E186))),AC186&gt;='Item Budget'!$R$10),'Item Budget'!$R$7*100*('Item Budget'!$R$15*(AD186+25*AH186)+'Item Budget'!$S$15*(AE186+25*AJ186))/'Item Budget'!$Z$15+'Item Budget'!$R$9*AF186+IFERROR(INDEX('Item Budget'!$O$25:$O$95,MATCH(AL186,'Item Budget'!$B$25:$B$95,0)),0),0)</f>
        <v/>
      </c>
      <c r="AZ186" s="44">
        <f>IF(AND(OR($E186="All",ISNUMBER(SEARCH("Magus",$E186))),AC186&gt;='Item Budget'!$R$10),'Item Budget'!$R$7*100*('Item Budget'!$R$16*(AD186+25*AH186)+'Item Budget'!$S$16*(AE186+25*AJ186))/'Item Budget'!$Z$16+'Item Budget'!$R$9*AF186+IFERROR(INDEX('Item Budget'!$O$25:$O$95,MATCH(AL186,'Item Budget'!$B$25:$B$95,0)),0),0)</f>
        <v/>
      </c>
      <c r="BA186" s="44">
        <f>IF(AND(OR($E186="All",ISNUMBER(SEARCH("Priest",$E186))),AC186&gt;='Item Budget'!$R$10),'Item Budget'!$R$7*100*('Item Budget'!$R$17*(AD186+25*AH186)+'Item Budget'!$S$17*(AE186+25*AJ186))/'Item Budget'!$Z$17+'Item Budget'!$R$9*AF186+IFERROR(INDEX('Item Budget'!$O$25:$O$95,MATCH(AL186,'Item Budget'!$B$25:$B$95,0)),0),0)</f>
        <v/>
      </c>
      <c r="BB186" s="52">
        <f>IF(OR($I186&lt;1,IF($I186&gt;=6,AX186,AT186)&lt;=0),"",IF(SUMPRODUCT(MAX(($C$5:$C$215=$C186)*($I$5:$I$215&gt;=1)*($I$5:$I$215&lt;$I186)*IF($I186&gt;=6,$AX$5:$AX$215,$AT$5:$AT$215)))&lt;=0,"",SUMPRODUCT(MAX(($C$5:$C$215=$C186)*($I$5:$I$215=$I186)*IF($I186&gt;=6,$AX$5:$AX$215,$AT$5:$AT$215)))/SUMPRODUCT(MAX(($C$5:$C$215=$C186)*($I$5:$I$215&gt;=1)*($I$5:$I$215&lt;$I186)*IF($I186&gt;=6,$AX$5:$AX$215,$AT$5:$AT$215)))-1))</f>
        <v/>
      </c>
      <c r="BC186" s="52">
        <f>IF(OR($I186&lt;1,IF($I186&gt;=6,AY186,AU186)&lt;=0),"",IF(SUMPRODUCT(MAX(($C$5:$C$215=$C186)*($I$5:$I$215&gt;=1)*($I$5:$I$215&lt;$I186)*IF($I186&gt;=6,$AY$5:$AY$215,$AU$5:$AU$215)))&lt;=0,"",SUMPRODUCT(MAX(($C$5:$C$215=$C186)*($I$5:$I$215=$I186)*IF($I186&gt;=6,$AY$5:$AY$215,$AU$5:$AU$215)))/SUMPRODUCT(MAX(($C$5:$C$215=$C186)*($I$5:$I$215&gt;=1)*($I$5:$I$215&lt;$I186)*IF($I186&gt;=6,$AY$5:$AY$215,$AU$5:$AU$215)))-1))</f>
        <v/>
      </c>
      <c r="BD186" s="52">
        <f>IF(OR($I186&lt;1,IF($I186&gt;=6,AZ186,AV186)&lt;=0),"",IF(SUMPRODUCT(MAX(($C$5:$C$215=$C186)*($I$5:$I$215&gt;=1)*($I$5:$I$215&lt;$I186)*IF($I186&gt;=6,$AZ$5:$AZ$215,$AV$5:$AV$215)))&lt;=0,"",SUMPRODUCT(MAX(($C$5:$C$215=$C186)*($I$5:$I$215=$I186)*IF($I186&gt;=6,$AZ$5:$AZ$215,$AV$5:$AV$215)))/SUMPRODUCT(MAX(($C$5:$C$215=$C186)*($I$5:$I$215&gt;=1)*($I$5:$I$215&lt;$I186)*IF($I186&gt;=6,$AZ$5:$AZ$215,$AV$5:$AV$215)))-1))</f>
        <v/>
      </c>
      <c r="BE186" s="52">
        <f>IF(OR($I186&lt;1,IF($I186&gt;=6,BA186,AW186)&lt;=0),"",IF(SUMPRODUCT(MAX(($C$5:$C$215=$C186)*($I$5:$I$215&gt;=1)*($I$5:$I$215&lt;$I186)*IF($I186&gt;=6,$BA$5:$BA$215,$AW$5:$AW$215)))&lt;=0,"",SUMPRODUCT(MAX(($C$5:$C$215=$C186)*($I$5:$I$215=$I186)*IF($I186&gt;=6,$BA$5:$BA$215,$AW$5:$AW$215)))/SUMPRODUCT(MAX(($C$5:$C$215=$C186)*($I$5:$I$215&gt;=1)*($I$5:$I$215&lt;$I186)*IF($I186&gt;=6,$BA$5:$BA$215,$AW$5:$AW$215)))-1))</f>
        <v/>
      </c>
      <c r="BF186" s="19">
        <f>IF(AND(BB186="",BC186="",BD186="",BE186=""),"",IF(IF(AND(ISNUMBER(BB186),BB186&lt;'Item Budget'!$R$11),"W ","")&amp;IF(AND(ISNUMBER(BC186),BC186&lt;'Item Budget'!$R$11),"R ","")&amp;IF(AND(ISNUMBER(BD186),BD186&lt;'Item Budget'!$R$11),"M ","")&amp;IF(AND(ISNUMBER(BE186),BE186&lt;'Item Budget'!$R$11),"P ","")="","OK","Not above lower step: "&amp;IF(AND(ISNUMBER(BB186),BB186&lt;'Item Budget'!$R$11),"W ","")&amp;IF(AND(ISNUMBER(BC186),BC186&lt;'Item Budget'!$R$11),"R ","")&amp;IF(AND(ISNUMBER(BD186),BD186&lt;'Item Budget'!$R$11),"M ","")&amp;IF(AND(ISNUMBER(BE186),BE186&lt;'Item Budget'!$R$11),"P ","")))</f>
        <v/>
      </c>
    </row>
    <row r="187">
      <c r="A187" s="21" t="n">
        <v>220</v>
      </c>
      <c r="B187" s="21" t="inlineStr">
        <is>
          <t>Nagan Dagger</t>
        </is>
      </c>
      <c r="C187" s="21" t="inlineStr">
        <is>
          <t>Weapon</t>
        </is>
      </c>
      <c r="D187" s="21" t="inlineStr">
        <is>
          <t>Rogue</t>
        </is>
      </c>
      <c r="E187" s="21" t="inlineStr">
        <is>
          <t>Rogue</t>
        </is>
      </c>
      <c r="F187" s="21" t="inlineStr"/>
      <c r="G187" s="21" t="inlineStr">
        <is>
          <t>drop: Nagan Sentry 4%</t>
        </is>
      </c>
      <c r="H187" s="37" t="n">
        <v>0</v>
      </c>
      <c r="I187" s="21" t="n">
        <v>0</v>
      </c>
      <c r="J187" s="3" t="inlineStr">
        <is>
          <t>Pass 2</t>
        </is>
      </c>
      <c r="K187" s="21" t="inlineStr">
        <is>
          <t>Rare boss drop</t>
        </is>
      </c>
      <c r="L187" s="31">
        <f>INDEX('Item Budget'!$F$5:$F$13,MATCH(K187,'Item Budget'!$E$5:$E$13,0))+IF(E187="All",0,'Item Budget'!$F$15)+LOOKUP(H187,'Item Budget'!$E$19:$E$23,'Item Budget'!$F$19:$F$23)</f>
        <v/>
      </c>
      <c r="M187" s="21" t="n">
        <v>33</v>
      </c>
      <c r="N187" s="21" t="n">
        <v>0</v>
      </c>
      <c r="O187" s="21" t="n">
        <v>0</v>
      </c>
      <c r="P187" s="21" t="n">
        <v>0</v>
      </c>
      <c r="Q187" s="21" t="n">
        <v>8</v>
      </c>
      <c r="R187" s="21" t="n">
        <v>3</v>
      </c>
      <c r="S187" s="21" t="n">
        <v>10</v>
      </c>
      <c r="T187" s="21" t="n">
        <v>0</v>
      </c>
      <c r="U187" s="21" t="n">
        <v>70</v>
      </c>
      <c r="V187" s="21" t="inlineStr">
        <is>
          <t>(none)</t>
        </is>
      </c>
      <c r="W187" s="61">
        <f>N187*'Item Budget'!$B$5+R187*'Item Budget'!$B$7+P187*'Item Budget'!$B$11+S187*'Item Budget'!$B$10+Q187*'Item Budget'!$B$9+IFERROR(INDEX('Item Budget'!$M$25:$M$95,MATCH(V187,'Item Budget'!$B$25:$B$95,0)),0)+IF($C187="Weapon",U187*'Item Budget'!$B$9,0)</f>
        <v/>
      </c>
      <c r="X187" s="61">
        <f>N187*'Item Budget'!$B$5+R187*'Item Budget'!$B$7+P187*'Item Budget'!$B$11+S187*'Item Budget'!$B$10+O187*'Item Budget'!$B$6+T187*'Item Budget'!$B$8+IFERROR(INDEX('Item Budget'!$N$25:$N$95,MATCH(V187,'Item Budget'!$B$25:$B$95,0)),0)</f>
        <v/>
      </c>
      <c r="Y187" s="61">
        <f>MAX('Item Budget'!$F$16,INDEX('Gear Budget'!$C$8:$C$14,MATCH($C187,'Gear Budget'!$A$8:$A$14,0))*MIN(M187,50))*$L187</f>
        <v/>
      </c>
      <c r="Z187" s="41">
        <f>IF($C187="Caster weapon",X187,MAX(W187,X187))/Y187</f>
        <v/>
      </c>
      <c r="AA187" s="61">
        <f>IF(OR($C187="Weapon",$C187="Caster weapon"),"",'Gear Budget'!$B$5*MAX(1,MIN(M187,50))*INDEX('Gear Budget'!$B$8:$B$14,MATCH($C187,'Gear Budget'!$A$8:$A$14,0))*IF($C187="Shield",IF(D187="Warrior",1,IF(OR(D187="Rogue",D187="All"),0.38/0.6,0.25/0.6)),IFERROR(INDEX('Gear Budget'!$B$18:$B$21,MATCH($F187,'Gear Budget'!$A$18:$A$21,0)),1)))</f>
        <v/>
      </c>
      <c r="AB187" s="41">
        <f>IF(AA187="","",P187/AA187)</f>
        <v/>
      </c>
      <c r="AC187" s="21" t="n">
        <v>33</v>
      </c>
      <c r="AD187" s="21" t="n">
        <v>0</v>
      </c>
      <c r="AE187" s="21" t="n">
        <v>0</v>
      </c>
      <c r="AF187" s="21" t="n">
        <v>0</v>
      </c>
      <c r="AG187" s="20" t="n">
        <v>10</v>
      </c>
      <c r="AH187" s="21" t="n">
        <v>3</v>
      </c>
      <c r="AI187" s="21" t="n">
        <v>10</v>
      </c>
      <c r="AJ187" s="21" t="n">
        <v>0</v>
      </c>
      <c r="AK187" s="20" t="n">
        <v>68</v>
      </c>
      <c r="AL187" s="21" t="inlineStr">
        <is>
          <t>(none)</t>
        </is>
      </c>
      <c r="AM187" s="61">
        <f>AD187*'Item Budget'!$B$5+AH187*'Item Budget'!$B$7+AF187*'Item Budget'!$B$11+AI187*'Item Budget'!$B$10+AG187*'Item Budget'!$B$9+IFERROR(INDEX('Item Budget'!$M$25:$M$95,MATCH(AL187,'Item Budget'!$B$25:$B$95,0)),0)+IF($C187="Weapon",AK187*'Item Budget'!$B$9,0)</f>
        <v/>
      </c>
      <c r="AN187" s="61">
        <f>AD187*'Item Budget'!$B$5+AH187*'Item Budget'!$B$7+AF187*'Item Budget'!$B$11+AI187*'Item Budget'!$B$10+AE187*'Item Budget'!$B$6+AJ187*'Item Budget'!$B$8+IFERROR(INDEX('Item Budget'!$N$25:$N$95,MATCH(AL187,'Item Budget'!$B$25:$B$95,0)),0)</f>
        <v/>
      </c>
      <c r="AO187" s="61">
        <f>MAX('Item Budget'!$F$16,INDEX('Gear Budget'!$C$8:$C$14,MATCH($C187,'Gear Budget'!$A$8:$A$14,0))*MIN(AC187,50))*$L187</f>
        <v/>
      </c>
      <c r="AP187" s="41">
        <f>IF($C187="Caster weapon",AN187,MAX(AM187,AN187))/AO187</f>
        <v/>
      </c>
      <c r="AQ187" s="61">
        <f>IF(OR($C187="Weapon",$C187="Caster weapon"),"",'Gear Budget'!$B$5*MAX(1,MIN(AC187,50))*INDEX('Gear Budget'!$B$8:$B$14,MATCH($C187,'Gear Budget'!$A$8:$A$14,0))*IF($C187="Shield",IF(E187="Warrior",1,IF(OR(E187="Rogue",E187="All"),0.38/0.6,0.25/0.6)),IFERROR(INDEX('Gear Budget'!$B$18:$B$21,MATCH($F187,'Gear Budget'!$A$18:$A$21,0)),1)))</f>
        <v/>
      </c>
      <c r="AR187" s="41">
        <f>IF(AQ187="","",AF187/AQ187)</f>
        <v/>
      </c>
      <c r="AS187" s="64" t="inlineStr">
        <is>
          <t>Nagan Dagger: damage 68, STR 10 (78); even with Nagan Sword</t>
        </is>
      </c>
      <c r="AT187" s="44">
        <f>IF(OR($E187="All",ISNUMBER(SEARCH("Warrior",$E187))),IF($C187="Caster weapon",(AN187+AF187*('Item Budget'!$AB$14-'Item Budget'!$B$11)),(AM187+AF187*('Item Budget'!$AB$14-'Item Budget'!$B$11))),0)</f>
        <v/>
      </c>
      <c r="AU187" s="44">
        <f>IF(OR($E187="All",ISNUMBER(SEARCH("Rogue",$E187))),IF($C187="Caster weapon",(AN187+AF187*('Item Budget'!$AB$15-'Item Budget'!$B$11)),(AM187+AF187*('Item Budget'!$AB$15-'Item Budget'!$B$11))),0)</f>
        <v/>
      </c>
      <c r="AV187" s="44">
        <f>IF(OR($E187="All",ISNUMBER(SEARCH("Magus",$E187))),(AN187+AF187*('Item Budget'!$AB$16-'Item Budget'!$B$11)),0)</f>
        <v/>
      </c>
      <c r="AW187" s="44">
        <f>IF(OR($E187="All",ISNUMBER(SEARCH("Priest",$E187))),(AN187+AF187*('Item Budget'!$AB$17-'Item Budget'!$B$11)),0)</f>
        <v/>
      </c>
      <c r="AX187" s="44">
        <f>IF(AND(OR($E187="All",ISNUMBER(SEARCH("Warrior",$E187))),AC187&gt;='Item Budget'!$R$10),'Item Budget'!$R$7*100*('Item Budget'!$R$14*(AD187+25*AH187)+'Item Budget'!$S$14*(AE187+25*AJ187))/'Item Budget'!$Z$14+'Item Budget'!$R$9*AF187+IFERROR(INDEX('Item Budget'!$O$25:$O$95,MATCH(AL187,'Item Budget'!$B$25:$B$95,0)),0),0)</f>
        <v/>
      </c>
      <c r="AY187" s="44">
        <f>IF(AND(OR($E187="All",ISNUMBER(SEARCH("Rogue",$E187))),AC187&gt;='Item Budget'!$R$10),'Item Budget'!$R$7*100*('Item Budget'!$R$15*(AD187+25*AH187)+'Item Budget'!$S$15*(AE187+25*AJ187))/'Item Budget'!$Z$15+'Item Budget'!$R$9*AF187+IFERROR(INDEX('Item Budget'!$O$25:$O$95,MATCH(AL187,'Item Budget'!$B$25:$B$95,0)),0),0)</f>
        <v/>
      </c>
      <c r="AZ187" s="44">
        <f>IF(AND(OR($E187="All",ISNUMBER(SEARCH("Magus",$E187))),AC187&gt;='Item Budget'!$R$10),'Item Budget'!$R$7*100*('Item Budget'!$R$16*(AD187+25*AH187)+'Item Budget'!$S$16*(AE187+25*AJ187))/'Item Budget'!$Z$16+'Item Budget'!$R$9*AF187+IFERROR(INDEX('Item Budget'!$O$25:$O$95,MATCH(AL187,'Item Budget'!$B$25:$B$95,0)),0),0)</f>
        <v/>
      </c>
      <c r="BA187" s="44">
        <f>IF(AND(OR($E187="All",ISNUMBER(SEARCH("Priest",$E187))),AC187&gt;='Item Budget'!$R$10),'Item Budget'!$R$7*100*('Item Budget'!$R$17*(AD187+25*AH187)+'Item Budget'!$S$17*(AE187+25*AJ187))/'Item Budget'!$Z$17+'Item Budget'!$R$9*AF187+IFERROR(INDEX('Item Budget'!$O$25:$O$95,MATCH(AL187,'Item Budget'!$B$25:$B$95,0)),0),0)</f>
        <v/>
      </c>
      <c r="BB187" s="52">
        <f>IF(OR($I187&lt;1,IF($I187&gt;=6,AX187,AT187)&lt;=0),"",IF(SUMPRODUCT(MAX(($C$5:$C$215=$C187)*($I$5:$I$215&gt;=1)*($I$5:$I$215&lt;$I187)*IF($I187&gt;=6,$AX$5:$AX$215,$AT$5:$AT$215)))&lt;=0,"",SUMPRODUCT(MAX(($C$5:$C$215=$C187)*($I$5:$I$215=$I187)*IF($I187&gt;=6,$AX$5:$AX$215,$AT$5:$AT$215)))/SUMPRODUCT(MAX(($C$5:$C$215=$C187)*($I$5:$I$215&gt;=1)*($I$5:$I$215&lt;$I187)*IF($I187&gt;=6,$AX$5:$AX$215,$AT$5:$AT$215)))-1))</f>
        <v/>
      </c>
      <c r="BC187" s="52">
        <f>IF(OR($I187&lt;1,IF($I187&gt;=6,AY187,AU187)&lt;=0),"",IF(SUMPRODUCT(MAX(($C$5:$C$215=$C187)*($I$5:$I$215&gt;=1)*($I$5:$I$215&lt;$I187)*IF($I187&gt;=6,$AY$5:$AY$215,$AU$5:$AU$215)))&lt;=0,"",SUMPRODUCT(MAX(($C$5:$C$215=$C187)*($I$5:$I$215=$I187)*IF($I187&gt;=6,$AY$5:$AY$215,$AU$5:$AU$215)))/SUMPRODUCT(MAX(($C$5:$C$215=$C187)*($I$5:$I$215&gt;=1)*($I$5:$I$215&lt;$I187)*IF($I187&gt;=6,$AY$5:$AY$215,$AU$5:$AU$215)))-1))</f>
        <v/>
      </c>
      <c r="BD187" s="52">
        <f>IF(OR($I187&lt;1,IF($I187&gt;=6,AZ187,AV187)&lt;=0),"",IF(SUMPRODUCT(MAX(($C$5:$C$215=$C187)*($I$5:$I$215&gt;=1)*($I$5:$I$215&lt;$I187)*IF($I187&gt;=6,$AZ$5:$AZ$215,$AV$5:$AV$215)))&lt;=0,"",SUMPRODUCT(MAX(($C$5:$C$215=$C187)*($I$5:$I$215=$I187)*IF($I187&gt;=6,$AZ$5:$AZ$215,$AV$5:$AV$215)))/SUMPRODUCT(MAX(($C$5:$C$215=$C187)*($I$5:$I$215&gt;=1)*($I$5:$I$215&lt;$I187)*IF($I187&gt;=6,$AZ$5:$AZ$215,$AV$5:$AV$215)))-1))</f>
        <v/>
      </c>
      <c r="BE187" s="52">
        <f>IF(OR($I187&lt;1,IF($I187&gt;=6,BA187,AW187)&lt;=0),"",IF(SUMPRODUCT(MAX(($C$5:$C$215=$C187)*($I$5:$I$215&gt;=1)*($I$5:$I$215&lt;$I187)*IF($I187&gt;=6,$BA$5:$BA$215,$AW$5:$AW$215)))&lt;=0,"",SUMPRODUCT(MAX(($C$5:$C$215=$C187)*($I$5:$I$215=$I187)*IF($I187&gt;=6,$BA$5:$BA$215,$AW$5:$AW$215)))/SUMPRODUCT(MAX(($C$5:$C$215=$C187)*($I$5:$I$215&gt;=1)*($I$5:$I$215&lt;$I187)*IF($I187&gt;=6,$BA$5:$BA$215,$AW$5:$AW$215)))-1))</f>
        <v/>
      </c>
      <c r="BF187" s="19">
        <f>IF(AND(BB187="",BC187="",BD187="",BE187=""),"",IF(IF(AND(ISNUMBER(BB187),BB187&lt;'Item Budget'!$R$11),"W ","")&amp;IF(AND(ISNUMBER(BC187),BC187&lt;'Item Budget'!$R$11),"R ","")&amp;IF(AND(ISNUMBER(BD187),BD187&lt;'Item Budget'!$R$11),"M ","")&amp;IF(AND(ISNUMBER(BE187),BE187&lt;'Item Budget'!$R$11),"P ","")="","OK","Not above lower step: "&amp;IF(AND(ISNUMBER(BB187),BB187&lt;'Item Budget'!$R$11),"W ","")&amp;IF(AND(ISNUMBER(BC187),BC187&lt;'Item Budget'!$R$11),"R ","")&amp;IF(AND(ISNUMBER(BD187),BD187&lt;'Item Budget'!$R$11),"M ","")&amp;IF(AND(ISNUMBER(BE187),BE187&lt;'Item Budget'!$R$11),"P ","")))</f>
        <v/>
      </c>
    </row>
    <row r="188">
      <c r="A188" s="21" t="n">
        <v>361</v>
      </c>
      <c r="B188" s="21" t="inlineStr">
        <is>
          <t>High Quality Walde</t>
        </is>
      </c>
      <c r="C188" s="21" t="inlineStr">
        <is>
          <t>Weapon</t>
        </is>
      </c>
      <c r="D188" s="21" t="inlineStr">
        <is>
          <t>Warrior</t>
        </is>
      </c>
      <c r="E188" s="21" t="inlineStr">
        <is>
          <t>Warrior</t>
        </is>
      </c>
      <c r="F188" s="21" t="inlineStr"/>
      <c r="G188" s="21" t="inlineStr">
        <is>
          <t>craft</t>
        </is>
      </c>
      <c r="H188" s="37" t="n">
        <v>0</v>
      </c>
      <c r="I188" s="21" t="n">
        <v>0</v>
      </c>
      <c r="J188" s="19" t="inlineStr">
        <is>
          <t>Pass 2</t>
        </is>
      </c>
      <c r="K188" s="21" t="inlineStr">
        <is>
          <t>Crafted</t>
        </is>
      </c>
      <c r="L188" s="31">
        <f>INDEX('Item Budget'!$F$5:$F$13,MATCH(K188,'Item Budget'!$E$5:$E$13,0))+IF(E188="All",0,'Item Budget'!$F$15)+LOOKUP(H188,'Item Budget'!$E$19:$E$23,'Item Budget'!$F$19:$F$23)</f>
        <v/>
      </c>
      <c r="M188" s="21" t="n">
        <v>35</v>
      </c>
      <c r="N188" s="21" t="n">
        <v>0</v>
      </c>
      <c r="O188" s="21" t="n">
        <v>0</v>
      </c>
      <c r="P188" s="21" t="n">
        <v>0</v>
      </c>
      <c r="Q188" s="21" t="n">
        <v>12</v>
      </c>
      <c r="R188" s="21" t="n">
        <v>4</v>
      </c>
      <c r="S188" s="21" t="n">
        <v>2</v>
      </c>
      <c r="T188" s="21" t="n">
        <v>0</v>
      </c>
      <c r="U188" s="21" t="n">
        <v>65</v>
      </c>
      <c r="V188" s="21" t="inlineStr">
        <is>
          <t>(none)</t>
        </is>
      </c>
      <c r="W188" s="61">
        <f>N188*'Item Budget'!$B$5+R188*'Item Budget'!$B$7+P188*'Item Budget'!$B$11+S188*'Item Budget'!$B$10+Q188*'Item Budget'!$B$9+IFERROR(INDEX('Item Budget'!$M$25:$M$95,MATCH(V188,'Item Budget'!$B$25:$B$95,0)),0)+IF($C188="Weapon",U188*'Item Budget'!$B$9,0)</f>
        <v/>
      </c>
      <c r="X188" s="61">
        <f>N188*'Item Budget'!$B$5+R188*'Item Budget'!$B$7+P188*'Item Budget'!$B$11+S188*'Item Budget'!$B$10+O188*'Item Budget'!$B$6+T188*'Item Budget'!$B$8+IFERROR(INDEX('Item Budget'!$N$25:$N$95,MATCH(V188,'Item Budget'!$B$25:$B$95,0)),0)</f>
        <v/>
      </c>
      <c r="Y188" s="61">
        <f>MAX('Item Budget'!$F$16,INDEX('Gear Budget'!$C$8:$C$14,MATCH($C188,'Gear Budget'!$A$8:$A$14,0))*MIN(M188,50))*$L188</f>
        <v/>
      </c>
      <c r="Z188" s="41">
        <f>IF($C188="Caster weapon",X188,MAX(W188,X188))/Y188</f>
        <v/>
      </c>
      <c r="AA188" s="61">
        <f>IF(OR($C188="Weapon",$C188="Caster weapon"),"",'Gear Budget'!$B$5*MAX(1,MIN(M188,50))*INDEX('Gear Budget'!$B$8:$B$14,MATCH($C188,'Gear Budget'!$A$8:$A$14,0))*IF($C188="Shield",IF(D188="Warrior",1,IF(OR(D188="Rogue",D188="All"),0.38/0.6,0.25/0.6)),IFERROR(INDEX('Gear Budget'!$B$18:$B$21,MATCH($F188,'Gear Budget'!$A$18:$A$21,0)),1)))</f>
        <v/>
      </c>
      <c r="AB188" s="41">
        <f>IF(AA188="","",P188/AA188)</f>
        <v/>
      </c>
      <c r="AC188" s="21" t="n">
        <v>35</v>
      </c>
      <c r="AD188" s="21" t="n">
        <v>0</v>
      </c>
      <c r="AE188" s="21" t="n">
        <v>0</v>
      </c>
      <c r="AF188" s="21" t="n">
        <v>0</v>
      </c>
      <c r="AG188" s="20" t="n">
        <v>14</v>
      </c>
      <c r="AH188" s="21" t="n">
        <v>4</v>
      </c>
      <c r="AI188" s="21" t="n">
        <v>2</v>
      </c>
      <c r="AJ188" s="21" t="n">
        <v>0</v>
      </c>
      <c r="AK188" s="20" t="n">
        <v>72</v>
      </c>
      <c r="AL188" s="21" t="inlineStr">
        <is>
          <t>(none)</t>
        </is>
      </c>
      <c r="AM188" s="61">
        <f>AD188*'Item Budget'!$B$5+AH188*'Item Budget'!$B$7+AF188*'Item Budget'!$B$11+AI188*'Item Budget'!$B$10+AG188*'Item Budget'!$B$9+IFERROR(INDEX('Item Budget'!$M$25:$M$95,MATCH(AL188,'Item Budget'!$B$25:$B$95,0)),0)+IF($C188="Weapon",AK188*'Item Budget'!$B$9,0)</f>
        <v/>
      </c>
      <c r="AN188" s="61">
        <f>AD188*'Item Budget'!$B$5+AH188*'Item Budget'!$B$7+AF188*'Item Budget'!$B$11+AI188*'Item Budget'!$B$10+AE188*'Item Budget'!$B$6+AJ188*'Item Budget'!$B$8+IFERROR(INDEX('Item Budget'!$N$25:$N$95,MATCH(AL188,'Item Budget'!$B$25:$B$95,0)),0)</f>
        <v/>
      </c>
      <c r="AO188" s="61">
        <f>MAX('Item Budget'!$F$16,INDEX('Gear Budget'!$C$8:$C$14,MATCH($C188,'Gear Budget'!$A$8:$A$14,0))*MIN(AC188,50))*$L188</f>
        <v/>
      </c>
      <c r="AP188" s="41">
        <f>IF($C188="Caster weapon",AN188,MAX(AM188,AN188))/AO188</f>
        <v/>
      </c>
      <c r="AQ188" s="61">
        <f>IF(OR($C188="Weapon",$C188="Caster weapon"),"",'Gear Budget'!$B$5*MAX(1,MIN(AC188,50))*INDEX('Gear Budget'!$B$8:$B$14,MATCH($C188,'Gear Budget'!$A$8:$A$14,0))*IF($C188="Shield",IF(E188="Warrior",1,IF(OR(E188="Rogue",E188="All"),0.38/0.6,0.25/0.6)),IFERROR(INDEX('Gear Budget'!$B$18:$B$21,MATCH($F188,'Gear Budget'!$A$18:$A$21,0)),1)))</f>
        <v/>
      </c>
      <c r="AR188" s="41">
        <f>IF(AQ188="","",AF188/AQ188)</f>
        <v/>
      </c>
      <c r="AS188" s="64" t="inlineStr">
        <is>
          <t>High Quality Walde: damage 72, STR 14 (86); over Nagan, under the Katana</t>
        </is>
      </c>
      <c r="AT188" s="44">
        <f>IF(OR($E188="All",ISNUMBER(SEARCH("Warrior",$E188))),IF($C188="Caster weapon",(AN188+AF188*('Item Budget'!$AB$14-'Item Budget'!$B$11)),(AM188+AF188*('Item Budget'!$AB$14-'Item Budget'!$B$11))),0)</f>
        <v/>
      </c>
      <c r="AU188" s="44">
        <f>IF(OR($E188="All",ISNUMBER(SEARCH("Rogue",$E188))),IF($C188="Caster weapon",(AN188+AF188*('Item Budget'!$AB$15-'Item Budget'!$B$11)),(AM188+AF188*('Item Budget'!$AB$15-'Item Budget'!$B$11))),0)</f>
        <v/>
      </c>
      <c r="AV188" s="44">
        <f>IF(OR($E188="All",ISNUMBER(SEARCH("Magus",$E188))),(AN188+AF188*('Item Budget'!$AB$16-'Item Budget'!$B$11)),0)</f>
        <v/>
      </c>
      <c r="AW188" s="44">
        <f>IF(OR($E188="All",ISNUMBER(SEARCH("Priest",$E188))),(AN188+AF188*('Item Budget'!$AB$17-'Item Budget'!$B$11)),0)</f>
        <v/>
      </c>
      <c r="AX188" s="44">
        <f>IF(AND(OR($E188="All",ISNUMBER(SEARCH("Warrior",$E188))),AC188&gt;='Item Budget'!$R$10),'Item Budget'!$R$7*100*('Item Budget'!$R$14*(AD188+25*AH188)+'Item Budget'!$S$14*(AE188+25*AJ188))/'Item Budget'!$Z$14+'Item Budget'!$R$9*AF188+IFERROR(INDEX('Item Budget'!$O$25:$O$95,MATCH(AL188,'Item Budget'!$B$25:$B$95,0)),0),0)</f>
        <v/>
      </c>
      <c r="AY188" s="44">
        <f>IF(AND(OR($E188="All",ISNUMBER(SEARCH("Rogue",$E188))),AC188&gt;='Item Budget'!$R$10),'Item Budget'!$R$7*100*('Item Budget'!$R$15*(AD188+25*AH188)+'Item Budget'!$S$15*(AE188+25*AJ188))/'Item Budget'!$Z$15+'Item Budget'!$R$9*AF188+IFERROR(INDEX('Item Budget'!$O$25:$O$95,MATCH(AL188,'Item Budget'!$B$25:$B$95,0)),0),0)</f>
        <v/>
      </c>
      <c r="AZ188" s="44">
        <f>IF(AND(OR($E188="All",ISNUMBER(SEARCH("Magus",$E188))),AC188&gt;='Item Budget'!$R$10),'Item Budget'!$R$7*100*('Item Budget'!$R$16*(AD188+25*AH188)+'Item Budget'!$S$16*(AE188+25*AJ188))/'Item Budget'!$Z$16+'Item Budget'!$R$9*AF188+IFERROR(INDEX('Item Budget'!$O$25:$O$95,MATCH(AL188,'Item Budget'!$B$25:$B$95,0)),0),0)</f>
        <v/>
      </c>
      <c r="BA188" s="44">
        <f>IF(AND(OR($E188="All",ISNUMBER(SEARCH("Priest",$E188))),AC188&gt;='Item Budget'!$R$10),'Item Budget'!$R$7*100*('Item Budget'!$R$17*(AD188+25*AH188)+'Item Budget'!$S$17*(AE188+25*AJ188))/'Item Budget'!$Z$17+'Item Budget'!$R$9*AF188+IFERROR(INDEX('Item Budget'!$O$25:$O$95,MATCH(AL188,'Item Budget'!$B$25:$B$95,0)),0),0)</f>
        <v/>
      </c>
      <c r="BB188" s="52">
        <f>IF(OR($I188&lt;1,IF($I188&gt;=6,AX188,AT188)&lt;=0),"",IF(SUMPRODUCT(MAX(($C$5:$C$215=$C188)*($I$5:$I$215&gt;=1)*($I$5:$I$215&lt;$I188)*IF($I188&gt;=6,$AX$5:$AX$215,$AT$5:$AT$215)))&lt;=0,"",SUMPRODUCT(MAX(($C$5:$C$215=$C188)*($I$5:$I$215=$I188)*IF($I188&gt;=6,$AX$5:$AX$215,$AT$5:$AT$215)))/SUMPRODUCT(MAX(($C$5:$C$215=$C188)*($I$5:$I$215&gt;=1)*($I$5:$I$215&lt;$I188)*IF($I188&gt;=6,$AX$5:$AX$215,$AT$5:$AT$215)))-1))</f>
        <v/>
      </c>
      <c r="BC188" s="52">
        <f>IF(OR($I188&lt;1,IF($I188&gt;=6,AY188,AU188)&lt;=0),"",IF(SUMPRODUCT(MAX(($C$5:$C$215=$C188)*($I$5:$I$215&gt;=1)*($I$5:$I$215&lt;$I188)*IF($I188&gt;=6,$AY$5:$AY$215,$AU$5:$AU$215)))&lt;=0,"",SUMPRODUCT(MAX(($C$5:$C$215=$C188)*($I$5:$I$215=$I188)*IF($I188&gt;=6,$AY$5:$AY$215,$AU$5:$AU$215)))/SUMPRODUCT(MAX(($C$5:$C$215=$C188)*($I$5:$I$215&gt;=1)*($I$5:$I$215&lt;$I188)*IF($I188&gt;=6,$AY$5:$AY$215,$AU$5:$AU$215)))-1))</f>
        <v/>
      </c>
      <c r="BD188" s="52">
        <f>IF(OR($I188&lt;1,IF($I188&gt;=6,AZ188,AV188)&lt;=0),"",IF(SUMPRODUCT(MAX(($C$5:$C$215=$C188)*($I$5:$I$215&gt;=1)*($I$5:$I$215&lt;$I188)*IF($I188&gt;=6,$AZ$5:$AZ$215,$AV$5:$AV$215)))&lt;=0,"",SUMPRODUCT(MAX(($C$5:$C$215=$C188)*($I$5:$I$215=$I188)*IF($I188&gt;=6,$AZ$5:$AZ$215,$AV$5:$AV$215)))/SUMPRODUCT(MAX(($C$5:$C$215=$C188)*($I$5:$I$215&gt;=1)*($I$5:$I$215&lt;$I188)*IF($I188&gt;=6,$AZ$5:$AZ$215,$AV$5:$AV$215)))-1))</f>
        <v/>
      </c>
      <c r="BE188" s="52">
        <f>IF(OR($I188&lt;1,IF($I188&gt;=6,BA188,AW188)&lt;=0),"",IF(SUMPRODUCT(MAX(($C$5:$C$215=$C188)*($I$5:$I$215&gt;=1)*($I$5:$I$215&lt;$I188)*IF($I188&gt;=6,$BA$5:$BA$215,$AW$5:$AW$215)))&lt;=0,"",SUMPRODUCT(MAX(($C$5:$C$215=$C188)*($I$5:$I$215=$I188)*IF($I188&gt;=6,$BA$5:$BA$215,$AW$5:$AW$215)))/SUMPRODUCT(MAX(($C$5:$C$215=$C188)*($I$5:$I$215&gt;=1)*($I$5:$I$215&lt;$I188)*IF($I188&gt;=6,$BA$5:$BA$215,$AW$5:$AW$215)))-1))</f>
        <v/>
      </c>
      <c r="BF188" s="19">
        <f>IF(AND(BB188="",BC188="",BD188="",BE188=""),"",IF(IF(AND(ISNUMBER(BB188),BB188&lt;'Item Budget'!$R$11),"W ","")&amp;IF(AND(ISNUMBER(BC188),BC188&lt;'Item Budget'!$R$11),"R ","")&amp;IF(AND(ISNUMBER(BD188),BD188&lt;'Item Budget'!$R$11),"M ","")&amp;IF(AND(ISNUMBER(BE188),BE188&lt;'Item Budget'!$R$11),"P ","")="","OK","Not above lower step: "&amp;IF(AND(ISNUMBER(BB188),BB188&lt;'Item Budget'!$R$11),"W ","")&amp;IF(AND(ISNUMBER(BC188),BC188&lt;'Item Budget'!$R$11),"R ","")&amp;IF(AND(ISNUMBER(BD188),BD188&lt;'Item Budget'!$R$11),"M ","")&amp;IF(AND(ISNUMBER(BE188),BE188&lt;'Item Budget'!$R$11),"P ","")))</f>
        <v/>
      </c>
    </row>
    <row r="189">
      <c r="A189" s="21" t="n">
        <v>259</v>
      </c>
      <c r="B189" s="21" t="inlineStr">
        <is>
          <t>Rusty Claw</t>
        </is>
      </c>
      <c r="C189" s="21" t="inlineStr">
        <is>
          <t>Weapon</t>
        </is>
      </c>
      <c r="D189" s="21" t="inlineStr">
        <is>
          <t>Rogue/Warrior</t>
        </is>
      </c>
      <c r="E189" s="21" t="inlineStr">
        <is>
          <t>Rogue/Warrior</t>
        </is>
      </c>
      <c r="F189" s="21" t="inlineStr"/>
      <c r="G189" s="21" t="inlineStr">
        <is>
          <t>drop: ImaBitStale 5%</t>
        </is>
      </c>
      <c r="H189" s="37" t="n">
        <v>0</v>
      </c>
      <c r="I189" s="21" t="n">
        <v>0</v>
      </c>
      <c r="J189" s="3" t="inlineStr">
        <is>
          <t>Pass 2</t>
        </is>
      </c>
      <c r="K189" s="21" t="inlineStr">
        <is>
          <t>Rare boss drop</t>
        </is>
      </c>
      <c r="L189" s="31">
        <f>INDEX('Item Budget'!$F$5:$F$13,MATCH(K189,'Item Budget'!$E$5:$E$13,0))+IF(E189="All",0,'Item Budget'!$F$15)+LOOKUP(H189,'Item Budget'!$E$19:$E$23,'Item Budget'!$F$19:$F$23)</f>
        <v/>
      </c>
      <c r="M189" s="21" t="n">
        <v>40</v>
      </c>
      <c r="N189" s="21" t="n">
        <v>100</v>
      </c>
      <c r="O189" s="21" t="n">
        <v>50</v>
      </c>
      <c r="P189" s="21" t="n">
        <v>0</v>
      </c>
      <c r="Q189" s="21" t="n">
        <v>10</v>
      </c>
      <c r="R189" s="21" t="n">
        <v>5</v>
      </c>
      <c r="S189" s="21" t="n">
        <v>5</v>
      </c>
      <c r="T189" s="21" t="n">
        <v>0</v>
      </c>
      <c r="U189" s="21" t="n">
        <v>90</v>
      </c>
      <c r="V189" s="21" t="inlineStr">
        <is>
          <t>(none)</t>
        </is>
      </c>
      <c r="W189" s="61">
        <f>N189*'Item Budget'!$B$5+R189*'Item Budget'!$B$7+P189*'Item Budget'!$B$11+S189*'Item Budget'!$B$10+Q189*'Item Budget'!$B$9+IFERROR(INDEX('Item Budget'!$M$25:$M$95,MATCH(V189,'Item Budget'!$B$25:$B$95,0)),0)+IF($C189="Weapon",U189*'Item Budget'!$B$9,0)</f>
        <v/>
      </c>
      <c r="X189" s="61">
        <f>N189*'Item Budget'!$B$5+R189*'Item Budget'!$B$7+P189*'Item Budget'!$B$11+S189*'Item Budget'!$B$10+O189*'Item Budget'!$B$6+T189*'Item Budget'!$B$8+IFERROR(INDEX('Item Budget'!$N$25:$N$95,MATCH(V189,'Item Budget'!$B$25:$B$95,0)),0)</f>
        <v/>
      </c>
      <c r="Y189" s="61">
        <f>MAX('Item Budget'!$F$16,INDEX('Gear Budget'!$C$8:$C$14,MATCH($C189,'Gear Budget'!$A$8:$A$14,0))*MIN(M189,50))*$L189</f>
        <v/>
      </c>
      <c r="Z189" s="41">
        <f>IF($C189="Caster weapon",X189,MAX(W189,X189))/Y189</f>
        <v/>
      </c>
      <c r="AA189" s="61">
        <f>IF(OR($C189="Weapon",$C189="Caster weapon"),"",'Gear Budget'!$B$5*MAX(1,MIN(M189,50))*INDEX('Gear Budget'!$B$8:$B$14,MATCH($C189,'Gear Budget'!$A$8:$A$14,0))*IF($C189="Shield",IF(D189="Warrior",1,IF(OR(D189="Rogue",D189="All"),0.38/0.6,0.25/0.6)),IFERROR(INDEX('Gear Budget'!$B$18:$B$21,MATCH($F189,'Gear Budget'!$A$18:$A$21,0)),1)))</f>
        <v/>
      </c>
      <c r="AB189" s="41">
        <f>IF(AA189="","",P189/AA189)</f>
        <v/>
      </c>
      <c r="AC189" s="21" t="n">
        <v>40</v>
      </c>
      <c r="AD189" s="21" t="n">
        <v>100</v>
      </c>
      <c r="AE189" s="21" t="n">
        <v>50</v>
      </c>
      <c r="AF189" s="21" t="n">
        <v>0</v>
      </c>
      <c r="AG189" s="21" t="n">
        <v>10</v>
      </c>
      <c r="AH189" s="21" t="n">
        <v>5</v>
      </c>
      <c r="AI189" s="21" t="n">
        <v>5</v>
      </c>
      <c r="AJ189" s="21" t="n">
        <v>0</v>
      </c>
      <c r="AK189" s="20" t="n">
        <v>95</v>
      </c>
      <c r="AL189" s="21" t="inlineStr">
        <is>
          <t>(none)</t>
        </is>
      </c>
      <c r="AM189" s="61">
        <f>AD189*'Item Budget'!$B$5+AH189*'Item Budget'!$B$7+AF189*'Item Budget'!$B$11+AI189*'Item Budget'!$B$10+AG189*'Item Budget'!$B$9+IFERROR(INDEX('Item Budget'!$M$25:$M$95,MATCH(AL189,'Item Budget'!$B$25:$B$95,0)),0)+IF($C189="Weapon",AK189*'Item Budget'!$B$9,0)</f>
        <v/>
      </c>
      <c r="AN189" s="61">
        <f>AD189*'Item Budget'!$B$5+AH189*'Item Budget'!$B$7+AF189*'Item Budget'!$B$11+AI189*'Item Budget'!$B$10+AE189*'Item Budget'!$B$6+AJ189*'Item Budget'!$B$8+IFERROR(INDEX('Item Budget'!$N$25:$N$95,MATCH(AL189,'Item Budget'!$B$25:$B$95,0)),0)</f>
        <v/>
      </c>
      <c r="AO189" s="61">
        <f>MAX('Item Budget'!$F$16,INDEX('Gear Budget'!$C$8:$C$14,MATCH($C189,'Gear Budget'!$A$8:$A$14,0))*MIN(AC189,50))*$L189</f>
        <v/>
      </c>
      <c r="AP189" s="41">
        <f>IF($C189="Caster weapon",AN189,MAX(AM189,AN189))/AO189</f>
        <v/>
      </c>
      <c r="AQ189" s="61">
        <f>IF(OR($C189="Weapon",$C189="Caster weapon"),"",'Gear Budget'!$B$5*MAX(1,MIN(AC189,50))*INDEX('Gear Budget'!$B$8:$B$14,MATCH($C189,'Gear Budget'!$A$8:$A$14,0))*IF($C189="Shield",IF(E189="Warrior",1,IF(OR(E189="Rogue",E189="All"),0.38/0.6,0.25/0.6)),IFERROR(INDEX('Gear Budget'!$B$18:$B$21,MATCH($F189,'Gear Budget'!$A$18:$A$21,0)),1)))</f>
        <v/>
      </c>
      <c r="AR189" s="41">
        <f>IF(AQ189="","",AF189/AQ189)</f>
        <v/>
      </c>
      <c r="AS189" s="64" t="inlineStr">
        <is>
          <t>Rusty Claw: damage 95 (105); 10% over the raised Katana</t>
        </is>
      </c>
      <c r="AT189" s="44">
        <f>IF(OR($E189="All",ISNUMBER(SEARCH("Warrior",$E189))),IF($C189="Caster weapon",(AN189+AF189*('Item Budget'!$AB$14-'Item Budget'!$B$11)),(AM189+AF189*('Item Budget'!$AB$14-'Item Budget'!$B$11))),0)</f>
        <v/>
      </c>
      <c r="AU189" s="44">
        <f>IF(OR($E189="All",ISNUMBER(SEARCH("Rogue",$E189))),IF($C189="Caster weapon",(AN189+AF189*('Item Budget'!$AB$15-'Item Budget'!$B$11)),(AM189+AF189*('Item Budget'!$AB$15-'Item Budget'!$B$11))),0)</f>
        <v/>
      </c>
      <c r="AV189" s="44">
        <f>IF(OR($E189="All",ISNUMBER(SEARCH("Magus",$E189))),(AN189+AF189*('Item Budget'!$AB$16-'Item Budget'!$B$11)),0)</f>
        <v/>
      </c>
      <c r="AW189" s="44">
        <f>IF(OR($E189="All",ISNUMBER(SEARCH("Priest",$E189))),(AN189+AF189*('Item Budget'!$AB$17-'Item Budget'!$B$11)),0)</f>
        <v/>
      </c>
      <c r="AX189" s="44">
        <f>IF(AND(OR($E189="All",ISNUMBER(SEARCH("Warrior",$E189))),AC189&gt;='Item Budget'!$R$10),'Item Budget'!$R$7*100*('Item Budget'!$R$14*(AD189+25*AH189)+'Item Budget'!$S$14*(AE189+25*AJ189))/'Item Budget'!$Z$14+'Item Budget'!$R$9*AF189+IFERROR(INDEX('Item Budget'!$O$25:$O$95,MATCH(AL189,'Item Budget'!$B$25:$B$95,0)),0),0)</f>
        <v/>
      </c>
      <c r="AY189" s="44">
        <f>IF(AND(OR($E189="All",ISNUMBER(SEARCH("Rogue",$E189))),AC189&gt;='Item Budget'!$R$10),'Item Budget'!$R$7*100*('Item Budget'!$R$15*(AD189+25*AH189)+'Item Budget'!$S$15*(AE189+25*AJ189))/'Item Budget'!$Z$15+'Item Budget'!$R$9*AF189+IFERROR(INDEX('Item Budget'!$O$25:$O$95,MATCH(AL189,'Item Budget'!$B$25:$B$95,0)),0),0)</f>
        <v/>
      </c>
      <c r="AZ189" s="44">
        <f>IF(AND(OR($E189="All",ISNUMBER(SEARCH("Magus",$E189))),AC189&gt;='Item Budget'!$R$10),'Item Budget'!$R$7*100*('Item Budget'!$R$16*(AD189+25*AH189)+'Item Budget'!$S$16*(AE189+25*AJ189))/'Item Budget'!$Z$16+'Item Budget'!$R$9*AF189+IFERROR(INDEX('Item Budget'!$O$25:$O$95,MATCH(AL189,'Item Budget'!$B$25:$B$95,0)),0),0)</f>
        <v/>
      </c>
      <c r="BA189" s="44">
        <f>IF(AND(OR($E189="All",ISNUMBER(SEARCH("Priest",$E189))),AC189&gt;='Item Budget'!$R$10),'Item Budget'!$R$7*100*('Item Budget'!$R$17*(AD189+25*AH189)+'Item Budget'!$S$17*(AE189+25*AJ189))/'Item Budget'!$Z$17+'Item Budget'!$R$9*AF189+IFERROR(INDEX('Item Budget'!$O$25:$O$95,MATCH(AL189,'Item Budget'!$B$25:$B$95,0)),0),0)</f>
        <v/>
      </c>
      <c r="BB189" s="52">
        <f>IF(OR($I189&lt;1,IF($I189&gt;=6,AX189,AT189)&lt;=0),"",IF(SUMPRODUCT(MAX(($C$5:$C$215=$C189)*($I$5:$I$215&gt;=1)*($I$5:$I$215&lt;$I189)*IF($I189&gt;=6,$AX$5:$AX$215,$AT$5:$AT$215)))&lt;=0,"",SUMPRODUCT(MAX(($C$5:$C$215=$C189)*($I$5:$I$215=$I189)*IF($I189&gt;=6,$AX$5:$AX$215,$AT$5:$AT$215)))/SUMPRODUCT(MAX(($C$5:$C$215=$C189)*($I$5:$I$215&gt;=1)*($I$5:$I$215&lt;$I189)*IF($I189&gt;=6,$AX$5:$AX$215,$AT$5:$AT$215)))-1))</f>
        <v/>
      </c>
      <c r="BC189" s="52">
        <f>IF(OR($I189&lt;1,IF($I189&gt;=6,AY189,AU189)&lt;=0),"",IF(SUMPRODUCT(MAX(($C$5:$C$215=$C189)*($I$5:$I$215&gt;=1)*($I$5:$I$215&lt;$I189)*IF($I189&gt;=6,$AY$5:$AY$215,$AU$5:$AU$215)))&lt;=0,"",SUMPRODUCT(MAX(($C$5:$C$215=$C189)*($I$5:$I$215=$I189)*IF($I189&gt;=6,$AY$5:$AY$215,$AU$5:$AU$215)))/SUMPRODUCT(MAX(($C$5:$C$215=$C189)*($I$5:$I$215&gt;=1)*($I$5:$I$215&lt;$I189)*IF($I189&gt;=6,$AY$5:$AY$215,$AU$5:$AU$215)))-1))</f>
        <v/>
      </c>
      <c r="BD189" s="52">
        <f>IF(OR($I189&lt;1,IF($I189&gt;=6,AZ189,AV189)&lt;=0),"",IF(SUMPRODUCT(MAX(($C$5:$C$215=$C189)*($I$5:$I$215&gt;=1)*($I$5:$I$215&lt;$I189)*IF($I189&gt;=6,$AZ$5:$AZ$215,$AV$5:$AV$215)))&lt;=0,"",SUMPRODUCT(MAX(($C$5:$C$215=$C189)*($I$5:$I$215=$I189)*IF($I189&gt;=6,$AZ$5:$AZ$215,$AV$5:$AV$215)))/SUMPRODUCT(MAX(($C$5:$C$215=$C189)*($I$5:$I$215&gt;=1)*($I$5:$I$215&lt;$I189)*IF($I189&gt;=6,$AZ$5:$AZ$215,$AV$5:$AV$215)))-1))</f>
        <v/>
      </c>
      <c r="BE189" s="52">
        <f>IF(OR($I189&lt;1,IF($I189&gt;=6,BA189,AW189)&lt;=0),"",IF(SUMPRODUCT(MAX(($C$5:$C$215=$C189)*($I$5:$I$215&gt;=1)*($I$5:$I$215&lt;$I189)*IF($I189&gt;=6,$BA$5:$BA$215,$AW$5:$AW$215)))&lt;=0,"",SUMPRODUCT(MAX(($C$5:$C$215=$C189)*($I$5:$I$215=$I189)*IF($I189&gt;=6,$BA$5:$BA$215,$AW$5:$AW$215)))/SUMPRODUCT(MAX(($C$5:$C$215=$C189)*($I$5:$I$215&gt;=1)*($I$5:$I$215&lt;$I189)*IF($I189&gt;=6,$BA$5:$BA$215,$AW$5:$AW$215)))-1))</f>
        <v/>
      </c>
      <c r="BF189" s="19">
        <f>IF(AND(BB189="",BC189="",BD189="",BE189=""),"",IF(IF(AND(ISNUMBER(BB189),BB189&lt;'Item Budget'!$R$11),"W ","")&amp;IF(AND(ISNUMBER(BC189),BC189&lt;'Item Budget'!$R$11),"R ","")&amp;IF(AND(ISNUMBER(BD189),BD189&lt;'Item Budget'!$R$11),"M ","")&amp;IF(AND(ISNUMBER(BE189),BE189&lt;'Item Budget'!$R$11),"P ","")="","OK","Not above lower step: "&amp;IF(AND(ISNUMBER(BB189),BB189&lt;'Item Budget'!$R$11),"W ","")&amp;IF(AND(ISNUMBER(BC189),BC189&lt;'Item Budget'!$R$11),"R ","")&amp;IF(AND(ISNUMBER(BD189),BD189&lt;'Item Budget'!$R$11),"M ","")&amp;IF(AND(ISNUMBER(BE189),BE189&lt;'Item Budget'!$R$11),"P ","")))</f>
        <v/>
      </c>
    </row>
    <row r="190">
      <c r="A190" s="21" t="n">
        <v>55</v>
      </c>
      <c r="B190" s="21" t="inlineStr">
        <is>
          <t>Encased Blade of Wet</t>
        </is>
      </c>
      <c r="C190" s="21" t="inlineStr">
        <is>
          <t>Weapon</t>
        </is>
      </c>
      <c r="D190" s="21" t="inlineStr">
        <is>
          <t>Warrior</t>
        </is>
      </c>
      <c r="E190" s="21" t="inlineStr">
        <is>
          <t>Warrior</t>
        </is>
      </c>
      <c r="F190" s="21" t="inlineStr"/>
      <c r="G190" s="21" t="inlineStr">
        <is>
          <t>drop: Frosty 10%</t>
        </is>
      </c>
      <c r="H190" s="37" t="n">
        <v>0</v>
      </c>
      <c r="I190" s="21" t="n">
        <v>0</v>
      </c>
      <c r="J190" s="19" t="inlineStr">
        <is>
          <t>Pass 2</t>
        </is>
      </c>
      <c r="K190" s="21" t="inlineStr">
        <is>
          <t>Rare boss drop</t>
        </is>
      </c>
      <c r="L190" s="31">
        <f>INDEX('Item Budget'!$F$5:$F$13,MATCH(K190,'Item Budget'!$E$5:$E$13,0))+IF(E190="All",0,'Item Budget'!$F$15)+LOOKUP(H190,'Item Budget'!$E$19:$E$23,'Item Budget'!$F$19:$F$23)</f>
        <v/>
      </c>
      <c r="M190" s="21" t="n">
        <v>45</v>
      </c>
      <c r="N190" s="21" t="n">
        <v>100</v>
      </c>
      <c r="O190" s="21" t="n">
        <v>0</v>
      </c>
      <c r="P190" s="21" t="n">
        <v>50</v>
      </c>
      <c r="Q190" s="21" t="n">
        <v>30</v>
      </c>
      <c r="R190" s="21" t="n">
        <v>0</v>
      </c>
      <c r="S190" s="21" t="n">
        <v>0</v>
      </c>
      <c r="T190" s="21" t="n">
        <v>0</v>
      </c>
      <c r="U190" s="21" t="n">
        <v>90</v>
      </c>
      <c r="V190" s="21" t="inlineStr">
        <is>
          <t>(none)</t>
        </is>
      </c>
      <c r="W190" s="61">
        <f>N190*'Item Budget'!$B$5+R190*'Item Budget'!$B$7+P190*'Item Budget'!$B$11+S190*'Item Budget'!$B$10+Q190*'Item Budget'!$B$9+IFERROR(INDEX('Item Budget'!$M$25:$M$95,MATCH(V190,'Item Budget'!$B$25:$B$95,0)),0)+IF($C190="Weapon",U190*'Item Budget'!$B$9,0)</f>
        <v/>
      </c>
      <c r="X190" s="61">
        <f>N190*'Item Budget'!$B$5+R190*'Item Budget'!$B$7+P190*'Item Budget'!$B$11+S190*'Item Budget'!$B$10+O190*'Item Budget'!$B$6+T190*'Item Budget'!$B$8+IFERROR(INDEX('Item Budget'!$N$25:$N$95,MATCH(V190,'Item Budget'!$B$25:$B$95,0)),0)</f>
        <v/>
      </c>
      <c r="Y190" s="61">
        <f>MAX('Item Budget'!$F$16,INDEX('Gear Budget'!$C$8:$C$14,MATCH($C190,'Gear Budget'!$A$8:$A$14,0))*MIN(M190,50))*$L190</f>
        <v/>
      </c>
      <c r="Z190" s="41">
        <f>IF($C190="Caster weapon",X190,MAX(W190,X190))/Y190</f>
        <v/>
      </c>
      <c r="AA190" s="61">
        <f>IF(OR($C190="Weapon",$C190="Caster weapon"),"",'Gear Budget'!$B$5*MAX(1,MIN(M190,50))*INDEX('Gear Budget'!$B$8:$B$14,MATCH($C190,'Gear Budget'!$A$8:$A$14,0))*IF($C190="Shield",IF(D190="Warrior",1,IF(OR(D190="Rogue",D190="All"),0.38/0.6,0.25/0.6)),IFERROR(INDEX('Gear Budget'!$B$18:$B$21,MATCH($F190,'Gear Budget'!$A$18:$A$21,0)),1)))</f>
        <v/>
      </c>
      <c r="AB190" s="41">
        <f>IF(AA190="","",P190/AA190)</f>
        <v/>
      </c>
      <c r="AC190" s="21" t="n">
        <v>45</v>
      </c>
      <c r="AD190" s="21" t="n">
        <v>100</v>
      </c>
      <c r="AE190" s="21" t="n">
        <v>0</v>
      </c>
      <c r="AF190" s="21" t="n">
        <v>50</v>
      </c>
      <c r="AG190" s="20" t="n">
        <v>24</v>
      </c>
      <c r="AH190" s="21" t="n">
        <v>0</v>
      </c>
      <c r="AI190" s="21" t="n">
        <v>0</v>
      </c>
      <c r="AJ190" s="21" t="n">
        <v>0</v>
      </c>
      <c r="AK190" s="20" t="n">
        <v>83</v>
      </c>
      <c r="AL190" s="21" t="inlineStr">
        <is>
          <t>(none)</t>
        </is>
      </c>
      <c r="AM190" s="61">
        <f>AD190*'Item Budget'!$B$5+AH190*'Item Budget'!$B$7+AF190*'Item Budget'!$B$11+AI190*'Item Budget'!$B$10+AG190*'Item Budget'!$B$9+IFERROR(INDEX('Item Budget'!$M$25:$M$95,MATCH(AL190,'Item Budget'!$B$25:$B$95,0)),0)+IF($C190="Weapon",AK190*'Item Budget'!$B$9,0)</f>
        <v/>
      </c>
      <c r="AN190" s="61">
        <f>AD190*'Item Budget'!$B$5+AH190*'Item Budget'!$B$7+AF190*'Item Budget'!$B$11+AI190*'Item Budget'!$B$10+AE190*'Item Budget'!$B$6+AJ190*'Item Budget'!$B$8+IFERROR(INDEX('Item Budget'!$N$25:$N$95,MATCH(AL190,'Item Budget'!$B$25:$B$95,0)),0)</f>
        <v/>
      </c>
      <c r="AO190" s="61">
        <f>MAX('Item Budget'!$F$16,INDEX('Gear Budget'!$C$8:$C$14,MATCH($C190,'Gear Budget'!$A$8:$A$14,0))*MIN(AC190,50))*$L190</f>
        <v/>
      </c>
      <c r="AP190" s="41">
        <f>IF($C190="Caster weapon",AN190,MAX(AM190,AN190))/AO190</f>
        <v/>
      </c>
      <c r="AQ190" s="61">
        <f>IF(OR($C190="Weapon",$C190="Caster weapon"),"",'Gear Budget'!$B$5*MAX(1,MIN(AC190,50))*INDEX('Gear Budget'!$B$8:$B$14,MATCH($C190,'Gear Budget'!$A$8:$A$14,0))*IF($C190="Shield",IF(E190="Warrior",1,IF(OR(E190="Rogue",E190="All"),0.38/0.6,0.25/0.6)),IFERROR(INDEX('Gear Budget'!$B$18:$B$21,MATCH($F190,'Gear Budget'!$A$18:$A$21,0)),1)))</f>
        <v/>
      </c>
      <c r="AR190" s="41">
        <f>IF(AQ190="","",AF190/AQ190)</f>
        <v/>
      </c>
      <c r="AS190" s="64" t="inlineStr">
        <is>
          <t>Encased Blade of Wet: damage 83, STR 24 (107); just over Rusty Claw, under Champions Blade</t>
        </is>
      </c>
      <c r="AT190" s="44">
        <f>IF(OR($E190="All",ISNUMBER(SEARCH("Warrior",$E190))),IF($C190="Caster weapon",(AN190+AF190*('Item Budget'!$AB$14-'Item Budget'!$B$11)),(AM190+AF190*('Item Budget'!$AB$14-'Item Budget'!$B$11))),0)</f>
        <v/>
      </c>
      <c r="AU190" s="44">
        <f>IF(OR($E190="All",ISNUMBER(SEARCH("Rogue",$E190))),IF($C190="Caster weapon",(AN190+AF190*('Item Budget'!$AB$15-'Item Budget'!$B$11)),(AM190+AF190*('Item Budget'!$AB$15-'Item Budget'!$B$11))),0)</f>
        <v/>
      </c>
      <c r="AV190" s="44">
        <f>IF(OR($E190="All",ISNUMBER(SEARCH("Magus",$E190))),(AN190+AF190*('Item Budget'!$AB$16-'Item Budget'!$B$11)),0)</f>
        <v/>
      </c>
      <c r="AW190" s="44">
        <f>IF(OR($E190="All",ISNUMBER(SEARCH("Priest",$E190))),(AN190+AF190*('Item Budget'!$AB$17-'Item Budget'!$B$11)),0)</f>
        <v/>
      </c>
      <c r="AX190" s="44">
        <f>IF(AND(OR($E190="All",ISNUMBER(SEARCH("Warrior",$E190))),AC190&gt;='Item Budget'!$R$10),'Item Budget'!$R$7*100*('Item Budget'!$R$14*(AD190+25*AH190)+'Item Budget'!$S$14*(AE190+25*AJ190))/'Item Budget'!$Z$14+'Item Budget'!$R$9*AF190+IFERROR(INDEX('Item Budget'!$O$25:$O$95,MATCH(AL190,'Item Budget'!$B$25:$B$95,0)),0),0)</f>
        <v/>
      </c>
      <c r="AY190" s="44">
        <f>IF(AND(OR($E190="All",ISNUMBER(SEARCH("Rogue",$E190))),AC190&gt;='Item Budget'!$R$10),'Item Budget'!$R$7*100*('Item Budget'!$R$15*(AD190+25*AH190)+'Item Budget'!$S$15*(AE190+25*AJ190))/'Item Budget'!$Z$15+'Item Budget'!$R$9*AF190+IFERROR(INDEX('Item Budget'!$O$25:$O$95,MATCH(AL190,'Item Budget'!$B$25:$B$95,0)),0),0)</f>
        <v/>
      </c>
      <c r="AZ190" s="44">
        <f>IF(AND(OR($E190="All",ISNUMBER(SEARCH("Magus",$E190))),AC190&gt;='Item Budget'!$R$10),'Item Budget'!$R$7*100*('Item Budget'!$R$16*(AD190+25*AH190)+'Item Budget'!$S$16*(AE190+25*AJ190))/'Item Budget'!$Z$16+'Item Budget'!$R$9*AF190+IFERROR(INDEX('Item Budget'!$O$25:$O$95,MATCH(AL190,'Item Budget'!$B$25:$B$95,0)),0),0)</f>
        <v/>
      </c>
      <c r="BA190" s="44">
        <f>IF(AND(OR($E190="All",ISNUMBER(SEARCH("Priest",$E190))),AC190&gt;='Item Budget'!$R$10),'Item Budget'!$R$7*100*('Item Budget'!$R$17*(AD190+25*AH190)+'Item Budget'!$S$17*(AE190+25*AJ190))/'Item Budget'!$Z$17+'Item Budget'!$R$9*AF190+IFERROR(INDEX('Item Budget'!$O$25:$O$95,MATCH(AL190,'Item Budget'!$B$25:$B$95,0)),0),0)</f>
        <v/>
      </c>
      <c r="BB190" s="52">
        <f>IF(OR($I190&lt;1,IF($I190&gt;=6,AX190,AT190)&lt;=0),"",IF(SUMPRODUCT(MAX(($C$5:$C$215=$C190)*($I$5:$I$215&gt;=1)*($I$5:$I$215&lt;$I190)*IF($I190&gt;=6,$AX$5:$AX$215,$AT$5:$AT$215)))&lt;=0,"",SUMPRODUCT(MAX(($C$5:$C$215=$C190)*($I$5:$I$215=$I190)*IF($I190&gt;=6,$AX$5:$AX$215,$AT$5:$AT$215)))/SUMPRODUCT(MAX(($C$5:$C$215=$C190)*($I$5:$I$215&gt;=1)*($I$5:$I$215&lt;$I190)*IF($I190&gt;=6,$AX$5:$AX$215,$AT$5:$AT$215)))-1))</f>
        <v/>
      </c>
      <c r="BC190" s="52">
        <f>IF(OR($I190&lt;1,IF($I190&gt;=6,AY190,AU190)&lt;=0),"",IF(SUMPRODUCT(MAX(($C$5:$C$215=$C190)*($I$5:$I$215&gt;=1)*($I$5:$I$215&lt;$I190)*IF($I190&gt;=6,$AY$5:$AY$215,$AU$5:$AU$215)))&lt;=0,"",SUMPRODUCT(MAX(($C$5:$C$215=$C190)*($I$5:$I$215=$I190)*IF($I190&gt;=6,$AY$5:$AY$215,$AU$5:$AU$215)))/SUMPRODUCT(MAX(($C$5:$C$215=$C190)*($I$5:$I$215&gt;=1)*($I$5:$I$215&lt;$I190)*IF($I190&gt;=6,$AY$5:$AY$215,$AU$5:$AU$215)))-1))</f>
        <v/>
      </c>
      <c r="BD190" s="52">
        <f>IF(OR($I190&lt;1,IF($I190&gt;=6,AZ190,AV190)&lt;=0),"",IF(SUMPRODUCT(MAX(($C$5:$C$215=$C190)*($I$5:$I$215&gt;=1)*($I$5:$I$215&lt;$I190)*IF($I190&gt;=6,$AZ$5:$AZ$215,$AV$5:$AV$215)))&lt;=0,"",SUMPRODUCT(MAX(($C$5:$C$215=$C190)*($I$5:$I$215=$I190)*IF($I190&gt;=6,$AZ$5:$AZ$215,$AV$5:$AV$215)))/SUMPRODUCT(MAX(($C$5:$C$215=$C190)*($I$5:$I$215&gt;=1)*($I$5:$I$215&lt;$I190)*IF($I190&gt;=6,$AZ$5:$AZ$215,$AV$5:$AV$215)))-1))</f>
        <v/>
      </c>
      <c r="BE190" s="52">
        <f>IF(OR($I190&lt;1,IF($I190&gt;=6,BA190,AW190)&lt;=0),"",IF(SUMPRODUCT(MAX(($C$5:$C$215=$C190)*($I$5:$I$215&gt;=1)*($I$5:$I$215&lt;$I190)*IF($I190&gt;=6,$BA$5:$BA$215,$AW$5:$AW$215)))&lt;=0,"",SUMPRODUCT(MAX(($C$5:$C$215=$C190)*($I$5:$I$215=$I190)*IF($I190&gt;=6,$BA$5:$BA$215,$AW$5:$AW$215)))/SUMPRODUCT(MAX(($C$5:$C$215=$C190)*($I$5:$I$215&gt;=1)*($I$5:$I$215&lt;$I190)*IF($I190&gt;=6,$BA$5:$BA$215,$AW$5:$AW$215)))-1))</f>
        <v/>
      </c>
      <c r="BF190" s="19">
        <f>IF(AND(BB190="",BC190="",BD190="",BE190=""),"",IF(IF(AND(ISNUMBER(BB190),BB190&lt;'Item Budget'!$R$11),"W ","")&amp;IF(AND(ISNUMBER(BC190),BC190&lt;'Item Budget'!$R$11),"R ","")&amp;IF(AND(ISNUMBER(BD190),BD190&lt;'Item Budget'!$R$11),"M ","")&amp;IF(AND(ISNUMBER(BE190),BE190&lt;'Item Budget'!$R$11),"P ","")="","OK","Not above lower step: "&amp;IF(AND(ISNUMBER(BB190),BB190&lt;'Item Budget'!$R$11),"W ","")&amp;IF(AND(ISNUMBER(BC190),BC190&lt;'Item Budget'!$R$11),"R ","")&amp;IF(AND(ISNUMBER(BD190),BD190&lt;'Item Budget'!$R$11),"M ","")&amp;IF(AND(ISNUMBER(BE190),BE190&lt;'Item Budget'!$R$11),"P ","")))</f>
        <v/>
      </c>
    </row>
    <row r="191">
      <c r="A191" s="21" t="n">
        <v>56</v>
      </c>
      <c r="B191" s="21" t="inlineStr">
        <is>
          <t>Encased Claw of Wet</t>
        </is>
      </c>
      <c r="C191" s="21" t="inlineStr">
        <is>
          <t>Weapon</t>
        </is>
      </c>
      <c r="D191" s="21" t="inlineStr">
        <is>
          <t>Rogue/Warrior</t>
        </is>
      </c>
      <c r="E191" s="21" t="inlineStr">
        <is>
          <t>Rogue/Warrior</t>
        </is>
      </c>
      <c r="F191" s="21" t="inlineStr"/>
      <c r="G191" s="21" t="inlineStr">
        <is>
          <t>drop: Frosty 10%</t>
        </is>
      </c>
      <c r="H191" s="37" t="n">
        <v>0</v>
      </c>
      <c r="I191" s="21" t="n">
        <v>0</v>
      </c>
      <c r="J191" s="3" t="inlineStr">
        <is>
          <t>Applied</t>
        </is>
      </c>
      <c r="K191" s="21" t="inlineStr">
        <is>
          <t>Rare boss drop</t>
        </is>
      </c>
      <c r="L191" s="31">
        <f>INDEX('Item Budget'!$F$5:$F$13,MATCH(K191,'Item Budget'!$E$5:$E$13,0))+IF(E191="All",0,'Item Budget'!$F$15)+LOOKUP(H191,'Item Budget'!$E$19:$E$23,'Item Budget'!$F$19:$F$23)</f>
        <v/>
      </c>
      <c r="M191" s="21" t="n">
        <v>45</v>
      </c>
      <c r="N191" s="21" t="n">
        <v>75</v>
      </c>
      <c r="O191" s="21" t="n">
        <v>0</v>
      </c>
      <c r="P191" s="21" t="n">
        <v>25</v>
      </c>
      <c r="Q191" s="21" t="n">
        <v>12</v>
      </c>
      <c r="R191" s="21" t="n">
        <v>0</v>
      </c>
      <c r="S191" s="21" t="n">
        <v>25</v>
      </c>
      <c r="T191" s="21" t="n">
        <v>0</v>
      </c>
      <c r="U191" s="21" t="n">
        <v>80</v>
      </c>
      <c r="V191" s="21" t="inlineStr">
        <is>
          <t>(none)</t>
        </is>
      </c>
      <c r="W191" s="61">
        <f>N191*'Item Budget'!$B$5+R191*'Item Budget'!$B$7+P191*'Item Budget'!$B$11+S191*'Item Budget'!$B$10+Q191*'Item Budget'!$B$9+IFERROR(INDEX('Item Budget'!$M$25:$M$95,MATCH(V191,'Item Budget'!$B$25:$B$95,0)),0)+IF($C191="Weapon",U191*'Item Budget'!$B$9,0)</f>
        <v/>
      </c>
      <c r="X191" s="61">
        <f>N191*'Item Budget'!$B$5+R191*'Item Budget'!$B$7+P191*'Item Budget'!$B$11+S191*'Item Budget'!$B$10+O191*'Item Budget'!$B$6+T191*'Item Budget'!$B$8+IFERROR(INDEX('Item Budget'!$N$25:$N$95,MATCH(V191,'Item Budget'!$B$25:$B$95,0)),0)</f>
        <v/>
      </c>
      <c r="Y191" s="61">
        <f>MAX('Item Budget'!$F$16,INDEX('Gear Budget'!$C$8:$C$14,MATCH($C191,'Gear Budget'!$A$8:$A$14,0))*MIN(M191,50))*$L191</f>
        <v/>
      </c>
      <c r="Z191" s="41">
        <f>IF($C191="Caster weapon",X191,MAX(W191,X191))/Y191</f>
        <v/>
      </c>
      <c r="AA191" s="61">
        <f>IF(OR($C191="Weapon",$C191="Caster weapon"),"",'Gear Budget'!$B$5*MAX(1,MIN(M191,50))*INDEX('Gear Budget'!$B$8:$B$14,MATCH($C191,'Gear Budget'!$A$8:$A$14,0))*IF($C191="Shield",IF(D191="Warrior",1,IF(OR(D191="Rogue",D191="All"),0.38/0.6,0.25/0.6)),IFERROR(INDEX('Gear Budget'!$B$18:$B$21,MATCH($F191,'Gear Budget'!$A$18:$A$21,0)),1)))</f>
        <v/>
      </c>
      <c r="AB191" s="41">
        <f>IF(AA191="","",P191/AA191)</f>
        <v/>
      </c>
      <c r="AC191" s="21" t="n">
        <v>45</v>
      </c>
      <c r="AD191" s="21" t="n">
        <v>75</v>
      </c>
      <c r="AE191" s="21" t="n">
        <v>0</v>
      </c>
      <c r="AF191" s="21" t="n">
        <v>25</v>
      </c>
      <c r="AG191" s="21" t="n">
        <v>12</v>
      </c>
      <c r="AH191" s="21" t="n">
        <v>0</v>
      </c>
      <c r="AI191" s="21" t="n">
        <v>25</v>
      </c>
      <c r="AJ191" s="21" t="n">
        <v>0</v>
      </c>
      <c r="AK191" s="21" t="n">
        <v>80</v>
      </c>
      <c r="AL191" s="21" t="inlineStr">
        <is>
          <t>(none)</t>
        </is>
      </c>
      <c r="AM191" s="61">
        <f>AD191*'Item Budget'!$B$5+AH191*'Item Budget'!$B$7+AF191*'Item Budget'!$B$11+AI191*'Item Budget'!$B$10+AG191*'Item Budget'!$B$9+IFERROR(INDEX('Item Budget'!$M$25:$M$95,MATCH(AL191,'Item Budget'!$B$25:$B$95,0)),0)+IF($C191="Weapon",AK191*'Item Budget'!$B$9,0)</f>
        <v/>
      </c>
      <c r="AN191" s="61">
        <f>AD191*'Item Budget'!$B$5+AH191*'Item Budget'!$B$7+AF191*'Item Budget'!$B$11+AI191*'Item Budget'!$B$10+AE191*'Item Budget'!$B$6+AJ191*'Item Budget'!$B$8+IFERROR(INDEX('Item Budget'!$N$25:$N$95,MATCH(AL191,'Item Budget'!$B$25:$B$95,0)),0)</f>
        <v/>
      </c>
      <c r="AO191" s="61">
        <f>MAX('Item Budget'!$F$16,INDEX('Gear Budget'!$C$8:$C$14,MATCH($C191,'Gear Budget'!$A$8:$A$14,0))*MIN(AC191,50))*$L191</f>
        <v/>
      </c>
      <c r="AP191" s="41">
        <f>IF($C191="Caster weapon",AN191,MAX(AM191,AN191))/AO191</f>
        <v/>
      </c>
      <c r="AQ191" s="61">
        <f>IF(OR($C191="Weapon",$C191="Caster weapon"),"",'Gear Budget'!$B$5*MAX(1,MIN(AC191,50))*INDEX('Gear Budget'!$B$8:$B$14,MATCH($C191,'Gear Budget'!$A$8:$A$14,0))*IF($C191="Shield",IF(E191="Warrior",1,IF(OR(E191="Rogue",E191="All"),0.38/0.6,0.25/0.6)),IFERROR(INDEX('Gear Budget'!$B$18:$B$21,MATCH($F191,'Gear Budget'!$A$18:$A$21,0)),1)))</f>
        <v/>
      </c>
      <c r="AR191" s="41">
        <f>IF(AQ191="","",AF191/AQ191)</f>
        <v/>
      </c>
      <c r="AS191" s="64" t="inlineStr">
        <is>
          <t>Pass 1 (applied): Frosty boss drop: damage 77 -&gt; 80, STR 10 -&gt; 12.</t>
        </is>
      </c>
      <c r="AT191" s="44">
        <f>IF(OR($E191="All",ISNUMBER(SEARCH("Warrior",$E191))),IF($C191="Caster weapon",(AN191+AF191*('Item Budget'!$AB$14-'Item Budget'!$B$11)),(AM191+AF191*('Item Budget'!$AB$14-'Item Budget'!$B$11))),0)</f>
        <v/>
      </c>
      <c r="AU191" s="44">
        <f>IF(OR($E191="All",ISNUMBER(SEARCH("Rogue",$E191))),IF($C191="Caster weapon",(AN191+AF191*('Item Budget'!$AB$15-'Item Budget'!$B$11)),(AM191+AF191*('Item Budget'!$AB$15-'Item Budget'!$B$11))),0)</f>
        <v/>
      </c>
      <c r="AV191" s="44">
        <f>IF(OR($E191="All",ISNUMBER(SEARCH("Magus",$E191))),(AN191+AF191*('Item Budget'!$AB$16-'Item Budget'!$B$11)),0)</f>
        <v/>
      </c>
      <c r="AW191" s="44">
        <f>IF(OR($E191="All",ISNUMBER(SEARCH("Priest",$E191))),(AN191+AF191*('Item Budget'!$AB$17-'Item Budget'!$B$11)),0)</f>
        <v/>
      </c>
      <c r="AX191" s="44">
        <f>IF(AND(OR($E191="All",ISNUMBER(SEARCH("Warrior",$E191))),AC191&gt;='Item Budget'!$R$10),'Item Budget'!$R$7*100*('Item Budget'!$R$14*(AD191+25*AH191)+'Item Budget'!$S$14*(AE191+25*AJ191))/'Item Budget'!$Z$14+'Item Budget'!$R$9*AF191+IFERROR(INDEX('Item Budget'!$O$25:$O$95,MATCH(AL191,'Item Budget'!$B$25:$B$95,0)),0),0)</f>
        <v/>
      </c>
      <c r="AY191" s="44">
        <f>IF(AND(OR($E191="All",ISNUMBER(SEARCH("Rogue",$E191))),AC191&gt;='Item Budget'!$R$10),'Item Budget'!$R$7*100*('Item Budget'!$R$15*(AD191+25*AH191)+'Item Budget'!$S$15*(AE191+25*AJ191))/'Item Budget'!$Z$15+'Item Budget'!$R$9*AF191+IFERROR(INDEX('Item Budget'!$O$25:$O$95,MATCH(AL191,'Item Budget'!$B$25:$B$95,0)),0),0)</f>
        <v/>
      </c>
      <c r="AZ191" s="44">
        <f>IF(AND(OR($E191="All",ISNUMBER(SEARCH("Magus",$E191))),AC191&gt;='Item Budget'!$R$10),'Item Budget'!$R$7*100*('Item Budget'!$R$16*(AD191+25*AH191)+'Item Budget'!$S$16*(AE191+25*AJ191))/'Item Budget'!$Z$16+'Item Budget'!$R$9*AF191+IFERROR(INDEX('Item Budget'!$O$25:$O$95,MATCH(AL191,'Item Budget'!$B$25:$B$95,0)),0),0)</f>
        <v/>
      </c>
      <c r="BA191" s="44">
        <f>IF(AND(OR($E191="All",ISNUMBER(SEARCH("Priest",$E191))),AC191&gt;='Item Budget'!$R$10),'Item Budget'!$R$7*100*('Item Budget'!$R$17*(AD191+25*AH191)+'Item Budget'!$S$17*(AE191+25*AJ191))/'Item Budget'!$Z$17+'Item Budget'!$R$9*AF191+IFERROR(INDEX('Item Budget'!$O$25:$O$95,MATCH(AL191,'Item Budget'!$B$25:$B$95,0)),0),0)</f>
        <v/>
      </c>
      <c r="BB191" s="52">
        <f>IF(OR($I191&lt;1,IF($I191&gt;=6,AX191,AT191)&lt;=0),"",IF(SUMPRODUCT(MAX(($C$5:$C$215=$C191)*($I$5:$I$215&gt;=1)*($I$5:$I$215&lt;$I191)*IF($I191&gt;=6,$AX$5:$AX$215,$AT$5:$AT$215)))&lt;=0,"",SUMPRODUCT(MAX(($C$5:$C$215=$C191)*($I$5:$I$215=$I191)*IF($I191&gt;=6,$AX$5:$AX$215,$AT$5:$AT$215)))/SUMPRODUCT(MAX(($C$5:$C$215=$C191)*($I$5:$I$215&gt;=1)*($I$5:$I$215&lt;$I191)*IF($I191&gt;=6,$AX$5:$AX$215,$AT$5:$AT$215)))-1))</f>
        <v/>
      </c>
      <c r="BC191" s="52">
        <f>IF(OR($I191&lt;1,IF($I191&gt;=6,AY191,AU191)&lt;=0),"",IF(SUMPRODUCT(MAX(($C$5:$C$215=$C191)*($I$5:$I$215&gt;=1)*($I$5:$I$215&lt;$I191)*IF($I191&gt;=6,$AY$5:$AY$215,$AU$5:$AU$215)))&lt;=0,"",SUMPRODUCT(MAX(($C$5:$C$215=$C191)*($I$5:$I$215=$I191)*IF($I191&gt;=6,$AY$5:$AY$215,$AU$5:$AU$215)))/SUMPRODUCT(MAX(($C$5:$C$215=$C191)*($I$5:$I$215&gt;=1)*($I$5:$I$215&lt;$I191)*IF($I191&gt;=6,$AY$5:$AY$215,$AU$5:$AU$215)))-1))</f>
        <v/>
      </c>
      <c r="BD191" s="52">
        <f>IF(OR($I191&lt;1,IF($I191&gt;=6,AZ191,AV191)&lt;=0),"",IF(SUMPRODUCT(MAX(($C$5:$C$215=$C191)*($I$5:$I$215&gt;=1)*($I$5:$I$215&lt;$I191)*IF($I191&gt;=6,$AZ$5:$AZ$215,$AV$5:$AV$215)))&lt;=0,"",SUMPRODUCT(MAX(($C$5:$C$215=$C191)*($I$5:$I$215=$I191)*IF($I191&gt;=6,$AZ$5:$AZ$215,$AV$5:$AV$215)))/SUMPRODUCT(MAX(($C$5:$C$215=$C191)*($I$5:$I$215&gt;=1)*($I$5:$I$215&lt;$I191)*IF($I191&gt;=6,$AZ$5:$AZ$215,$AV$5:$AV$215)))-1))</f>
        <v/>
      </c>
      <c r="BE191" s="52">
        <f>IF(OR($I191&lt;1,IF($I191&gt;=6,BA191,AW191)&lt;=0),"",IF(SUMPRODUCT(MAX(($C$5:$C$215=$C191)*($I$5:$I$215&gt;=1)*($I$5:$I$215&lt;$I191)*IF($I191&gt;=6,$BA$5:$BA$215,$AW$5:$AW$215)))&lt;=0,"",SUMPRODUCT(MAX(($C$5:$C$215=$C191)*($I$5:$I$215=$I191)*IF($I191&gt;=6,$BA$5:$BA$215,$AW$5:$AW$215)))/SUMPRODUCT(MAX(($C$5:$C$215=$C191)*($I$5:$I$215&gt;=1)*($I$5:$I$215&lt;$I191)*IF($I191&gt;=6,$BA$5:$BA$215,$AW$5:$AW$215)))-1))</f>
        <v/>
      </c>
      <c r="BF191" s="19">
        <f>IF(AND(BB191="",BC191="",BD191="",BE191=""),"",IF(IF(AND(ISNUMBER(BB191),BB191&lt;'Item Budget'!$R$11),"W ","")&amp;IF(AND(ISNUMBER(BC191),BC191&lt;'Item Budget'!$R$11),"R ","")&amp;IF(AND(ISNUMBER(BD191),BD191&lt;'Item Budget'!$R$11),"M ","")&amp;IF(AND(ISNUMBER(BE191),BE191&lt;'Item Budget'!$R$11),"P ","")="","OK","Not above lower step: "&amp;IF(AND(ISNUMBER(BB191),BB191&lt;'Item Budget'!$R$11),"W ","")&amp;IF(AND(ISNUMBER(BC191),BC191&lt;'Item Budget'!$R$11),"R ","")&amp;IF(AND(ISNUMBER(BD191),BD191&lt;'Item Budget'!$R$11),"M ","")&amp;IF(AND(ISNUMBER(BE191),BE191&lt;'Item Budget'!$R$11),"P ","")))</f>
        <v/>
      </c>
    </row>
    <row r="192">
      <c r="A192" s="21" t="n">
        <v>205</v>
      </c>
      <c r="B192" s="21" t="inlineStr">
        <is>
          <t>Deceivers Dagger</t>
        </is>
      </c>
      <c r="C192" s="21" t="inlineStr">
        <is>
          <t>Weapon</t>
        </is>
      </c>
      <c r="D192" s="21" t="inlineStr">
        <is>
          <t>Rogue</t>
        </is>
      </c>
      <c r="E192" s="21" t="inlineStr">
        <is>
          <t>Rogue</t>
        </is>
      </c>
      <c r="F192" s="21" t="inlineStr"/>
      <c r="G192" s="21" t="inlineStr">
        <is>
          <t>drop: Punchy 6%</t>
        </is>
      </c>
      <c r="H192" s="37" t="n">
        <v>0</v>
      </c>
      <c r="I192" s="21" t="n">
        <v>1</v>
      </c>
      <c r="J192" s="3" t="inlineStr">
        <is>
          <t>Pass 2</t>
        </is>
      </c>
      <c r="K192" s="21" t="inlineStr">
        <is>
          <t>Rare boss drop</t>
        </is>
      </c>
      <c r="L192" s="31">
        <f>INDEX('Item Budget'!$F$5:$F$13,MATCH(K192,'Item Budget'!$E$5:$E$13,0))+IF(E192="All",0,'Item Budget'!$F$15)+LOOKUP(H192,'Item Budget'!$E$19:$E$23,'Item Budget'!$F$19:$F$23)</f>
        <v/>
      </c>
      <c r="M192" s="21" t="n">
        <v>50</v>
      </c>
      <c r="N192" s="21" t="n">
        <v>100</v>
      </c>
      <c r="O192" s="21" t="n">
        <v>0</v>
      </c>
      <c r="P192" s="21" t="n">
        <v>0</v>
      </c>
      <c r="Q192" s="21" t="n">
        <v>12</v>
      </c>
      <c r="R192" s="21" t="n">
        <v>8</v>
      </c>
      <c r="S192" s="21" t="n">
        <v>15</v>
      </c>
      <c r="T192" s="21" t="n">
        <v>0</v>
      </c>
      <c r="U192" s="21" t="n">
        <v>95</v>
      </c>
      <c r="V192" s="21" t="inlineStr">
        <is>
          <t>(none)</t>
        </is>
      </c>
      <c r="W192" s="61">
        <f>N192*'Item Budget'!$B$5+R192*'Item Budget'!$B$7+P192*'Item Budget'!$B$11+S192*'Item Budget'!$B$10+Q192*'Item Budget'!$B$9+IFERROR(INDEX('Item Budget'!$M$25:$M$95,MATCH(V192,'Item Budget'!$B$25:$B$95,0)),0)+IF($C192="Weapon",U192*'Item Budget'!$B$9,0)</f>
        <v/>
      </c>
      <c r="X192" s="61">
        <f>N192*'Item Budget'!$B$5+R192*'Item Budget'!$B$7+P192*'Item Budget'!$B$11+S192*'Item Budget'!$B$10+O192*'Item Budget'!$B$6+T192*'Item Budget'!$B$8+IFERROR(INDEX('Item Budget'!$N$25:$N$95,MATCH(V192,'Item Budget'!$B$25:$B$95,0)),0)</f>
        <v/>
      </c>
      <c r="Y192" s="61">
        <f>MAX('Item Budget'!$F$16,INDEX('Gear Budget'!$C$8:$C$14,MATCH($C192,'Gear Budget'!$A$8:$A$14,0))*MIN(M192,50))*$L192</f>
        <v/>
      </c>
      <c r="Z192" s="41">
        <f>IF($C192="Caster weapon",X192,MAX(W192,X192))/Y192</f>
        <v/>
      </c>
      <c r="AA192" s="61">
        <f>IF(OR($C192="Weapon",$C192="Caster weapon"),"",'Gear Budget'!$B$5*MAX(1,MIN(M192,50))*INDEX('Gear Budget'!$B$8:$B$14,MATCH($C192,'Gear Budget'!$A$8:$A$14,0))*IF($C192="Shield",IF(D192="Warrior",1,IF(OR(D192="Rogue",D192="All"),0.38/0.6,0.25/0.6)),IFERROR(INDEX('Gear Budget'!$B$18:$B$21,MATCH($F192,'Gear Budget'!$A$18:$A$21,0)),1)))</f>
        <v/>
      </c>
      <c r="AB192" s="41">
        <f>IF(AA192="","",P192/AA192)</f>
        <v/>
      </c>
      <c r="AC192" s="21" t="n">
        <v>50</v>
      </c>
      <c r="AD192" s="21" t="n">
        <v>100</v>
      </c>
      <c r="AE192" s="21" t="n">
        <v>0</v>
      </c>
      <c r="AF192" s="21" t="n">
        <v>0</v>
      </c>
      <c r="AG192" s="20" t="n">
        <v>14</v>
      </c>
      <c r="AH192" s="21" t="n">
        <v>8</v>
      </c>
      <c r="AI192" s="21" t="n">
        <v>15</v>
      </c>
      <c r="AJ192" s="21" t="n">
        <v>0</v>
      </c>
      <c r="AK192" s="20" t="n">
        <v>102</v>
      </c>
      <c r="AL192" s="21" t="inlineStr">
        <is>
          <t>(none)</t>
        </is>
      </c>
      <c r="AM192" s="61">
        <f>AD192*'Item Budget'!$B$5+AH192*'Item Budget'!$B$7+AF192*'Item Budget'!$B$11+AI192*'Item Budget'!$B$10+AG192*'Item Budget'!$B$9+IFERROR(INDEX('Item Budget'!$M$25:$M$95,MATCH(AL192,'Item Budget'!$B$25:$B$95,0)),0)+IF($C192="Weapon",AK192*'Item Budget'!$B$9,0)</f>
        <v/>
      </c>
      <c r="AN192" s="61">
        <f>AD192*'Item Budget'!$B$5+AH192*'Item Budget'!$B$7+AF192*'Item Budget'!$B$11+AI192*'Item Budget'!$B$10+AE192*'Item Budget'!$B$6+AJ192*'Item Budget'!$B$8+IFERROR(INDEX('Item Budget'!$N$25:$N$95,MATCH(AL192,'Item Budget'!$B$25:$B$95,0)),0)</f>
        <v/>
      </c>
      <c r="AO192" s="61">
        <f>MAX('Item Budget'!$F$16,INDEX('Gear Budget'!$C$8:$C$14,MATCH($C192,'Gear Budget'!$A$8:$A$14,0))*MIN(AC192,50))*$L192</f>
        <v/>
      </c>
      <c r="AP192" s="41">
        <f>IF($C192="Caster weapon",AN192,MAX(AM192,AN192))/AO192</f>
        <v/>
      </c>
      <c r="AQ192" s="61">
        <f>IF(OR($C192="Weapon",$C192="Caster weapon"),"",'Gear Budget'!$B$5*MAX(1,MIN(AC192,50))*INDEX('Gear Budget'!$B$8:$B$14,MATCH($C192,'Gear Budget'!$A$8:$A$14,0))*IF($C192="Shield",IF(E192="Warrior",1,IF(OR(E192="Rogue",E192="All"),0.38/0.6,0.25/0.6)),IFERROR(INDEX('Gear Budget'!$B$18:$B$21,MATCH($F192,'Gear Budget'!$A$18:$A$21,0)),1)))</f>
        <v/>
      </c>
      <c r="AR192" s="41">
        <f>IF(AQ192="","",AF192/AQ192)</f>
        <v/>
      </c>
      <c r="AS192" s="64" t="inlineStr">
        <is>
          <t>Deceivers Dagger (Punchy): damage 95 -&gt; 102, STR 12 -&gt; 14</t>
        </is>
      </c>
      <c r="AT192" s="44">
        <f>IF(OR($E192="All",ISNUMBER(SEARCH("Warrior",$E192))),IF($C192="Caster weapon",(AN192+AF192*('Item Budget'!$AB$14-'Item Budget'!$B$11)),(AM192+AF192*('Item Budget'!$AB$14-'Item Budget'!$B$11))),0)</f>
        <v/>
      </c>
      <c r="AU192" s="44">
        <f>IF(OR($E192="All",ISNUMBER(SEARCH("Rogue",$E192))),IF($C192="Caster weapon",(AN192+AF192*('Item Budget'!$AB$15-'Item Budget'!$B$11)),(AM192+AF192*('Item Budget'!$AB$15-'Item Budget'!$B$11))),0)</f>
        <v/>
      </c>
      <c r="AV192" s="44">
        <f>IF(OR($E192="All",ISNUMBER(SEARCH("Magus",$E192))),(AN192+AF192*('Item Budget'!$AB$16-'Item Budget'!$B$11)),0)</f>
        <v/>
      </c>
      <c r="AW192" s="44">
        <f>IF(OR($E192="All",ISNUMBER(SEARCH("Priest",$E192))),(AN192+AF192*('Item Budget'!$AB$17-'Item Budget'!$B$11)),0)</f>
        <v/>
      </c>
      <c r="AX192" s="44">
        <f>IF(AND(OR($E192="All",ISNUMBER(SEARCH("Warrior",$E192))),AC192&gt;='Item Budget'!$R$10),'Item Budget'!$R$7*100*('Item Budget'!$R$14*(AD192+25*AH192)+'Item Budget'!$S$14*(AE192+25*AJ192))/'Item Budget'!$Z$14+'Item Budget'!$R$9*AF192+IFERROR(INDEX('Item Budget'!$O$25:$O$95,MATCH(AL192,'Item Budget'!$B$25:$B$95,0)),0),0)</f>
        <v/>
      </c>
      <c r="AY192" s="44">
        <f>IF(AND(OR($E192="All",ISNUMBER(SEARCH("Rogue",$E192))),AC192&gt;='Item Budget'!$R$10),'Item Budget'!$R$7*100*('Item Budget'!$R$15*(AD192+25*AH192)+'Item Budget'!$S$15*(AE192+25*AJ192))/'Item Budget'!$Z$15+'Item Budget'!$R$9*AF192+IFERROR(INDEX('Item Budget'!$O$25:$O$95,MATCH(AL192,'Item Budget'!$B$25:$B$95,0)),0),0)</f>
        <v/>
      </c>
      <c r="AZ192" s="44">
        <f>IF(AND(OR($E192="All",ISNUMBER(SEARCH("Magus",$E192))),AC192&gt;='Item Budget'!$R$10),'Item Budget'!$R$7*100*('Item Budget'!$R$16*(AD192+25*AH192)+'Item Budget'!$S$16*(AE192+25*AJ192))/'Item Budget'!$Z$16+'Item Budget'!$R$9*AF192+IFERROR(INDEX('Item Budget'!$O$25:$O$95,MATCH(AL192,'Item Budget'!$B$25:$B$95,0)),0),0)</f>
        <v/>
      </c>
      <c r="BA192" s="44">
        <f>IF(AND(OR($E192="All",ISNUMBER(SEARCH("Priest",$E192))),AC192&gt;='Item Budget'!$R$10),'Item Budget'!$R$7*100*('Item Budget'!$R$17*(AD192+25*AH192)+'Item Budget'!$S$17*(AE192+25*AJ192))/'Item Budget'!$Z$17+'Item Budget'!$R$9*AF192+IFERROR(INDEX('Item Budget'!$O$25:$O$95,MATCH(AL192,'Item Budget'!$B$25:$B$95,0)),0),0)</f>
        <v/>
      </c>
      <c r="BB192" s="52">
        <f>IF(OR($I192&lt;1,IF($I192&gt;=6,AX192,AT192)&lt;=0),"",IF(SUMPRODUCT(MAX(($C$5:$C$215=$C192)*($I$5:$I$215&gt;=1)*($I$5:$I$215&lt;$I192)*IF($I192&gt;=6,$AX$5:$AX$215,$AT$5:$AT$215)))&lt;=0,"",SUMPRODUCT(MAX(($C$5:$C$215=$C192)*($I$5:$I$215=$I192)*IF($I192&gt;=6,$AX$5:$AX$215,$AT$5:$AT$215)))/SUMPRODUCT(MAX(($C$5:$C$215=$C192)*($I$5:$I$215&gt;=1)*($I$5:$I$215&lt;$I192)*IF($I192&gt;=6,$AX$5:$AX$215,$AT$5:$AT$215)))-1))</f>
        <v/>
      </c>
      <c r="BC192" s="52">
        <f>IF(OR($I192&lt;1,IF($I192&gt;=6,AY192,AU192)&lt;=0),"",IF(SUMPRODUCT(MAX(($C$5:$C$215=$C192)*($I$5:$I$215&gt;=1)*($I$5:$I$215&lt;$I192)*IF($I192&gt;=6,$AY$5:$AY$215,$AU$5:$AU$215)))&lt;=0,"",SUMPRODUCT(MAX(($C$5:$C$215=$C192)*($I$5:$I$215=$I192)*IF($I192&gt;=6,$AY$5:$AY$215,$AU$5:$AU$215)))/SUMPRODUCT(MAX(($C$5:$C$215=$C192)*($I$5:$I$215&gt;=1)*($I$5:$I$215&lt;$I192)*IF($I192&gt;=6,$AY$5:$AY$215,$AU$5:$AU$215)))-1))</f>
        <v/>
      </c>
      <c r="BD192" s="52">
        <f>IF(OR($I192&lt;1,IF($I192&gt;=6,AZ192,AV192)&lt;=0),"",IF(SUMPRODUCT(MAX(($C$5:$C$215=$C192)*($I$5:$I$215&gt;=1)*($I$5:$I$215&lt;$I192)*IF($I192&gt;=6,$AZ$5:$AZ$215,$AV$5:$AV$215)))&lt;=0,"",SUMPRODUCT(MAX(($C$5:$C$215=$C192)*($I$5:$I$215=$I192)*IF($I192&gt;=6,$AZ$5:$AZ$215,$AV$5:$AV$215)))/SUMPRODUCT(MAX(($C$5:$C$215=$C192)*($I$5:$I$215&gt;=1)*($I$5:$I$215&lt;$I192)*IF($I192&gt;=6,$AZ$5:$AZ$215,$AV$5:$AV$215)))-1))</f>
        <v/>
      </c>
      <c r="BE192" s="52">
        <f>IF(OR($I192&lt;1,IF($I192&gt;=6,BA192,AW192)&lt;=0),"",IF(SUMPRODUCT(MAX(($C$5:$C$215=$C192)*($I$5:$I$215&gt;=1)*($I$5:$I$215&lt;$I192)*IF($I192&gt;=6,$BA$5:$BA$215,$AW$5:$AW$215)))&lt;=0,"",SUMPRODUCT(MAX(($C$5:$C$215=$C192)*($I$5:$I$215=$I192)*IF($I192&gt;=6,$BA$5:$BA$215,$AW$5:$AW$215)))/SUMPRODUCT(MAX(($C$5:$C$215=$C192)*($I$5:$I$215&gt;=1)*($I$5:$I$215&lt;$I192)*IF($I192&gt;=6,$BA$5:$BA$215,$AW$5:$AW$215)))-1))</f>
        <v/>
      </c>
      <c r="BF192" s="19">
        <f>IF(AND(BB192="",BC192="",BD192="",BE192=""),"",IF(IF(AND(ISNUMBER(BB192),BB192&lt;'Item Budget'!$R$11),"W ","")&amp;IF(AND(ISNUMBER(BC192),BC192&lt;'Item Budget'!$R$11),"R ","")&amp;IF(AND(ISNUMBER(BD192),BD192&lt;'Item Budget'!$R$11),"M ","")&amp;IF(AND(ISNUMBER(BE192),BE192&lt;'Item Budget'!$R$11),"P ","")="","OK","Not above lower step: "&amp;IF(AND(ISNUMBER(BB192),BB192&lt;'Item Budget'!$R$11),"W ","")&amp;IF(AND(ISNUMBER(BC192),BC192&lt;'Item Budget'!$R$11),"R ","")&amp;IF(AND(ISNUMBER(BD192),BD192&lt;'Item Budget'!$R$11),"M ","")&amp;IF(AND(ISNUMBER(BE192),BE192&lt;'Item Budget'!$R$11),"P ","")))</f>
        <v/>
      </c>
    </row>
    <row r="193">
      <c r="A193" s="21" t="n">
        <v>253</v>
      </c>
      <c r="B193" s="21" t="inlineStr">
        <is>
          <t>Champions Blade</t>
        </is>
      </c>
      <c r="C193" s="21" t="inlineStr">
        <is>
          <t>Weapon</t>
        </is>
      </c>
      <c r="D193" s="21" t="inlineStr">
        <is>
          <t>Warrior</t>
        </is>
      </c>
      <c r="E193" s="21" t="inlineStr">
        <is>
          <t>Warrior</t>
        </is>
      </c>
      <c r="F193" s="21" t="inlineStr"/>
      <c r="G193" s="21" t="inlineStr">
        <is>
          <t>drop: Punchy 6%</t>
        </is>
      </c>
      <c r="H193" s="37" t="n">
        <v>0</v>
      </c>
      <c r="I193" s="21" t="n">
        <v>1</v>
      </c>
      <c r="J193" s="3" t="inlineStr">
        <is>
          <t>Pass 2</t>
        </is>
      </c>
      <c r="K193" s="21" t="inlineStr">
        <is>
          <t>Rare boss drop</t>
        </is>
      </c>
      <c r="L193" s="31">
        <f>INDEX('Item Budget'!$F$5:$F$13,MATCH(K193,'Item Budget'!$E$5:$E$13,0))+IF(E193="All",0,'Item Budget'!$F$15)+LOOKUP(H193,'Item Budget'!$E$19:$E$23,'Item Budget'!$F$19:$F$23)</f>
        <v/>
      </c>
      <c r="M193" s="21" t="n">
        <v>50</v>
      </c>
      <c r="N193" s="21" t="n">
        <v>0</v>
      </c>
      <c r="O193" s="21" t="n">
        <v>0</v>
      </c>
      <c r="P193" s="21" t="n">
        <v>0</v>
      </c>
      <c r="Q193" s="21" t="n">
        <v>18</v>
      </c>
      <c r="R193" s="21" t="n">
        <v>10</v>
      </c>
      <c r="S193" s="21" t="n">
        <v>0</v>
      </c>
      <c r="T193" s="21" t="n">
        <v>0</v>
      </c>
      <c r="U193" s="21" t="n">
        <v>95</v>
      </c>
      <c r="V193" s="21" t="inlineStr">
        <is>
          <t>(none)</t>
        </is>
      </c>
      <c r="W193" s="61">
        <f>N193*'Item Budget'!$B$5+R193*'Item Budget'!$B$7+P193*'Item Budget'!$B$11+S193*'Item Budget'!$B$10+Q193*'Item Budget'!$B$9+IFERROR(INDEX('Item Budget'!$M$25:$M$95,MATCH(V193,'Item Budget'!$B$25:$B$95,0)),0)+IF($C193="Weapon",U193*'Item Budget'!$B$9,0)</f>
        <v/>
      </c>
      <c r="X193" s="61">
        <f>N193*'Item Budget'!$B$5+R193*'Item Budget'!$B$7+P193*'Item Budget'!$B$11+S193*'Item Budget'!$B$10+O193*'Item Budget'!$B$6+T193*'Item Budget'!$B$8+IFERROR(INDEX('Item Budget'!$N$25:$N$95,MATCH(V193,'Item Budget'!$B$25:$B$95,0)),0)</f>
        <v/>
      </c>
      <c r="Y193" s="61">
        <f>MAX('Item Budget'!$F$16,INDEX('Gear Budget'!$C$8:$C$14,MATCH($C193,'Gear Budget'!$A$8:$A$14,0))*MIN(M193,50))*$L193</f>
        <v/>
      </c>
      <c r="Z193" s="41">
        <f>IF($C193="Caster weapon",X193,MAX(W193,X193))/Y193</f>
        <v/>
      </c>
      <c r="AA193" s="61">
        <f>IF(OR($C193="Weapon",$C193="Caster weapon"),"",'Gear Budget'!$B$5*MAX(1,MIN(M193,50))*INDEX('Gear Budget'!$B$8:$B$14,MATCH($C193,'Gear Budget'!$A$8:$A$14,0))*IF($C193="Shield",IF(D193="Warrior",1,IF(OR(D193="Rogue",D193="All"),0.38/0.6,0.25/0.6)),IFERROR(INDEX('Gear Budget'!$B$18:$B$21,MATCH($F193,'Gear Budget'!$A$18:$A$21,0)),1)))</f>
        <v/>
      </c>
      <c r="AB193" s="41">
        <f>IF(AA193="","",P193/AA193)</f>
        <v/>
      </c>
      <c r="AC193" s="21" t="n">
        <v>50</v>
      </c>
      <c r="AD193" s="21" t="n">
        <v>0</v>
      </c>
      <c r="AE193" s="21" t="n">
        <v>0</v>
      </c>
      <c r="AF193" s="21" t="n">
        <v>0</v>
      </c>
      <c r="AG193" s="20" t="n">
        <v>20</v>
      </c>
      <c r="AH193" s="21" t="n">
        <v>10</v>
      </c>
      <c r="AI193" s="21" t="n">
        <v>0</v>
      </c>
      <c r="AJ193" s="21" t="n">
        <v>0</v>
      </c>
      <c r="AK193" s="20" t="n">
        <v>102</v>
      </c>
      <c r="AL193" s="21" t="inlineStr">
        <is>
          <t>(none)</t>
        </is>
      </c>
      <c r="AM193" s="61">
        <f>AD193*'Item Budget'!$B$5+AH193*'Item Budget'!$B$7+AF193*'Item Budget'!$B$11+AI193*'Item Budget'!$B$10+AG193*'Item Budget'!$B$9+IFERROR(INDEX('Item Budget'!$M$25:$M$95,MATCH(AL193,'Item Budget'!$B$25:$B$95,0)),0)+IF($C193="Weapon",AK193*'Item Budget'!$B$9,0)</f>
        <v/>
      </c>
      <c r="AN193" s="61">
        <f>AD193*'Item Budget'!$B$5+AH193*'Item Budget'!$B$7+AF193*'Item Budget'!$B$11+AI193*'Item Budget'!$B$10+AE193*'Item Budget'!$B$6+AJ193*'Item Budget'!$B$8+IFERROR(INDEX('Item Budget'!$N$25:$N$95,MATCH(AL193,'Item Budget'!$B$25:$B$95,0)),0)</f>
        <v/>
      </c>
      <c r="AO193" s="61">
        <f>MAX('Item Budget'!$F$16,INDEX('Gear Budget'!$C$8:$C$14,MATCH($C193,'Gear Budget'!$A$8:$A$14,0))*MIN(AC193,50))*$L193</f>
        <v/>
      </c>
      <c r="AP193" s="41">
        <f>IF($C193="Caster weapon",AN193,MAX(AM193,AN193))/AO193</f>
        <v/>
      </c>
      <c r="AQ193" s="61">
        <f>IF(OR($C193="Weapon",$C193="Caster weapon"),"",'Gear Budget'!$B$5*MAX(1,MIN(AC193,50))*INDEX('Gear Budget'!$B$8:$B$14,MATCH($C193,'Gear Budget'!$A$8:$A$14,0))*IF($C193="Shield",IF(E193="Warrior",1,IF(OR(E193="Rogue",E193="All"),0.38/0.6,0.25/0.6)),IFERROR(INDEX('Gear Budget'!$B$18:$B$21,MATCH($F193,'Gear Budget'!$A$18:$A$21,0)),1)))</f>
        <v/>
      </c>
      <c r="AR193" s="41">
        <f>IF(AQ193="","",AF193/AQ193)</f>
        <v/>
      </c>
      <c r="AS193" s="64" t="inlineStr">
        <is>
          <t>Champions Blade (Punchy): damage 95 -&gt; 102, STR 18 -&gt; 20 (clear over Encased Blade)</t>
        </is>
      </c>
      <c r="AT193" s="44">
        <f>IF(OR($E193="All",ISNUMBER(SEARCH("Warrior",$E193))),IF($C193="Caster weapon",(AN193+AF193*('Item Budget'!$AB$14-'Item Budget'!$B$11)),(AM193+AF193*('Item Budget'!$AB$14-'Item Budget'!$B$11))),0)</f>
        <v/>
      </c>
      <c r="AU193" s="44">
        <f>IF(OR($E193="All",ISNUMBER(SEARCH("Rogue",$E193))),IF($C193="Caster weapon",(AN193+AF193*('Item Budget'!$AB$15-'Item Budget'!$B$11)),(AM193+AF193*('Item Budget'!$AB$15-'Item Budget'!$B$11))),0)</f>
        <v/>
      </c>
      <c r="AV193" s="44">
        <f>IF(OR($E193="All",ISNUMBER(SEARCH("Magus",$E193))),(AN193+AF193*('Item Budget'!$AB$16-'Item Budget'!$B$11)),0)</f>
        <v/>
      </c>
      <c r="AW193" s="44">
        <f>IF(OR($E193="All",ISNUMBER(SEARCH("Priest",$E193))),(AN193+AF193*('Item Budget'!$AB$17-'Item Budget'!$B$11)),0)</f>
        <v/>
      </c>
      <c r="AX193" s="44">
        <f>IF(AND(OR($E193="All",ISNUMBER(SEARCH("Warrior",$E193))),AC193&gt;='Item Budget'!$R$10),'Item Budget'!$R$7*100*('Item Budget'!$R$14*(AD193+25*AH193)+'Item Budget'!$S$14*(AE193+25*AJ193))/'Item Budget'!$Z$14+'Item Budget'!$R$9*AF193+IFERROR(INDEX('Item Budget'!$O$25:$O$95,MATCH(AL193,'Item Budget'!$B$25:$B$95,0)),0),0)</f>
        <v/>
      </c>
      <c r="AY193" s="44">
        <f>IF(AND(OR($E193="All",ISNUMBER(SEARCH("Rogue",$E193))),AC193&gt;='Item Budget'!$R$10),'Item Budget'!$R$7*100*('Item Budget'!$R$15*(AD193+25*AH193)+'Item Budget'!$S$15*(AE193+25*AJ193))/'Item Budget'!$Z$15+'Item Budget'!$R$9*AF193+IFERROR(INDEX('Item Budget'!$O$25:$O$95,MATCH(AL193,'Item Budget'!$B$25:$B$95,0)),0),0)</f>
        <v/>
      </c>
      <c r="AZ193" s="44">
        <f>IF(AND(OR($E193="All",ISNUMBER(SEARCH("Magus",$E193))),AC193&gt;='Item Budget'!$R$10),'Item Budget'!$R$7*100*('Item Budget'!$R$16*(AD193+25*AH193)+'Item Budget'!$S$16*(AE193+25*AJ193))/'Item Budget'!$Z$16+'Item Budget'!$R$9*AF193+IFERROR(INDEX('Item Budget'!$O$25:$O$95,MATCH(AL193,'Item Budget'!$B$25:$B$95,0)),0),0)</f>
        <v/>
      </c>
      <c r="BA193" s="44">
        <f>IF(AND(OR($E193="All",ISNUMBER(SEARCH("Priest",$E193))),AC193&gt;='Item Budget'!$R$10),'Item Budget'!$R$7*100*('Item Budget'!$R$17*(AD193+25*AH193)+'Item Budget'!$S$17*(AE193+25*AJ193))/'Item Budget'!$Z$17+'Item Budget'!$R$9*AF193+IFERROR(INDEX('Item Budget'!$O$25:$O$95,MATCH(AL193,'Item Budget'!$B$25:$B$95,0)),0),0)</f>
        <v/>
      </c>
      <c r="BB193" s="52">
        <f>IF(OR($I193&lt;1,IF($I193&gt;=6,AX193,AT193)&lt;=0),"",IF(SUMPRODUCT(MAX(($C$5:$C$215=$C193)*($I$5:$I$215&gt;=1)*($I$5:$I$215&lt;$I193)*IF($I193&gt;=6,$AX$5:$AX$215,$AT$5:$AT$215)))&lt;=0,"",SUMPRODUCT(MAX(($C$5:$C$215=$C193)*($I$5:$I$215=$I193)*IF($I193&gt;=6,$AX$5:$AX$215,$AT$5:$AT$215)))/SUMPRODUCT(MAX(($C$5:$C$215=$C193)*($I$5:$I$215&gt;=1)*($I$5:$I$215&lt;$I193)*IF($I193&gt;=6,$AX$5:$AX$215,$AT$5:$AT$215)))-1))</f>
        <v/>
      </c>
      <c r="BC193" s="52">
        <f>IF(OR($I193&lt;1,IF($I193&gt;=6,AY193,AU193)&lt;=0),"",IF(SUMPRODUCT(MAX(($C$5:$C$215=$C193)*($I$5:$I$215&gt;=1)*($I$5:$I$215&lt;$I193)*IF($I193&gt;=6,$AY$5:$AY$215,$AU$5:$AU$215)))&lt;=0,"",SUMPRODUCT(MAX(($C$5:$C$215=$C193)*($I$5:$I$215=$I193)*IF($I193&gt;=6,$AY$5:$AY$215,$AU$5:$AU$215)))/SUMPRODUCT(MAX(($C$5:$C$215=$C193)*($I$5:$I$215&gt;=1)*($I$5:$I$215&lt;$I193)*IF($I193&gt;=6,$AY$5:$AY$215,$AU$5:$AU$215)))-1))</f>
        <v/>
      </c>
      <c r="BD193" s="52">
        <f>IF(OR($I193&lt;1,IF($I193&gt;=6,AZ193,AV193)&lt;=0),"",IF(SUMPRODUCT(MAX(($C$5:$C$215=$C193)*($I$5:$I$215&gt;=1)*($I$5:$I$215&lt;$I193)*IF($I193&gt;=6,$AZ$5:$AZ$215,$AV$5:$AV$215)))&lt;=0,"",SUMPRODUCT(MAX(($C$5:$C$215=$C193)*($I$5:$I$215=$I193)*IF($I193&gt;=6,$AZ$5:$AZ$215,$AV$5:$AV$215)))/SUMPRODUCT(MAX(($C$5:$C$215=$C193)*($I$5:$I$215&gt;=1)*($I$5:$I$215&lt;$I193)*IF($I193&gt;=6,$AZ$5:$AZ$215,$AV$5:$AV$215)))-1))</f>
        <v/>
      </c>
      <c r="BE193" s="52">
        <f>IF(OR($I193&lt;1,IF($I193&gt;=6,BA193,AW193)&lt;=0),"",IF(SUMPRODUCT(MAX(($C$5:$C$215=$C193)*($I$5:$I$215&gt;=1)*($I$5:$I$215&lt;$I193)*IF($I193&gt;=6,$BA$5:$BA$215,$AW$5:$AW$215)))&lt;=0,"",SUMPRODUCT(MAX(($C$5:$C$215=$C193)*($I$5:$I$215=$I193)*IF($I193&gt;=6,$BA$5:$BA$215,$AW$5:$AW$215)))/SUMPRODUCT(MAX(($C$5:$C$215=$C193)*($I$5:$I$215&gt;=1)*($I$5:$I$215&lt;$I193)*IF($I193&gt;=6,$BA$5:$BA$215,$AW$5:$AW$215)))-1))</f>
        <v/>
      </c>
      <c r="BF193" s="19">
        <f>IF(AND(BB193="",BC193="",BD193="",BE193=""),"",IF(IF(AND(ISNUMBER(BB193),BB193&lt;'Item Budget'!$R$11),"W ","")&amp;IF(AND(ISNUMBER(BC193),BC193&lt;'Item Budget'!$R$11),"R ","")&amp;IF(AND(ISNUMBER(BD193),BD193&lt;'Item Budget'!$R$11),"M ","")&amp;IF(AND(ISNUMBER(BE193),BE193&lt;'Item Budget'!$R$11),"P ","")="","OK","Not above lower step: "&amp;IF(AND(ISNUMBER(BB193),BB193&lt;'Item Budget'!$R$11),"W ","")&amp;IF(AND(ISNUMBER(BC193),BC193&lt;'Item Budget'!$R$11),"R ","")&amp;IF(AND(ISNUMBER(BD193),BD193&lt;'Item Budget'!$R$11),"M ","")&amp;IF(AND(ISNUMBER(BE193),BE193&lt;'Item Budget'!$R$11),"P ","")))</f>
        <v/>
      </c>
    </row>
    <row r="194">
      <c r="A194" s="21" t="n">
        <v>217</v>
      </c>
      <c r="B194" s="21" t="inlineStr">
        <is>
          <t>Tiny Club</t>
        </is>
      </c>
      <c r="C194" s="21" t="inlineStr">
        <is>
          <t>Weapon</t>
        </is>
      </c>
      <c r="D194" s="21" t="inlineStr">
        <is>
          <t>All</t>
        </is>
      </c>
      <c r="E194" s="21" t="inlineStr">
        <is>
          <t>All</t>
        </is>
      </c>
      <c r="F194" s="21" t="inlineStr"/>
      <c r="G194" s="21" t="inlineStr">
        <is>
          <t>drop: Little Fat Bastard 10%</t>
        </is>
      </c>
      <c r="H194" s="37" t="n">
        <v>0</v>
      </c>
      <c r="I194" s="21" t="n">
        <v>2</v>
      </c>
      <c r="J194" s="3" t="inlineStr">
        <is>
          <t>Pass 2</t>
        </is>
      </c>
      <c r="K194" s="21" t="inlineStr">
        <is>
          <t>Rare boss drop</t>
        </is>
      </c>
      <c r="L194" s="31">
        <f>INDEX('Item Budget'!$F$5:$F$13,MATCH(K194,'Item Budget'!$E$5:$E$13,0))+IF(E194="All",0,'Item Budget'!$F$15)+LOOKUP(H194,'Item Budget'!$E$19:$E$23,'Item Budget'!$F$19:$F$23)</f>
        <v/>
      </c>
      <c r="M194" s="21" t="n">
        <v>50</v>
      </c>
      <c r="N194" s="21" t="n">
        <v>100</v>
      </c>
      <c r="O194" s="21" t="n">
        <v>50</v>
      </c>
      <c r="P194" s="21" t="n">
        <v>0</v>
      </c>
      <c r="Q194" s="21" t="n">
        <v>12</v>
      </c>
      <c r="R194" s="21" t="n">
        <v>8</v>
      </c>
      <c r="S194" s="21" t="n">
        <v>5</v>
      </c>
      <c r="T194" s="21" t="n">
        <v>7</v>
      </c>
      <c r="U194" s="21" t="n">
        <v>100</v>
      </c>
      <c r="V194" s="21" t="inlineStr">
        <is>
          <t>(none)</t>
        </is>
      </c>
      <c r="W194" s="61">
        <f>N194*'Item Budget'!$B$5+R194*'Item Budget'!$B$7+P194*'Item Budget'!$B$11+S194*'Item Budget'!$B$10+Q194*'Item Budget'!$B$9+IFERROR(INDEX('Item Budget'!$M$25:$M$95,MATCH(V194,'Item Budget'!$B$25:$B$95,0)),0)+IF($C194="Weapon",U194*'Item Budget'!$B$9,0)</f>
        <v/>
      </c>
      <c r="X194" s="61">
        <f>N194*'Item Budget'!$B$5+R194*'Item Budget'!$B$7+P194*'Item Budget'!$B$11+S194*'Item Budget'!$B$10+O194*'Item Budget'!$B$6+T194*'Item Budget'!$B$8+IFERROR(INDEX('Item Budget'!$N$25:$N$95,MATCH(V194,'Item Budget'!$B$25:$B$95,0)),0)</f>
        <v/>
      </c>
      <c r="Y194" s="61">
        <f>MAX('Item Budget'!$F$16,INDEX('Gear Budget'!$C$8:$C$14,MATCH($C194,'Gear Budget'!$A$8:$A$14,0))*MIN(M194,50))*$L194</f>
        <v/>
      </c>
      <c r="Z194" s="41">
        <f>IF($C194="Caster weapon",X194,MAX(W194,X194))/Y194</f>
        <v/>
      </c>
      <c r="AA194" s="61">
        <f>IF(OR($C194="Weapon",$C194="Caster weapon"),"",'Gear Budget'!$B$5*MAX(1,MIN(M194,50))*INDEX('Gear Budget'!$B$8:$B$14,MATCH($C194,'Gear Budget'!$A$8:$A$14,0))*IF($C194="Shield",IF(D194="Warrior",1,IF(OR(D194="Rogue",D194="All"),0.38/0.6,0.25/0.6)),IFERROR(INDEX('Gear Budget'!$B$18:$B$21,MATCH($F194,'Gear Budget'!$A$18:$A$21,0)),1)))</f>
        <v/>
      </c>
      <c r="AB194" s="41">
        <f>IF(AA194="","",P194/AA194)</f>
        <v/>
      </c>
      <c r="AC194" s="21" t="n">
        <v>50</v>
      </c>
      <c r="AD194" s="21" t="n">
        <v>100</v>
      </c>
      <c r="AE194" s="21" t="n">
        <v>50</v>
      </c>
      <c r="AF194" s="21" t="n">
        <v>0</v>
      </c>
      <c r="AG194" s="20" t="n">
        <v>14</v>
      </c>
      <c r="AH194" s="21" t="n">
        <v>8</v>
      </c>
      <c r="AI194" s="21" t="n">
        <v>5</v>
      </c>
      <c r="AJ194" s="21" t="n">
        <v>7</v>
      </c>
      <c r="AK194" s="20" t="n">
        <v>120</v>
      </c>
      <c r="AL194" s="21" t="inlineStr">
        <is>
          <t>(none)</t>
        </is>
      </c>
      <c r="AM194" s="61">
        <f>AD194*'Item Budget'!$B$5+AH194*'Item Budget'!$B$7+AF194*'Item Budget'!$B$11+AI194*'Item Budget'!$B$10+AG194*'Item Budget'!$B$9+IFERROR(INDEX('Item Budget'!$M$25:$M$95,MATCH(AL194,'Item Budget'!$B$25:$B$95,0)),0)+IF($C194="Weapon",AK194*'Item Budget'!$B$9,0)</f>
        <v/>
      </c>
      <c r="AN194" s="61">
        <f>AD194*'Item Budget'!$B$5+AH194*'Item Budget'!$B$7+AF194*'Item Budget'!$B$11+AI194*'Item Budget'!$B$10+AE194*'Item Budget'!$B$6+AJ194*'Item Budget'!$B$8+IFERROR(INDEX('Item Budget'!$N$25:$N$95,MATCH(AL194,'Item Budget'!$B$25:$B$95,0)),0)</f>
        <v/>
      </c>
      <c r="AO194" s="61">
        <f>MAX('Item Budget'!$F$16,INDEX('Gear Budget'!$C$8:$C$14,MATCH($C194,'Gear Budget'!$A$8:$A$14,0))*MIN(AC194,50))*$L194</f>
        <v/>
      </c>
      <c r="AP194" s="41">
        <f>IF($C194="Caster weapon",AN194,MAX(AM194,AN194))/AO194</f>
        <v/>
      </c>
      <c r="AQ194" s="61">
        <f>IF(OR($C194="Weapon",$C194="Caster weapon"),"",'Gear Budget'!$B$5*MAX(1,MIN(AC194,50))*INDEX('Gear Budget'!$B$8:$B$14,MATCH($C194,'Gear Budget'!$A$8:$A$14,0))*IF($C194="Shield",IF(E194="Warrior",1,IF(OR(E194="Rogue",E194="All"),0.38/0.6,0.25/0.6)),IFERROR(INDEX('Gear Budget'!$B$18:$B$21,MATCH($F194,'Gear Budget'!$A$18:$A$21,0)),1)))</f>
        <v/>
      </c>
      <c r="AR194" s="41">
        <f>IF(AQ194="","",AF194/AQ194)</f>
        <v/>
      </c>
      <c r="AS194" s="64" t="inlineStr">
        <is>
          <t>Tiny Club (H&amp;F): damage 100 -&gt; 120, STR 12 -&gt; 14</t>
        </is>
      </c>
      <c r="AT194" s="44">
        <f>IF(OR($E194="All",ISNUMBER(SEARCH("Warrior",$E194))),IF($C194="Caster weapon",(AN194+AF194*('Item Budget'!$AB$14-'Item Budget'!$B$11)),(AM194+AF194*('Item Budget'!$AB$14-'Item Budget'!$B$11))),0)</f>
        <v/>
      </c>
      <c r="AU194" s="44">
        <f>IF(OR($E194="All",ISNUMBER(SEARCH("Rogue",$E194))),IF($C194="Caster weapon",(AN194+AF194*('Item Budget'!$AB$15-'Item Budget'!$B$11)),(AM194+AF194*('Item Budget'!$AB$15-'Item Budget'!$B$11))),0)</f>
        <v/>
      </c>
      <c r="AV194" s="44">
        <f>IF(OR($E194="All",ISNUMBER(SEARCH("Magus",$E194))),(AN194+AF194*('Item Budget'!$AB$16-'Item Budget'!$B$11)),0)</f>
        <v/>
      </c>
      <c r="AW194" s="44">
        <f>IF(OR($E194="All",ISNUMBER(SEARCH("Priest",$E194))),(AN194+AF194*('Item Budget'!$AB$17-'Item Budget'!$B$11)),0)</f>
        <v/>
      </c>
      <c r="AX194" s="44">
        <f>IF(AND(OR($E194="All",ISNUMBER(SEARCH("Warrior",$E194))),AC194&gt;='Item Budget'!$R$10),'Item Budget'!$R$7*100*('Item Budget'!$R$14*(AD194+25*AH194)+'Item Budget'!$S$14*(AE194+25*AJ194))/'Item Budget'!$Z$14+'Item Budget'!$R$9*AF194+IFERROR(INDEX('Item Budget'!$O$25:$O$95,MATCH(AL194,'Item Budget'!$B$25:$B$95,0)),0),0)</f>
        <v/>
      </c>
      <c r="AY194" s="44">
        <f>IF(AND(OR($E194="All",ISNUMBER(SEARCH("Rogue",$E194))),AC194&gt;='Item Budget'!$R$10),'Item Budget'!$R$7*100*('Item Budget'!$R$15*(AD194+25*AH194)+'Item Budget'!$S$15*(AE194+25*AJ194))/'Item Budget'!$Z$15+'Item Budget'!$R$9*AF194+IFERROR(INDEX('Item Budget'!$O$25:$O$95,MATCH(AL194,'Item Budget'!$B$25:$B$95,0)),0),0)</f>
        <v/>
      </c>
      <c r="AZ194" s="44">
        <f>IF(AND(OR($E194="All",ISNUMBER(SEARCH("Magus",$E194))),AC194&gt;='Item Budget'!$R$10),'Item Budget'!$R$7*100*('Item Budget'!$R$16*(AD194+25*AH194)+'Item Budget'!$S$16*(AE194+25*AJ194))/'Item Budget'!$Z$16+'Item Budget'!$R$9*AF194+IFERROR(INDEX('Item Budget'!$O$25:$O$95,MATCH(AL194,'Item Budget'!$B$25:$B$95,0)),0),0)</f>
        <v/>
      </c>
      <c r="BA194" s="44">
        <f>IF(AND(OR($E194="All",ISNUMBER(SEARCH("Priest",$E194))),AC194&gt;='Item Budget'!$R$10),'Item Budget'!$R$7*100*('Item Budget'!$R$17*(AD194+25*AH194)+'Item Budget'!$S$17*(AE194+25*AJ194))/'Item Budget'!$Z$17+'Item Budget'!$R$9*AF194+IFERROR(INDEX('Item Budget'!$O$25:$O$95,MATCH(AL194,'Item Budget'!$B$25:$B$95,0)),0),0)</f>
        <v/>
      </c>
      <c r="BB194" s="52">
        <f>IF(OR($I194&lt;1,IF($I194&gt;=6,AX194,AT194)&lt;=0),"",IF(SUMPRODUCT(MAX(($C$5:$C$215=$C194)*($I$5:$I$215&gt;=1)*($I$5:$I$215&lt;$I194)*IF($I194&gt;=6,$AX$5:$AX$215,$AT$5:$AT$215)))&lt;=0,"",SUMPRODUCT(MAX(($C$5:$C$215=$C194)*($I$5:$I$215=$I194)*IF($I194&gt;=6,$AX$5:$AX$215,$AT$5:$AT$215)))/SUMPRODUCT(MAX(($C$5:$C$215=$C194)*($I$5:$I$215&gt;=1)*($I$5:$I$215&lt;$I194)*IF($I194&gt;=6,$AX$5:$AX$215,$AT$5:$AT$215)))-1))</f>
        <v/>
      </c>
      <c r="BC194" s="52">
        <f>IF(OR($I194&lt;1,IF($I194&gt;=6,AY194,AU194)&lt;=0),"",IF(SUMPRODUCT(MAX(($C$5:$C$215=$C194)*($I$5:$I$215&gt;=1)*($I$5:$I$215&lt;$I194)*IF($I194&gt;=6,$AY$5:$AY$215,$AU$5:$AU$215)))&lt;=0,"",SUMPRODUCT(MAX(($C$5:$C$215=$C194)*($I$5:$I$215=$I194)*IF($I194&gt;=6,$AY$5:$AY$215,$AU$5:$AU$215)))/SUMPRODUCT(MAX(($C$5:$C$215=$C194)*($I$5:$I$215&gt;=1)*($I$5:$I$215&lt;$I194)*IF($I194&gt;=6,$AY$5:$AY$215,$AU$5:$AU$215)))-1))</f>
        <v/>
      </c>
      <c r="BD194" s="52">
        <f>IF(OR($I194&lt;1,IF($I194&gt;=6,AZ194,AV194)&lt;=0),"",IF(SUMPRODUCT(MAX(($C$5:$C$215=$C194)*($I$5:$I$215&gt;=1)*($I$5:$I$215&lt;$I194)*IF($I194&gt;=6,$AZ$5:$AZ$215,$AV$5:$AV$215)))&lt;=0,"",SUMPRODUCT(MAX(($C$5:$C$215=$C194)*($I$5:$I$215=$I194)*IF($I194&gt;=6,$AZ$5:$AZ$215,$AV$5:$AV$215)))/SUMPRODUCT(MAX(($C$5:$C$215=$C194)*($I$5:$I$215&gt;=1)*($I$5:$I$215&lt;$I194)*IF($I194&gt;=6,$AZ$5:$AZ$215,$AV$5:$AV$215)))-1))</f>
        <v/>
      </c>
      <c r="BE194" s="52">
        <f>IF(OR($I194&lt;1,IF($I194&gt;=6,BA194,AW194)&lt;=0),"",IF(SUMPRODUCT(MAX(($C$5:$C$215=$C194)*($I$5:$I$215&gt;=1)*($I$5:$I$215&lt;$I194)*IF($I194&gt;=6,$BA$5:$BA$215,$AW$5:$AW$215)))&lt;=0,"",SUMPRODUCT(MAX(($C$5:$C$215=$C194)*($I$5:$I$215=$I194)*IF($I194&gt;=6,$BA$5:$BA$215,$AW$5:$AW$215)))/SUMPRODUCT(MAX(($C$5:$C$215=$C194)*($I$5:$I$215&gt;=1)*($I$5:$I$215&lt;$I194)*IF($I194&gt;=6,$BA$5:$BA$215,$AW$5:$AW$215)))-1))</f>
        <v/>
      </c>
      <c r="BF194" s="19">
        <f>IF(AND(BB194="",BC194="",BD194="",BE194=""),"",IF(IF(AND(ISNUMBER(BB194),BB194&lt;'Item Budget'!$R$11),"W ","")&amp;IF(AND(ISNUMBER(BC194),BC194&lt;'Item Budget'!$R$11),"R ","")&amp;IF(AND(ISNUMBER(BD194),BD194&lt;'Item Budget'!$R$11),"M ","")&amp;IF(AND(ISNUMBER(BE194),BE194&lt;'Item Budget'!$R$11),"P ","")="","OK","Not above lower step: "&amp;IF(AND(ISNUMBER(BB194),BB194&lt;'Item Budget'!$R$11),"W ","")&amp;IF(AND(ISNUMBER(BC194),BC194&lt;'Item Budget'!$R$11),"R ","")&amp;IF(AND(ISNUMBER(BD194),BD194&lt;'Item Budget'!$R$11),"M ","")&amp;IF(AND(ISNUMBER(BE194),BE194&lt;'Item Budget'!$R$11),"P ","")))</f>
        <v/>
      </c>
    </row>
    <row r="195">
      <c r="A195" s="21" t="n">
        <v>257</v>
      </c>
      <c r="B195" s="21" t="inlineStr">
        <is>
          <t>Hays Claw</t>
        </is>
      </c>
      <c r="C195" s="21" t="inlineStr">
        <is>
          <t>Weapon</t>
        </is>
      </c>
      <c r="D195" s="21" t="inlineStr">
        <is>
          <t>Rogue/Warrior</t>
        </is>
      </c>
      <c r="E195" s="21" t="inlineStr">
        <is>
          <t>Rogue/Warrior</t>
        </is>
      </c>
      <c r="F195" s="21" t="inlineStr"/>
      <c r="G195" s="21" t="inlineStr">
        <is>
          <t>drop: Hay 5%</t>
        </is>
      </c>
      <c r="H195" s="37" t="n">
        <v>0</v>
      </c>
      <c r="I195" s="21" t="n">
        <v>2</v>
      </c>
      <c r="J195" s="3" t="inlineStr">
        <is>
          <t>Pass 2</t>
        </is>
      </c>
      <c r="K195" s="21" t="inlineStr">
        <is>
          <t>Rare boss drop</t>
        </is>
      </c>
      <c r="L195" s="31">
        <f>INDEX('Item Budget'!$F$5:$F$13,MATCH(K195,'Item Budget'!$E$5:$E$13,0))+IF(E195="All",0,'Item Budget'!$F$15)+LOOKUP(H195,'Item Budget'!$E$19:$E$23,'Item Budget'!$F$19:$F$23)</f>
        <v/>
      </c>
      <c r="M195" s="21" t="n">
        <v>50</v>
      </c>
      <c r="N195" s="21" t="n">
        <v>100</v>
      </c>
      <c r="O195" s="21" t="n">
        <v>0</v>
      </c>
      <c r="P195" s="21" t="n">
        <v>0</v>
      </c>
      <c r="Q195" s="21" t="n">
        <v>15</v>
      </c>
      <c r="R195" s="21" t="n">
        <v>8</v>
      </c>
      <c r="S195" s="21" t="n">
        <v>10</v>
      </c>
      <c r="T195" s="21" t="n">
        <v>0</v>
      </c>
      <c r="U195" s="21" t="n">
        <v>110</v>
      </c>
      <c r="V195" s="21" t="inlineStr">
        <is>
          <t>(none)</t>
        </is>
      </c>
      <c r="W195" s="61">
        <f>N195*'Item Budget'!$B$5+R195*'Item Budget'!$B$7+P195*'Item Budget'!$B$11+S195*'Item Budget'!$B$10+Q195*'Item Budget'!$B$9+IFERROR(INDEX('Item Budget'!$M$25:$M$95,MATCH(V195,'Item Budget'!$B$25:$B$95,0)),0)+IF($C195="Weapon",U195*'Item Budget'!$B$9,0)</f>
        <v/>
      </c>
      <c r="X195" s="61">
        <f>N195*'Item Budget'!$B$5+R195*'Item Budget'!$B$7+P195*'Item Budget'!$B$11+S195*'Item Budget'!$B$10+O195*'Item Budget'!$B$6+T195*'Item Budget'!$B$8+IFERROR(INDEX('Item Budget'!$N$25:$N$95,MATCH(V195,'Item Budget'!$B$25:$B$95,0)),0)</f>
        <v/>
      </c>
      <c r="Y195" s="61">
        <f>MAX('Item Budget'!$F$16,INDEX('Gear Budget'!$C$8:$C$14,MATCH($C195,'Gear Budget'!$A$8:$A$14,0))*MIN(M195,50))*$L195</f>
        <v/>
      </c>
      <c r="Z195" s="41">
        <f>IF($C195="Caster weapon",X195,MAX(W195,X195))/Y195</f>
        <v/>
      </c>
      <c r="AA195" s="61">
        <f>IF(OR($C195="Weapon",$C195="Caster weapon"),"",'Gear Budget'!$B$5*MAX(1,MIN(M195,50))*INDEX('Gear Budget'!$B$8:$B$14,MATCH($C195,'Gear Budget'!$A$8:$A$14,0))*IF($C195="Shield",IF(D195="Warrior",1,IF(OR(D195="Rogue",D195="All"),0.38/0.6,0.25/0.6)),IFERROR(INDEX('Gear Budget'!$B$18:$B$21,MATCH($F195,'Gear Budget'!$A$18:$A$21,0)),1)))</f>
        <v/>
      </c>
      <c r="AB195" s="41">
        <f>IF(AA195="","",P195/AA195)</f>
        <v/>
      </c>
      <c r="AC195" s="21" t="n">
        <v>50</v>
      </c>
      <c r="AD195" s="21" t="n">
        <v>100</v>
      </c>
      <c r="AE195" s="21" t="n">
        <v>0</v>
      </c>
      <c r="AF195" s="21" t="n">
        <v>0</v>
      </c>
      <c r="AG195" s="21" t="n">
        <v>15</v>
      </c>
      <c r="AH195" s="21" t="n">
        <v>8</v>
      </c>
      <c r="AI195" s="21" t="n">
        <v>10</v>
      </c>
      <c r="AJ195" s="21" t="n">
        <v>0</v>
      </c>
      <c r="AK195" s="20" t="n">
        <v>122</v>
      </c>
      <c r="AL195" s="21" t="inlineStr">
        <is>
          <t>(none)</t>
        </is>
      </c>
      <c r="AM195" s="61">
        <f>AD195*'Item Budget'!$B$5+AH195*'Item Budget'!$B$7+AF195*'Item Budget'!$B$11+AI195*'Item Budget'!$B$10+AG195*'Item Budget'!$B$9+IFERROR(INDEX('Item Budget'!$M$25:$M$95,MATCH(AL195,'Item Budget'!$B$25:$B$95,0)),0)+IF($C195="Weapon",AK195*'Item Budget'!$B$9,0)</f>
        <v/>
      </c>
      <c r="AN195" s="61">
        <f>AD195*'Item Budget'!$B$5+AH195*'Item Budget'!$B$7+AF195*'Item Budget'!$B$11+AI195*'Item Budget'!$B$10+AE195*'Item Budget'!$B$6+AJ195*'Item Budget'!$B$8+IFERROR(INDEX('Item Budget'!$N$25:$N$95,MATCH(AL195,'Item Budget'!$B$25:$B$95,0)),0)</f>
        <v/>
      </c>
      <c r="AO195" s="61">
        <f>MAX('Item Budget'!$F$16,INDEX('Gear Budget'!$C$8:$C$14,MATCH($C195,'Gear Budget'!$A$8:$A$14,0))*MIN(AC195,50))*$L195</f>
        <v/>
      </c>
      <c r="AP195" s="41">
        <f>IF($C195="Caster weapon",AN195,MAX(AM195,AN195))/AO195</f>
        <v/>
      </c>
      <c r="AQ195" s="61">
        <f>IF(OR($C195="Weapon",$C195="Caster weapon"),"",'Gear Budget'!$B$5*MAX(1,MIN(AC195,50))*INDEX('Gear Budget'!$B$8:$B$14,MATCH($C195,'Gear Budget'!$A$8:$A$14,0))*IF($C195="Shield",IF(E195="Warrior",1,IF(OR(E195="Rogue",E195="All"),0.38/0.6,0.25/0.6)),IFERROR(INDEX('Gear Budget'!$B$18:$B$21,MATCH($F195,'Gear Budget'!$A$18:$A$21,0)),1)))</f>
        <v/>
      </c>
      <c r="AR195" s="41">
        <f>IF(AQ195="","",AF195/AQ195)</f>
        <v/>
      </c>
      <c r="AS195" s="64" t="inlineStr">
        <is>
          <t>Hays Claw (H&amp;F): damage 110 -&gt; 122</t>
        </is>
      </c>
      <c r="AT195" s="44">
        <f>IF(OR($E195="All",ISNUMBER(SEARCH("Warrior",$E195))),IF($C195="Caster weapon",(AN195+AF195*('Item Budget'!$AB$14-'Item Budget'!$B$11)),(AM195+AF195*('Item Budget'!$AB$14-'Item Budget'!$B$11))),0)</f>
        <v/>
      </c>
      <c r="AU195" s="44">
        <f>IF(OR($E195="All",ISNUMBER(SEARCH("Rogue",$E195))),IF($C195="Caster weapon",(AN195+AF195*('Item Budget'!$AB$15-'Item Budget'!$B$11)),(AM195+AF195*('Item Budget'!$AB$15-'Item Budget'!$B$11))),0)</f>
        <v/>
      </c>
      <c r="AV195" s="44">
        <f>IF(OR($E195="All",ISNUMBER(SEARCH("Magus",$E195))),(AN195+AF195*('Item Budget'!$AB$16-'Item Budget'!$B$11)),0)</f>
        <v/>
      </c>
      <c r="AW195" s="44">
        <f>IF(OR($E195="All",ISNUMBER(SEARCH("Priest",$E195))),(AN195+AF195*('Item Budget'!$AB$17-'Item Budget'!$B$11)),0)</f>
        <v/>
      </c>
      <c r="AX195" s="44">
        <f>IF(AND(OR($E195="All",ISNUMBER(SEARCH("Warrior",$E195))),AC195&gt;='Item Budget'!$R$10),'Item Budget'!$R$7*100*('Item Budget'!$R$14*(AD195+25*AH195)+'Item Budget'!$S$14*(AE195+25*AJ195))/'Item Budget'!$Z$14+'Item Budget'!$R$9*AF195+IFERROR(INDEX('Item Budget'!$O$25:$O$95,MATCH(AL195,'Item Budget'!$B$25:$B$95,0)),0),0)</f>
        <v/>
      </c>
      <c r="AY195" s="44">
        <f>IF(AND(OR($E195="All",ISNUMBER(SEARCH("Rogue",$E195))),AC195&gt;='Item Budget'!$R$10),'Item Budget'!$R$7*100*('Item Budget'!$R$15*(AD195+25*AH195)+'Item Budget'!$S$15*(AE195+25*AJ195))/'Item Budget'!$Z$15+'Item Budget'!$R$9*AF195+IFERROR(INDEX('Item Budget'!$O$25:$O$95,MATCH(AL195,'Item Budget'!$B$25:$B$95,0)),0),0)</f>
        <v/>
      </c>
      <c r="AZ195" s="44">
        <f>IF(AND(OR($E195="All",ISNUMBER(SEARCH("Magus",$E195))),AC195&gt;='Item Budget'!$R$10),'Item Budget'!$R$7*100*('Item Budget'!$R$16*(AD195+25*AH195)+'Item Budget'!$S$16*(AE195+25*AJ195))/'Item Budget'!$Z$16+'Item Budget'!$R$9*AF195+IFERROR(INDEX('Item Budget'!$O$25:$O$95,MATCH(AL195,'Item Budget'!$B$25:$B$95,0)),0),0)</f>
        <v/>
      </c>
      <c r="BA195" s="44">
        <f>IF(AND(OR($E195="All",ISNUMBER(SEARCH("Priest",$E195))),AC195&gt;='Item Budget'!$R$10),'Item Budget'!$R$7*100*('Item Budget'!$R$17*(AD195+25*AH195)+'Item Budget'!$S$17*(AE195+25*AJ195))/'Item Budget'!$Z$17+'Item Budget'!$R$9*AF195+IFERROR(INDEX('Item Budget'!$O$25:$O$95,MATCH(AL195,'Item Budget'!$B$25:$B$95,0)),0),0)</f>
        <v/>
      </c>
      <c r="BB195" s="52">
        <f>IF(OR($I195&lt;1,IF($I195&gt;=6,AX195,AT195)&lt;=0),"",IF(SUMPRODUCT(MAX(($C$5:$C$215=$C195)*($I$5:$I$215&gt;=1)*($I$5:$I$215&lt;$I195)*IF($I195&gt;=6,$AX$5:$AX$215,$AT$5:$AT$215)))&lt;=0,"",SUMPRODUCT(MAX(($C$5:$C$215=$C195)*($I$5:$I$215=$I195)*IF($I195&gt;=6,$AX$5:$AX$215,$AT$5:$AT$215)))/SUMPRODUCT(MAX(($C$5:$C$215=$C195)*($I$5:$I$215&gt;=1)*($I$5:$I$215&lt;$I195)*IF($I195&gt;=6,$AX$5:$AX$215,$AT$5:$AT$215)))-1))</f>
        <v/>
      </c>
      <c r="BC195" s="52">
        <f>IF(OR($I195&lt;1,IF($I195&gt;=6,AY195,AU195)&lt;=0),"",IF(SUMPRODUCT(MAX(($C$5:$C$215=$C195)*($I$5:$I$215&gt;=1)*($I$5:$I$215&lt;$I195)*IF($I195&gt;=6,$AY$5:$AY$215,$AU$5:$AU$215)))&lt;=0,"",SUMPRODUCT(MAX(($C$5:$C$215=$C195)*($I$5:$I$215=$I195)*IF($I195&gt;=6,$AY$5:$AY$215,$AU$5:$AU$215)))/SUMPRODUCT(MAX(($C$5:$C$215=$C195)*($I$5:$I$215&gt;=1)*($I$5:$I$215&lt;$I195)*IF($I195&gt;=6,$AY$5:$AY$215,$AU$5:$AU$215)))-1))</f>
        <v/>
      </c>
      <c r="BD195" s="52">
        <f>IF(OR($I195&lt;1,IF($I195&gt;=6,AZ195,AV195)&lt;=0),"",IF(SUMPRODUCT(MAX(($C$5:$C$215=$C195)*($I$5:$I$215&gt;=1)*($I$5:$I$215&lt;$I195)*IF($I195&gt;=6,$AZ$5:$AZ$215,$AV$5:$AV$215)))&lt;=0,"",SUMPRODUCT(MAX(($C$5:$C$215=$C195)*($I$5:$I$215=$I195)*IF($I195&gt;=6,$AZ$5:$AZ$215,$AV$5:$AV$215)))/SUMPRODUCT(MAX(($C$5:$C$215=$C195)*($I$5:$I$215&gt;=1)*($I$5:$I$215&lt;$I195)*IF($I195&gt;=6,$AZ$5:$AZ$215,$AV$5:$AV$215)))-1))</f>
        <v/>
      </c>
      <c r="BE195" s="52">
        <f>IF(OR($I195&lt;1,IF($I195&gt;=6,BA195,AW195)&lt;=0),"",IF(SUMPRODUCT(MAX(($C$5:$C$215=$C195)*($I$5:$I$215&gt;=1)*($I$5:$I$215&lt;$I195)*IF($I195&gt;=6,$BA$5:$BA$215,$AW$5:$AW$215)))&lt;=0,"",SUMPRODUCT(MAX(($C$5:$C$215=$C195)*($I$5:$I$215=$I195)*IF($I195&gt;=6,$BA$5:$BA$215,$AW$5:$AW$215)))/SUMPRODUCT(MAX(($C$5:$C$215=$C195)*($I$5:$I$215&gt;=1)*($I$5:$I$215&lt;$I195)*IF($I195&gt;=6,$BA$5:$BA$215,$AW$5:$AW$215)))-1))</f>
        <v/>
      </c>
      <c r="BF195" s="19">
        <f>IF(AND(BB195="",BC195="",BD195="",BE195=""),"",IF(IF(AND(ISNUMBER(BB195),BB195&lt;'Item Budget'!$R$11),"W ","")&amp;IF(AND(ISNUMBER(BC195),BC195&lt;'Item Budget'!$R$11),"R ","")&amp;IF(AND(ISNUMBER(BD195),BD195&lt;'Item Budget'!$R$11),"M ","")&amp;IF(AND(ISNUMBER(BE195),BE195&lt;'Item Budget'!$R$11),"P ","")="","OK","Not above lower step: "&amp;IF(AND(ISNUMBER(BB195),BB195&lt;'Item Budget'!$R$11),"W ","")&amp;IF(AND(ISNUMBER(BC195),BC195&lt;'Item Budget'!$R$11),"R ","")&amp;IF(AND(ISNUMBER(BD195),BD195&lt;'Item Budget'!$R$11),"M ","")&amp;IF(AND(ISNUMBER(BE195),BE195&lt;'Item Budget'!$R$11),"P ","")))</f>
        <v/>
      </c>
    </row>
    <row r="196">
      <c r="A196" s="21" t="n">
        <v>206</v>
      </c>
      <c r="B196" s="21" t="inlineStr">
        <is>
          <t>Devastating Dragon Tooth Sword</t>
        </is>
      </c>
      <c r="C196" s="21" t="inlineStr">
        <is>
          <t>Weapon</t>
        </is>
      </c>
      <c r="D196" s="21" t="inlineStr">
        <is>
          <t>Warrior</t>
        </is>
      </c>
      <c r="E196" s="21" t="inlineStr">
        <is>
          <t>Warrior</t>
        </is>
      </c>
      <c r="F196" s="21" t="inlineStr"/>
      <c r="G196" s="21" t="inlineStr">
        <is>
          <t>drop: Insanity 10%</t>
        </is>
      </c>
      <c r="H196" s="37" t="n">
        <v>0</v>
      </c>
      <c r="I196" s="21" t="n">
        <v>4</v>
      </c>
      <c r="J196" s="3" t="inlineStr">
        <is>
          <t>Pass 2</t>
        </is>
      </c>
      <c r="K196" s="21" t="inlineStr">
        <is>
          <t>Rare boss drop</t>
        </is>
      </c>
      <c r="L196" s="31">
        <f>INDEX('Item Budget'!$F$5:$F$13,MATCH(K196,'Item Budget'!$E$5:$E$13,0))+IF(E196="All",0,'Item Budget'!$F$15)+LOOKUP(H196,'Item Budget'!$E$19:$E$23,'Item Budget'!$F$19:$F$23)</f>
        <v/>
      </c>
      <c r="M196" s="21" t="n">
        <v>50</v>
      </c>
      <c r="N196" s="21" t="n">
        <v>100</v>
      </c>
      <c r="O196" s="21" t="n">
        <v>0</v>
      </c>
      <c r="P196" s="21" t="n">
        <v>0</v>
      </c>
      <c r="Q196" s="21" t="n">
        <v>20</v>
      </c>
      <c r="R196" s="21" t="n">
        <v>10</v>
      </c>
      <c r="S196" s="21" t="n">
        <v>10</v>
      </c>
      <c r="T196" s="21" t="n">
        <v>0</v>
      </c>
      <c r="U196" s="21" t="n">
        <v>130</v>
      </c>
      <c r="V196" s="21" t="inlineStr">
        <is>
          <t>DDTS Effect</t>
        </is>
      </c>
      <c r="W196" s="61">
        <f>N196*'Item Budget'!$B$5+R196*'Item Budget'!$B$7+P196*'Item Budget'!$B$11+S196*'Item Budget'!$B$10+Q196*'Item Budget'!$B$9+IFERROR(INDEX('Item Budget'!$M$25:$M$95,MATCH(V196,'Item Budget'!$B$25:$B$95,0)),0)+IF($C196="Weapon",U196*'Item Budget'!$B$9,0)</f>
        <v/>
      </c>
      <c r="X196" s="61">
        <f>N196*'Item Budget'!$B$5+R196*'Item Budget'!$B$7+P196*'Item Budget'!$B$11+S196*'Item Budget'!$B$10+O196*'Item Budget'!$B$6+T196*'Item Budget'!$B$8+IFERROR(INDEX('Item Budget'!$N$25:$N$95,MATCH(V196,'Item Budget'!$B$25:$B$95,0)),0)</f>
        <v/>
      </c>
      <c r="Y196" s="61">
        <f>MAX('Item Budget'!$F$16,INDEX('Gear Budget'!$C$8:$C$14,MATCH($C196,'Gear Budget'!$A$8:$A$14,0))*MIN(M196,50))*$L196</f>
        <v/>
      </c>
      <c r="Z196" s="41">
        <f>IF($C196="Caster weapon",X196,MAX(W196,X196))/Y196</f>
        <v/>
      </c>
      <c r="AA196" s="61">
        <f>IF(OR($C196="Weapon",$C196="Caster weapon"),"",'Gear Budget'!$B$5*MAX(1,MIN(M196,50))*INDEX('Gear Budget'!$B$8:$B$14,MATCH($C196,'Gear Budget'!$A$8:$A$14,0))*IF($C196="Shield",IF(D196="Warrior",1,IF(OR(D196="Rogue",D196="All"),0.38/0.6,0.25/0.6)),IFERROR(INDEX('Gear Budget'!$B$18:$B$21,MATCH($F196,'Gear Budget'!$A$18:$A$21,0)),1)))</f>
        <v/>
      </c>
      <c r="AB196" s="41">
        <f>IF(AA196="","",P196/AA196)</f>
        <v/>
      </c>
      <c r="AC196" s="21" t="n">
        <v>50</v>
      </c>
      <c r="AD196" s="21" t="n">
        <v>100</v>
      </c>
      <c r="AE196" s="21" t="n">
        <v>0</v>
      </c>
      <c r="AF196" s="21" t="n">
        <v>0</v>
      </c>
      <c r="AG196" s="21" t="n">
        <v>20</v>
      </c>
      <c r="AH196" s="21" t="n">
        <v>10</v>
      </c>
      <c r="AI196" s="21" t="n">
        <v>10</v>
      </c>
      <c r="AJ196" s="21" t="n">
        <v>0</v>
      </c>
      <c r="AK196" s="20" t="n">
        <v>134</v>
      </c>
      <c r="AL196" s="21" t="inlineStr">
        <is>
          <t>DDTS Effect</t>
        </is>
      </c>
      <c r="AM196" s="61">
        <f>AD196*'Item Budget'!$B$5+AH196*'Item Budget'!$B$7+AF196*'Item Budget'!$B$11+AI196*'Item Budget'!$B$10+AG196*'Item Budget'!$B$9+IFERROR(INDEX('Item Budget'!$M$25:$M$95,MATCH(AL196,'Item Budget'!$B$25:$B$95,0)),0)+IF($C196="Weapon",AK196*'Item Budget'!$B$9,0)</f>
        <v/>
      </c>
      <c r="AN196" s="61">
        <f>AD196*'Item Budget'!$B$5+AH196*'Item Budget'!$B$7+AF196*'Item Budget'!$B$11+AI196*'Item Budget'!$B$10+AE196*'Item Budget'!$B$6+AJ196*'Item Budget'!$B$8+IFERROR(INDEX('Item Budget'!$N$25:$N$95,MATCH(AL196,'Item Budget'!$B$25:$B$95,0)),0)</f>
        <v/>
      </c>
      <c r="AO196" s="61">
        <f>MAX('Item Budget'!$F$16,INDEX('Gear Budget'!$C$8:$C$14,MATCH($C196,'Gear Budget'!$A$8:$A$14,0))*MIN(AC196,50))*$L196</f>
        <v/>
      </c>
      <c r="AP196" s="41">
        <f>IF($C196="Caster weapon",AN196,MAX(AM196,AN196))/AO196</f>
        <v/>
      </c>
      <c r="AQ196" s="61">
        <f>IF(OR($C196="Weapon",$C196="Caster weapon"),"",'Gear Budget'!$B$5*MAX(1,MIN(AC196,50))*INDEX('Gear Budget'!$B$8:$B$14,MATCH($C196,'Gear Budget'!$A$8:$A$14,0))*IF($C196="Shield",IF(E196="Warrior",1,IF(OR(E196="Rogue",E196="All"),0.38/0.6,0.25/0.6)),IFERROR(INDEX('Gear Budget'!$B$18:$B$21,MATCH($F196,'Gear Budget'!$A$18:$A$21,0)),1)))</f>
        <v/>
      </c>
      <c r="AR196" s="41">
        <f>IF(AQ196="","",AF196/AQ196)</f>
        <v/>
      </c>
      <c r="AS196" s="64" t="inlineStr">
        <is>
          <t>Dragon Tooth Sword (Savage): damage 130 -&gt; 134</t>
        </is>
      </c>
      <c r="AT196" s="44">
        <f>IF(OR($E196="All",ISNUMBER(SEARCH("Warrior",$E196))),IF($C196="Caster weapon",(AN196+AF196*('Item Budget'!$AB$14-'Item Budget'!$B$11)),(AM196+AF196*('Item Budget'!$AB$14-'Item Budget'!$B$11))),0)</f>
        <v/>
      </c>
      <c r="AU196" s="44">
        <f>IF(OR($E196="All",ISNUMBER(SEARCH("Rogue",$E196))),IF($C196="Caster weapon",(AN196+AF196*('Item Budget'!$AB$15-'Item Budget'!$B$11)),(AM196+AF196*('Item Budget'!$AB$15-'Item Budget'!$B$11))),0)</f>
        <v/>
      </c>
      <c r="AV196" s="44">
        <f>IF(OR($E196="All",ISNUMBER(SEARCH("Magus",$E196))),(AN196+AF196*('Item Budget'!$AB$16-'Item Budget'!$B$11)),0)</f>
        <v/>
      </c>
      <c r="AW196" s="44">
        <f>IF(OR($E196="All",ISNUMBER(SEARCH("Priest",$E196))),(AN196+AF196*('Item Budget'!$AB$17-'Item Budget'!$B$11)),0)</f>
        <v/>
      </c>
      <c r="AX196" s="44">
        <f>IF(AND(OR($E196="All",ISNUMBER(SEARCH("Warrior",$E196))),AC196&gt;='Item Budget'!$R$10),'Item Budget'!$R$7*100*('Item Budget'!$R$14*(AD196+25*AH196)+'Item Budget'!$S$14*(AE196+25*AJ196))/'Item Budget'!$Z$14+'Item Budget'!$R$9*AF196+IFERROR(INDEX('Item Budget'!$O$25:$O$95,MATCH(AL196,'Item Budget'!$B$25:$B$95,0)),0),0)</f>
        <v/>
      </c>
      <c r="AY196" s="44">
        <f>IF(AND(OR($E196="All",ISNUMBER(SEARCH("Rogue",$E196))),AC196&gt;='Item Budget'!$R$10),'Item Budget'!$R$7*100*('Item Budget'!$R$15*(AD196+25*AH196)+'Item Budget'!$S$15*(AE196+25*AJ196))/'Item Budget'!$Z$15+'Item Budget'!$R$9*AF196+IFERROR(INDEX('Item Budget'!$O$25:$O$95,MATCH(AL196,'Item Budget'!$B$25:$B$95,0)),0),0)</f>
        <v/>
      </c>
      <c r="AZ196" s="44">
        <f>IF(AND(OR($E196="All",ISNUMBER(SEARCH("Magus",$E196))),AC196&gt;='Item Budget'!$R$10),'Item Budget'!$R$7*100*('Item Budget'!$R$16*(AD196+25*AH196)+'Item Budget'!$S$16*(AE196+25*AJ196))/'Item Budget'!$Z$16+'Item Budget'!$R$9*AF196+IFERROR(INDEX('Item Budget'!$O$25:$O$95,MATCH(AL196,'Item Budget'!$B$25:$B$95,0)),0),0)</f>
        <v/>
      </c>
      <c r="BA196" s="44">
        <f>IF(AND(OR($E196="All",ISNUMBER(SEARCH("Priest",$E196))),AC196&gt;='Item Budget'!$R$10),'Item Budget'!$R$7*100*('Item Budget'!$R$17*(AD196+25*AH196)+'Item Budget'!$S$17*(AE196+25*AJ196))/'Item Budget'!$Z$17+'Item Budget'!$R$9*AF196+IFERROR(INDEX('Item Budget'!$O$25:$O$95,MATCH(AL196,'Item Budget'!$B$25:$B$95,0)),0),0)</f>
        <v/>
      </c>
      <c r="BB196" s="52">
        <f>IF(OR($I196&lt;1,IF($I196&gt;=6,AX196,AT196)&lt;=0),"",IF(SUMPRODUCT(MAX(($C$5:$C$215=$C196)*($I$5:$I$215&gt;=1)*($I$5:$I$215&lt;$I196)*IF($I196&gt;=6,$AX$5:$AX$215,$AT$5:$AT$215)))&lt;=0,"",SUMPRODUCT(MAX(($C$5:$C$215=$C196)*($I$5:$I$215=$I196)*IF($I196&gt;=6,$AX$5:$AX$215,$AT$5:$AT$215)))/SUMPRODUCT(MAX(($C$5:$C$215=$C196)*($I$5:$I$215&gt;=1)*($I$5:$I$215&lt;$I196)*IF($I196&gt;=6,$AX$5:$AX$215,$AT$5:$AT$215)))-1))</f>
        <v/>
      </c>
      <c r="BC196" s="52">
        <f>IF(OR($I196&lt;1,IF($I196&gt;=6,AY196,AU196)&lt;=0),"",IF(SUMPRODUCT(MAX(($C$5:$C$215=$C196)*($I$5:$I$215&gt;=1)*($I$5:$I$215&lt;$I196)*IF($I196&gt;=6,$AY$5:$AY$215,$AU$5:$AU$215)))&lt;=0,"",SUMPRODUCT(MAX(($C$5:$C$215=$C196)*($I$5:$I$215=$I196)*IF($I196&gt;=6,$AY$5:$AY$215,$AU$5:$AU$215)))/SUMPRODUCT(MAX(($C$5:$C$215=$C196)*($I$5:$I$215&gt;=1)*($I$5:$I$215&lt;$I196)*IF($I196&gt;=6,$AY$5:$AY$215,$AU$5:$AU$215)))-1))</f>
        <v/>
      </c>
      <c r="BD196" s="52">
        <f>IF(OR($I196&lt;1,IF($I196&gt;=6,AZ196,AV196)&lt;=0),"",IF(SUMPRODUCT(MAX(($C$5:$C$215=$C196)*($I$5:$I$215&gt;=1)*($I$5:$I$215&lt;$I196)*IF($I196&gt;=6,$AZ$5:$AZ$215,$AV$5:$AV$215)))&lt;=0,"",SUMPRODUCT(MAX(($C$5:$C$215=$C196)*($I$5:$I$215=$I196)*IF($I196&gt;=6,$AZ$5:$AZ$215,$AV$5:$AV$215)))/SUMPRODUCT(MAX(($C$5:$C$215=$C196)*($I$5:$I$215&gt;=1)*($I$5:$I$215&lt;$I196)*IF($I196&gt;=6,$AZ$5:$AZ$215,$AV$5:$AV$215)))-1))</f>
        <v/>
      </c>
      <c r="BE196" s="52">
        <f>IF(OR($I196&lt;1,IF($I196&gt;=6,BA196,AW196)&lt;=0),"",IF(SUMPRODUCT(MAX(($C$5:$C$215=$C196)*($I$5:$I$215&gt;=1)*($I$5:$I$215&lt;$I196)*IF($I196&gt;=6,$BA$5:$BA$215,$AW$5:$AW$215)))&lt;=0,"",SUMPRODUCT(MAX(($C$5:$C$215=$C196)*($I$5:$I$215=$I196)*IF($I196&gt;=6,$BA$5:$BA$215,$AW$5:$AW$215)))/SUMPRODUCT(MAX(($C$5:$C$215=$C196)*($I$5:$I$215&gt;=1)*($I$5:$I$215&lt;$I196)*IF($I196&gt;=6,$BA$5:$BA$215,$AW$5:$AW$215)))-1))</f>
        <v/>
      </c>
      <c r="BF196" s="19">
        <f>IF(AND(BB196="",BC196="",BD196="",BE196=""),"",IF(IF(AND(ISNUMBER(BB196),BB196&lt;'Item Budget'!$R$11),"W ","")&amp;IF(AND(ISNUMBER(BC196),BC196&lt;'Item Budget'!$R$11),"R ","")&amp;IF(AND(ISNUMBER(BD196),BD196&lt;'Item Budget'!$R$11),"M ","")&amp;IF(AND(ISNUMBER(BE196),BE196&lt;'Item Budget'!$R$11),"P ","")="","OK","Not above lower step: "&amp;IF(AND(ISNUMBER(BB196),BB196&lt;'Item Budget'!$R$11),"W ","")&amp;IF(AND(ISNUMBER(BC196),BC196&lt;'Item Budget'!$R$11),"R ","")&amp;IF(AND(ISNUMBER(BD196),BD196&lt;'Item Budget'!$R$11),"M ","")&amp;IF(AND(ISNUMBER(BE196),BE196&lt;'Item Budget'!$R$11),"P ","")))</f>
        <v/>
      </c>
    </row>
    <row r="197">
      <c r="A197" s="21" t="n">
        <v>252</v>
      </c>
      <c r="B197" s="21" t="inlineStr">
        <is>
          <t>Devastating Dagger of the Fox</t>
        </is>
      </c>
      <c r="C197" s="21" t="inlineStr">
        <is>
          <t>Weapon</t>
        </is>
      </c>
      <c r="D197" s="21" t="inlineStr">
        <is>
          <t>Rogue</t>
        </is>
      </c>
      <c r="E197" s="21" t="inlineStr">
        <is>
          <t>Rogue</t>
        </is>
      </c>
      <c r="F197" s="21" t="inlineStr"/>
      <c r="G197" s="21" t="inlineStr">
        <is>
          <t>drop: Copycat 10%</t>
        </is>
      </c>
      <c r="H197" s="37" t="n">
        <v>0</v>
      </c>
      <c r="I197" s="21" t="n">
        <v>4</v>
      </c>
      <c r="J197" s="3" t="inlineStr">
        <is>
          <t>Pass 2</t>
        </is>
      </c>
      <c r="K197" s="21" t="inlineStr">
        <is>
          <t>Rare boss drop</t>
        </is>
      </c>
      <c r="L197" s="31">
        <f>INDEX('Item Budget'!$F$5:$F$13,MATCH(K197,'Item Budget'!$E$5:$E$13,0))+IF(E197="All",0,'Item Budget'!$F$15)+LOOKUP(H197,'Item Budget'!$E$19:$E$23,'Item Budget'!$F$19:$F$23)</f>
        <v/>
      </c>
      <c r="M197" s="21" t="n">
        <v>50</v>
      </c>
      <c r="N197" s="21" t="n">
        <v>100</v>
      </c>
      <c r="O197" s="21" t="n">
        <v>0</v>
      </c>
      <c r="P197" s="21" t="n">
        <v>0</v>
      </c>
      <c r="Q197" s="21" t="n">
        <v>18</v>
      </c>
      <c r="R197" s="21" t="n">
        <v>10</v>
      </c>
      <c r="S197" s="21" t="n">
        <v>15</v>
      </c>
      <c r="T197" s="21" t="n">
        <v>0</v>
      </c>
      <c r="U197" s="21" t="n">
        <v>120</v>
      </c>
      <c r="V197" s="21" t="inlineStr">
        <is>
          <t>DDTS Effect</t>
        </is>
      </c>
      <c r="W197" s="61">
        <f>N197*'Item Budget'!$B$5+R197*'Item Budget'!$B$7+P197*'Item Budget'!$B$11+S197*'Item Budget'!$B$10+Q197*'Item Budget'!$B$9+IFERROR(INDEX('Item Budget'!$M$25:$M$95,MATCH(V197,'Item Budget'!$B$25:$B$95,0)),0)+IF($C197="Weapon",U197*'Item Budget'!$B$9,0)</f>
        <v/>
      </c>
      <c r="X197" s="61">
        <f>N197*'Item Budget'!$B$5+R197*'Item Budget'!$B$7+P197*'Item Budget'!$B$11+S197*'Item Budget'!$B$10+O197*'Item Budget'!$B$6+T197*'Item Budget'!$B$8+IFERROR(INDEX('Item Budget'!$N$25:$N$95,MATCH(V197,'Item Budget'!$B$25:$B$95,0)),0)</f>
        <v/>
      </c>
      <c r="Y197" s="61">
        <f>MAX('Item Budget'!$F$16,INDEX('Gear Budget'!$C$8:$C$14,MATCH($C197,'Gear Budget'!$A$8:$A$14,0))*MIN(M197,50))*$L197</f>
        <v/>
      </c>
      <c r="Z197" s="41">
        <f>IF($C197="Caster weapon",X197,MAX(W197,X197))/Y197</f>
        <v/>
      </c>
      <c r="AA197" s="61">
        <f>IF(OR($C197="Weapon",$C197="Caster weapon"),"",'Gear Budget'!$B$5*MAX(1,MIN(M197,50))*INDEX('Gear Budget'!$B$8:$B$14,MATCH($C197,'Gear Budget'!$A$8:$A$14,0))*IF($C197="Shield",IF(D197="Warrior",1,IF(OR(D197="Rogue",D197="All"),0.38/0.6,0.25/0.6)),IFERROR(INDEX('Gear Budget'!$B$18:$B$21,MATCH($F197,'Gear Budget'!$A$18:$A$21,0)),1)))</f>
        <v/>
      </c>
      <c r="AB197" s="41">
        <f>IF(AA197="","",P197/AA197)</f>
        <v/>
      </c>
      <c r="AC197" s="21" t="n">
        <v>50</v>
      </c>
      <c r="AD197" s="21" t="n">
        <v>100</v>
      </c>
      <c r="AE197" s="21" t="n">
        <v>0</v>
      </c>
      <c r="AF197" s="21" t="n">
        <v>0</v>
      </c>
      <c r="AG197" s="21" t="n">
        <v>18</v>
      </c>
      <c r="AH197" s="21" t="n">
        <v>10</v>
      </c>
      <c r="AI197" s="21" t="n">
        <v>15</v>
      </c>
      <c r="AJ197" s="21" t="n">
        <v>0</v>
      </c>
      <c r="AK197" s="20" t="n">
        <v>134</v>
      </c>
      <c r="AL197" s="21" t="inlineStr">
        <is>
          <t>DDTS Effect</t>
        </is>
      </c>
      <c r="AM197" s="61">
        <f>AD197*'Item Budget'!$B$5+AH197*'Item Budget'!$B$7+AF197*'Item Budget'!$B$11+AI197*'Item Budget'!$B$10+AG197*'Item Budget'!$B$9+IFERROR(INDEX('Item Budget'!$M$25:$M$95,MATCH(AL197,'Item Budget'!$B$25:$B$95,0)),0)+IF($C197="Weapon",AK197*'Item Budget'!$B$9,0)</f>
        <v/>
      </c>
      <c r="AN197" s="61">
        <f>AD197*'Item Budget'!$B$5+AH197*'Item Budget'!$B$7+AF197*'Item Budget'!$B$11+AI197*'Item Budget'!$B$10+AE197*'Item Budget'!$B$6+AJ197*'Item Budget'!$B$8+IFERROR(INDEX('Item Budget'!$N$25:$N$95,MATCH(AL197,'Item Budget'!$B$25:$B$95,0)),0)</f>
        <v/>
      </c>
      <c r="AO197" s="61">
        <f>MAX('Item Budget'!$F$16,INDEX('Gear Budget'!$C$8:$C$14,MATCH($C197,'Gear Budget'!$A$8:$A$14,0))*MIN(AC197,50))*$L197</f>
        <v/>
      </c>
      <c r="AP197" s="41">
        <f>IF($C197="Caster weapon",AN197,MAX(AM197,AN197))/AO197</f>
        <v/>
      </c>
      <c r="AQ197" s="61">
        <f>IF(OR($C197="Weapon",$C197="Caster weapon"),"",'Gear Budget'!$B$5*MAX(1,MIN(AC197,50))*INDEX('Gear Budget'!$B$8:$B$14,MATCH($C197,'Gear Budget'!$A$8:$A$14,0))*IF($C197="Shield",IF(E197="Warrior",1,IF(OR(E197="Rogue",E197="All"),0.38/0.6,0.25/0.6)),IFERROR(INDEX('Gear Budget'!$B$18:$B$21,MATCH($F197,'Gear Budget'!$A$18:$A$21,0)),1)))</f>
        <v/>
      </c>
      <c r="AR197" s="41">
        <f>IF(AQ197="","",AF197/AQ197)</f>
        <v/>
      </c>
      <c r="AS197" s="64" t="inlineStr">
        <is>
          <t>Dagger of the Fox (Savage): damage 120 -&gt; 134</t>
        </is>
      </c>
      <c r="AT197" s="44">
        <f>IF(OR($E197="All",ISNUMBER(SEARCH("Warrior",$E197))),IF($C197="Caster weapon",(AN197+AF197*('Item Budget'!$AB$14-'Item Budget'!$B$11)),(AM197+AF197*('Item Budget'!$AB$14-'Item Budget'!$B$11))),0)</f>
        <v/>
      </c>
      <c r="AU197" s="44">
        <f>IF(OR($E197="All",ISNUMBER(SEARCH("Rogue",$E197))),IF($C197="Caster weapon",(AN197+AF197*('Item Budget'!$AB$15-'Item Budget'!$B$11)),(AM197+AF197*('Item Budget'!$AB$15-'Item Budget'!$B$11))),0)</f>
        <v/>
      </c>
      <c r="AV197" s="44">
        <f>IF(OR($E197="All",ISNUMBER(SEARCH("Magus",$E197))),(AN197+AF197*('Item Budget'!$AB$16-'Item Budget'!$B$11)),0)</f>
        <v/>
      </c>
      <c r="AW197" s="44">
        <f>IF(OR($E197="All",ISNUMBER(SEARCH("Priest",$E197))),(AN197+AF197*('Item Budget'!$AB$17-'Item Budget'!$B$11)),0)</f>
        <v/>
      </c>
      <c r="AX197" s="44">
        <f>IF(AND(OR($E197="All",ISNUMBER(SEARCH("Warrior",$E197))),AC197&gt;='Item Budget'!$R$10),'Item Budget'!$R$7*100*('Item Budget'!$R$14*(AD197+25*AH197)+'Item Budget'!$S$14*(AE197+25*AJ197))/'Item Budget'!$Z$14+'Item Budget'!$R$9*AF197+IFERROR(INDEX('Item Budget'!$O$25:$O$95,MATCH(AL197,'Item Budget'!$B$25:$B$95,0)),0),0)</f>
        <v/>
      </c>
      <c r="AY197" s="44">
        <f>IF(AND(OR($E197="All",ISNUMBER(SEARCH("Rogue",$E197))),AC197&gt;='Item Budget'!$R$10),'Item Budget'!$R$7*100*('Item Budget'!$R$15*(AD197+25*AH197)+'Item Budget'!$S$15*(AE197+25*AJ197))/'Item Budget'!$Z$15+'Item Budget'!$R$9*AF197+IFERROR(INDEX('Item Budget'!$O$25:$O$95,MATCH(AL197,'Item Budget'!$B$25:$B$95,0)),0),0)</f>
        <v/>
      </c>
      <c r="AZ197" s="44">
        <f>IF(AND(OR($E197="All",ISNUMBER(SEARCH("Magus",$E197))),AC197&gt;='Item Budget'!$R$10),'Item Budget'!$R$7*100*('Item Budget'!$R$16*(AD197+25*AH197)+'Item Budget'!$S$16*(AE197+25*AJ197))/'Item Budget'!$Z$16+'Item Budget'!$R$9*AF197+IFERROR(INDEX('Item Budget'!$O$25:$O$95,MATCH(AL197,'Item Budget'!$B$25:$B$95,0)),0),0)</f>
        <v/>
      </c>
      <c r="BA197" s="44">
        <f>IF(AND(OR($E197="All",ISNUMBER(SEARCH("Priest",$E197))),AC197&gt;='Item Budget'!$R$10),'Item Budget'!$R$7*100*('Item Budget'!$R$17*(AD197+25*AH197)+'Item Budget'!$S$17*(AE197+25*AJ197))/'Item Budget'!$Z$17+'Item Budget'!$R$9*AF197+IFERROR(INDEX('Item Budget'!$O$25:$O$95,MATCH(AL197,'Item Budget'!$B$25:$B$95,0)),0),0)</f>
        <v/>
      </c>
      <c r="BB197" s="52">
        <f>IF(OR($I197&lt;1,IF($I197&gt;=6,AX197,AT197)&lt;=0),"",IF(SUMPRODUCT(MAX(($C$5:$C$215=$C197)*($I$5:$I$215&gt;=1)*($I$5:$I$215&lt;$I197)*IF($I197&gt;=6,$AX$5:$AX$215,$AT$5:$AT$215)))&lt;=0,"",SUMPRODUCT(MAX(($C$5:$C$215=$C197)*($I$5:$I$215=$I197)*IF($I197&gt;=6,$AX$5:$AX$215,$AT$5:$AT$215)))/SUMPRODUCT(MAX(($C$5:$C$215=$C197)*($I$5:$I$215&gt;=1)*($I$5:$I$215&lt;$I197)*IF($I197&gt;=6,$AX$5:$AX$215,$AT$5:$AT$215)))-1))</f>
        <v/>
      </c>
      <c r="BC197" s="52">
        <f>IF(OR($I197&lt;1,IF($I197&gt;=6,AY197,AU197)&lt;=0),"",IF(SUMPRODUCT(MAX(($C$5:$C$215=$C197)*($I$5:$I$215&gt;=1)*($I$5:$I$215&lt;$I197)*IF($I197&gt;=6,$AY$5:$AY$215,$AU$5:$AU$215)))&lt;=0,"",SUMPRODUCT(MAX(($C$5:$C$215=$C197)*($I$5:$I$215=$I197)*IF($I197&gt;=6,$AY$5:$AY$215,$AU$5:$AU$215)))/SUMPRODUCT(MAX(($C$5:$C$215=$C197)*($I$5:$I$215&gt;=1)*($I$5:$I$215&lt;$I197)*IF($I197&gt;=6,$AY$5:$AY$215,$AU$5:$AU$215)))-1))</f>
        <v/>
      </c>
      <c r="BD197" s="52">
        <f>IF(OR($I197&lt;1,IF($I197&gt;=6,AZ197,AV197)&lt;=0),"",IF(SUMPRODUCT(MAX(($C$5:$C$215=$C197)*($I$5:$I$215&gt;=1)*($I$5:$I$215&lt;$I197)*IF($I197&gt;=6,$AZ$5:$AZ$215,$AV$5:$AV$215)))&lt;=0,"",SUMPRODUCT(MAX(($C$5:$C$215=$C197)*($I$5:$I$215=$I197)*IF($I197&gt;=6,$AZ$5:$AZ$215,$AV$5:$AV$215)))/SUMPRODUCT(MAX(($C$5:$C$215=$C197)*($I$5:$I$215&gt;=1)*($I$5:$I$215&lt;$I197)*IF($I197&gt;=6,$AZ$5:$AZ$215,$AV$5:$AV$215)))-1))</f>
        <v/>
      </c>
      <c r="BE197" s="52">
        <f>IF(OR($I197&lt;1,IF($I197&gt;=6,BA197,AW197)&lt;=0),"",IF(SUMPRODUCT(MAX(($C$5:$C$215=$C197)*($I$5:$I$215&gt;=1)*($I$5:$I$215&lt;$I197)*IF($I197&gt;=6,$BA$5:$BA$215,$AW$5:$AW$215)))&lt;=0,"",SUMPRODUCT(MAX(($C$5:$C$215=$C197)*($I$5:$I$215=$I197)*IF($I197&gt;=6,$BA$5:$BA$215,$AW$5:$AW$215)))/SUMPRODUCT(MAX(($C$5:$C$215=$C197)*($I$5:$I$215&gt;=1)*($I$5:$I$215&lt;$I197)*IF($I197&gt;=6,$BA$5:$BA$215,$AW$5:$AW$215)))-1))</f>
        <v/>
      </c>
      <c r="BF197" s="19">
        <f>IF(AND(BB197="",BC197="",BD197="",BE197=""),"",IF(IF(AND(ISNUMBER(BB197),BB197&lt;'Item Budget'!$R$11),"W ","")&amp;IF(AND(ISNUMBER(BC197),BC197&lt;'Item Budget'!$R$11),"R ","")&amp;IF(AND(ISNUMBER(BD197),BD197&lt;'Item Budget'!$R$11),"M ","")&amp;IF(AND(ISNUMBER(BE197),BE197&lt;'Item Budget'!$R$11),"P ","")="","OK","Not above lower step: "&amp;IF(AND(ISNUMBER(BB197),BB197&lt;'Item Budget'!$R$11),"W ","")&amp;IF(AND(ISNUMBER(BC197),BC197&lt;'Item Budget'!$R$11),"R ","")&amp;IF(AND(ISNUMBER(BD197),BD197&lt;'Item Budget'!$R$11),"M ","")&amp;IF(AND(ISNUMBER(BE197),BE197&lt;'Item Budget'!$R$11),"P ","")))</f>
        <v/>
      </c>
    </row>
    <row r="198">
      <c r="A198" s="21" t="n">
        <v>261</v>
      </c>
      <c r="B198" s="21" t="inlineStr">
        <is>
          <t>Beefs Fist</t>
        </is>
      </c>
      <c r="C198" s="21" t="inlineStr">
        <is>
          <t>Weapon</t>
        </is>
      </c>
      <c r="D198" s="21" t="inlineStr">
        <is>
          <t>All</t>
        </is>
      </c>
      <c r="E198" s="21" t="inlineStr">
        <is>
          <t>All</t>
        </is>
      </c>
      <c r="F198" s="21" t="inlineStr"/>
      <c r="G198" s="21" t="inlineStr">
        <is>
          <t>drop: Beefcake 5%</t>
        </is>
      </c>
      <c r="H198" s="37" t="n">
        <v>0</v>
      </c>
      <c r="I198" s="21" t="n">
        <v>4</v>
      </c>
      <c r="J198" s="19" t="inlineStr">
        <is>
          <t>Pass 2</t>
        </is>
      </c>
      <c r="K198" s="21" t="inlineStr">
        <is>
          <t>Rare boss drop</t>
        </is>
      </c>
      <c r="L198" s="31">
        <f>INDEX('Item Budget'!$F$5:$F$13,MATCH(K198,'Item Budget'!$E$5:$E$13,0))+IF(E198="All",0,'Item Budget'!$F$15)+LOOKUP(H198,'Item Budget'!$E$19:$E$23,'Item Budget'!$F$19:$F$23)</f>
        <v/>
      </c>
      <c r="M198" s="21" t="n">
        <v>50</v>
      </c>
      <c r="N198" s="21" t="n">
        <v>300</v>
      </c>
      <c r="O198" s="21" t="n">
        <v>300</v>
      </c>
      <c r="P198" s="21" t="n">
        <v>0</v>
      </c>
      <c r="Q198" s="21" t="n">
        <v>20</v>
      </c>
      <c r="R198" s="21" t="n">
        <v>10</v>
      </c>
      <c r="S198" s="21" t="n">
        <v>10</v>
      </c>
      <c r="T198" s="21" t="n">
        <v>10</v>
      </c>
      <c r="U198" s="21" t="n">
        <v>100</v>
      </c>
      <c r="V198" s="21" t="inlineStr">
        <is>
          <t>(none)</t>
        </is>
      </c>
      <c r="W198" s="61">
        <f>N198*'Item Budget'!$B$5+R198*'Item Budget'!$B$7+P198*'Item Budget'!$B$11+S198*'Item Budget'!$B$10+Q198*'Item Budget'!$B$9+IFERROR(INDEX('Item Budget'!$M$25:$M$95,MATCH(V198,'Item Budget'!$B$25:$B$95,0)),0)+IF($C198="Weapon",U198*'Item Budget'!$B$9,0)</f>
        <v/>
      </c>
      <c r="X198" s="61">
        <f>N198*'Item Budget'!$B$5+R198*'Item Budget'!$B$7+P198*'Item Budget'!$B$11+S198*'Item Budget'!$B$10+O198*'Item Budget'!$B$6+T198*'Item Budget'!$B$8+IFERROR(INDEX('Item Budget'!$N$25:$N$95,MATCH(V198,'Item Budget'!$B$25:$B$95,0)),0)</f>
        <v/>
      </c>
      <c r="Y198" s="61">
        <f>MAX('Item Budget'!$F$16,INDEX('Gear Budget'!$C$8:$C$14,MATCH($C198,'Gear Budget'!$A$8:$A$14,0))*MIN(M198,50))*$L198</f>
        <v/>
      </c>
      <c r="Z198" s="41">
        <f>IF($C198="Caster weapon",X198,MAX(W198,X198))/Y198</f>
        <v/>
      </c>
      <c r="AA198" s="61">
        <f>IF(OR($C198="Weapon",$C198="Caster weapon"),"",'Gear Budget'!$B$5*MAX(1,MIN(M198,50))*INDEX('Gear Budget'!$B$8:$B$14,MATCH($C198,'Gear Budget'!$A$8:$A$14,0))*IF($C198="Shield",IF(D198="Warrior",1,IF(OR(D198="Rogue",D198="All"),0.38/0.6,0.25/0.6)),IFERROR(INDEX('Gear Budget'!$B$18:$B$21,MATCH($F198,'Gear Budget'!$A$18:$A$21,0)),1)))</f>
        <v/>
      </c>
      <c r="AB198" s="41">
        <f>IF(AA198="","",P198/AA198)</f>
        <v/>
      </c>
      <c r="AC198" s="21" t="n">
        <v>50</v>
      </c>
      <c r="AD198" s="21" t="n">
        <v>300</v>
      </c>
      <c r="AE198" s="21" t="n">
        <v>300</v>
      </c>
      <c r="AF198" s="21" t="n">
        <v>0</v>
      </c>
      <c r="AG198" s="20" t="n">
        <v>22</v>
      </c>
      <c r="AH198" s="21" t="n">
        <v>10</v>
      </c>
      <c r="AI198" s="21" t="n">
        <v>10</v>
      </c>
      <c r="AJ198" s="21" t="n">
        <v>10</v>
      </c>
      <c r="AK198" s="20" t="n">
        <v>128</v>
      </c>
      <c r="AL198" s="21" t="inlineStr">
        <is>
          <t>(none)</t>
        </is>
      </c>
      <c r="AM198" s="61">
        <f>AD198*'Item Budget'!$B$5+AH198*'Item Budget'!$B$7+AF198*'Item Budget'!$B$11+AI198*'Item Budget'!$B$10+AG198*'Item Budget'!$B$9+IFERROR(INDEX('Item Budget'!$M$25:$M$95,MATCH(AL198,'Item Budget'!$B$25:$B$95,0)),0)+IF($C198="Weapon",AK198*'Item Budget'!$B$9,0)</f>
        <v/>
      </c>
      <c r="AN198" s="61">
        <f>AD198*'Item Budget'!$B$5+AH198*'Item Budget'!$B$7+AF198*'Item Budget'!$B$11+AI198*'Item Budget'!$B$10+AE198*'Item Budget'!$B$6+AJ198*'Item Budget'!$B$8+IFERROR(INDEX('Item Budget'!$N$25:$N$95,MATCH(AL198,'Item Budget'!$B$25:$B$95,0)),0)</f>
        <v/>
      </c>
      <c r="AO198" s="61">
        <f>MAX('Item Budget'!$F$16,INDEX('Gear Budget'!$C$8:$C$14,MATCH($C198,'Gear Budget'!$A$8:$A$14,0))*MIN(AC198,50))*$L198</f>
        <v/>
      </c>
      <c r="AP198" s="41">
        <f>IF($C198="Caster weapon",AN198,MAX(AM198,AN198))/AO198</f>
        <v/>
      </c>
      <c r="AQ198" s="61">
        <f>IF(OR($C198="Weapon",$C198="Caster weapon"),"",'Gear Budget'!$B$5*MAX(1,MIN(AC198,50))*INDEX('Gear Budget'!$B$8:$B$14,MATCH($C198,'Gear Budget'!$A$8:$A$14,0))*IF($C198="Shield",IF(E198="Warrior",1,IF(OR(E198="Rogue",E198="All"),0.38/0.6,0.25/0.6)),IFERROR(INDEX('Gear Budget'!$B$18:$B$21,MATCH($F198,'Gear Budget'!$A$18:$A$21,0)),1)))</f>
        <v/>
      </c>
      <c r="AR198" s="41">
        <f>IF(AQ198="","",AF198/AQ198)</f>
        <v/>
      </c>
      <c r="AS198" s="64" t="inlineStr">
        <is>
          <t>Beefs Fist (Savage): damage 100 -&gt; 128, STR 20 -&gt; 22</t>
        </is>
      </c>
      <c r="AT198" s="44">
        <f>IF(OR($E198="All",ISNUMBER(SEARCH("Warrior",$E198))),IF($C198="Caster weapon",(AN198+AF198*('Item Budget'!$AB$14-'Item Budget'!$B$11)),(AM198+AF198*('Item Budget'!$AB$14-'Item Budget'!$B$11))),0)</f>
        <v/>
      </c>
      <c r="AU198" s="44">
        <f>IF(OR($E198="All",ISNUMBER(SEARCH("Rogue",$E198))),IF($C198="Caster weapon",(AN198+AF198*('Item Budget'!$AB$15-'Item Budget'!$B$11)),(AM198+AF198*('Item Budget'!$AB$15-'Item Budget'!$B$11))),0)</f>
        <v/>
      </c>
      <c r="AV198" s="44">
        <f>IF(OR($E198="All",ISNUMBER(SEARCH("Magus",$E198))),(AN198+AF198*('Item Budget'!$AB$16-'Item Budget'!$B$11)),0)</f>
        <v/>
      </c>
      <c r="AW198" s="44">
        <f>IF(OR($E198="All",ISNUMBER(SEARCH("Priest",$E198))),(AN198+AF198*('Item Budget'!$AB$17-'Item Budget'!$B$11)),0)</f>
        <v/>
      </c>
      <c r="AX198" s="44">
        <f>IF(AND(OR($E198="All",ISNUMBER(SEARCH("Warrior",$E198))),AC198&gt;='Item Budget'!$R$10),'Item Budget'!$R$7*100*('Item Budget'!$R$14*(AD198+25*AH198)+'Item Budget'!$S$14*(AE198+25*AJ198))/'Item Budget'!$Z$14+'Item Budget'!$R$9*AF198+IFERROR(INDEX('Item Budget'!$O$25:$O$95,MATCH(AL198,'Item Budget'!$B$25:$B$95,0)),0),0)</f>
        <v/>
      </c>
      <c r="AY198" s="44">
        <f>IF(AND(OR($E198="All",ISNUMBER(SEARCH("Rogue",$E198))),AC198&gt;='Item Budget'!$R$10),'Item Budget'!$R$7*100*('Item Budget'!$R$15*(AD198+25*AH198)+'Item Budget'!$S$15*(AE198+25*AJ198))/'Item Budget'!$Z$15+'Item Budget'!$R$9*AF198+IFERROR(INDEX('Item Budget'!$O$25:$O$95,MATCH(AL198,'Item Budget'!$B$25:$B$95,0)),0),0)</f>
        <v/>
      </c>
      <c r="AZ198" s="44">
        <f>IF(AND(OR($E198="All",ISNUMBER(SEARCH("Magus",$E198))),AC198&gt;='Item Budget'!$R$10),'Item Budget'!$R$7*100*('Item Budget'!$R$16*(AD198+25*AH198)+'Item Budget'!$S$16*(AE198+25*AJ198))/'Item Budget'!$Z$16+'Item Budget'!$R$9*AF198+IFERROR(INDEX('Item Budget'!$O$25:$O$95,MATCH(AL198,'Item Budget'!$B$25:$B$95,0)),0),0)</f>
        <v/>
      </c>
      <c r="BA198" s="44">
        <f>IF(AND(OR($E198="All",ISNUMBER(SEARCH("Priest",$E198))),AC198&gt;='Item Budget'!$R$10),'Item Budget'!$R$7*100*('Item Budget'!$R$17*(AD198+25*AH198)+'Item Budget'!$S$17*(AE198+25*AJ198))/'Item Budget'!$Z$17+'Item Budget'!$R$9*AF198+IFERROR(INDEX('Item Budget'!$O$25:$O$95,MATCH(AL198,'Item Budget'!$B$25:$B$95,0)),0),0)</f>
        <v/>
      </c>
      <c r="BB198" s="52">
        <f>IF(OR($I198&lt;1,IF($I198&gt;=6,AX198,AT198)&lt;=0),"",IF(SUMPRODUCT(MAX(($C$5:$C$215=$C198)*($I$5:$I$215&gt;=1)*($I$5:$I$215&lt;$I198)*IF($I198&gt;=6,$AX$5:$AX$215,$AT$5:$AT$215)))&lt;=0,"",SUMPRODUCT(MAX(($C$5:$C$215=$C198)*($I$5:$I$215=$I198)*IF($I198&gt;=6,$AX$5:$AX$215,$AT$5:$AT$215)))/SUMPRODUCT(MAX(($C$5:$C$215=$C198)*($I$5:$I$215&gt;=1)*($I$5:$I$215&lt;$I198)*IF($I198&gt;=6,$AX$5:$AX$215,$AT$5:$AT$215)))-1))</f>
        <v/>
      </c>
      <c r="BC198" s="52">
        <f>IF(OR($I198&lt;1,IF($I198&gt;=6,AY198,AU198)&lt;=0),"",IF(SUMPRODUCT(MAX(($C$5:$C$215=$C198)*($I$5:$I$215&gt;=1)*($I$5:$I$215&lt;$I198)*IF($I198&gt;=6,$AY$5:$AY$215,$AU$5:$AU$215)))&lt;=0,"",SUMPRODUCT(MAX(($C$5:$C$215=$C198)*($I$5:$I$215=$I198)*IF($I198&gt;=6,$AY$5:$AY$215,$AU$5:$AU$215)))/SUMPRODUCT(MAX(($C$5:$C$215=$C198)*($I$5:$I$215&gt;=1)*($I$5:$I$215&lt;$I198)*IF($I198&gt;=6,$AY$5:$AY$215,$AU$5:$AU$215)))-1))</f>
        <v/>
      </c>
      <c r="BD198" s="52">
        <f>IF(OR($I198&lt;1,IF($I198&gt;=6,AZ198,AV198)&lt;=0),"",IF(SUMPRODUCT(MAX(($C$5:$C$215=$C198)*($I$5:$I$215&gt;=1)*($I$5:$I$215&lt;$I198)*IF($I198&gt;=6,$AZ$5:$AZ$215,$AV$5:$AV$215)))&lt;=0,"",SUMPRODUCT(MAX(($C$5:$C$215=$C198)*($I$5:$I$215=$I198)*IF($I198&gt;=6,$AZ$5:$AZ$215,$AV$5:$AV$215)))/SUMPRODUCT(MAX(($C$5:$C$215=$C198)*($I$5:$I$215&gt;=1)*($I$5:$I$215&lt;$I198)*IF($I198&gt;=6,$AZ$5:$AZ$215,$AV$5:$AV$215)))-1))</f>
        <v/>
      </c>
      <c r="BE198" s="52">
        <f>IF(OR($I198&lt;1,IF($I198&gt;=6,BA198,AW198)&lt;=0),"",IF(SUMPRODUCT(MAX(($C$5:$C$215=$C198)*($I$5:$I$215&gt;=1)*($I$5:$I$215&lt;$I198)*IF($I198&gt;=6,$BA$5:$BA$215,$AW$5:$AW$215)))&lt;=0,"",SUMPRODUCT(MAX(($C$5:$C$215=$C198)*($I$5:$I$215=$I198)*IF($I198&gt;=6,$BA$5:$BA$215,$AW$5:$AW$215)))/SUMPRODUCT(MAX(($C$5:$C$215=$C198)*($I$5:$I$215&gt;=1)*($I$5:$I$215&lt;$I198)*IF($I198&gt;=6,$BA$5:$BA$215,$AW$5:$AW$215)))-1))</f>
        <v/>
      </c>
      <c r="BF198" s="19">
        <f>IF(AND(BB198="",BC198="",BD198="",BE198=""),"",IF(IF(AND(ISNUMBER(BB198),BB198&lt;'Item Budget'!$R$11),"W ","")&amp;IF(AND(ISNUMBER(BC198),BC198&lt;'Item Budget'!$R$11),"R ","")&amp;IF(AND(ISNUMBER(BD198),BD198&lt;'Item Budget'!$R$11),"M ","")&amp;IF(AND(ISNUMBER(BE198),BE198&lt;'Item Budget'!$R$11),"P ","")="","OK","Not above lower step: "&amp;IF(AND(ISNUMBER(BB198),BB198&lt;'Item Budget'!$R$11),"W ","")&amp;IF(AND(ISNUMBER(BC198),BC198&lt;'Item Budget'!$R$11),"R ","")&amp;IF(AND(ISNUMBER(BD198),BD198&lt;'Item Budget'!$R$11),"M ","")&amp;IF(AND(ISNUMBER(BE198),BE198&lt;'Item Budget'!$R$11),"P ","")))</f>
        <v/>
      </c>
    </row>
    <row r="199">
      <c r="A199" s="21" t="n">
        <v>251</v>
      </c>
      <c r="B199" s="21" t="inlineStr">
        <is>
          <t>Coral Sword</t>
        </is>
      </c>
      <c r="C199" s="21" t="inlineStr">
        <is>
          <t>Weapon</t>
        </is>
      </c>
      <c r="D199" s="21" t="inlineStr">
        <is>
          <t>All</t>
        </is>
      </c>
      <c r="E199" s="21" t="inlineStr">
        <is>
          <t>All</t>
        </is>
      </c>
      <c r="F199" s="21" t="inlineStr"/>
      <c r="G199" s="21" t="inlineStr">
        <is>
          <t>craft</t>
        </is>
      </c>
      <c r="H199" s="37" t="n">
        <v>0</v>
      </c>
      <c r="I199" s="21" t="n">
        <v>6</v>
      </c>
      <c r="J199" s="3" t="inlineStr">
        <is>
          <t>Applied</t>
        </is>
      </c>
      <c r="K199" s="21" t="inlineStr">
        <is>
          <t>Rare drop</t>
        </is>
      </c>
      <c r="L199" s="31">
        <f>INDEX('Item Budget'!$F$5:$F$13,MATCH(K199,'Item Budget'!$E$5:$E$13,0))+IF(E199="All",0,'Item Budget'!$F$15)+LOOKUP(H199,'Item Budget'!$E$19:$E$23,'Item Budget'!$F$19:$F$23)</f>
        <v/>
      </c>
      <c r="M199" s="21" t="n">
        <v>50</v>
      </c>
      <c r="N199" s="21" t="n">
        <v>250</v>
      </c>
      <c r="O199" s="21" t="n">
        <v>250</v>
      </c>
      <c r="P199" s="21" t="n">
        <v>0</v>
      </c>
      <c r="Q199" s="21" t="n">
        <v>0</v>
      </c>
      <c r="R199" s="21" t="n">
        <v>0</v>
      </c>
      <c r="S199" s="21" t="n">
        <v>0</v>
      </c>
      <c r="T199" s="21" t="n">
        <v>0</v>
      </c>
      <c r="U199" s="21" t="n">
        <v>50</v>
      </c>
      <c r="V199" s="21" t="inlineStr">
        <is>
          <t>Spell Critical Damage VIII</t>
        </is>
      </c>
      <c r="W199" s="61">
        <f>N199*'Item Budget'!$B$5+R199*'Item Budget'!$B$7+P199*'Item Budget'!$B$11+S199*'Item Budget'!$B$10+Q199*'Item Budget'!$B$9+IFERROR(INDEX('Item Budget'!$M$25:$M$95,MATCH(V199,'Item Budget'!$B$25:$B$95,0)),0)+IF($C199="Weapon",U199*'Item Budget'!$B$9,0)</f>
        <v/>
      </c>
      <c r="X199" s="61">
        <f>N199*'Item Budget'!$B$5+R199*'Item Budget'!$B$7+P199*'Item Budget'!$B$11+S199*'Item Budget'!$B$10+O199*'Item Budget'!$B$6+T199*'Item Budget'!$B$8+IFERROR(INDEX('Item Budget'!$N$25:$N$95,MATCH(V199,'Item Budget'!$B$25:$B$95,0)),0)</f>
        <v/>
      </c>
      <c r="Y199" s="61">
        <f>MAX('Item Budget'!$F$16,INDEX('Gear Budget'!$C$8:$C$14,MATCH($C199,'Gear Budget'!$A$8:$A$14,0))*MIN(M199,50))*$L199</f>
        <v/>
      </c>
      <c r="Z199" s="41">
        <f>IF($C199="Caster weapon",X199,MAX(W199,X199))/Y199</f>
        <v/>
      </c>
      <c r="AA199" s="61">
        <f>IF(OR($C199="Weapon",$C199="Caster weapon"),"",'Gear Budget'!$B$5*MAX(1,MIN(M199,50))*INDEX('Gear Budget'!$B$8:$B$14,MATCH($C199,'Gear Budget'!$A$8:$A$14,0))*IF($C199="Shield",IF(D199="Warrior",1,IF(OR(D199="Rogue",D199="All"),0.38/0.6,0.25/0.6)),IFERROR(INDEX('Gear Budget'!$B$18:$B$21,MATCH($F199,'Gear Budget'!$A$18:$A$21,0)),1)))</f>
        <v/>
      </c>
      <c r="AB199" s="41">
        <f>IF(AA199="","",P199/AA199)</f>
        <v/>
      </c>
      <c r="AC199" s="21" t="n">
        <v>50</v>
      </c>
      <c r="AD199" s="21" t="n">
        <v>250</v>
      </c>
      <c r="AE199" s="21" t="n">
        <v>250</v>
      </c>
      <c r="AF199" s="21" t="n">
        <v>0</v>
      </c>
      <c r="AG199" s="21" t="n">
        <v>0</v>
      </c>
      <c r="AH199" s="21" t="n">
        <v>0</v>
      </c>
      <c r="AI199" s="21" t="n">
        <v>0</v>
      </c>
      <c r="AJ199" s="21" t="n">
        <v>0</v>
      </c>
      <c r="AK199" s="21" t="n">
        <v>50</v>
      </c>
      <c r="AL199" s="21" t="inlineStr">
        <is>
          <t>Spell Critical Damage VIII</t>
        </is>
      </c>
      <c r="AM199" s="61">
        <f>AD199*'Item Budget'!$B$5+AH199*'Item Budget'!$B$7+AF199*'Item Budget'!$B$11+AI199*'Item Budget'!$B$10+AG199*'Item Budget'!$B$9+IFERROR(INDEX('Item Budget'!$M$25:$M$95,MATCH(AL199,'Item Budget'!$B$25:$B$95,0)),0)+IF($C199="Weapon",AK199*'Item Budget'!$B$9,0)</f>
        <v/>
      </c>
      <c r="AN199" s="61">
        <f>AD199*'Item Budget'!$B$5+AH199*'Item Budget'!$B$7+AF199*'Item Budget'!$B$11+AI199*'Item Budget'!$B$10+AE199*'Item Budget'!$B$6+AJ199*'Item Budget'!$B$8+IFERROR(INDEX('Item Budget'!$N$25:$N$95,MATCH(AL199,'Item Budget'!$B$25:$B$95,0)),0)</f>
        <v/>
      </c>
      <c r="AO199" s="61">
        <f>MAX('Item Budget'!$F$16,INDEX('Gear Budget'!$C$8:$C$14,MATCH($C199,'Gear Budget'!$A$8:$A$14,0))*MIN(AC199,50))*$L199</f>
        <v/>
      </c>
      <c r="AP199" s="41">
        <f>IF($C199="Caster weapon",AN199,MAX(AM199,AN199))/AO199</f>
        <v/>
      </c>
      <c r="AQ199" s="61">
        <f>IF(OR($C199="Weapon",$C199="Caster weapon"),"",'Gear Budget'!$B$5*MAX(1,MIN(AC199,50))*INDEX('Gear Budget'!$B$8:$B$14,MATCH($C199,'Gear Budget'!$A$8:$A$14,0))*IF($C199="Shield",IF(E199="Warrior",1,IF(OR(E199="Rogue",E199="All"),0.38/0.6,0.25/0.6)),IFERROR(INDEX('Gear Budget'!$B$18:$B$21,MATCH($F199,'Gear Budget'!$A$18:$A$21,0)),1)))</f>
        <v/>
      </c>
      <c r="AR199" s="41">
        <f>IF(AQ199="","",AF199/AQ199)</f>
        <v/>
      </c>
      <c r="AS199" s="64" t="inlineStr">
        <is>
          <t>Pass 1 (applied): Rare craft, scored with the 20M Ancients. Spell crit 5% -&gt; 8% so it is the crit option; Ancient weapons are the stats option.</t>
        </is>
      </c>
      <c r="AT199" s="44">
        <f>IF(OR($E199="All",ISNUMBER(SEARCH("Warrior",$E199))),IF($C199="Caster weapon",(AN199+AF199*('Item Budget'!$AB$14-'Item Budget'!$B$11)),(AM199+AF199*('Item Budget'!$AB$14-'Item Budget'!$B$11))),0)</f>
        <v/>
      </c>
      <c r="AU199" s="44">
        <f>IF(OR($E199="All",ISNUMBER(SEARCH("Rogue",$E199))),IF($C199="Caster weapon",(AN199+AF199*('Item Budget'!$AB$15-'Item Budget'!$B$11)),(AM199+AF199*('Item Budget'!$AB$15-'Item Budget'!$B$11))),0)</f>
        <v/>
      </c>
      <c r="AV199" s="44">
        <f>IF(OR($E199="All",ISNUMBER(SEARCH("Magus",$E199))),(AN199+AF199*('Item Budget'!$AB$16-'Item Budget'!$B$11)),0)</f>
        <v/>
      </c>
      <c r="AW199" s="44">
        <f>IF(OR($E199="All",ISNUMBER(SEARCH("Priest",$E199))),(AN199+AF199*('Item Budget'!$AB$17-'Item Budget'!$B$11)),0)</f>
        <v/>
      </c>
      <c r="AX199" s="44">
        <f>IF(AND(OR($E199="All",ISNUMBER(SEARCH("Warrior",$E199))),AC199&gt;='Item Budget'!$R$10),'Item Budget'!$R$7*100*('Item Budget'!$R$14*(AD199+25*AH199)+'Item Budget'!$S$14*(AE199+25*AJ199))/'Item Budget'!$Z$14+'Item Budget'!$R$9*AF199+IFERROR(INDEX('Item Budget'!$O$25:$O$95,MATCH(AL199,'Item Budget'!$B$25:$B$95,0)),0),0)</f>
        <v/>
      </c>
      <c r="AY199" s="44">
        <f>IF(AND(OR($E199="All",ISNUMBER(SEARCH("Rogue",$E199))),AC199&gt;='Item Budget'!$R$10),'Item Budget'!$R$7*100*('Item Budget'!$R$15*(AD199+25*AH199)+'Item Budget'!$S$15*(AE199+25*AJ199))/'Item Budget'!$Z$15+'Item Budget'!$R$9*AF199+IFERROR(INDEX('Item Budget'!$O$25:$O$95,MATCH(AL199,'Item Budget'!$B$25:$B$95,0)),0),0)</f>
        <v/>
      </c>
      <c r="AZ199" s="44">
        <f>IF(AND(OR($E199="All",ISNUMBER(SEARCH("Magus",$E199))),AC199&gt;='Item Budget'!$R$10),'Item Budget'!$R$7*100*('Item Budget'!$R$16*(AD199+25*AH199)+'Item Budget'!$S$16*(AE199+25*AJ199))/'Item Budget'!$Z$16+'Item Budget'!$R$9*AF199+IFERROR(INDEX('Item Budget'!$O$25:$O$95,MATCH(AL199,'Item Budget'!$B$25:$B$95,0)),0),0)</f>
        <v/>
      </c>
      <c r="BA199" s="44">
        <f>IF(AND(OR($E199="All",ISNUMBER(SEARCH("Priest",$E199))),AC199&gt;='Item Budget'!$R$10),'Item Budget'!$R$7*100*('Item Budget'!$R$17*(AD199+25*AH199)+'Item Budget'!$S$17*(AE199+25*AJ199))/'Item Budget'!$Z$17+'Item Budget'!$R$9*AF199+IFERROR(INDEX('Item Budget'!$O$25:$O$95,MATCH(AL199,'Item Budget'!$B$25:$B$95,0)),0),0)</f>
        <v/>
      </c>
      <c r="BB199" s="52">
        <f>IF(OR($I199&lt;1,IF($I199&gt;=6,AX199,AT199)&lt;=0),"",IF(SUMPRODUCT(MAX(($C$5:$C$215=$C199)*($I$5:$I$215&gt;=1)*($I$5:$I$215&lt;$I199)*IF($I199&gt;=6,$AX$5:$AX$215,$AT$5:$AT$215)))&lt;=0,"",SUMPRODUCT(MAX(($C$5:$C$215=$C199)*($I$5:$I$215=$I199)*IF($I199&gt;=6,$AX$5:$AX$215,$AT$5:$AT$215)))/SUMPRODUCT(MAX(($C$5:$C$215=$C199)*($I$5:$I$215&gt;=1)*($I$5:$I$215&lt;$I199)*IF($I199&gt;=6,$AX$5:$AX$215,$AT$5:$AT$215)))-1))</f>
        <v/>
      </c>
      <c r="BC199" s="52">
        <f>IF(OR($I199&lt;1,IF($I199&gt;=6,AY199,AU199)&lt;=0),"",IF(SUMPRODUCT(MAX(($C$5:$C$215=$C199)*($I$5:$I$215&gt;=1)*($I$5:$I$215&lt;$I199)*IF($I199&gt;=6,$AY$5:$AY$215,$AU$5:$AU$215)))&lt;=0,"",SUMPRODUCT(MAX(($C$5:$C$215=$C199)*($I$5:$I$215=$I199)*IF($I199&gt;=6,$AY$5:$AY$215,$AU$5:$AU$215)))/SUMPRODUCT(MAX(($C$5:$C$215=$C199)*($I$5:$I$215&gt;=1)*($I$5:$I$215&lt;$I199)*IF($I199&gt;=6,$AY$5:$AY$215,$AU$5:$AU$215)))-1))</f>
        <v/>
      </c>
      <c r="BD199" s="52">
        <f>IF(OR($I199&lt;1,IF($I199&gt;=6,AZ199,AV199)&lt;=0),"",IF(SUMPRODUCT(MAX(($C$5:$C$215=$C199)*($I$5:$I$215&gt;=1)*($I$5:$I$215&lt;$I199)*IF($I199&gt;=6,$AZ$5:$AZ$215,$AV$5:$AV$215)))&lt;=0,"",SUMPRODUCT(MAX(($C$5:$C$215=$C199)*($I$5:$I$215=$I199)*IF($I199&gt;=6,$AZ$5:$AZ$215,$AV$5:$AV$215)))/SUMPRODUCT(MAX(($C$5:$C$215=$C199)*($I$5:$I$215&gt;=1)*($I$5:$I$215&lt;$I199)*IF($I199&gt;=6,$AZ$5:$AZ$215,$AV$5:$AV$215)))-1))</f>
        <v/>
      </c>
      <c r="BE199" s="52">
        <f>IF(OR($I199&lt;1,IF($I199&gt;=6,BA199,AW199)&lt;=0),"",IF(SUMPRODUCT(MAX(($C$5:$C$215=$C199)*($I$5:$I$215&gt;=1)*($I$5:$I$215&lt;$I199)*IF($I199&gt;=6,$BA$5:$BA$215,$AW$5:$AW$215)))&lt;=0,"",SUMPRODUCT(MAX(($C$5:$C$215=$C199)*($I$5:$I$215=$I199)*IF($I199&gt;=6,$BA$5:$BA$215,$AW$5:$AW$215)))/SUMPRODUCT(MAX(($C$5:$C$215=$C199)*($I$5:$I$215&gt;=1)*($I$5:$I$215&lt;$I199)*IF($I199&gt;=6,$BA$5:$BA$215,$AW$5:$AW$215)))-1))</f>
        <v/>
      </c>
      <c r="BF199" s="19">
        <f>IF(AND(BB199="",BC199="",BD199="",BE199=""),"",IF(IF(AND(ISNUMBER(BB199),BB199&lt;'Item Budget'!$R$11),"W ","")&amp;IF(AND(ISNUMBER(BC199),BC199&lt;'Item Budget'!$R$11),"R ","")&amp;IF(AND(ISNUMBER(BD199),BD199&lt;'Item Budget'!$R$11),"M ","")&amp;IF(AND(ISNUMBER(BE199),BE199&lt;'Item Budget'!$R$11),"P ","")="","OK","Not above lower step: "&amp;IF(AND(ISNUMBER(BB199),BB199&lt;'Item Budget'!$R$11),"W ","")&amp;IF(AND(ISNUMBER(BC199),BC199&lt;'Item Budget'!$R$11),"R ","")&amp;IF(AND(ISNUMBER(BD199),BD199&lt;'Item Budget'!$R$11),"M ","")&amp;IF(AND(ISNUMBER(BE199),BE199&lt;'Item Budget'!$R$11),"P ","")))</f>
        <v/>
      </c>
    </row>
    <row r="200">
      <c r="A200" s="21" t="n">
        <v>291</v>
      </c>
      <c r="B200" s="21" t="inlineStr">
        <is>
          <t>Ancient Axe</t>
        </is>
      </c>
      <c r="C200" s="21" t="inlineStr">
        <is>
          <t>Weapon</t>
        </is>
      </c>
      <c r="D200" s="21" t="inlineStr">
        <is>
          <t>Warrior</t>
        </is>
      </c>
      <c r="E200" s="21" t="inlineStr">
        <is>
          <t>Warrior</t>
        </is>
      </c>
      <c r="F200" s="21" t="inlineStr"/>
      <c r="G200" s="21" t="inlineStr">
        <is>
          <t>drop: Dalph Von'Ownu 20%</t>
        </is>
      </c>
      <c r="H200" s="37" t="n">
        <v>20000000</v>
      </c>
      <c r="I200" s="21" t="n">
        <v>6</v>
      </c>
      <c r="J200" s="3" t="inlineStr">
        <is>
          <t>Applied</t>
        </is>
      </c>
      <c r="K200" s="21" t="inlineStr">
        <is>
          <t>Rare boss drop</t>
        </is>
      </c>
      <c r="L200" s="31">
        <f>INDEX('Item Budget'!$F$5:$F$13,MATCH(K200,'Item Budget'!$E$5:$E$13,0))+IF(E200="All",0,'Item Budget'!$F$15)+LOOKUP(H200,'Item Budget'!$E$19:$E$23,'Item Budget'!$F$19:$F$23)</f>
        <v/>
      </c>
      <c r="M200" s="21" t="n">
        <v>50</v>
      </c>
      <c r="N200" s="21" t="n">
        <v>3000</v>
      </c>
      <c r="O200" s="21" t="n">
        <v>0</v>
      </c>
      <c r="P200" s="21" t="n">
        <v>25</v>
      </c>
      <c r="Q200" s="21" t="n">
        <v>15</v>
      </c>
      <c r="R200" s="21" t="n">
        <v>20</v>
      </c>
      <c r="S200" s="21" t="n">
        <v>0</v>
      </c>
      <c r="T200" s="21" t="n">
        <v>0</v>
      </c>
      <c r="U200" s="21" t="n">
        <v>150</v>
      </c>
      <c r="V200" s="21" t="inlineStr">
        <is>
          <t>Ancient Poison</t>
        </is>
      </c>
      <c r="W200" s="61">
        <f>N200*'Item Budget'!$B$5+R200*'Item Budget'!$B$7+P200*'Item Budget'!$B$11+S200*'Item Budget'!$B$10+Q200*'Item Budget'!$B$9+IFERROR(INDEX('Item Budget'!$M$25:$M$95,MATCH(V200,'Item Budget'!$B$25:$B$95,0)),0)+IF($C200="Weapon",U200*'Item Budget'!$B$9,0)</f>
        <v/>
      </c>
      <c r="X200" s="61">
        <f>N200*'Item Budget'!$B$5+R200*'Item Budget'!$B$7+P200*'Item Budget'!$B$11+S200*'Item Budget'!$B$10+O200*'Item Budget'!$B$6+T200*'Item Budget'!$B$8+IFERROR(INDEX('Item Budget'!$N$25:$N$95,MATCH(V200,'Item Budget'!$B$25:$B$95,0)),0)</f>
        <v/>
      </c>
      <c r="Y200" s="61">
        <f>MAX('Item Budget'!$F$16,INDEX('Gear Budget'!$C$8:$C$14,MATCH($C200,'Gear Budget'!$A$8:$A$14,0))*MIN(M200,50))*$L200</f>
        <v/>
      </c>
      <c r="Z200" s="41">
        <f>IF($C200="Caster weapon",X200,MAX(W200,X200))/Y200</f>
        <v/>
      </c>
      <c r="AA200" s="61">
        <f>IF(OR($C200="Weapon",$C200="Caster weapon"),"",'Gear Budget'!$B$5*MAX(1,MIN(M200,50))*INDEX('Gear Budget'!$B$8:$B$14,MATCH($C200,'Gear Budget'!$A$8:$A$14,0))*IF($C200="Shield",IF(D200="Warrior",1,IF(OR(D200="Rogue",D200="All"),0.38/0.6,0.25/0.6)),IFERROR(INDEX('Gear Budget'!$B$18:$B$21,MATCH($F200,'Gear Budget'!$A$18:$A$21,0)),1)))</f>
        <v/>
      </c>
      <c r="AB200" s="41">
        <f>IF(AA200="","",P200/AA200)</f>
        <v/>
      </c>
      <c r="AC200" s="21" t="n">
        <v>50</v>
      </c>
      <c r="AD200" s="21" t="n">
        <v>3000</v>
      </c>
      <c r="AE200" s="21" t="n">
        <v>0</v>
      </c>
      <c r="AF200" s="21" t="n">
        <v>25</v>
      </c>
      <c r="AG200" s="21" t="n">
        <v>15</v>
      </c>
      <c r="AH200" s="21" t="n">
        <v>20</v>
      </c>
      <c r="AI200" s="21" t="n">
        <v>0</v>
      </c>
      <c r="AJ200" s="21" t="n">
        <v>0</v>
      </c>
      <c r="AK200" s="21" t="n">
        <v>150</v>
      </c>
      <c r="AL200" s="21" t="inlineStr">
        <is>
          <t>Ancient Poison</t>
        </is>
      </c>
      <c r="AM200" s="61">
        <f>AD200*'Item Budget'!$B$5+AH200*'Item Budget'!$B$7+AF200*'Item Budget'!$B$11+AI200*'Item Budget'!$B$10+AG200*'Item Budget'!$B$9+IFERROR(INDEX('Item Budget'!$M$25:$M$95,MATCH(AL200,'Item Budget'!$B$25:$B$95,0)),0)+IF($C200="Weapon",AK200*'Item Budget'!$B$9,0)</f>
        <v/>
      </c>
      <c r="AN200" s="61">
        <f>AD200*'Item Budget'!$B$5+AH200*'Item Budget'!$B$7+AF200*'Item Budget'!$B$11+AI200*'Item Budget'!$B$10+AE200*'Item Budget'!$B$6+AJ200*'Item Budget'!$B$8+IFERROR(INDEX('Item Budget'!$N$25:$N$95,MATCH(AL200,'Item Budget'!$B$25:$B$95,0)),0)</f>
        <v/>
      </c>
      <c r="AO200" s="61">
        <f>MAX('Item Budget'!$F$16,INDEX('Gear Budget'!$C$8:$C$14,MATCH($C200,'Gear Budget'!$A$8:$A$14,0))*MIN(AC200,50))*$L200</f>
        <v/>
      </c>
      <c r="AP200" s="41">
        <f>IF($C200="Caster weapon",AN200,MAX(AM200,AN200))/AO200</f>
        <v/>
      </c>
      <c r="AQ200" s="61">
        <f>IF(OR($C200="Weapon",$C200="Caster weapon"),"",'Gear Budget'!$B$5*MAX(1,MIN(AC200,50))*INDEX('Gear Budget'!$B$8:$B$14,MATCH($C200,'Gear Budget'!$A$8:$A$14,0))*IF($C200="Shield",IF(E200="Warrior",1,IF(OR(E200="Rogue",E200="All"),0.38/0.6,0.25/0.6)),IFERROR(INDEX('Gear Budget'!$B$18:$B$21,MATCH($F200,'Gear Budget'!$A$18:$A$21,0)),1)))</f>
        <v/>
      </c>
      <c r="AR200" s="41">
        <f>IF(AQ200="","",AF200/AQ200)</f>
        <v/>
      </c>
      <c r="AS200" s="64" t="inlineStr">
        <is>
          <t>Pass 1 (applied): 20M: HP 1250 -&gt; 3000 so it beats Coral Sword (no XP gate) for Warriors at endgame.</t>
        </is>
      </c>
      <c r="AT200" s="44">
        <f>IF(OR($E200="All",ISNUMBER(SEARCH("Warrior",$E200))),IF($C200="Caster weapon",(AN200+AF200*('Item Budget'!$AB$14-'Item Budget'!$B$11)),(AM200+AF200*('Item Budget'!$AB$14-'Item Budget'!$B$11))),0)</f>
        <v/>
      </c>
      <c r="AU200" s="44">
        <f>IF(OR($E200="All",ISNUMBER(SEARCH("Rogue",$E200))),IF($C200="Caster weapon",(AN200+AF200*('Item Budget'!$AB$15-'Item Budget'!$B$11)),(AM200+AF200*('Item Budget'!$AB$15-'Item Budget'!$B$11))),0)</f>
        <v/>
      </c>
      <c r="AV200" s="44">
        <f>IF(OR($E200="All",ISNUMBER(SEARCH("Magus",$E200))),(AN200+AF200*('Item Budget'!$AB$16-'Item Budget'!$B$11)),0)</f>
        <v/>
      </c>
      <c r="AW200" s="44">
        <f>IF(OR($E200="All",ISNUMBER(SEARCH("Priest",$E200))),(AN200+AF200*('Item Budget'!$AB$17-'Item Budget'!$B$11)),0)</f>
        <v/>
      </c>
      <c r="AX200" s="44">
        <f>IF(AND(OR($E200="All",ISNUMBER(SEARCH("Warrior",$E200))),AC200&gt;='Item Budget'!$R$10),'Item Budget'!$R$7*100*('Item Budget'!$R$14*(AD200+25*AH200)+'Item Budget'!$S$14*(AE200+25*AJ200))/'Item Budget'!$Z$14+'Item Budget'!$R$9*AF200+IFERROR(INDEX('Item Budget'!$O$25:$O$95,MATCH(AL200,'Item Budget'!$B$25:$B$95,0)),0),0)</f>
        <v/>
      </c>
      <c r="AY200" s="44">
        <f>IF(AND(OR($E200="All",ISNUMBER(SEARCH("Rogue",$E200))),AC200&gt;='Item Budget'!$R$10),'Item Budget'!$R$7*100*('Item Budget'!$R$15*(AD200+25*AH200)+'Item Budget'!$S$15*(AE200+25*AJ200))/'Item Budget'!$Z$15+'Item Budget'!$R$9*AF200+IFERROR(INDEX('Item Budget'!$O$25:$O$95,MATCH(AL200,'Item Budget'!$B$25:$B$95,0)),0),0)</f>
        <v/>
      </c>
      <c r="AZ200" s="44">
        <f>IF(AND(OR($E200="All",ISNUMBER(SEARCH("Magus",$E200))),AC200&gt;='Item Budget'!$R$10),'Item Budget'!$R$7*100*('Item Budget'!$R$16*(AD200+25*AH200)+'Item Budget'!$S$16*(AE200+25*AJ200))/'Item Budget'!$Z$16+'Item Budget'!$R$9*AF200+IFERROR(INDEX('Item Budget'!$O$25:$O$95,MATCH(AL200,'Item Budget'!$B$25:$B$95,0)),0),0)</f>
        <v/>
      </c>
      <c r="BA200" s="44">
        <f>IF(AND(OR($E200="All",ISNUMBER(SEARCH("Priest",$E200))),AC200&gt;='Item Budget'!$R$10),'Item Budget'!$R$7*100*('Item Budget'!$R$17*(AD200+25*AH200)+'Item Budget'!$S$17*(AE200+25*AJ200))/'Item Budget'!$Z$17+'Item Budget'!$R$9*AF200+IFERROR(INDEX('Item Budget'!$O$25:$O$95,MATCH(AL200,'Item Budget'!$B$25:$B$95,0)),0),0)</f>
        <v/>
      </c>
      <c r="BB200" s="52">
        <f>IF(OR($I200&lt;1,IF($I200&gt;=6,AX200,AT200)&lt;=0),"",IF(SUMPRODUCT(MAX(($C$5:$C$215=$C200)*($I$5:$I$215&gt;=1)*($I$5:$I$215&lt;$I200)*IF($I200&gt;=6,$AX$5:$AX$215,$AT$5:$AT$215)))&lt;=0,"",SUMPRODUCT(MAX(($C$5:$C$215=$C200)*($I$5:$I$215=$I200)*IF($I200&gt;=6,$AX$5:$AX$215,$AT$5:$AT$215)))/SUMPRODUCT(MAX(($C$5:$C$215=$C200)*($I$5:$I$215&gt;=1)*($I$5:$I$215&lt;$I200)*IF($I200&gt;=6,$AX$5:$AX$215,$AT$5:$AT$215)))-1))</f>
        <v/>
      </c>
      <c r="BC200" s="52">
        <f>IF(OR($I200&lt;1,IF($I200&gt;=6,AY200,AU200)&lt;=0),"",IF(SUMPRODUCT(MAX(($C$5:$C$215=$C200)*($I$5:$I$215&gt;=1)*($I$5:$I$215&lt;$I200)*IF($I200&gt;=6,$AY$5:$AY$215,$AU$5:$AU$215)))&lt;=0,"",SUMPRODUCT(MAX(($C$5:$C$215=$C200)*($I$5:$I$215=$I200)*IF($I200&gt;=6,$AY$5:$AY$215,$AU$5:$AU$215)))/SUMPRODUCT(MAX(($C$5:$C$215=$C200)*($I$5:$I$215&gt;=1)*($I$5:$I$215&lt;$I200)*IF($I200&gt;=6,$AY$5:$AY$215,$AU$5:$AU$215)))-1))</f>
        <v/>
      </c>
      <c r="BD200" s="52">
        <f>IF(OR($I200&lt;1,IF($I200&gt;=6,AZ200,AV200)&lt;=0),"",IF(SUMPRODUCT(MAX(($C$5:$C$215=$C200)*($I$5:$I$215&gt;=1)*($I$5:$I$215&lt;$I200)*IF($I200&gt;=6,$AZ$5:$AZ$215,$AV$5:$AV$215)))&lt;=0,"",SUMPRODUCT(MAX(($C$5:$C$215=$C200)*($I$5:$I$215=$I200)*IF($I200&gt;=6,$AZ$5:$AZ$215,$AV$5:$AV$215)))/SUMPRODUCT(MAX(($C$5:$C$215=$C200)*($I$5:$I$215&gt;=1)*($I$5:$I$215&lt;$I200)*IF($I200&gt;=6,$AZ$5:$AZ$215,$AV$5:$AV$215)))-1))</f>
        <v/>
      </c>
      <c r="BE200" s="52">
        <f>IF(OR($I200&lt;1,IF($I200&gt;=6,BA200,AW200)&lt;=0),"",IF(SUMPRODUCT(MAX(($C$5:$C$215=$C200)*($I$5:$I$215&gt;=1)*($I$5:$I$215&lt;$I200)*IF($I200&gt;=6,$BA$5:$BA$215,$AW$5:$AW$215)))&lt;=0,"",SUMPRODUCT(MAX(($C$5:$C$215=$C200)*($I$5:$I$215=$I200)*IF($I200&gt;=6,$BA$5:$BA$215,$AW$5:$AW$215)))/SUMPRODUCT(MAX(($C$5:$C$215=$C200)*($I$5:$I$215&gt;=1)*($I$5:$I$215&lt;$I200)*IF($I200&gt;=6,$BA$5:$BA$215,$AW$5:$AW$215)))-1))</f>
        <v/>
      </c>
      <c r="BF200" s="19">
        <f>IF(AND(BB200="",BC200="",BD200="",BE200=""),"",IF(IF(AND(ISNUMBER(BB200),BB200&lt;'Item Budget'!$R$11),"W ","")&amp;IF(AND(ISNUMBER(BC200),BC200&lt;'Item Budget'!$R$11),"R ","")&amp;IF(AND(ISNUMBER(BD200),BD200&lt;'Item Budget'!$R$11),"M ","")&amp;IF(AND(ISNUMBER(BE200),BE200&lt;'Item Budget'!$R$11),"P ","")="","OK","Not above lower step: "&amp;IF(AND(ISNUMBER(BB200),BB200&lt;'Item Budget'!$R$11),"W ","")&amp;IF(AND(ISNUMBER(BC200),BC200&lt;'Item Budget'!$R$11),"R ","")&amp;IF(AND(ISNUMBER(BD200),BD200&lt;'Item Budget'!$R$11),"M ","")&amp;IF(AND(ISNUMBER(BE200),BE200&lt;'Item Budget'!$R$11),"P ","")))</f>
        <v/>
      </c>
    </row>
    <row r="201">
      <c r="A201" s="21" t="n">
        <v>292</v>
      </c>
      <c r="B201" s="21" t="inlineStr">
        <is>
          <t>Ancient Dagger</t>
        </is>
      </c>
      <c r="C201" s="21" t="inlineStr">
        <is>
          <t>Weapon</t>
        </is>
      </c>
      <c r="D201" s="21" t="inlineStr">
        <is>
          <t>Rogue</t>
        </is>
      </c>
      <c r="E201" s="21" t="inlineStr">
        <is>
          <t>Rogue</t>
        </is>
      </c>
      <c r="F201" s="21" t="inlineStr"/>
      <c r="G201" s="21" t="inlineStr">
        <is>
          <t>drop: Dalph Von'Ownu 20%</t>
        </is>
      </c>
      <c r="H201" s="37" t="n">
        <v>20000000</v>
      </c>
      <c r="I201" s="21" t="n">
        <v>6</v>
      </c>
      <c r="J201" s="3" t="inlineStr">
        <is>
          <t>Pass 2</t>
        </is>
      </c>
      <c r="K201" s="21" t="inlineStr">
        <is>
          <t>Rare boss drop</t>
        </is>
      </c>
      <c r="L201" s="31">
        <f>INDEX('Item Budget'!$F$5:$F$13,MATCH(K201,'Item Budget'!$E$5:$E$13,0))+IF(E201="All",0,'Item Budget'!$F$15)+LOOKUP(H201,'Item Budget'!$E$19:$E$23,'Item Budget'!$F$19:$F$23)</f>
        <v/>
      </c>
      <c r="M201" s="21" t="n">
        <v>50</v>
      </c>
      <c r="N201" s="21" t="n">
        <v>1100</v>
      </c>
      <c r="O201" s="21" t="n">
        <v>1100</v>
      </c>
      <c r="P201" s="21" t="n">
        <v>0</v>
      </c>
      <c r="Q201" s="21" t="n">
        <v>0</v>
      </c>
      <c r="R201" s="21" t="n">
        <v>10</v>
      </c>
      <c r="S201" s="21" t="n">
        <v>50</v>
      </c>
      <c r="T201" s="21" t="n">
        <v>10</v>
      </c>
      <c r="U201" s="21" t="n">
        <v>120</v>
      </c>
      <c r="V201" s="21" t="inlineStr">
        <is>
          <t>Ancient Poison</t>
        </is>
      </c>
      <c r="W201" s="61">
        <f>N201*'Item Budget'!$B$5+R201*'Item Budget'!$B$7+P201*'Item Budget'!$B$11+S201*'Item Budget'!$B$10+Q201*'Item Budget'!$B$9+IFERROR(INDEX('Item Budget'!$M$25:$M$95,MATCH(V201,'Item Budget'!$B$25:$B$95,0)),0)+IF($C201="Weapon",U201*'Item Budget'!$B$9,0)</f>
        <v/>
      </c>
      <c r="X201" s="61">
        <f>N201*'Item Budget'!$B$5+R201*'Item Budget'!$B$7+P201*'Item Budget'!$B$11+S201*'Item Budget'!$B$10+O201*'Item Budget'!$B$6+T201*'Item Budget'!$B$8+IFERROR(INDEX('Item Budget'!$N$25:$N$95,MATCH(V201,'Item Budget'!$B$25:$B$95,0)),0)</f>
        <v/>
      </c>
      <c r="Y201" s="61">
        <f>MAX('Item Budget'!$F$16,INDEX('Gear Budget'!$C$8:$C$14,MATCH($C201,'Gear Budget'!$A$8:$A$14,0))*MIN(M201,50))*$L201</f>
        <v/>
      </c>
      <c r="Z201" s="41">
        <f>IF($C201="Caster weapon",X201,MAX(W201,X201))/Y201</f>
        <v/>
      </c>
      <c r="AA201" s="61">
        <f>IF(OR($C201="Weapon",$C201="Caster weapon"),"",'Gear Budget'!$B$5*MAX(1,MIN(M201,50))*INDEX('Gear Budget'!$B$8:$B$14,MATCH($C201,'Gear Budget'!$A$8:$A$14,0))*IF($C201="Shield",IF(D201="Warrior",1,IF(OR(D201="Rogue",D201="All"),0.38/0.6,0.25/0.6)),IFERROR(INDEX('Gear Budget'!$B$18:$B$21,MATCH($F201,'Gear Budget'!$A$18:$A$21,0)),1)))</f>
        <v/>
      </c>
      <c r="AB201" s="41">
        <f>IF(AA201="","",P201/AA201)</f>
        <v/>
      </c>
      <c r="AC201" s="21" t="n">
        <v>50</v>
      </c>
      <c r="AD201" s="21" t="n">
        <v>1100</v>
      </c>
      <c r="AE201" s="21" t="n">
        <v>1100</v>
      </c>
      <c r="AF201" s="21" t="n">
        <v>0</v>
      </c>
      <c r="AG201" s="20" t="n">
        <v>15</v>
      </c>
      <c r="AH201" s="21" t="n">
        <v>10</v>
      </c>
      <c r="AI201" s="21" t="n">
        <v>50</v>
      </c>
      <c r="AJ201" s="21" t="n">
        <v>10</v>
      </c>
      <c r="AK201" s="20" t="n">
        <v>150</v>
      </c>
      <c r="AL201" s="21" t="inlineStr">
        <is>
          <t>Ancient Poison</t>
        </is>
      </c>
      <c r="AM201" s="61">
        <f>AD201*'Item Budget'!$B$5+AH201*'Item Budget'!$B$7+AF201*'Item Budget'!$B$11+AI201*'Item Budget'!$B$10+AG201*'Item Budget'!$B$9+IFERROR(INDEX('Item Budget'!$M$25:$M$95,MATCH(AL201,'Item Budget'!$B$25:$B$95,0)),0)+IF($C201="Weapon",AK201*'Item Budget'!$B$9,0)</f>
        <v/>
      </c>
      <c r="AN201" s="61">
        <f>AD201*'Item Budget'!$B$5+AH201*'Item Budget'!$B$7+AF201*'Item Budget'!$B$11+AI201*'Item Budget'!$B$10+AE201*'Item Budget'!$B$6+AJ201*'Item Budget'!$B$8+IFERROR(INDEX('Item Budget'!$N$25:$N$95,MATCH(AL201,'Item Budget'!$B$25:$B$95,0)),0)</f>
        <v/>
      </c>
      <c r="AO201" s="61">
        <f>MAX('Item Budget'!$F$16,INDEX('Gear Budget'!$C$8:$C$14,MATCH($C201,'Gear Budget'!$A$8:$A$14,0))*MIN(AC201,50))*$L201</f>
        <v/>
      </c>
      <c r="AP201" s="41">
        <f>IF($C201="Caster weapon",AN201,MAX(AM201,AN201))/AO201</f>
        <v/>
      </c>
      <c r="AQ201" s="61">
        <f>IF(OR($C201="Weapon",$C201="Caster weapon"),"",'Gear Budget'!$B$5*MAX(1,MIN(AC201,50))*INDEX('Gear Budget'!$B$8:$B$14,MATCH($C201,'Gear Budget'!$A$8:$A$14,0))*IF($C201="Shield",IF(E201="Warrior",1,IF(OR(E201="Rogue",E201="All"),0.38/0.6,0.25/0.6)),IFERROR(INDEX('Gear Budget'!$B$18:$B$21,MATCH($F201,'Gear Budget'!$A$18:$A$21,0)),1)))</f>
        <v/>
      </c>
      <c r="AR201" s="41">
        <f>IF(AQ201="","",AF201/AQ201)</f>
        <v/>
      </c>
      <c r="AS201" s="64" t="inlineStr">
        <is>
          <t>Ancient Dagger (20M): damage 150, STR 15 (165); matched the Ancient Axe, beats the Fox</t>
        </is>
      </c>
      <c r="AT201" s="44">
        <f>IF(OR($E201="All",ISNUMBER(SEARCH("Warrior",$E201))),IF($C201="Caster weapon",(AN201+AF201*('Item Budget'!$AB$14-'Item Budget'!$B$11)),(AM201+AF201*('Item Budget'!$AB$14-'Item Budget'!$B$11))),0)</f>
        <v/>
      </c>
      <c r="AU201" s="44">
        <f>IF(OR($E201="All",ISNUMBER(SEARCH("Rogue",$E201))),IF($C201="Caster weapon",(AN201+AF201*('Item Budget'!$AB$15-'Item Budget'!$B$11)),(AM201+AF201*('Item Budget'!$AB$15-'Item Budget'!$B$11))),0)</f>
        <v/>
      </c>
      <c r="AV201" s="44">
        <f>IF(OR($E201="All",ISNUMBER(SEARCH("Magus",$E201))),(AN201+AF201*('Item Budget'!$AB$16-'Item Budget'!$B$11)),0)</f>
        <v/>
      </c>
      <c r="AW201" s="44">
        <f>IF(OR($E201="All",ISNUMBER(SEARCH("Priest",$E201))),(AN201+AF201*('Item Budget'!$AB$17-'Item Budget'!$B$11)),0)</f>
        <v/>
      </c>
      <c r="AX201" s="44">
        <f>IF(AND(OR($E201="All",ISNUMBER(SEARCH("Warrior",$E201))),AC201&gt;='Item Budget'!$R$10),'Item Budget'!$R$7*100*('Item Budget'!$R$14*(AD201+25*AH201)+'Item Budget'!$S$14*(AE201+25*AJ201))/'Item Budget'!$Z$14+'Item Budget'!$R$9*AF201+IFERROR(INDEX('Item Budget'!$O$25:$O$95,MATCH(AL201,'Item Budget'!$B$25:$B$95,0)),0),0)</f>
        <v/>
      </c>
      <c r="AY201" s="44">
        <f>IF(AND(OR($E201="All",ISNUMBER(SEARCH("Rogue",$E201))),AC201&gt;='Item Budget'!$R$10),'Item Budget'!$R$7*100*('Item Budget'!$R$15*(AD201+25*AH201)+'Item Budget'!$S$15*(AE201+25*AJ201))/'Item Budget'!$Z$15+'Item Budget'!$R$9*AF201+IFERROR(INDEX('Item Budget'!$O$25:$O$95,MATCH(AL201,'Item Budget'!$B$25:$B$95,0)),0),0)</f>
        <v/>
      </c>
      <c r="AZ201" s="44">
        <f>IF(AND(OR($E201="All",ISNUMBER(SEARCH("Magus",$E201))),AC201&gt;='Item Budget'!$R$10),'Item Budget'!$R$7*100*('Item Budget'!$R$16*(AD201+25*AH201)+'Item Budget'!$S$16*(AE201+25*AJ201))/'Item Budget'!$Z$16+'Item Budget'!$R$9*AF201+IFERROR(INDEX('Item Budget'!$O$25:$O$95,MATCH(AL201,'Item Budget'!$B$25:$B$95,0)),0),0)</f>
        <v/>
      </c>
      <c r="BA201" s="44">
        <f>IF(AND(OR($E201="All",ISNUMBER(SEARCH("Priest",$E201))),AC201&gt;='Item Budget'!$R$10),'Item Budget'!$R$7*100*('Item Budget'!$R$17*(AD201+25*AH201)+'Item Budget'!$S$17*(AE201+25*AJ201))/'Item Budget'!$Z$17+'Item Budget'!$R$9*AF201+IFERROR(INDEX('Item Budget'!$O$25:$O$95,MATCH(AL201,'Item Budget'!$B$25:$B$95,0)),0),0)</f>
        <v/>
      </c>
      <c r="BB201" s="52">
        <f>IF(OR($I201&lt;1,IF($I201&gt;=6,AX201,AT201)&lt;=0),"",IF(SUMPRODUCT(MAX(($C$5:$C$215=$C201)*($I$5:$I$215&gt;=1)*($I$5:$I$215&lt;$I201)*IF($I201&gt;=6,$AX$5:$AX$215,$AT$5:$AT$215)))&lt;=0,"",SUMPRODUCT(MAX(($C$5:$C$215=$C201)*($I$5:$I$215=$I201)*IF($I201&gt;=6,$AX$5:$AX$215,$AT$5:$AT$215)))/SUMPRODUCT(MAX(($C$5:$C$215=$C201)*($I$5:$I$215&gt;=1)*($I$5:$I$215&lt;$I201)*IF($I201&gt;=6,$AX$5:$AX$215,$AT$5:$AT$215)))-1))</f>
        <v/>
      </c>
      <c r="BC201" s="52">
        <f>IF(OR($I201&lt;1,IF($I201&gt;=6,AY201,AU201)&lt;=0),"",IF(SUMPRODUCT(MAX(($C$5:$C$215=$C201)*($I$5:$I$215&gt;=1)*($I$5:$I$215&lt;$I201)*IF($I201&gt;=6,$AY$5:$AY$215,$AU$5:$AU$215)))&lt;=0,"",SUMPRODUCT(MAX(($C$5:$C$215=$C201)*($I$5:$I$215=$I201)*IF($I201&gt;=6,$AY$5:$AY$215,$AU$5:$AU$215)))/SUMPRODUCT(MAX(($C$5:$C$215=$C201)*($I$5:$I$215&gt;=1)*($I$5:$I$215&lt;$I201)*IF($I201&gt;=6,$AY$5:$AY$215,$AU$5:$AU$215)))-1))</f>
        <v/>
      </c>
      <c r="BD201" s="52">
        <f>IF(OR($I201&lt;1,IF($I201&gt;=6,AZ201,AV201)&lt;=0),"",IF(SUMPRODUCT(MAX(($C$5:$C$215=$C201)*($I$5:$I$215&gt;=1)*($I$5:$I$215&lt;$I201)*IF($I201&gt;=6,$AZ$5:$AZ$215,$AV$5:$AV$215)))&lt;=0,"",SUMPRODUCT(MAX(($C$5:$C$215=$C201)*($I$5:$I$215=$I201)*IF($I201&gt;=6,$AZ$5:$AZ$215,$AV$5:$AV$215)))/SUMPRODUCT(MAX(($C$5:$C$215=$C201)*($I$5:$I$215&gt;=1)*($I$5:$I$215&lt;$I201)*IF($I201&gt;=6,$AZ$5:$AZ$215,$AV$5:$AV$215)))-1))</f>
        <v/>
      </c>
      <c r="BE201" s="52">
        <f>IF(OR($I201&lt;1,IF($I201&gt;=6,BA201,AW201)&lt;=0),"",IF(SUMPRODUCT(MAX(($C$5:$C$215=$C201)*($I$5:$I$215&gt;=1)*($I$5:$I$215&lt;$I201)*IF($I201&gt;=6,$BA$5:$BA$215,$AW$5:$AW$215)))&lt;=0,"",SUMPRODUCT(MAX(($C$5:$C$215=$C201)*($I$5:$I$215=$I201)*IF($I201&gt;=6,$BA$5:$BA$215,$AW$5:$AW$215)))/SUMPRODUCT(MAX(($C$5:$C$215=$C201)*($I$5:$I$215&gt;=1)*($I$5:$I$215&lt;$I201)*IF($I201&gt;=6,$BA$5:$BA$215,$AW$5:$AW$215)))-1))</f>
        <v/>
      </c>
      <c r="BF201" s="19">
        <f>IF(AND(BB201="",BC201="",BD201="",BE201=""),"",IF(IF(AND(ISNUMBER(BB201),BB201&lt;'Item Budget'!$R$11),"W ","")&amp;IF(AND(ISNUMBER(BC201),BC201&lt;'Item Budget'!$R$11),"R ","")&amp;IF(AND(ISNUMBER(BD201),BD201&lt;'Item Budget'!$R$11),"M ","")&amp;IF(AND(ISNUMBER(BE201),BE201&lt;'Item Budget'!$R$11),"P ","")="","OK","Not above lower step: "&amp;IF(AND(ISNUMBER(BB201),BB201&lt;'Item Budget'!$R$11),"W ","")&amp;IF(AND(ISNUMBER(BC201),BC201&lt;'Item Budget'!$R$11),"R ","")&amp;IF(AND(ISNUMBER(BD201),BD201&lt;'Item Budget'!$R$11),"M ","")&amp;IF(AND(ISNUMBER(BE201),BE201&lt;'Item Budget'!$R$11),"P ","")))</f>
        <v/>
      </c>
    </row>
    <row r="202">
      <c r="A202" s="21" t="n">
        <v>399</v>
      </c>
      <c r="B202" s="21" t="inlineStr">
        <is>
          <t>Dagger of Contemption</t>
        </is>
      </c>
      <c r="C202" s="21" t="inlineStr">
        <is>
          <t>Weapon</t>
        </is>
      </c>
      <c r="D202" s="21" t="inlineStr">
        <is>
          <t>All</t>
        </is>
      </c>
      <c r="E202" s="21" t="inlineStr">
        <is>
          <t>All</t>
        </is>
      </c>
      <c r="F202" s="21" t="inlineStr"/>
      <c r="G202" s="21" t="inlineStr">
        <is>
          <t>drop: General Vor Chez 10%</t>
        </is>
      </c>
      <c r="H202" s="37" t="n">
        <v>100000000</v>
      </c>
      <c r="I202" s="21" t="n">
        <v>7</v>
      </c>
      <c r="J202" s="3" t="inlineStr">
        <is>
          <t>Pass 2</t>
        </is>
      </c>
      <c r="K202" s="21" t="inlineStr">
        <is>
          <t>Rare boss drop</t>
        </is>
      </c>
      <c r="L202" s="31">
        <f>INDEX('Item Budget'!$F$5:$F$13,MATCH(K202,'Item Budget'!$E$5:$E$13,0))+IF(E202="All",0,'Item Budget'!$F$15)+LOOKUP(H202,'Item Budget'!$E$19:$E$23,'Item Budget'!$F$19:$F$23)</f>
        <v/>
      </c>
      <c r="M202" s="21" t="n">
        <v>50</v>
      </c>
      <c r="N202" s="21" t="n">
        <v>1000</v>
      </c>
      <c r="O202" s="21" t="n">
        <v>1000</v>
      </c>
      <c r="P202" s="21" t="n">
        <v>0</v>
      </c>
      <c r="Q202" s="21" t="n">
        <v>0</v>
      </c>
      <c r="R202" s="21" t="n">
        <v>10</v>
      </c>
      <c r="S202" s="21" t="n">
        <v>10</v>
      </c>
      <c r="T202" s="21" t="n">
        <v>10</v>
      </c>
      <c r="U202" s="21" t="n">
        <v>120</v>
      </c>
      <c r="V202" s="21" t="inlineStr">
        <is>
          <t>Spell Critical Damage VIII</t>
        </is>
      </c>
      <c r="W202" s="61">
        <f>N202*'Item Budget'!$B$5+R202*'Item Budget'!$B$7+P202*'Item Budget'!$B$11+S202*'Item Budget'!$B$10+Q202*'Item Budget'!$B$9+IFERROR(INDEX('Item Budget'!$M$25:$M$95,MATCH(V202,'Item Budget'!$B$25:$B$95,0)),0)+IF($C202="Weapon",U202*'Item Budget'!$B$9,0)</f>
        <v/>
      </c>
      <c r="X202" s="61">
        <f>N202*'Item Budget'!$B$5+R202*'Item Budget'!$B$7+P202*'Item Budget'!$B$11+S202*'Item Budget'!$B$10+O202*'Item Budget'!$B$6+T202*'Item Budget'!$B$8+IFERROR(INDEX('Item Budget'!$N$25:$N$95,MATCH(V202,'Item Budget'!$B$25:$B$95,0)),0)</f>
        <v/>
      </c>
      <c r="Y202" s="61">
        <f>MAX('Item Budget'!$F$16,INDEX('Gear Budget'!$C$8:$C$14,MATCH($C202,'Gear Budget'!$A$8:$A$14,0))*MIN(M202,50))*$L202</f>
        <v/>
      </c>
      <c r="Z202" s="41">
        <f>IF($C202="Caster weapon",X202,MAX(W202,X202))/Y202</f>
        <v/>
      </c>
      <c r="AA202" s="61">
        <f>IF(OR($C202="Weapon",$C202="Caster weapon"),"",'Gear Budget'!$B$5*MAX(1,MIN(M202,50))*INDEX('Gear Budget'!$B$8:$B$14,MATCH($C202,'Gear Budget'!$A$8:$A$14,0))*IF($C202="Shield",IF(D202="Warrior",1,IF(OR(D202="Rogue",D202="All"),0.38/0.6,0.25/0.6)),IFERROR(INDEX('Gear Budget'!$B$18:$B$21,MATCH($F202,'Gear Budget'!$A$18:$A$21,0)),1)))</f>
        <v/>
      </c>
      <c r="AB202" s="41">
        <f>IF(AA202="","",P202/AA202)</f>
        <v/>
      </c>
      <c r="AC202" s="21" t="n">
        <v>50</v>
      </c>
      <c r="AD202" s="21" t="n">
        <v>1000</v>
      </c>
      <c r="AE202" s="21" t="n">
        <v>1000</v>
      </c>
      <c r="AF202" s="21" t="n">
        <v>0</v>
      </c>
      <c r="AG202" s="20" t="n">
        <v>15</v>
      </c>
      <c r="AH202" s="21" t="n">
        <v>10</v>
      </c>
      <c r="AI202" s="21" t="n">
        <v>10</v>
      </c>
      <c r="AJ202" s="21" t="n">
        <v>10</v>
      </c>
      <c r="AK202" s="20" t="n">
        <v>165</v>
      </c>
      <c r="AL202" s="21" t="inlineStr">
        <is>
          <t>Spell Critical Damage VIII</t>
        </is>
      </c>
      <c r="AM202" s="61">
        <f>AD202*'Item Budget'!$B$5+AH202*'Item Budget'!$B$7+AF202*'Item Budget'!$B$11+AI202*'Item Budget'!$B$10+AG202*'Item Budget'!$B$9+IFERROR(INDEX('Item Budget'!$M$25:$M$95,MATCH(AL202,'Item Budget'!$B$25:$B$95,0)),0)+IF($C202="Weapon",AK202*'Item Budget'!$B$9,0)</f>
        <v/>
      </c>
      <c r="AN202" s="61">
        <f>AD202*'Item Budget'!$B$5+AH202*'Item Budget'!$B$7+AF202*'Item Budget'!$B$11+AI202*'Item Budget'!$B$10+AE202*'Item Budget'!$B$6+AJ202*'Item Budget'!$B$8+IFERROR(INDEX('Item Budget'!$N$25:$N$95,MATCH(AL202,'Item Budget'!$B$25:$B$95,0)),0)</f>
        <v/>
      </c>
      <c r="AO202" s="61">
        <f>MAX('Item Budget'!$F$16,INDEX('Gear Budget'!$C$8:$C$14,MATCH($C202,'Gear Budget'!$A$8:$A$14,0))*MIN(AC202,50))*$L202</f>
        <v/>
      </c>
      <c r="AP202" s="41">
        <f>IF($C202="Caster weapon",AN202,MAX(AM202,AN202))/AO202</f>
        <v/>
      </c>
      <c r="AQ202" s="61">
        <f>IF(OR($C202="Weapon",$C202="Caster weapon"),"",'Gear Budget'!$B$5*MAX(1,MIN(AC202,50))*INDEX('Gear Budget'!$B$8:$B$14,MATCH($C202,'Gear Budget'!$A$8:$A$14,0))*IF($C202="Shield",IF(E202="Warrior",1,IF(OR(E202="Rogue",E202="All"),0.38/0.6,0.25/0.6)),IFERROR(INDEX('Gear Budget'!$B$18:$B$21,MATCH($F202,'Gear Budget'!$A$18:$A$21,0)),1)))</f>
        <v/>
      </c>
      <c r="AR202" s="41">
        <f>IF(AQ202="","",AF202/AQ202)</f>
        <v/>
      </c>
      <c r="AS202" s="64" t="inlineStr">
        <is>
          <t>Dagger of Contemption (100M): damage 165, STR 15 (180); was below the 20M melee weapons</t>
        </is>
      </c>
      <c r="AT202" s="44">
        <f>IF(OR($E202="All",ISNUMBER(SEARCH("Warrior",$E202))),IF($C202="Caster weapon",(AN202+AF202*('Item Budget'!$AB$14-'Item Budget'!$B$11)),(AM202+AF202*('Item Budget'!$AB$14-'Item Budget'!$B$11))),0)</f>
        <v/>
      </c>
      <c r="AU202" s="44">
        <f>IF(OR($E202="All",ISNUMBER(SEARCH("Rogue",$E202))),IF($C202="Caster weapon",(AN202+AF202*('Item Budget'!$AB$15-'Item Budget'!$B$11)),(AM202+AF202*('Item Budget'!$AB$15-'Item Budget'!$B$11))),0)</f>
        <v/>
      </c>
      <c r="AV202" s="44">
        <f>IF(OR($E202="All",ISNUMBER(SEARCH("Magus",$E202))),(AN202+AF202*('Item Budget'!$AB$16-'Item Budget'!$B$11)),0)</f>
        <v/>
      </c>
      <c r="AW202" s="44">
        <f>IF(OR($E202="All",ISNUMBER(SEARCH("Priest",$E202))),(AN202+AF202*('Item Budget'!$AB$17-'Item Budget'!$B$11)),0)</f>
        <v/>
      </c>
      <c r="AX202" s="44">
        <f>IF(AND(OR($E202="All",ISNUMBER(SEARCH("Warrior",$E202))),AC202&gt;='Item Budget'!$R$10),'Item Budget'!$R$7*100*('Item Budget'!$R$14*(AD202+25*AH202)+'Item Budget'!$S$14*(AE202+25*AJ202))/'Item Budget'!$Z$14+'Item Budget'!$R$9*AF202+IFERROR(INDEX('Item Budget'!$O$25:$O$95,MATCH(AL202,'Item Budget'!$B$25:$B$95,0)),0),0)</f>
        <v/>
      </c>
      <c r="AY202" s="44">
        <f>IF(AND(OR($E202="All",ISNUMBER(SEARCH("Rogue",$E202))),AC202&gt;='Item Budget'!$R$10),'Item Budget'!$R$7*100*('Item Budget'!$R$15*(AD202+25*AH202)+'Item Budget'!$S$15*(AE202+25*AJ202))/'Item Budget'!$Z$15+'Item Budget'!$R$9*AF202+IFERROR(INDEX('Item Budget'!$O$25:$O$95,MATCH(AL202,'Item Budget'!$B$25:$B$95,0)),0),0)</f>
        <v/>
      </c>
      <c r="AZ202" s="44">
        <f>IF(AND(OR($E202="All",ISNUMBER(SEARCH("Magus",$E202))),AC202&gt;='Item Budget'!$R$10),'Item Budget'!$R$7*100*('Item Budget'!$R$16*(AD202+25*AH202)+'Item Budget'!$S$16*(AE202+25*AJ202))/'Item Budget'!$Z$16+'Item Budget'!$R$9*AF202+IFERROR(INDEX('Item Budget'!$O$25:$O$95,MATCH(AL202,'Item Budget'!$B$25:$B$95,0)),0),0)</f>
        <v/>
      </c>
      <c r="BA202" s="44">
        <f>IF(AND(OR($E202="All",ISNUMBER(SEARCH("Priest",$E202))),AC202&gt;='Item Budget'!$R$10),'Item Budget'!$R$7*100*('Item Budget'!$R$17*(AD202+25*AH202)+'Item Budget'!$S$17*(AE202+25*AJ202))/'Item Budget'!$Z$17+'Item Budget'!$R$9*AF202+IFERROR(INDEX('Item Budget'!$O$25:$O$95,MATCH(AL202,'Item Budget'!$B$25:$B$95,0)),0),0)</f>
        <v/>
      </c>
      <c r="BB202" s="52">
        <f>IF(OR($I202&lt;1,IF($I202&gt;=6,AX202,AT202)&lt;=0),"",IF(SUMPRODUCT(MAX(($C$5:$C$215=$C202)*($I$5:$I$215&gt;=1)*($I$5:$I$215&lt;$I202)*IF($I202&gt;=6,$AX$5:$AX$215,$AT$5:$AT$215)))&lt;=0,"",SUMPRODUCT(MAX(($C$5:$C$215=$C202)*($I$5:$I$215=$I202)*IF($I202&gt;=6,$AX$5:$AX$215,$AT$5:$AT$215)))/SUMPRODUCT(MAX(($C$5:$C$215=$C202)*($I$5:$I$215&gt;=1)*($I$5:$I$215&lt;$I202)*IF($I202&gt;=6,$AX$5:$AX$215,$AT$5:$AT$215)))-1))</f>
        <v/>
      </c>
      <c r="BC202" s="52">
        <f>IF(OR($I202&lt;1,IF($I202&gt;=6,AY202,AU202)&lt;=0),"",IF(SUMPRODUCT(MAX(($C$5:$C$215=$C202)*($I$5:$I$215&gt;=1)*($I$5:$I$215&lt;$I202)*IF($I202&gt;=6,$AY$5:$AY$215,$AU$5:$AU$215)))&lt;=0,"",SUMPRODUCT(MAX(($C$5:$C$215=$C202)*($I$5:$I$215=$I202)*IF($I202&gt;=6,$AY$5:$AY$215,$AU$5:$AU$215)))/SUMPRODUCT(MAX(($C$5:$C$215=$C202)*($I$5:$I$215&gt;=1)*($I$5:$I$215&lt;$I202)*IF($I202&gt;=6,$AY$5:$AY$215,$AU$5:$AU$215)))-1))</f>
        <v/>
      </c>
      <c r="BD202" s="52">
        <f>IF(OR($I202&lt;1,IF($I202&gt;=6,AZ202,AV202)&lt;=0),"",IF(SUMPRODUCT(MAX(($C$5:$C$215=$C202)*($I$5:$I$215&gt;=1)*($I$5:$I$215&lt;$I202)*IF($I202&gt;=6,$AZ$5:$AZ$215,$AV$5:$AV$215)))&lt;=0,"",SUMPRODUCT(MAX(($C$5:$C$215=$C202)*($I$5:$I$215=$I202)*IF($I202&gt;=6,$AZ$5:$AZ$215,$AV$5:$AV$215)))/SUMPRODUCT(MAX(($C$5:$C$215=$C202)*($I$5:$I$215&gt;=1)*($I$5:$I$215&lt;$I202)*IF($I202&gt;=6,$AZ$5:$AZ$215,$AV$5:$AV$215)))-1))</f>
        <v/>
      </c>
      <c r="BE202" s="52">
        <f>IF(OR($I202&lt;1,IF($I202&gt;=6,BA202,AW202)&lt;=0),"",IF(SUMPRODUCT(MAX(($C$5:$C$215=$C202)*($I$5:$I$215&gt;=1)*($I$5:$I$215&lt;$I202)*IF($I202&gt;=6,$BA$5:$BA$215,$AW$5:$AW$215)))&lt;=0,"",SUMPRODUCT(MAX(($C$5:$C$215=$C202)*($I$5:$I$215=$I202)*IF($I202&gt;=6,$BA$5:$BA$215,$AW$5:$AW$215)))/SUMPRODUCT(MAX(($C$5:$C$215=$C202)*($I$5:$I$215&gt;=1)*($I$5:$I$215&lt;$I202)*IF($I202&gt;=6,$BA$5:$BA$215,$AW$5:$AW$215)))-1))</f>
        <v/>
      </c>
      <c r="BF202" s="19">
        <f>IF(AND(BB202="",BC202="",BD202="",BE202=""),"",IF(IF(AND(ISNUMBER(BB202),BB202&lt;'Item Budget'!$R$11),"W ","")&amp;IF(AND(ISNUMBER(BC202),BC202&lt;'Item Budget'!$R$11),"R ","")&amp;IF(AND(ISNUMBER(BD202),BD202&lt;'Item Budget'!$R$11),"M ","")&amp;IF(AND(ISNUMBER(BE202),BE202&lt;'Item Budget'!$R$11),"P ","")="","OK","Not above lower step: "&amp;IF(AND(ISNUMBER(BB202),BB202&lt;'Item Budget'!$R$11),"W ","")&amp;IF(AND(ISNUMBER(BC202),BC202&lt;'Item Budget'!$R$11),"R ","")&amp;IF(AND(ISNUMBER(BD202),BD202&lt;'Item Budget'!$R$11),"M ","")&amp;IF(AND(ISNUMBER(BE202),BE202&lt;'Item Budget'!$R$11),"P ","")))</f>
        <v/>
      </c>
    </row>
    <row r="203">
      <c r="A203" s="21" t="n">
        <v>502</v>
      </c>
      <c r="B203" s="21" t="inlineStr">
        <is>
          <t>Mischiefs Claw of Destruction</t>
        </is>
      </c>
      <c r="C203" s="21" t="inlineStr">
        <is>
          <t>Weapon</t>
        </is>
      </c>
      <c r="D203" s="21" t="inlineStr">
        <is>
          <t>Rogue</t>
        </is>
      </c>
      <c r="E203" s="21" t="inlineStr">
        <is>
          <t>Rogue</t>
        </is>
      </c>
      <c r="F203" s="21" t="inlineStr"/>
      <c r="G203" s="21" t="inlineStr">
        <is>
          <t>drop: Queen Butcher 20%</t>
        </is>
      </c>
      <c r="H203" s="37" t="n">
        <v>200000000</v>
      </c>
      <c r="I203" s="21" t="n">
        <v>8</v>
      </c>
      <c r="J203" s="3" t="inlineStr">
        <is>
          <t>Applied</t>
        </is>
      </c>
      <c r="K203" s="21" t="inlineStr">
        <is>
          <t>Rare boss drop</t>
        </is>
      </c>
      <c r="L203" s="31">
        <f>INDEX('Item Budget'!$F$5:$F$13,MATCH(K203,'Item Budget'!$E$5:$E$13,0))+IF(E203="All",0,'Item Budget'!$F$15)+LOOKUP(H203,'Item Budget'!$E$19:$E$23,'Item Budget'!$F$19:$F$23)</f>
        <v/>
      </c>
      <c r="M203" s="21" t="n">
        <v>50</v>
      </c>
      <c r="N203" s="21" t="n">
        <v>2000</v>
      </c>
      <c r="O203" s="21" t="n">
        <v>2000</v>
      </c>
      <c r="P203" s="21" t="n">
        <v>0</v>
      </c>
      <c r="Q203" s="21" t="n">
        <v>0</v>
      </c>
      <c r="R203" s="21" t="n">
        <v>0</v>
      </c>
      <c r="S203" s="21" t="n">
        <v>0</v>
      </c>
      <c r="T203" s="21" t="n">
        <v>0</v>
      </c>
      <c r="U203" s="21" t="n">
        <v>200</v>
      </c>
      <c r="V203" s="21" t="inlineStr">
        <is>
          <t>Spell Critical Damage VIII</t>
        </is>
      </c>
      <c r="W203" s="61">
        <f>N203*'Item Budget'!$B$5+R203*'Item Budget'!$B$7+P203*'Item Budget'!$B$11+S203*'Item Budget'!$B$10+Q203*'Item Budget'!$B$9+IFERROR(INDEX('Item Budget'!$M$25:$M$95,MATCH(V203,'Item Budget'!$B$25:$B$95,0)),0)+IF($C203="Weapon",U203*'Item Budget'!$B$9,0)</f>
        <v/>
      </c>
      <c r="X203" s="61">
        <f>N203*'Item Budget'!$B$5+R203*'Item Budget'!$B$7+P203*'Item Budget'!$B$11+S203*'Item Budget'!$B$10+O203*'Item Budget'!$B$6+T203*'Item Budget'!$B$8+IFERROR(INDEX('Item Budget'!$N$25:$N$95,MATCH(V203,'Item Budget'!$B$25:$B$95,0)),0)</f>
        <v/>
      </c>
      <c r="Y203" s="61">
        <f>MAX('Item Budget'!$F$16,INDEX('Gear Budget'!$C$8:$C$14,MATCH($C203,'Gear Budget'!$A$8:$A$14,0))*MIN(M203,50))*$L203</f>
        <v/>
      </c>
      <c r="Z203" s="41">
        <f>IF($C203="Caster weapon",X203,MAX(W203,X203))/Y203</f>
        <v/>
      </c>
      <c r="AA203" s="61">
        <f>IF(OR($C203="Weapon",$C203="Caster weapon"),"",'Gear Budget'!$B$5*MAX(1,MIN(M203,50))*INDEX('Gear Budget'!$B$8:$B$14,MATCH($C203,'Gear Budget'!$A$8:$A$14,0))*IF($C203="Shield",IF(D203="Warrior",1,IF(OR(D203="Rogue",D203="All"),0.38/0.6,0.25/0.6)),IFERROR(INDEX('Gear Budget'!$B$18:$B$21,MATCH($F203,'Gear Budget'!$A$18:$A$21,0)),1)))</f>
        <v/>
      </c>
      <c r="AB203" s="41">
        <f>IF(AA203="","",P203/AA203)</f>
        <v/>
      </c>
      <c r="AC203" s="21" t="n">
        <v>50</v>
      </c>
      <c r="AD203" s="21" t="n">
        <v>2000</v>
      </c>
      <c r="AE203" s="21" t="n">
        <v>2000</v>
      </c>
      <c r="AF203" s="21" t="n">
        <v>0</v>
      </c>
      <c r="AG203" s="21" t="n">
        <v>0</v>
      </c>
      <c r="AH203" s="21" t="n">
        <v>0</v>
      </c>
      <c r="AI203" s="21" t="n">
        <v>0</v>
      </c>
      <c r="AJ203" s="21" t="n">
        <v>0</v>
      </c>
      <c r="AK203" s="21" t="n">
        <v>200</v>
      </c>
      <c r="AL203" s="21" t="inlineStr">
        <is>
          <t>Spell Critical Damage VIII</t>
        </is>
      </c>
      <c r="AM203" s="61">
        <f>AD203*'Item Budget'!$B$5+AH203*'Item Budget'!$B$7+AF203*'Item Budget'!$B$11+AI203*'Item Budget'!$B$10+AG203*'Item Budget'!$B$9+IFERROR(INDEX('Item Budget'!$M$25:$M$95,MATCH(AL203,'Item Budget'!$B$25:$B$95,0)),0)+IF($C203="Weapon",AK203*'Item Budget'!$B$9,0)</f>
        <v/>
      </c>
      <c r="AN203" s="61">
        <f>AD203*'Item Budget'!$B$5+AH203*'Item Budget'!$B$7+AF203*'Item Budget'!$B$11+AI203*'Item Budget'!$B$10+AE203*'Item Budget'!$B$6+AJ203*'Item Budget'!$B$8+IFERROR(INDEX('Item Budget'!$N$25:$N$95,MATCH(AL203,'Item Budget'!$B$25:$B$95,0)),0)</f>
        <v/>
      </c>
      <c r="AO203" s="61">
        <f>MAX('Item Budget'!$F$16,INDEX('Gear Budget'!$C$8:$C$14,MATCH($C203,'Gear Budget'!$A$8:$A$14,0))*MIN(AC203,50))*$L203</f>
        <v/>
      </c>
      <c r="AP203" s="41">
        <f>IF($C203="Caster weapon",AN203,MAX(AM203,AN203))/AO203</f>
        <v/>
      </c>
      <c r="AQ203" s="61">
        <f>IF(OR($C203="Weapon",$C203="Caster weapon"),"",'Gear Budget'!$B$5*MAX(1,MIN(AC203,50))*INDEX('Gear Budget'!$B$8:$B$14,MATCH($C203,'Gear Budget'!$A$8:$A$14,0))*IF($C203="Shield",IF(E203="Warrior",1,IF(OR(E203="Rogue",E203="All"),0.38/0.6,0.25/0.6)),IFERROR(INDEX('Gear Budget'!$B$18:$B$21,MATCH($F203,'Gear Budget'!$A$18:$A$21,0)),1)))</f>
        <v/>
      </c>
      <c r="AR203" s="41">
        <f>IF(AQ203="","",AF203/AQ203)</f>
        <v/>
      </c>
      <c r="AS203" s="64" t="inlineStr">
        <is>
          <t>Pass 1 (applied): 200M: HP/MP 1500 -&gt; 2000 to stay above Dagger of Contemption (buffed).</t>
        </is>
      </c>
      <c r="AT203" s="44">
        <f>IF(OR($E203="All",ISNUMBER(SEARCH("Warrior",$E203))),IF($C203="Caster weapon",(AN203+AF203*('Item Budget'!$AB$14-'Item Budget'!$B$11)),(AM203+AF203*('Item Budget'!$AB$14-'Item Budget'!$B$11))),0)</f>
        <v/>
      </c>
      <c r="AU203" s="44">
        <f>IF(OR($E203="All",ISNUMBER(SEARCH("Rogue",$E203))),IF($C203="Caster weapon",(AN203+AF203*('Item Budget'!$AB$15-'Item Budget'!$B$11)),(AM203+AF203*('Item Budget'!$AB$15-'Item Budget'!$B$11))),0)</f>
        <v/>
      </c>
      <c r="AV203" s="44">
        <f>IF(OR($E203="All",ISNUMBER(SEARCH("Magus",$E203))),(AN203+AF203*('Item Budget'!$AB$16-'Item Budget'!$B$11)),0)</f>
        <v/>
      </c>
      <c r="AW203" s="44">
        <f>IF(OR($E203="All",ISNUMBER(SEARCH("Priest",$E203))),(AN203+AF203*('Item Budget'!$AB$17-'Item Budget'!$B$11)),0)</f>
        <v/>
      </c>
      <c r="AX203" s="44">
        <f>IF(AND(OR($E203="All",ISNUMBER(SEARCH("Warrior",$E203))),AC203&gt;='Item Budget'!$R$10),'Item Budget'!$R$7*100*('Item Budget'!$R$14*(AD203+25*AH203)+'Item Budget'!$S$14*(AE203+25*AJ203))/'Item Budget'!$Z$14+'Item Budget'!$R$9*AF203+IFERROR(INDEX('Item Budget'!$O$25:$O$95,MATCH(AL203,'Item Budget'!$B$25:$B$95,0)),0),0)</f>
        <v/>
      </c>
      <c r="AY203" s="44">
        <f>IF(AND(OR($E203="All",ISNUMBER(SEARCH("Rogue",$E203))),AC203&gt;='Item Budget'!$R$10),'Item Budget'!$R$7*100*('Item Budget'!$R$15*(AD203+25*AH203)+'Item Budget'!$S$15*(AE203+25*AJ203))/'Item Budget'!$Z$15+'Item Budget'!$R$9*AF203+IFERROR(INDEX('Item Budget'!$O$25:$O$95,MATCH(AL203,'Item Budget'!$B$25:$B$95,0)),0),0)</f>
        <v/>
      </c>
      <c r="AZ203" s="44">
        <f>IF(AND(OR($E203="All",ISNUMBER(SEARCH("Magus",$E203))),AC203&gt;='Item Budget'!$R$10),'Item Budget'!$R$7*100*('Item Budget'!$R$16*(AD203+25*AH203)+'Item Budget'!$S$16*(AE203+25*AJ203))/'Item Budget'!$Z$16+'Item Budget'!$R$9*AF203+IFERROR(INDEX('Item Budget'!$O$25:$O$95,MATCH(AL203,'Item Budget'!$B$25:$B$95,0)),0),0)</f>
        <v/>
      </c>
      <c r="BA203" s="44">
        <f>IF(AND(OR($E203="All",ISNUMBER(SEARCH("Priest",$E203))),AC203&gt;='Item Budget'!$R$10),'Item Budget'!$R$7*100*('Item Budget'!$R$17*(AD203+25*AH203)+'Item Budget'!$S$17*(AE203+25*AJ203))/'Item Budget'!$Z$17+'Item Budget'!$R$9*AF203+IFERROR(INDEX('Item Budget'!$O$25:$O$95,MATCH(AL203,'Item Budget'!$B$25:$B$95,0)),0),0)</f>
        <v/>
      </c>
      <c r="BB203" s="52">
        <f>IF(OR($I203&lt;1,IF($I203&gt;=6,AX203,AT203)&lt;=0),"",IF(SUMPRODUCT(MAX(($C$5:$C$215=$C203)*($I$5:$I$215&gt;=1)*($I$5:$I$215&lt;$I203)*IF($I203&gt;=6,$AX$5:$AX$215,$AT$5:$AT$215)))&lt;=0,"",SUMPRODUCT(MAX(($C$5:$C$215=$C203)*($I$5:$I$215=$I203)*IF($I203&gt;=6,$AX$5:$AX$215,$AT$5:$AT$215)))/SUMPRODUCT(MAX(($C$5:$C$215=$C203)*($I$5:$I$215&gt;=1)*($I$5:$I$215&lt;$I203)*IF($I203&gt;=6,$AX$5:$AX$215,$AT$5:$AT$215)))-1))</f>
        <v/>
      </c>
      <c r="BC203" s="52">
        <f>IF(OR($I203&lt;1,IF($I203&gt;=6,AY203,AU203)&lt;=0),"",IF(SUMPRODUCT(MAX(($C$5:$C$215=$C203)*($I$5:$I$215&gt;=1)*($I$5:$I$215&lt;$I203)*IF($I203&gt;=6,$AY$5:$AY$215,$AU$5:$AU$215)))&lt;=0,"",SUMPRODUCT(MAX(($C$5:$C$215=$C203)*($I$5:$I$215=$I203)*IF($I203&gt;=6,$AY$5:$AY$215,$AU$5:$AU$215)))/SUMPRODUCT(MAX(($C$5:$C$215=$C203)*($I$5:$I$215&gt;=1)*($I$5:$I$215&lt;$I203)*IF($I203&gt;=6,$AY$5:$AY$215,$AU$5:$AU$215)))-1))</f>
        <v/>
      </c>
      <c r="BD203" s="52">
        <f>IF(OR($I203&lt;1,IF($I203&gt;=6,AZ203,AV203)&lt;=0),"",IF(SUMPRODUCT(MAX(($C$5:$C$215=$C203)*($I$5:$I$215&gt;=1)*($I$5:$I$215&lt;$I203)*IF($I203&gt;=6,$AZ$5:$AZ$215,$AV$5:$AV$215)))&lt;=0,"",SUMPRODUCT(MAX(($C$5:$C$215=$C203)*($I$5:$I$215=$I203)*IF($I203&gt;=6,$AZ$5:$AZ$215,$AV$5:$AV$215)))/SUMPRODUCT(MAX(($C$5:$C$215=$C203)*($I$5:$I$215&gt;=1)*($I$5:$I$215&lt;$I203)*IF($I203&gt;=6,$AZ$5:$AZ$215,$AV$5:$AV$215)))-1))</f>
        <v/>
      </c>
      <c r="BE203" s="52">
        <f>IF(OR($I203&lt;1,IF($I203&gt;=6,BA203,AW203)&lt;=0),"",IF(SUMPRODUCT(MAX(($C$5:$C$215=$C203)*($I$5:$I$215&gt;=1)*($I$5:$I$215&lt;$I203)*IF($I203&gt;=6,$BA$5:$BA$215,$AW$5:$AW$215)))&lt;=0,"",SUMPRODUCT(MAX(($C$5:$C$215=$C203)*($I$5:$I$215=$I203)*IF($I203&gt;=6,$BA$5:$BA$215,$AW$5:$AW$215)))/SUMPRODUCT(MAX(($C$5:$C$215=$C203)*($I$5:$I$215&gt;=1)*($I$5:$I$215&lt;$I203)*IF($I203&gt;=6,$BA$5:$BA$215,$AW$5:$AW$215)))-1))</f>
        <v/>
      </c>
      <c r="BF203" s="19">
        <f>IF(AND(BB203="",BC203="",BD203="",BE203=""),"",IF(IF(AND(ISNUMBER(BB203),BB203&lt;'Item Budget'!$R$11),"W ","")&amp;IF(AND(ISNUMBER(BC203),BC203&lt;'Item Budget'!$R$11),"R ","")&amp;IF(AND(ISNUMBER(BD203),BD203&lt;'Item Budget'!$R$11),"M ","")&amp;IF(AND(ISNUMBER(BE203),BE203&lt;'Item Budget'!$R$11),"P ","")="","OK","Not above lower step: "&amp;IF(AND(ISNUMBER(BB203),BB203&lt;'Item Budget'!$R$11),"W ","")&amp;IF(AND(ISNUMBER(BC203),BC203&lt;'Item Budget'!$R$11),"R ","")&amp;IF(AND(ISNUMBER(BD203),BD203&lt;'Item Budget'!$R$11),"M ","")&amp;IF(AND(ISNUMBER(BE203),BE203&lt;'Item Budget'!$R$11),"P ","")))</f>
        <v/>
      </c>
    </row>
    <row r="204">
      <c r="A204" s="21" t="n">
        <v>505</v>
      </c>
      <c r="B204" s="21" t="inlineStr">
        <is>
          <t>Knights Sword of Awe</t>
        </is>
      </c>
      <c r="C204" s="21" t="inlineStr">
        <is>
          <t>Weapon</t>
        </is>
      </c>
      <c r="D204" s="21" t="inlineStr">
        <is>
          <t>Warrior</t>
        </is>
      </c>
      <c r="E204" s="21" t="inlineStr">
        <is>
          <t>Warrior</t>
        </is>
      </c>
      <c r="F204" s="21" t="inlineStr"/>
      <c r="G204" s="21" t="inlineStr">
        <is>
          <t>drop: Queen Butcher 20%</t>
        </is>
      </c>
      <c r="H204" s="37" t="n">
        <v>200000000</v>
      </c>
      <c r="I204" s="21" t="n">
        <v>8</v>
      </c>
      <c r="J204" s="19" t="inlineStr">
        <is>
          <t>Leave</t>
        </is>
      </c>
      <c r="K204" s="21" t="inlineStr">
        <is>
          <t>Rare boss drop</t>
        </is>
      </c>
      <c r="L204" s="31">
        <f>INDEX('Item Budget'!$F$5:$F$13,MATCH(K204,'Item Budget'!$E$5:$E$13,0))+IF(E204="All",0,'Item Budget'!$F$15)+LOOKUP(H204,'Item Budget'!$E$19:$E$23,'Item Budget'!$F$19:$F$23)</f>
        <v/>
      </c>
      <c r="M204" s="21" t="n">
        <v>50</v>
      </c>
      <c r="N204" s="21" t="n">
        <v>5000</v>
      </c>
      <c r="O204" s="21" t="n">
        <v>0</v>
      </c>
      <c r="P204" s="21" t="n">
        <v>275</v>
      </c>
      <c r="Q204" s="21" t="n">
        <v>0</v>
      </c>
      <c r="R204" s="21" t="n">
        <v>0</v>
      </c>
      <c r="S204" s="21" t="n">
        <v>0</v>
      </c>
      <c r="T204" s="21" t="n">
        <v>0</v>
      </c>
      <c r="U204" s="21" t="n">
        <v>250</v>
      </c>
      <c r="V204" s="21" t="inlineStr">
        <is>
          <t>Spell Critical V and Reduction XV</t>
        </is>
      </c>
      <c r="W204" s="61">
        <f>N204*'Item Budget'!$B$5+R204*'Item Budget'!$B$7+P204*'Item Budget'!$B$11+S204*'Item Budget'!$B$10+Q204*'Item Budget'!$B$9+IFERROR(INDEX('Item Budget'!$M$25:$M$95,MATCH(V204,'Item Budget'!$B$25:$B$95,0)),0)+IF($C204="Weapon",U204*'Item Budget'!$B$9,0)</f>
        <v/>
      </c>
      <c r="X204" s="61">
        <f>N204*'Item Budget'!$B$5+R204*'Item Budget'!$B$7+P204*'Item Budget'!$B$11+S204*'Item Budget'!$B$10+O204*'Item Budget'!$B$6+T204*'Item Budget'!$B$8+IFERROR(INDEX('Item Budget'!$N$25:$N$95,MATCH(V204,'Item Budget'!$B$25:$B$95,0)),0)</f>
        <v/>
      </c>
      <c r="Y204" s="61">
        <f>MAX('Item Budget'!$F$16,INDEX('Gear Budget'!$C$8:$C$14,MATCH($C204,'Gear Budget'!$A$8:$A$14,0))*MIN(M204,50))*$L204</f>
        <v/>
      </c>
      <c r="Z204" s="41">
        <f>IF($C204="Caster weapon",X204,MAX(W204,X204))/Y204</f>
        <v/>
      </c>
      <c r="AA204" s="61">
        <f>IF(OR($C204="Weapon",$C204="Caster weapon"),"",'Gear Budget'!$B$5*MAX(1,MIN(M204,50))*INDEX('Gear Budget'!$B$8:$B$14,MATCH($C204,'Gear Budget'!$A$8:$A$14,0))*IF($C204="Shield",IF(D204="Warrior",1,IF(OR(D204="Rogue",D204="All"),0.38/0.6,0.25/0.6)),IFERROR(INDEX('Gear Budget'!$B$18:$B$21,MATCH($F204,'Gear Budget'!$A$18:$A$21,0)),1)))</f>
        <v/>
      </c>
      <c r="AB204" s="41">
        <f>IF(AA204="","",P204/AA204)</f>
        <v/>
      </c>
      <c r="AC204" s="21" t="n">
        <v>50</v>
      </c>
      <c r="AD204" s="21" t="n">
        <v>5000</v>
      </c>
      <c r="AE204" s="21" t="n">
        <v>0</v>
      </c>
      <c r="AF204" s="21" t="n">
        <v>275</v>
      </c>
      <c r="AG204" s="21" t="n">
        <v>0</v>
      </c>
      <c r="AH204" s="21" t="n">
        <v>0</v>
      </c>
      <c r="AI204" s="21" t="n">
        <v>0</v>
      </c>
      <c r="AJ204" s="21" t="n">
        <v>0</v>
      </c>
      <c r="AK204" s="21" t="n">
        <v>250</v>
      </c>
      <c r="AL204" s="21" t="inlineStr">
        <is>
          <t>Spell Critical V and Reduction XV</t>
        </is>
      </c>
      <c r="AM204" s="61">
        <f>AD204*'Item Budget'!$B$5+AH204*'Item Budget'!$B$7+AF204*'Item Budget'!$B$11+AI204*'Item Budget'!$B$10+AG204*'Item Budget'!$B$9+IFERROR(INDEX('Item Budget'!$M$25:$M$95,MATCH(AL204,'Item Budget'!$B$25:$B$95,0)),0)+IF($C204="Weapon",AK204*'Item Budget'!$B$9,0)</f>
        <v/>
      </c>
      <c r="AN204" s="61">
        <f>AD204*'Item Budget'!$B$5+AH204*'Item Budget'!$B$7+AF204*'Item Budget'!$B$11+AI204*'Item Budget'!$B$10+AE204*'Item Budget'!$B$6+AJ204*'Item Budget'!$B$8+IFERROR(INDEX('Item Budget'!$N$25:$N$95,MATCH(AL204,'Item Budget'!$B$25:$B$95,0)),0)</f>
        <v/>
      </c>
      <c r="AO204" s="61">
        <f>MAX('Item Budget'!$F$16,INDEX('Gear Budget'!$C$8:$C$14,MATCH($C204,'Gear Budget'!$A$8:$A$14,0))*MIN(AC204,50))*$L204</f>
        <v/>
      </c>
      <c r="AP204" s="41">
        <f>IF($C204="Caster weapon",AN204,MAX(AM204,AN204))/AO204</f>
        <v/>
      </c>
      <c r="AQ204" s="61">
        <f>IF(OR($C204="Weapon",$C204="Caster weapon"),"",'Gear Budget'!$B$5*MAX(1,MIN(AC204,50))*INDEX('Gear Budget'!$B$8:$B$14,MATCH($C204,'Gear Budget'!$A$8:$A$14,0))*IF($C204="Shield",IF(E204="Warrior",1,IF(OR(E204="Rogue",E204="All"),0.38/0.6,0.25/0.6)),IFERROR(INDEX('Gear Budget'!$B$18:$B$21,MATCH($F204,'Gear Budget'!$A$18:$A$21,0)),1)))</f>
        <v/>
      </c>
      <c r="AR204" s="41">
        <f>IF(AQ204="","",AF204/AQ204)</f>
        <v/>
      </c>
      <c r="AS204" s="64" t="n"/>
      <c r="AT204" s="44">
        <f>IF(OR($E204="All",ISNUMBER(SEARCH("Warrior",$E204))),IF($C204="Caster weapon",(AN204+AF204*('Item Budget'!$AB$14-'Item Budget'!$B$11)),(AM204+AF204*('Item Budget'!$AB$14-'Item Budget'!$B$11))),0)</f>
        <v/>
      </c>
      <c r="AU204" s="44">
        <f>IF(OR($E204="All",ISNUMBER(SEARCH("Rogue",$E204))),IF($C204="Caster weapon",(AN204+AF204*('Item Budget'!$AB$15-'Item Budget'!$B$11)),(AM204+AF204*('Item Budget'!$AB$15-'Item Budget'!$B$11))),0)</f>
        <v/>
      </c>
      <c r="AV204" s="44">
        <f>IF(OR($E204="All",ISNUMBER(SEARCH("Magus",$E204))),(AN204+AF204*('Item Budget'!$AB$16-'Item Budget'!$B$11)),0)</f>
        <v/>
      </c>
      <c r="AW204" s="44">
        <f>IF(OR($E204="All",ISNUMBER(SEARCH("Priest",$E204))),(AN204+AF204*('Item Budget'!$AB$17-'Item Budget'!$B$11)),0)</f>
        <v/>
      </c>
      <c r="AX204" s="44">
        <f>IF(AND(OR($E204="All",ISNUMBER(SEARCH("Warrior",$E204))),AC204&gt;='Item Budget'!$R$10),'Item Budget'!$R$7*100*('Item Budget'!$R$14*(AD204+25*AH204)+'Item Budget'!$S$14*(AE204+25*AJ204))/'Item Budget'!$Z$14+'Item Budget'!$R$9*AF204+IFERROR(INDEX('Item Budget'!$O$25:$O$95,MATCH(AL204,'Item Budget'!$B$25:$B$95,0)),0),0)</f>
        <v/>
      </c>
      <c r="AY204" s="44">
        <f>IF(AND(OR($E204="All",ISNUMBER(SEARCH("Rogue",$E204))),AC204&gt;='Item Budget'!$R$10),'Item Budget'!$R$7*100*('Item Budget'!$R$15*(AD204+25*AH204)+'Item Budget'!$S$15*(AE204+25*AJ204))/'Item Budget'!$Z$15+'Item Budget'!$R$9*AF204+IFERROR(INDEX('Item Budget'!$O$25:$O$95,MATCH(AL204,'Item Budget'!$B$25:$B$95,0)),0),0)</f>
        <v/>
      </c>
      <c r="AZ204" s="44">
        <f>IF(AND(OR($E204="All",ISNUMBER(SEARCH("Magus",$E204))),AC204&gt;='Item Budget'!$R$10),'Item Budget'!$R$7*100*('Item Budget'!$R$16*(AD204+25*AH204)+'Item Budget'!$S$16*(AE204+25*AJ204))/'Item Budget'!$Z$16+'Item Budget'!$R$9*AF204+IFERROR(INDEX('Item Budget'!$O$25:$O$95,MATCH(AL204,'Item Budget'!$B$25:$B$95,0)),0),0)</f>
        <v/>
      </c>
      <c r="BA204" s="44">
        <f>IF(AND(OR($E204="All",ISNUMBER(SEARCH("Priest",$E204))),AC204&gt;='Item Budget'!$R$10),'Item Budget'!$R$7*100*('Item Budget'!$R$17*(AD204+25*AH204)+'Item Budget'!$S$17*(AE204+25*AJ204))/'Item Budget'!$Z$17+'Item Budget'!$R$9*AF204+IFERROR(INDEX('Item Budget'!$O$25:$O$95,MATCH(AL204,'Item Budget'!$B$25:$B$95,0)),0),0)</f>
        <v/>
      </c>
      <c r="BB204" s="52">
        <f>IF(OR($I204&lt;1,IF($I204&gt;=6,AX204,AT204)&lt;=0),"",IF(SUMPRODUCT(MAX(($C$5:$C$215=$C204)*($I$5:$I$215&gt;=1)*($I$5:$I$215&lt;$I204)*IF($I204&gt;=6,$AX$5:$AX$215,$AT$5:$AT$215)))&lt;=0,"",SUMPRODUCT(MAX(($C$5:$C$215=$C204)*($I$5:$I$215=$I204)*IF($I204&gt;=6,$AX$5:$AX$215,$AT$5:$AT$215)))/SUMPRODUCT(MAX(($C$5:$C$215=$C204)*($I$5:$I$215&gt;=1)*($I$5:$I$215&lt;$I204)*IF($I204&gt;=6,$AX$5:$AX$215,$AT$5:$AT$215)))-1))</f>
        <v/>
      </c>
      <c r="BC204" s="52">
        <f>IF(OR($I204&lt;1,IF($I204&gt;=6,AY204,AU204)&lt;=0),"",IF(SUMPRODUCT(MAX(($C$5:$C$215=$C204)*($I$5:$I$215&gt;=1)*($I$5:$I$215&lt;$I204)*IF($I204&gt;=6,$AY$5:$AY$215,$AU$5:$AU$215)))&lt;=0,"",SUMPRODUCT(MAX(($C$5:$C$215=$C204)*($I$5:$I$215=$I204)*IF($I204&gt;=6,$AY$5:$AY$215,$AU$5:$AU$215)))/SUMPRODUCT(MAX(($C$5:$C$215=$C204)*($I$5:$I$215&gt;=1)*($I$5:$I$215&lt;$I204)*IF($I204&gt;=6,$AY$5:$AY$215,$AU$5:$AU$215)))-1))</f>
        <v/>
      </c>
      <c r="BD204" s="52">
        <f>IF(OR($I204&lt;1,IF($I204&gt;=6,AZ204,AV204)&lt;=0),"",IF(SUMPRODUCT(MAX(($C$5:$C$215=$C204)*($I$5:$I$215&gt;=1)*($I$5:$I$215&lt;$I204)*IF($I204&gt;=6,$AZ$5:$AZ$215,$AV$5:$AV$215)))&lt;=0,"",SUMPRODUCT(MAX(($C$5:$C$215=$C204)*($I$5:$I$215=$I204)*IF($I204&gt;=6,$AZ$5:$AZ$215,$AV$5:$AV$215)))/SUMPRODUCT(MAX(($C$5:$C$215=$C204)*($I$5:$I$215&gt;=1)*($I$5:$I$215&lt;$I204)*IF($I204&gt;=6,$AZ$5:$AZ$215,$AV$5:$AV$215)))-1))</f>
        <v/>
      </c>
      <c r="BE204" s="52">
        <f>IF(OR($I204&lt;1,IF($I204&gt;=6,BA204,AW204)&lt;=0),"",IF(SUMPRODUCT(MAX(($C$5:$C$215=$C204)*($I$5:$I$215&gt;=1)*($I$5:$I$215&lt;$I204)*IF($I204&gt;=6,$BA$5:$BA$215,$AW$5:$AW$215)))&lt;=0,"",SUMPRODUCT(MAX(($C$5:$C$215=$C204)*($I$5:$I$215=$I204)*IF($I204&gt;=6,$BA$5:$BA$215,$AW$5:$AW$215)))/SUMPRODUCT(MAX(($C$5:$C$215=$C204)*($I$5:$I$215&gt;=1)*($I$5:$I$215&lt;$I204)*IF($I204&gt;=6,$BA$5:$BA$215,$AW$5:$AW$215)))-1))</f>
        <v/>
      </c>
      <c r="BF204" s="19">
        <f>IF(AND(BB204="",BC204="",BD204="",BE204=""),"",IF(IF(AND(ISNUMBER(BB204),BB204&lt;'Item Budget'!$R$11),"W ","")&amp;IF(AND(ISNUMBER(BC204),BC204&lt;'Item Budget'!$R$11),"R ","")&amp;IF(AND(ISNUMBER(BD204),BD204&lt;'Item Budget'!$R$11),"M ","")&amp;IF(AND(ISNUMBER(BE204),BE204&lt;'Item Budget'!$R$11),"P ","")="","OK","Not above lower step: "&amp;IF(AND(ISNUMBER(BB204),BB204&lt;'Item Budget'!$R$11),"W ","")&amp;IF(AND(ISNUMBER(BC204),BC204&lt;'Item Budget'!$R$11),"R ","")&amp;IF(AND(ISNUMBER(BD204),BD204&lt;'Item Budget'!$R$11),"M ","")&amp;IF(AND(ISNUMBER(BE204),BE204&lt;'Item Budget'!$R$11),"P ","")))</f>
        <v/>
      </c>
    </row>
    <row r="205">
      <c r="A205" s="21" t="n">
        <v>203</v>
      </c>
      <c r="B205" s="21" t="inlineStr">
        <is>
          <t>Brilliant Hammer</t>
        </is>
      </c>
      <c r="C205" s="21" t="inlineStr">
        <is>
          <t>Caster weapon</t>
        </is>
      </c>
      <c r="D205" s="21" t="inlineStr">
        <is>
          <t>Priest</t>
        </is>
      </c>
      <c r="E205" s="21" t="inlineStr">
        <is>
          <t>Priest</t>
        </is>
      </c>
      <c r="F205" s="21" t="inlineStr"/>
      <c r="G205" s="21" t="inlineStr">
        <is>
          <t>drop: Unloved 2%</t>
        </is>
      </c>
      <c r="H205" s="37" t="n">
        <v>0</v>
      </c>
      <c r="I205" s="21" t="n">
        <v>0</v>
      </c>
      <c r="J205" s="3" t="inlineStr">
        <is>
          <t>Applied</t>
        </is>
      </c>
      <c r="K205" s="21" t="inlineStr">
        <is>
          <t>Vendor</t>
        </is>
      </c>
      <c r="L205" s="31">
        <f>INDEX('Item Budget'!$F$5:$F$13,MATCH(K205,'Item Budget'!$E$5:$E$13,0))+IF(E205="All",0,'Item Budget'!$F$15)+LOOKUP(H205,'Item Budget'!$E$19:$E$23,'Item Budget'!$F$19:$F$23)</f>
        <v/>
      </c>
      <c r="M205" s="21" t="n">
        <v>27</v>
      </c>
      <c r="N205" s="21" t="n">
        <v>50</v>
      </c>
      <c r="O205" s="21" t="n">
        <v>100</v>
      </c>
      <c r="P205" s="21" t="n">
        <v>0</v>
      </c>
      <c r="Q205" s="21" t="n">
        <v>0</v>
      </c>
      <c r="R205" s="21" t="n">
        <v>4</v>
      </c>
      <c r="S205" s="21" t="n">
        <v>0</v>
      </c>
      <c r="T205" s="21" t="n">
        <v>12</v>
      </c>
      <c r="U205" s="21" t="n">
        <v>19</v>
      </c>
      <c r="V205" s="21" t="inlineStr">
        <is>
          <t>(none)</t>
        </is>
      </c>
      <c r="W205" s="61">
        <f>N205*'Item Budget'!$B$5+R205*'Item Budget'!$B$7+P205*'Item Budget'!$B$11+S205*'Item Budget'!$B$10+Q205*'Item Budget'!$B$9+IFERROR(INDEX('Item Budget'!$M$25:$M$95,MATCH(V205,'Item Budget'!$B$25:$B$95,0)),0)+IF($C205="Weapon",U205*'Item Budget'!$B$9,0)</f>
        <v/>
      </c>
      <c r="X205" s="61">
        <f>N205*'Item Budget'!$B$5+R205*'Item Budget'!$B$7+P205*'Item Budget'!$B$11+S205*'Item Budget'!$B$10+O205*'Item Budget'!$B$6+T205*'Item Budget'!$B$8+IFERROR(INDEX('Item Budget'!$N$25:$N$95,MATCH(V205,'Item Budget'!$B$25:$B$95,0)),0)</f>
        <v/>
      </c>
      <c r="Y205" s="61">
        <f>MAX('Item Budget'!$F$16,INDEX('Gear Budget'!$C$8:$C$14,MATCH($C205,'Gear Budget'!$A$8:$A$14,0))*MIN(M205,50))*$L205</f>
        <v/>
      </c>
      <c r="Z205" s="41">
        <f>IF($C205="Caster weapon",X205,MAX(W205,X205))/Y205</f>
        <v/>
      </c>
      <c r="AA205" s="61">
        <f>IF(OR($C205="Weapon",$C205="Caster weapon"),"",'Gear Budget'!$B$5*MAX(1,MIN(M205,50))*INDEX('Gear Budget'!$B$8:$B$14,MATCH($C205,'Gear Budget'!$A$8:$A$14,0))*IF($C205="Shield",IF(D205="Warrior",1,IF(OR(D205="Rogue",D205="All"),0.38/0.6,0.25/0.6)),IFERROR(INDEX('Gear Budget'!$B$18:$B$21,MATCH($F205,'Gear Budget'!$A$18:$A$21,0)),1)))</f>
        <v/>
      </c>
      <c r="AB205" s="41">
        <f>IF(AA205="","",P205/AA205)</f>
        <v/>
      </c>
      <c r="AC205" s="21" t="n">
        <v>27</v>
      </c>
      <c r="AD205" s="21" t="n">
        <v>50</v>
      </c>
      <c r="AE205" s="21" t="n">
        <v>100</v>
      </c>
      <c r="AF205" s="21" t="n">
        <v>0</v>
      </c>
      <c r="AG205" s="21" t="n">
        <v>0</v>
      </c>
      <c r="AH205" s="21" t="n">
        <v>4</v>
      </c>
      <c r="AI205" s="21" t="n">
        <v>0</v>
      </c>
      <c r="AJ205" s="21" t="n">
        <v>12</v>
      </c>
      <c r="AK205" s="21" t="n">
        <v>19</v>
      </c>
      <c r="AL205" s="21" t="inlineStr">
        <is>
          <t>(none)</t>
        </is>
      </c>
      <c r="AM205" s="61">
        <f>AD205*'Item Budget'!$B$5+AH205*'Item Budget'!$B$7+AF205*'Item Budget'!$B$11+AI205*'Item Budget'!$B$10+AG205*'Item Budget'!$B$9+IFERROR(INDEX('Item Budget'!$M$25:$M$95,MATCH(AL205,'Item Budget'!$B$25:$B$95,0)),0)+IF($C205="Weapon",AK205*'Item Budget'!$B$9,0)</f>
        <v/>
      </c>
      <c r="AN205" s="61">
        <f>AD205*'Item Budget'!$B$5+AH205*'Item Budget'!$B$7+AF205*'Item Budget'!$B$11+AI205*'Item Budget'!$B$10+AE205*'Item Budget'!$B$6+AJ205*'Item Budget'!$B$8+IFERROR(INDEX('Item Budget'!$N$25:$N$95,MATCH(AL205,'Item Budget'!$B$25:$B$95,0)),0)</f>
        <v/>
      </c>
      <c r="AO205" s="61">
        <f>MAX('Item Budget'!$F$16,INDEX('Gear Budget'!$C$8:$C$14,MATCH($C205,'Gear Budget'!$A$8:$A$14,0))*MIN(AC205,50))*$L205</f>
        <v/>
      </c>
      <c r="AP205" s="41">
        <f>IF($C205="Caster weapon",AN205,MAX(AM205,AN205))/AO205</f>
        <v/>
      </c>
      <c r="AQ205" s="61">
        <f>IF(OR($C205="Weapon",$C205="Caster weapon"),"",'Gear Budget'!$B$5*MAX(1,MIN(AC205,50))*INDEX('Gear Budget'!$B$8:$B$14,MATCH($C205,'Gear Budget'!$A$8:$A$14,0))*IF($C205="Shield",IF(E205="Warrior",1,IF(OR(E205="Rogue",E205="All"),0.38/0.6,0.25/0.6)),IFERROR(INDEX('Gear Budget'!$B$18:$B$21,MATCH($F205,'Gear Budget'!$A$18:$A$21,0)),1)))</f>
        <v/>
      </c>
      <c r="AR205" s="41">
        <f>IF(AQ205="","",AF205/AQ205)</f>
        <v/>
      </c>
      <c r="AS205" s="64" t="inlineStr">
        <is>
          <t>Pass 1 (applied): Priest vendor weapon: INT/MP instead of melee damage.</t>
        </is>
      </c>
      <c r="AT205" s="44">
        <f>IF(OR($E205="All",ISNUMBER(SEARCH("Warrior",$E205))),IF($C205="Caster weapon",(AN205+AF205*('Item Budget'!$AB$14-'Item Budget'!$B$11)),(AM205+AF205*('Item Budget'!$AB$14-'Item Budget'!$B$11))),0)</f>
        <v/>
      </c>
      <c r="AU205" s="44">
        <f>IF(OR($E205="All",ISNUMBER(SEARCH("Rogue",$E205))),IF($C205="Caster weapon",(AN205+AF205*('Item Budget'!$AB$15-'Item Budget'!$B$11)),(AM205+AF205*('Item Budget'!$AB$15-'Item Budget'!$B$11))),0)</f>
        <v/>
      </c>
      <c r="AV205" s="44">
        <f>IF(OR($E205="All",ISNUMBER(SEARCH("Magus",$E205))),(AN205+AF205*('Item Budget'!$AB$16-'Item Budget'!$B$11)),0)</f>
        <v/>
      </c>
      <c r="AW205" s="44">
        <f>IF(OR($E205="All",ISNUMBER(SEARCH("Priest",$E205))),(AN205+AF205*('Item Budget'!$AB$17-'Item Budget'!$B$11)),0)</f>
        <v/>
      </c>
      <c r="AX205" s="44">
        <f>IF(AND(OR($E205="All",ISNUMBER(SEARCH("Warrior",$E205))),AC205&gt;='Item Budget'!$R$10),'Item Budget'!$R$7*100*('Item Budget'!$R$14*(AD205+25*AH205)+'Item Budget'!$S$14*(AE205+25*AJ205))/'Item Budget'!$Z$14+'Item Budget'!$R$9*AF205+IFERROR(INDEX('Item Budget'!$O$25:$O$95,MATCH(AL205,'Item Budget'!$B$25:$B$95,0)),0),0)</f>
        <v/>
      </c>
      <c r="AY205" s="44">
        <f>IF(AND(OR($E205="All",ISNUMBER(SEARCH("Rogue",$E205))),AC205&gt;='Item Budget'!$R$10),'Item Budget'!$R$7*100*('Item Budget'!$R$15*(AD205+25*AH205)+'Item Budget'!$S$15*(AE205+25*AJ205))/'Item Budget'!$Z$15+'Item Budget'!$R$9*AF205+IFERROR(INDEX('Item Budget'!$O$25:$O$95,MATCH(AL205,'Item Budget'!$B$25:$B$95,0)),0),0)</f>
        <v/>
      </c>
      <c r="AZ205" s="44">
        <f>IF(AND(OR($E205="All",ISNUMBER(SEARCH("Magus",$E205))),AC205&gt;='Item Budget'!$R$10),'Item Budget'!$R$7*100*('Item Budget'!$R$16*(AD205+25*AH205)+'Item Budget'!$S$16*(AE205+25*AJ205))/'Item Budget'!$Z$16+'Item Budget'!$R$9*AF205+IFERROR(INDEX('Item Budget'!$O$25:$O$95,MATCH(AL205,'Item Budget'!$B$25:$B$95,0)),0),0)</f>
        <v/>
      </c>
      <c r="BA205" s="44">
        <f>IF(AND(OR($E205="All",ISNUMBER(SEARCH("Priest",$E205))),AC205&gt;='Item Budget'!$R$10),'Item Budget'!$R$7*100*('Item Budget'!$R$17*(AD205+25*AH205)+'Item Budget'!$S$17*(AE205+25*AJ205))/'Item Budget'!$Z$17+'Item Budget'!$R$9*AF205+IFERROR(INDEX('Item Budget'!$O$25:$O$95,MATCH(AL205,'Item Budget'!$B$25:$B$95,0)),0),0)</f>
        <v/>
      </c>
      <c r="BB205" s="52">
        <f>IF(OR($I205&lt;1,IF($I205&gt;=6,AX205,AT205)&lt;=0),"",IF(SUMPRODUCT(MAX(($C$5:$C$215=$C205)*($I$5:$I$215&gt;=1)*($I$5:$I$215&lt;$I205)*IF($I205&gt;=6,$AX$5:$AX$215,$AT$5:$AT$215)))&lt;=0,"",SUMPRODUCT(MAX(($C$5:$C$215=$C205)*($I$5:$I$215=$I205)*IF($I205&gt;=6,$AX$5:$AX$215,$AT$5:$AT$215)))/SUMPRODUCT(MAX(($C$5:$C$215=$C205)*($I$5:$I$215&gt;=1)*($I$5:$I$215&lt;$I205)*IF($I205&gt;=6,$AX$5:$AX$215,$AT$5:$AT$215)))-1))</f>
        <v/>
      </c>
      <c r="BC205" s="52">
        <f>IF(OR($I205&lt;1,IF($I205&gt;=6,AY205,AU205)&lt;=0),"",IF(SUMPRODUCT(MAX(($C$5:$C$215=$C205)*($I$5:$I$215&gt;=1)*($I$5:$I$215&lt;$I205)*IF($I205&gt;=6,$AY$5:$AY$215,$AU$5:$AU$215)))&lt;=0,"",SUMPRODUCT(MAX(($C$5:$C$215=$C205)*($I$5:$I$215=$I205)*IF($I205&gt;=6,$AY$5:$AY$215,$AU$5:$AU$215)))/SUMPRODUCT(MAX(($C$5:$C$215=$C205)*($I$5:$I$215&gt;=1)*($I$5:$I$215&lt;$I205)*IF($I205&gt;=6,$AY$5:$AY$215,$AU$5:$AU$215)))-1))</f>
        <v/>
      </c>
      <c r="BD205" s="52">
        <f>IF(OR($I205&lt;1,IF($I205&gt;=6,AZ205,AV205)&lt;=0),"",IF(SUMPRODUCT(MAX(($C$5:$C$215=$C205)*($I$5:$I$215&gt;=1)*($I$5:$I$215&lt;$I205)*IF($I205&gt;=6,$AZ$5:$AZ$215,$AV$5:$AV$215)))&lt;=0,"",SUMPRODUCT(MAX(($C$5:$C$215=$C205)*($I$5:$I$215=$I205)*IF($I205&gt;=6,$AZ$5:$AZ$215,$AV$5:$AV$215)))/SUMPRODUCT(MAX(($C$5:$C$215=$C205)*($I$5:$I$215&gt;=1)*($I$5:$I$215&lt;$I205)*IF($I205&gt;=6,$AZ$5:$AZ$215,$AV$5:$AV$215)))-1))</f>
        <v/>
      </c>
      <c r="BE205" s="52">
        <f>IF(OR($I205&lt;1,IF($I205&gt;=6,BA205,AW205)&lt;=0),"",IF(SUMPRODUCT(MAX(($C$5:$C$215=$C205)*($I$5:$I$215&gt;=1)*($I$5:$I$215&lt;$I205)*IF($I205&gt;=6,$BA$5:$BA$215,$AW$5:$AW$215)))&lt;=0,"",SUMPRODUCT(MAX(($C$5:$C$215=$C205)*($I$5:$I$215=$I205)*IF($I205&gt;=6,$BA$5:$BA$215,$AW$5:$AW$215)))/SUMPRODUCT(MAX(($C$5:$C$215=$C205)*($I$5:$I$215&gt;=1)*($I$5:$I$215&lt;$I205)*IF($I205&gt;=6,$BA$5:$BA$215,$AW$5:$AW$215)))-1))</f>
        <v/>
      </c>
      <c r="BF205" s="19">
        <f>IF(AND(BB205="",BC205="",BD205="",BE205=""),"",IF(IF(AND(ISNUMBER(BB205),BB205&lt;'Item Budget'!$R$11),"W ","")&amp;IF(AND(ISNUMBER(BC205),BC205&lt;'Item Budget'!$R$11),"R ","")&amp;IF(AND(ISNUMBER(BD205),BD205&lt;'Item Budget'!$R$11),"M ","")&amp;IF(AND(ISNUMBER(BE205),BE205&lt;'Item Budget'!$R$11),"P ","")="","OK","Not above lower step: "&amp;IF(AND(ISNUMBER(BB205),BB205&lt;'Item Budget'!$R$11),"W ","")&amp;IF(AND(ISNUMBER(BC205),BC205&lt;'Item Budget'!$R$11),"R ","")&amp;IF(AND(ISNUMBER(BD205),BD205&lt;'Item Budget'!$R$11),"M ","")&amp;IF(AND(ISNUMBER(BE205),BE205&lt;'Item Budget'!$R$11),"P ","")))</f>
        <v/>
      </c>
    </row>
    <row r="206">
      <c r="A206" s="21" t="n">
        <v>215</v>
      </c>
      <c r="B206" s="21" t="inlineStr">
        <is>
          <t>Thicket Stave</t>
        </is>
      </c>
      <c r="C206" s="21" t="inlineStr">
        <is>
          <t>Caster weapon</t>
        </is>
      </c>
      <c r="D206" s="21" t="inlineStr">
        <is>
          <t>Magus</t>
        </is>
      </c>
      <c r="E206" s="21" t="inlineStr">
        <is>
          <t>Magus</t>
        </is>
      </c>
      <c r="F206" s="21" t="inlineStr"/>
      <c r="G206" s="21" t="inlineStr">
        <is>
          <t>drop: Unloved 2%</t>
        </is>
      </c>
      <c r="H206" s="37" t="n">
        <v>0</v>
      </c>
      <c r="I206" s="21" t="n">
        <v>0</v>
      </c>
      <c r="J206" s="3" t="inlineStr">
        <is>
          <t>Applied</t>
        </is>
      </c>
      <c r="K206" s="21" t="inlineStr">
        <is>
          <t>Vendor</t>
        </is>
      </c>
      <c r="L206" s="31">
        <f>INDEX('Item Budget'!$F$5:$F$13,MATCH(K206,'Item Budget'!$E$5:$E$13,0))+IF(E206="All",0,'Item Budget'!$F$15)+LOOKUP(H206,'Item Budget'!$E$19:$E$23,'Item Budget'!$F$19:$F$23)</f>
        <v/>
      </c>
      <c r="M206" s="21" t="n">
        <v>27</v>
      </c>
      <c r="N206" s="21" t="n">
        <v>25</v>
      </c>
      <c r="O206" s="21" t="n">
        <v>125</v>
      </c>
      <c r="P206" s="21" t="n">
        <v>0</v>
      </c>
      <c r="Q206" s="21" t="n">
        <v>0</v>
      </c>
      <c r="R206" s="21" t="n">
        <v>3</v>
      </c>
      <c r="S206" s="21" t="n">
        <v>2</v>
      </c>
      <c r="T206" s="21" t="n">
        <v>13</v>
      </c>
      <c r="U206" s="21" t="n">
        <v>21</v>
      </c>
      <c r="V206" s="21" t="inlineStr">
        <is>
          <t>(none)</t>
        </is>
      </c>
      <c r="W206" s="61">
        <f>N206*'Item Budget'!$B$5+R206*'Item Budget'!$B$7+P206*'Item Budget'!$B$11+S206*'Item Budget'!$B$10+Q206*'Item Budget'!$B$9+IFERROR(INDEX('Item Budget'!$M$25:$M$95,MATCH(V206,'Item Budget'!$B$25:$B$95,0)),0)+IF($C206="Weapon",U206*'Item Budget'!$B$9,0)</f>
        <v/>
      </c>
      <c r="X206" s="61">
        <f>N206*'Item Budget'!$B$5+R206*'Item Budget'!$B$7+P206*'Item Budget'!$B$11+S206*'Item Budget'!$B$10+O206*'Item Budget'!$B$6+T206*'Item Budget'!$B$8+IFERROR(INDEX('Item Budget'!$N$25:$N$95,MATCH(V206,'Item Budget'!$B$25:$B$95,0)),0)</f>
        <v/>
      </c>
      <c r="Y206" s="61">
        <f>MAX('Item Budget'!$F$16,INDEX('Gear Budget'!$C$8:$C$14,MATCH($C206,'Gear Budget'!$A$8:$A$14,0))*MIN(M206,50))*$L206</f>
        <v/>
      </c>
      <c r="Z206" s="41">
        <f>IF($C206="Caster weapon",X206,MAX(W206,X206))/Y206</f>
        <v/>
      </c>
      <c r="AA206" s="61">
        <f>IF(OR($C206="Weapon",$C206="Caster weapon"),"",'Gear Budget'!$B$5*MAX(1,MIN(M206,50))*INDEX('Gear Budget'!$B$8:$B$14,MATCH($C206,'Gear Budget'!$A$8:$A$14,0))*IF($C206="Shield",IF(D206="Warrior",1,IF(OR(D206="Rogue",D206="All"),0.38/0.6,0.25/0.6)),IFERROR(INDEX('Gear Budget'!$B$18:$B$21,MATCH($F206,'Gear Budget'!$A$18:$A$21,0)),1)))</f>
        <v/>
      </c>
      <c r="AB206" s="41">
        <f>IF(AA206="","",P206/AA206)</f>
        <v/>
      </c>
      <c r="AC206" s="21" t="n">
        <v>27</v>
      </c>
      <c r="AD206" s="21" t="n">
        <v>25</v>
      </c>
      <c r="AE206" s="21" t="n">
        <v>125</v>
      </c>
      <c r="AF206" s="21" t="n">
        <v>0</v>
      </c>
      <c r="AG206" s="21" t="n">
        <v>0</v>
      </c>
      <c r="AH206" s="21" t="n">
        <v>3</v>
      </c>
      <c r="AI206" s="21" t="n">
        <v>2</v>
      </c>
      <c r="AJ206" s="21" t="n">
        <v>13</v>
      </c>
      <c r="AK206" s="21" t="n">
        <v>21</v>
      </c>
      <c r="AL206" s="21" t="inlineStr">
        <is>
          <t>(none)</t>
        </is>
      </c>
      <c r="AM206" s="61">
        <f>AD206*'Item Budget'!$B$5+AH206*'Item Budget'!$B$7+AF206*'Item Budget'!$B$11+AI206*'Item Budget'!$B$10+AG206*'Item Budget'!$B$9+IFERROR(INDEX('Item Budget'!$M$25:$M$95,MATCH(AL206,'Item Budget'!$B$25:$B$95,0)),0)+IF($C206="Weapon",AK206*'Item Budget'!$B$9,0)</f>
        <v/>
      </c>
      <c r="AN206" s="61">
        <f>AD206*'Item Budget'!$B$5+AH206*'Item Budget'!$B$7+AF206*'Item Budget'!$B$11+AI206*'Item Budget'!$B$10+AE206*'Item Budget'!$B$6+AJ206*'Item Budget'!$B$8+IFERROR(INDEX('Item Budget'!$N$25:$N$95,MATCH(AL206,'Item Budget'!$B$25:$B$95,0)),0)</f>
        <v/>
      </c>
      <c r="AO206" s="61">
        <f>MAX('Item Budget'!$F$16,INDEX('Gear Budget'!$C$8:$C$14,MATCH($C206,'Gear Budget'!$A$8:$A$14,0))*MIN(AC206,50))*$L206</f>
        <v/>
      </c>
      <c r="AP206" s="41">
        <f>IF($C206="Caster weapon",AN206,MAX(AM206,AN206))/AO206</f>
        <v/>
      </c>
      <c r="AQ206" s="61">
        <f>IF(OR($C206="Weapon",$C206="Caster weapon"),"",'Gear Budget'!$B$5*MAX(1,MIN(AC206,50))*INDEX('Gear Budget'!$B$8:$B$14,MATCH($C206,'Gear Budget'!$A$8:$A$14,0))*IF($C206="Shield",IF(E206="Warrior",1,IF(OR(E206="Rogue",E206="All"),0.38/0.6,0.25/0.6)),IFERROR(INDEX('Gear Budget'!$B$18:$B$21,MATCH($F206,'Gear Budget'!$A$18:$A$21,0)),1)))</f>
        <v/>
      </c>
      <c r="AR206" s="41">
        <f>IF(AQ206="","",AF206/AQ206)</f>
        <v/>
      </c>
      <c r="AS206" s="64" t="inlineStr">
        <is>
          <t>Pass 1 (applied): Magus vendor weapon: INT/MP instead of melee damage.</t>
        </is>
      </c>
      <c r="AT206" s="44">
        <f>IF(OR($E206="All",ISNUMBER(SEARCH("Warrior",$E206))),IF($C206="Caster weapon",(AN206+AF206*('Item Budget'!$AB$14-'Item Budget'!$B$11)),(AM206+AF206*('Item Budget'!$AB$14-'Item Budget'!$B$11))),0)</f>
        <v/>
      </c>
      <c r="AU206" s="44">
        <f>IF(OR($E206="All",ISNUMBER(SEARCH("Rogue",$E206))),IF($C206="Caster weapon",(AN206+AF206*('Item Budget'!$AB$15-'Item Budget'!$B$11)),(AM206+AF206*('Item Budget'!$AB$15-'Item Budget'!$B$11))),0)</f>
        <v/>
      </c>
      <c r="AV206" s="44">
        <f>IF(OR($E206="All",ISNUMBER(SEARCH("Magus",$E206))),(AN206+AF206*('Item Budget'!$AB$16-'Item Budget'!$B$11)),0)</f>
        <v/>
      </c>
      <c r="AW206" s="44">
        <f>IF(OR($E206="All",ISNUMBER(SEARCH("Priest",$E206))),(AN206+AF206*('Item Budget'!$AB$17-'Item Budget'!$B$11)),0)</f>
        <v/>
      </c>
      <c r="AX206" s="44">
        <f>IF(AND(OR($E206="All",ISNUMBER(SEARCH("Warrior",$E206))),AC206&gt;='Item Budget'!$R$10),'Item Budget'!$R$7*100*('Item Budget'!$R$14*(AD206+25*AH206)+'Item Budget'!$S$14*(AE206+25*AJ206))/'Item Budget'!$Z$14+'Item Budget'!$R$9*AF206+IFERROR(INDEX('Item Budget'!$O$25:$O$95,MATCH(AL206,'Item Budget'!$B$25:$B$95,0)),0),0)</f>
        <v/>
      </c>
      <c r="AY206" s="44">
        <f>IF(AND(OR($E206="All",ISNUMBER(SEARCH("Rogue",$E206))),AC206&gt;='Item Budget'!$R$10),'Item Budget'!$R$7*100*('Item Budget'!$R$15*(AD206+25*AH206)+'Item Budget'!$S$15*(AE206+25*AJ206))/'Item Budget'!$Z$15+'Item Budget'!$R$9*AF206+IFERROR(INDEX('Item Budget'!$O$25:$O$95,MATCH(AL206,'Item Budget'!$B$25:$B$95,0)),0),0)</f>
        <v/>
      </c>
      <c r="AZ206" s="44">
        <f>IF(AND(OR($E206="All",ISNUMBER(SEARCH("Magus",$E206))),AC206&gt;='Item Budget'!$R$10),'Item Budget'!$R$7*100*('Item Budget'!$R$16*(AD206+25*AH206)+'Item Budget'!$S$16*(AE206+25*AJ206))/'Item Budget'!$Z$16+'Item Budget'!$R$9*AF206+IFERROR(INDEX('Item Budget'!$O$25:$O$95,MATCH(AL206,'Item Budget'!$B$25:$B$95,0)),0),0)</f>
        <v/>
      </c>
      <c r="BA206" s="44">
        <f>IF(AND(OR($E206="All",ISNUMBER(SEARCH("Priest",$E206))),AC206&gt;='Item Budget'!$R$10),'Item Budget'!$R$7*100*('Item Budget'!$R$17*(AD206+25*AH206)+'Item Budget'!$S$17*(AE206+25*AJ206))/'Item Budget'!$Z$17+'Item Budget'!$R$9*AF206+IFERROR(INDEX('Item Budget'!$O$25:$O$95,MATCH(AL206,'Item Budget'!$B$25:$B$95,0)),0),0)</f>
        <v/>
      </c>
      <c r="BB206" s="52">
        <f>IF(OR($I206&lt;1,IF($I206&gt;=6,AX206,AT206)&lt;=0),"",IF(SUMPRODUCT(MAX(($C$5:$C$215=$C206)*($I$5:$I$215&gt;=1)*($I$5:$I$215&lt;$I206)*IF($I206&gt;=6,$AX$5:$AX$215,$AT$5:$AT$215)))&lt;=0,"",SUMPRODUCT(MAX(($C$5:$C$215=$C206)*($I$5:$I$215=$I206)*IF($I206&gt;=6,$AX$5:$AX$215,$AT$5:$AT$215)))/SUMPRODUCT(MAX(($C$5:$C$215=$C206)*($I$5:$I$215&gt;=1)*($I$5:$I$215&lt;$I206)*IF($I206&gt;=6,$AX$5:$AX$215,$AT$5:$AT$215)))-1))</f>
        <v/>
      </c>
      <c r="BC206" s="52">
        <f>IF(OR($I206&lt;1,IF($I206&gt;=6,AY206,AU206)&lt;=0),"",IF(SUMPRODUCT(MAX(($C$5:$C$215=$C206)*($I$5:$I$215&gt;=1)*($I$5:$I$215&lt;$I206)*IF($I206&gt;=6,$AY$5:$AY$215,$AU$5:$AU$215)))&lt;=0,"",SUMPRODUCT(MAX(($C$5:$C$215=$C206)*($I$5:$I$215=$I206)*IF($I206&gt;=6,$AY$5:$AY$215,$AU$5:$AU$215)))/SUMPRODUCT(MAX(($C$5:$C$215=$C206)*($I$5:$I$215&gt;=1)*($I$5:$I$215&lt;$I206)*IF($I206&gt;=6,$AY$5:$AY$215,$AU$5:$AU$215)))-1))</f>
        <v/>
      </c>
      <c r="BD206" s="52">
        <f>IF(OR($I206&lt;1,IF($I206&gt;=6,AZ206,AV206)&lt;=0),"",IF(SUMPRODUCT(MAX(($C$5:$C$215=$C206)*($I$5:$I$215&gt;=1)*($I$5:$I$215&lt;$I206)*IF($I206&gt;=6,$AZ$5:$AZ$215,$AV$5:$AV$215)))&lt;=0,"",SUMPRODUCT(MAX(($C$5:$C$215=$C206)*($I$5:$I$215=$I206)*IF($I206&gt;=6,$AZ$5:$AZ$215,$AV$5:$AV$215)))/SUMPRODUCT(MAX(($C$5:$C$215=$C206)*($I$5:$I$215&gt;=1)*($I$5:$I$215&lt;$I206)*IF($I206&gt;=6,$AZ$5:$AZ$215,$AV$5:$AV$215)))-1))</f>
        <v/>
      </c>
      <c r="BE206" s="52">
        <f>IF(OR($I206&lt;1,IF($I206&gt;=6,BA206,AW206)&lt;=0),"",IF(SUMPRODUCT(MAX(($C$5:$C$215=$C206)*($I$5:$I$215&gt;=1)*($I$5:$I$215&lt;$I206)*IF($I206&gt;=6,$BA$5:$BA$215,$AW$5:$AW$215)))&lt;=0,"",SUMPRODUCT(MAX(($C$5:$C$215=$C206)*($I$5:$I$215=$I206)*IF($I206&gt;=6,$BA$5:$BA$215,$AW$5:$AW$215)))/SUMPRODUCT(MAX(($C$5:$C$215=$C206)*($I$5:$I$215&gt;=1)*($I$5:$I$215&lt;$I206)*IF($I206&gt;=6,$BA$5:$BA$215,$AW$5:$AW$215)))-1))</f>
        <v/>
      </c>
      <c r="BF206" s="19">
        <f>IF(AND(BB206="",BC206="",BD206="",BE206=""),"",IF(IF(AND(ISNUMBER(BB206),BB206&lt;'Item Budget'!$R$11),"W ","")&amp;IF(AND(ISNUMBER(BC206),BC206&lt;'Item Budget'!$R$11),"R ","")&amp;IF(AND(ISNUMBER(BD206),BD206&lt;'Item Budget'!$R$11),"M ","")&amp;IF(AND(ISNUMBER(BE206),BE206&lt;'Item Budget'!$R$11),"P ","")="","OK","Not above lower step: "&amp;IF(AND(ISNUMBER(BB206),BB206&lt;'Item Budget'!$R$11),"W ","")&amp;IF(AND(ISNUMBER(BC206),BC206&lt;'Item Budget'!$R$11),"R ","")&amp;IF(AND(ISNUMBER(BD206),BD206&lt;'Item Budget'!$R$11),"M ","")&amp;IF(AND(ISNUMBER(BE206),BE206&lt;'Item Budget'!$R$11),"P ","")))</f>
        <v/>
      </c>
    </row>
    <row r="207">
      <c r="A207" s="21" t="n">
        <v>221</v>
      </c>
      <c r="B207" s="21" t="inlineStr">
        <is>
          <t>Nagan Stave</t>
        </is>
      </c>
      <c r="C207" s="21" t="inlineStr">
        <is>
          <t>Caster weapon</t>
        </is>
      </c>
      <c r="D207" s="21" t="inlineStr">
        <is>
          <t>Magus</t>
        </is>
      </c>
      <c r="E207" s="21" t="inlineStr">
        <is>
          <t>Magus</t>
        </is>
      </c>
      <c r="F207" s="21" t="inlineStr"/>
      <c r="G207" s="21" t="inlineStr">
        <is>
          <t>drop: Nagan Sentry 4%</t>
        </is>
      </c>
      <c r="H207" s="37" t="n">
        <v>0</v>
      </c>
      <c r="I207" s="21" t="n">
        <v>0</v>
      </c>
      <c r="J207" s="3" t="inlineStr">
        <is>
          <t>Pass 2</t>
        </is>
      </c>
      <c r="K207" s="21" t="inlineStr">
        <is>
          <t>Rare boss drop</t>
        </is>
      </c>
      <c r="L207" s="31">
        <f>INDEX('Item Budget'!$F$5:$F$13,MATCH(K207,'Item Budget'!$E$5:$E$13,0))+IF(E207="All",0,'Item Budget'!$F$15)+LOOKUP(H207,'Item Budget'!$E$19:$E$23,'Item Budget'!$F$19:$F$23)</f>
        <v/>
      </c>
      <c r="M207" s="21" t="n">
        <v>30</v>
      </c>
      <c r="N207" s="21" t="n">
        <v>75</v>
      </c>
      <c r="O207" s="21" t="n">
        <v>250</v>
      </c>
      <c r="P207" s="21" t="n">
        <v>0</v>
      </c>
      <c r="Q207" s="21" t="n">
        <v>0</v>
      </c>
      <c r="R207" s="21" t="n">
        <v>6</v>
      </c>
      <c r="S207" s="21" t="n">
        <v>2</v>
      </c>
      <c r="T207" s="21" t="n">
        <v>20</v>
      </c>
      <c r="U207" s="21" t="n">
        <v>22</v>
      </c>
      <c r="V207" s="21" t="inlineStr">
        <is>
          <t>(none)</t>
        </is>
      </c>
      <c r="W207" s="61">
        <f>N207*'Item Budget'!$B$5+R207*'Item Budget'!$B$7+P207*'Item Budget'!$B$11+S207*'Item Budget'!$B$10+Q207*'Item Budget'!$B$9+IFERROR(INDEX('Item Budget'!$M$25:$M$95,MATCH(V207,'Item Budget'!$B$25:$B$95,0)),0)+IF($C207="Weapon",U207*'Item Budget'!$B$9,0)</f>
        <v/>
      </c>
      <c r="X207" s="61">
        <f>N207*'Item Budget'!$B$5+R207*'Item Budget'!$B$7+P207*'Item Budget'!$B$11+S207*'Item Budget'!$B$10+O207*'Item Budget'!$B$6+T207*'Item Budget'!$B$8+IFERROR(INDEX('Item Budget'!$N$25:$N$95,MATCH(V207,'Item Budget'!$B$25:$B$95,0)),0)</f>
        <v/>
      </c>
      <c r="Y207" s="61">
        <f>MAX('Item Budget'!$F$16,INDEX('Gear Budget'!$C$8:$C$14,MATCH($C207,'Gear Budget'!$A$8:$A$14,0))*MIN(M207,50))*$L207</f>
        <v/>
      </c>
      <c r="Z207" s="41">
        <f>IF($C207="Caster weapon",X207,MAX(W207,X207))/Y207</f>
        <v/>
      </c>
      <c r="AA207" s="61">
        <f>IF(OR($C207="Weapon",$C207="Caster weapon"),"",'Gear Budget'!$B$5*MAX(1,MIN(M207,50))*INDEX('Gear Budget'!$B$8:$B$14,MATCH($C207,'Gear Budget'!$A$8:$A$14,0))*IF($C207="Shield",IF(D207="Warrior",1,IF(OR(D207="Rogue",D207="All"),0.38/0.6,0.25/0.6)),IFERROR(INDEX('Gear Budget'!$B$18:$B$21,MATCH($F207,'Gear Budget'!$A$18:$A$21,0)),1)))</f>
        <v/>
      </c>
      <c r="AB207" s="41">
        <f>IF(AA207="","",P207/AA207)</f>
        <v/>
      </c>
      <c r="AC207" s="21" t="n">
        <v>30</v>
      </c>
      <c r="AD207" s="20" t="n">
        <v>70</v>
      </c>
      <c r="AE207" s="20" t="n">
        <v>225</v>
      </c>
      <c r="AF207" s="21" t="n">
        <v>0</v>
      </c>
      <c r="AG207" s="21" t="n">
        <v>0</v>
      </c>
      <c r="AH207" s="21" t="n">
        <v>6</v>
      </c>
      <c r="AI207" s="21" t="n">
        <v>2</v>
      </c>
      <c r="AJ207" s="20" t="n">
        <v>18</v>
      </c>
      <c r="AK207" s="21" t="n">
        <v>22</v>
      </c>
      <c r="AL207" s="21" t="inlineStr">
        <is>
          <t>(none)</t>
        </is>
      </c>
      <c r="AM207" s="61">
        <f>AD207*'Item Budget'!$B$5+AH207*'Item Budget'!$B$7+AF207*'Item Budget'!$B$11+AI207*'Item Budget'!$B$10+AG207*'Item Budget'!$B$9+IFERROR(INDEX('Item Budget'!$M$25:$M$95,MATCH(AL207,'Item Budget'!$B$25:$B$95,0)),0)+IF($C207="Weapon",AK207*'Item Budget'!$B$9,0)</f>
        <v/>
      </c>
      <c r="AN207" s="61">
        <f>AD207*'Item Budget'!$B$5+AH207*'Item Budget'!$B$7+AF207*'Item Budget'!$B$11+AI207*'Item Budget'!$B$10+AE207*'Item Budget'!$B$6+AJ207*'Item Budget'!$B$8+IFERROR(INDEX('Item Budget'!$N$25:$N$95,MATCH(AL207,'Item Budget'!$B$25:$B$95,0)),0)</f>
        <v/>
      </c>
      <c r="AO207" s="61">
        <f>MAX('Item Budget'!$F$16,INDEX('Gear Budget'!$C$8:$C$14,MATCH($C207,'Gear Budget'!$A$8:$A$14,0))*MIN(AC207,50))*$L207</f>
        <v/>
      </c>
      <c r="AP207" s="41">
        <f>IF($C207="Caster weapon",AN207,MAX(AM207,AN207))/AO207</f>
        <v/>
      </c>
      <c r="AQ207" s="61">
        <f>IF(OR($C207="Weapon",$C207="Caster weapon"),"",'Gear Budget'!$B$5*MAX(1,MIN(AC207,50))*INDEX('Gear Budget'!$B$8:$B$14,MATCH($C207,'Gear Budget'!$A$8:$A$14,0))*IF($C207="Shield",IF(E207="Warrior",1,IF(OR(E207="Rogue",E207="All"),0.38/0.6,0.25/0.6)),IFERROR(INDEX('Gear Budget'!$B$18:$B$21,MATCH($F207,'Gear Budget'!$A$18:$A$21,0)),1)))</f>
        <v/>
      </c>
      <c r="AR207" s="41">
        <f>IF(AQ207="","",AF207/AQ207)</f>
        <v/>
      </c>
      <c r="AS207" s="64" t="inlineStr">
        <is>
          <t>Pre-50 caster staff: lowered 8% so the L50 caster weapons can sit above it</t>
        </is>
      </c>
      <c r="AT207" s="44">
        <f>IF(OR($E207="All",ISNUMBER(SEARCH("Warrior",$E207))),IF($C207="Caster weapon",(AN207+AF207*('Item Budget'!$AB$14-'Item Budget'!$B$11)),(AM207+AF207*('Item Budget'!$AB$14-'Item Budget'!$B$11))),0)</f>
        <v/>
      </c>
      <c r="AU207" s="44">
        <f>IF(OR($E207="All",ISNUMBER(SEARCH("Rogue",$E207))),IF($C207="Caster weapon",(AN207+AF207*('Item Budget'!$AB$15-'Item Budget'!$B$11)),(AM207+AF207*('Item Budget'!$AB$15-'Item Budget'!$B$11))),0)</f>
        <v/>
      </c>
      <c r="AV207" s="44">
        <f>IF(OR($E207="All",ISNUMBER(SEARCH("Magus",$E207))),(AN207+AF207*('Item Budget'!$AB$16-'Item Budget'!$B$11)),0)</f>
        <v/>
      </c>
      <c r="AW207" s="44">
        <f>IF(OR($E207="All",ISNUMBER(SEARCH("Priest",$E207))),(AN207+AF207*('Item Budget'!$AB$17-'Item Budget'!$B$11)),0)</f>
        <v/>
      </c>
      <c r="AX207" s="44">
        <f>IF(AND(OR($E207="All",ISNUMBER(SEARCH("Warrior",$E207))),AC207&gt;='Item Budget'!$R$10),'Item Budget'!$R$7*100*('Item Budget'!$R$14*(AD207+25*AH207)+'Item Budget'!$S$14*(AE207+25*AJ207))/'Item Budget'!$Z$14+'Item Budget'!$R$9*AF207+IFERROR(INDEX('Item Budget'!$O$25:$O$95,MATCH(AL207,'Item Budget'!$B$25:$B$95,0)),0),0)</f>
        <v/>
      </c>
      <c r="AY207" s="44">
        <f>IF(AND(OR($E207="All",ISNUMBER(SEARCH("Rogue",$E207))),AC207&gt;='Item Budget'!$R$10),'Item Budget'!$R$7*100*('Item Budget'!$R$15*(AD207+25*AH207)+'Item Budget'!$S$15*(AE207+25*AJ207))/'Item Budget'!$Z$15+'Item Budget'!$R$9*AF207+IFERROR(INDEX('Item Budget'!$O$25:$O$95,MATCH(AL207,'Item Budget'!$B$25:$B$95,0)),0),0)</f>
        <v/>
      </c>
      <c r="AZ207" s="44">
        <f>IF(AND(OR($E207="All",ISNUMBER(SEARCH("Magus",$E207))),AC207&gt;='Item Budget'!$R$10),'Item Budget'!$R$7*100*('Item Budget'!$R$16*(AD207+25*AH207)+'Item Budget'!$S$16*(AE207+25*AJ207))/'Item Budget'!$Z$16+'Item Budget'!$R$9*AF207+IFERROR(INDEX('Item Budget'!$O$25:$O$95,MATCH(AL207,'Item Budget'!$B$25:$B$95,0)),0),0)</f>
        <v/>
      </c>
      <c r="BA207" s="44">
        <f>IF(AND(OR($E207="All",ISNUMBER(SEARCH("Priest",$E207))),AC207&gt;='Item Budget'!$R$10),'Item Budget'!$R$7*100*('Item Budget'!$R$17*(AD207+25*AH207)+'Item Budget'!$S$17*(AE207+25*AJ207))/'Item Budget'!$Z$17+'Item Budget'!$R$9*AF207+IFERROR(INDEX('Item Budget'!$O$25:$O$95,MATCH(AL207,'Item Budget'!$B$25:$B$95,0)),0),0)</f>
        <v/>
      </c>
      <c r="BB207" s="52">
        <f>IF(OR($I207&lt;1,IF($I207&gt;=6,AX207,AT207)&lt;=0),"",IF(SUMPRODUCT(MAX(($C$5:$C$215=$C207)*($I$5:$I$215&gt;=1)*($I$5:$I$215&lt;$I207)*IF($I207&gt;=6,$AX$5:$AX$215,$AT$5:$AT$215)))&lt;=0,"",SUMPRODUCT(MAX(($C$5:$C$215=$C207)*($I$5:$I$215=$I207)*IF($I207&gt;=6,$AX$5:$AX$215,$AT$5:$AT$215)))/SUMPRODUCT(MAX(($C$5:$C$215=$C207)*($I$5:$I$215&gt;=1)*($I$5:$I$215&lt;$I207)*IF($I207&gt;=6,$AX$5:$AX$215,$AT$5:$AT$215)))-1))</f>
        <v/>
      </c>
      <c r="BC207" s="52">
        <f>IF(OR($I207&lt;1,IF($I207&gt;=6,AY207,AU207)&lt;=0),"",IF(SUMPRODUCT(MAX(($C$5:$C$215=$C207)*($I$5:$I$215&gt;=1)*($I$5:$I$215&lt;$I207)*IF($I207&gt;=6,$AY$5:$AY$215,$AU$5:$AU$215)))&lt;=0,"",SUMPRODUCT(MAX(($C$5:$C$215=$C207)*($I$5:$I$215=$I207)*IF($I207&gt;=6,$AY$5:$AY$215,$AU$5:$AU$215)))/SUMPRODUCT(MAX(($C$5:$C$215=$C207)*($I$5:$I$215&gt;=1)*($I$5:$I$215&lt;$I207)*IF($I207&gt;=6,$AY$5:$AY$215,$AU$5:$AU$215)))-1))</f>
        <v/>
      </c>
      <c r="BD207" s="52">
        <f>IF(OR($I207&lt;1,IF($I207&gt;=6,AZ207,AV207)&lt;=0),"",IF(SUMPRODUCT(MAX(($C$5:$C$215=$C207)*($I$5:$I$215&gt;=1)*($I$5:$I$215&lt;$I207)*IF($I207&gt;=6,$AZ$5:$AZ$215,$AV$5:$AV$215)))&lt;=0,"",SUMPRODUCT(MAX(($C$5:$C$215=$C207)*($I$5:$I$215=$I207)*IF($I207&gt;=6,$AZ$5:$AZ$215,$AV$5:$AV$215)))/SUMPRODUCT(MAX(($C$5:$C$215=$C207)*($I$5:$I$215&gt;=1)*($I$5:$I$215&lt;$I207)*IF($I207&gt;=6,$AZ$5:$AZ$215,$AV$5:$AV$215)))-1))</f>
        <v/>
      </c>
      <c r="BE207" s="52">
        <f>IF(OR($I207&lt;1,IF($I207&gt;=6,BA207,AW207)&lt;=0),"",IF(SUMPRODUCT(MAX(($C$5:$C$215=$C207)*($I$5:$I$215&gt;=1)*($I$5:$I$215&lt;$I207)*IF($I207&gt;=6,$BA$5:$BA$215,$AW$5:$AW$215)))&lt;=0,"",SUMPRODUCT(MAX(($C$5:$C$215=$C207)*($I$5:$I$215=$I207)*IF($I207&gt;=6,$BA$5:$BA$215,$AW$5:$AW$215)))/SUMPRODUCT(MAX(($C$5:$C$215=$C207)*($I$5:$I$215&gt;=1)*($I$5:$I$215&lt;$I207)*IF($I207&gt;=6,$BA$5:$BA$215,$AW$5:$AW$215)))-1))</f>
        <v/>
      </c>
      <c r="BF207" s="19">
        <f>IF(AND(BB207="",BC207="",BD207="",BE207=""),"",IF(IF(AND(ISNUMBER(BB207),BB207&lt;'Item Budget'!$R$11),"W ","")&amp;IF(AND(ISNUMBER(BC207),BC207&lt;'Item Budget'!$R$11),"R ","")&amp;IF(AND(ISNUMBER(BD207),BD207&lt;'Item Budget'!$R$11),"M ","")&amp;IF(AND(ISNUMBER(BE207),BE207&lt;'Item Budget'!$R$11),"P ","")="","OK","Not above lower step: "&amp;IF(AND(ISNUMBER(BB207),BB207&lt;'Item Budget'!$R$11),"W ","")&amp;IF(AND(ISNUMBER(BC207),BC207&lt;'Item Budget'!$R$11),"R ","")&amp;IF(AND(ISNUMBER(BD207),BD207&lt;'Item Budget'!$R$11),"M ","")&amp;IF(AND(ISNUMBER(BE207),BE207&lt;'Item Budget'!$R$11),"P ","")))</f>
        <v/>
      </c>
    </row>
    <row r="208">
      <c r="A208" s="21" t="n">
        <v>212</v>
      </c>
      <c r="B208" s="21" t="inlineStr">
        <is>
          <t>Priests Hammer</t>
        </is>
      </c>
      <c r="C208" s="21" t="inlineStr">
        <is>
          <t>Caster weapon</t>
        </is>
      </c>
      <c r="D208" s="21" t="inlineStr">
        <is>
          <t>Priest</t>
        </is>
      </c>
      <c r="E208" s="21" t="inlineStr">
        <is>
          <t>Priest</t>
        </is>
      </c>
      <c r="F208" s="21" t="inlineStr"/>
      <c r="G208" s="21" t="inlineStr">
        <is>
          <t>drop: ImaBitStale 5%</t>
        </is>
      </c>
      <c r="H208" s="37" t="n">
        <v>0</v>
      </c>
      <c r="I208" s="21" t="n">
        <v>0</v>
      </c>
      <c r="J208" s="3" t="inlineStr">
        <is>
          <t>Pass 2</t>
        </is>
      </c>
      <c r="K208" s="21" t="inlineStr">
        <is>
          <t>Rare boss drop</t>
        </is>
      </c>
      <c r="L208" s="31">
        <f>INDEX('Item Budget'!$F$5:$F$13,MATCH(K208,'Item Budget'!$E$5:$E$13,0))+IF(E208="All",0,'Item Budget'!$F$15)+LOOKUP(H208,'Item Budget'!$E$19:$E$23,'Item Budget'!$F$19:$F$23)</f>
        <v/>
      </c>
      <c r="M208" s="21" t="n">
        <v>40</v>
      </c>
      <c r="N208" s="21" t="n">
        <v>150</v>
      </c>
      <c r="O208" s="21" t="n">
        <v>250</v>
      </c>
      <c r="P208" s="21" t="n">
        <v>0</v>
      </c>
      <c r="Q208" s="21" t="n">
        <v>0</v>
      </c>
      <c r="R208" s="21" t="n">
        <v>8</v>
      </c>
      <c r="S208" s="21" t="n">
        <v>0</v>
      </c>
      <c r="T208" s="21" t="n">
        <v>28</v>
      </c>
      <c r="U208" s="21" t="n">
        <v>34</v>
      </c>
      <c r="V208" s="21" t="inlineStr">
        <is>
          <t>(none)</t>
        </is>
      </c>
      <c r="W208" s="61">
        <f>N208*'Item Budget'!$B$5+R208*'Item Budget'!$B$7+P208*'Item Budget'!$B$11+S208*'Item Budget'!$B$10+Q208*'Item Budget'!$B$9+IFERROR(INDEX('Item Budget'!$M$25:$M$95,MATCH(V208,'Item Budget'!$B$25:$B$95,0)),0)+IF($C208="Weapon",U208*'Item Budget'!$B$9,0)</f>
        <v/>
      </c>
      <c r="X208" s="61">
        <f>N208*'Item Budget'!$B$5+R208*'Item Budget'!$B$7+P208*'Item Budget'!$B$11+S208*'Item Budget'!$B$10+O208*'Item Budget'!$B$6+T208*'Item Budget'!$B$8+IFERROR(INDEX('Item Budget'!$N$25:$N$95,MATCH(V208,'Item Budget'!$B$25:$B$95,0)),0)</f>
        <v/>
      </c>
      <c r="Y208" s="61">
        <f>MAX('Item Budget'!$F$16,INDEX('Gear Budget'!$C$8:$C$14,MATCH($C208,'Gear Budget'!$A$8:$A$14,0))*MIN(M208,50))*$L208</f>
        <v/>
      </c>
      <c r="Z208" s="41">
        <f>IF($C208="Caster weapon",X208,MAX(W208,X208))/Y208</f>
        <v/>
      </c>
      <c r="AA208" s="61">
        <f>IF(OR($C208="Weapon",$C208="Caster weapon"),"",'Gear Budget'!$B$5*MAX(1,MIN(M208,50))*INDEX('Gear Budget'!$B$8:$B$14,MATCH($C208,'Gear Budget'!$A$8:$A$14,0))*IF($C208="Shield",IF(D208="Warrior",1,IF(OR(D208="Rogue",D208="All"),0.38/0.6,0.25/0.6)),IFERROR(INDEX('Gear Budget'!$B$18:$B$21,MATCH($F208,'Gear Budget'!$A$18:$A$21,0)),1)))</f>
        <v/>
      </c>
      <c r="AB208" s="41">
        <f>IF(AA208="","",P208/AA208)</f>
        <v/>
      </c>
      <c r="AC208" s="21" t="n">
        <v>40</v>
      </c>
      <c r="AD208" s="20" t="n">
        <v>140</v>
      </c>
      <c r="AE208" s="20" t="n">
        <v>225</v>
      </c>
      <c r="AF208" s="21" t="n">
        <v>0</v>
      </c>
      <c r="AG208" s="21" t="n">
        <v>0</v>
      </c>
      <c r="AH208" s="20" t="n">
        <v>7</v>
      </c>
      <c r="AI208" s="21" t="n">
        <v>0</v>
      </c>
      <c r="AJ208" s="20" t="n">
        <v>26</v>
      </c>
      <c r="AK208" s="21" t="n">
        <v>34</v>
      </c>
      <c r="AL208" s="21" t="inlineStr">
        <is>
          <t>(none)</t>
        </is>
      </c>
      <c r="AM208" s="61">
        <f>AD208*'Item Budget'!$B$5+AH208*'Item Budget'!$B$7+AF208*'Item Budget'!$B$11+AI208*'Item Budget'!$B$10+AG208*'Item Budget'!$B$9+IFERROR(INDEX('Item Budget'!$M$25:$M$95,MATCH(AL208,'Item Budget'!$B$25:$B$95,0)),0)+IF($C208="Weapon",AK208*'Item Budget'!$B$9,0)</f>
        <v/>
      </c>
      <c r="AN208" s="61">
        <f>AD208*'Item Budget'!$B$5+AH208*'Item Budget'!$B$7+AF208*'Item Budget'!$B$11+AI208*'Item Budget'!$B$10+AE208*'Item Budget'!$B$6+AJ208*'Item Budget'!$B$8+IFERROR(INDEX('Item Budget'!$N$25:$N$95,MATCH(AL208,'Item Budget'!$B$25:$B$95,0)),0)</f>
        <v/>
      </c>
      <c r="AO208" s="61">
        <f>MAX('Item Budget'!$F$16,INDEX('Gear Budget'!$C$8:$C$14,MATCH($C208,'Gear Budget'!$A$8:$A$14,0))*MIN(AC208,50))*$L208</f>
        <v/>
      </c>
      <c r="AP208" s="41">
        <f>IF($C208="Caster weapon",AN208,MAX(AM208,AN208))/AO208</f>
        <v/>
      </c>
      <c r="AQ208" s="61">
        <f>IF(OR($C208="Weapon",$C208="Caster weapon"),"",'Gear Budget'!$B$5*MAX(1,MIN(AC208,50))*INDEX('Gear Budget'!$B$8:$B$14,MATCH($C208,'Gear Budget'!$A$8:$A$14,0))*IF($C208="Shield",IF(E208="Warrior",1,IF(OR(E208="Rogue",E208="All"),0.38/0.6,0.25/0.6)),IFERROR(INDEX('Gear Budget'!$B$18:$B$21,MATCH($F208,'Gear Budget'!$A$18:$A$21,0)),1)))</f>
        <v/>
      </c>
      <c r="AR208" s="41">
        <f>IF(AQ208="","",AF208/AQ208)</f>
        <v/>
      </c>
      <c r="AS208" s="64" t="inlineStr">
        <is>
          <t>Pre-50 caster staff: lowered 8% so the L50 caster weapons can sit above it</t>
        </is>
      </c>
      <c r="AT208" s="44">
        <f>IF(OR($E208="All",ISNUMBER(SEARCH("Warrior",$E208))),IF($C208="Caster weapon",(AN208+AF208*('Item Budget'!$AB$14-'Item Budget'!$B$11)),(AM208+AF208*('Item Budget'!$AB$14-'Item Budget'!$B$11))),0)</f>
        <v/>
      </c>
      <c r="AU208" s="44">
        <f>IF(OR($E208="All",ISNUMBER(SEARCH("Rogue",$E208))),IF($C208="Caster weapon",(AN208+AF208*('Item Budget'!$AB$15-'Item Budget'!$B$11)),(AM208+AF208*('Item Budget'!$AB$15-'Item Budget'!$B$11))),0)</f>
        <v/>
      </c>
      <c r="AV208" s="44">
        <f>IF(OR($E208="All",ISNUMBER(SEARCH("Magus",$E208))),(AN208+AF208*('Item Budget'!$AB$16-'Item Budget'!$B$11)),0)</f>
        <v/>
      </c>
      <c r="AW208" s="44">
        <f>IF(OR($E208="All",ISNUMBER(SEARCH("Priest",$E208))),(AN208+AF208*('Item Budget'!$AB$17-'Item Budget'!$B$11)),0)</f>
        <v/>
      </c>
      <c r="AX208" s="44">
        <f>IF(AND(OR($E208="All",ISNUMBER(SEARCH("Warrior",$E208))),AC208&gt;='Item Budget'!$R$10),'Item Budget'!$R$7*100*('Item Budget'!$R$14*(AD208+25*AH208)+'Item Budget'!$S$14*(AE208+25*AJ208))/'Item Budget'!$Z$14+'Item Budget'!$R$9*AF208+IFERROR(INDEX('Item Budget'!$O$25:$O$95,MATCH(AL208,'Item Budget'!$B$25:$B$95,0)),0),0)</f>
        <v/>
      </c>
      <c r="AY208" s="44">
        <f>IF(AND(OR($E208="All",ISNUMBER(SEARCH("Rogue",$E208))),AC208&gt;='Item Budget'!$R$10),'Item Budget'!$R$7*100*('Item Budget'!$R$15*(AD208+25*AH208)+'Item Budget'!$S$15*(AE208+25*AJ208))/'Item Budget'!$Z$15+'Item Budget'!$R$9*AF208+IFERROR(INDEX('Item Budget'!$O$25:$O$95,MATCH(AL208,'Item Budget'!$B$25:$B$95,0)),0),0)</f>
        <v/>
      </c>
      <c r="AZ208" s="44">
        <f>IF(AND(OR($E208="All",ISNUMBER(SEARCH("Magus",$E208))),AC208&gt;='Item Budget'!$R$10),'Item Budget'!$R$7*100*('Item Budget'!$R$16*(AD208+25*AH208)+'Item Budget'!$S$16*(AE208+25*AJ208))/'Item Budget'!$Z$16+'Item Budget'!$R$9*AF208+IFERROR(INDEX('Item Budget'!$O$25:$O$95,MATCH(AL208,'Item Budget'!$B$25:$B$95,0)),0),0)</f>
        <v/>
      </c>
      <c r="BA208" s="44">
        <f>IF(AND(OR($E208="All",ISNUMBER(SEARCH("Priest",$E208))),AC208&gt;='Item Budget'!$R$10),'Item Budget'!$R$7*100*('Item Budget'!$R$17*(AD208+25*AH208)+'Item Budget'!$S$17*(AE208+25*AJ208))/'Item Budget'!$Z$17+'Item Budget'!$R$9*AF208+IFERROR(INDEX('Item Budget'!$O$25:$O$95,MATCH(AL208,'Item Budget'!$B$25:$B$95,0)),0),0)</f>
        <v/>
      </c>
      <c r="BB208" s="52">
        <f>IF(OR($I208&lt;1,IF($I208&gt;=6,AX208,AT208)&lt;=0),"",IF(SUMPRODUCT(MAX(($C$5:$C$215=$C208)*($I$5:$I$215&gt;=1)*($I$5:$I$215&lt;$I208)*IF($I208&gt;=6,$AX$5:$AX$215,$AT$5:$AT$215)))&lt;=0,"",SUMPRODUCT(MAX(($C$5:$C$215=$C208)*($I$5:$I$215=$I208)*IF($I208&gt;=6,$AX$5:$AX$215,$AT$5:$AT$215)))/SUMPRODUCT(MAX(($C$5:$C$215=$C208)*($I$5:$I$215&gt;=1)*($I$5:$I$215&lt;$I208)*IF($I208&gt;=6,$AX$5:$AX$215,$AT$5:$AT$215)))-1))</f>
        <v/>
      </c>
      <c r="BC208" s="52">
        <f>IF(OR($I208&lt;1,IF($I208&gt;=6,AY208,AU208)&lt;=0),"",IF(SUMPRODUCT(MAX(($C$5:$C$215=$C208)*($I$5:$I$215&gt;=1)*($I$5:$I$215&lt;$I208)*IF($I208&gt;=6,$AY$5:$AY$215,$AU$5:$AU$215)))&lt;=0,"",SUMPRODUCT(MAX(($C$5:$C$215=$C208)*($I$5:$I$215=$I208)*IF($I208&gt;=6,$AY$5:$AY$215,$AU$5:$AU$215)))/SUMPRODUCT(MAX(($C$5:$C$215=$C208)*($I$5:$I$215&gt;=1)*($I$5:$I$215&lt;$I208)*IF($I208&gt;=6,$AY$5:$AY$215,$AU$5:$AU$215)))-1))</f>
        <v/>
      </c>
      <c r="BD208" s="52">
        <f>IF(OR($I208&lt;1,IF($I208&gt;=6,AZ208,AV208)&lt;=0),"",IF(SUMPRODUCT(MAX(($C$5:$C$215=$C208)*($I$5:$I$215&gt;=1)*($I$5:$I$215&lt;$I208)*IF($I208&gt;=6,$AZ$5:$AZ$215,$AV$5:$AV$215)))&lt;=0,"",SUMPRODUCT(MAX(($C$5:$C$215=$C208)*($I$5:$I$215=$I208)*IF($I208&gt;=6,$AZ$5:$AZ$215,$AV$5:$AV$215)))/SUMPRODUCT(MAX(($C$5:$C$215=$C208)*($I$5:$I$215&gt;=1)*($I$5:$I$215&lt;$I208)*IF($I208&gt;=6,$AZ$5:$AZ$215,$AV$5:$AV$215)))-1))</f>
        <v/>
      </c>
      <c r="BE208" s="52">
        <f>IF(OR($I208&lt;1,IF($I208&gt;=6,BA208,AW208)&lt;=0),"",IF(SUMPRODUCT(MAX(($C$5:$C$215=$C208)*($I$5:$I$215&gt;=1)*($I$5:$I$215&lt;$I208)*IF($I208&gt;=6,$BA$5:$BA$215,$AW$5:$AW$215)))&lt;=0,"",SUMPRODUCT(MAX(($C$5:$C$215=$C208)*($I$5:$I$215=$I208)*IF($I208&gt;=6,$BA$5:$BA$215,$AW$5:$AW$215)))/SUMPRODUCT(MAX(($C$5:$C$215=$C208)*($I$5:$I$215&gt;=1)*($I$5:$I$215&lt;$I208)*IF($I208&gt;=6,$BA$5:$BA$215,$AW$5:$AW$215)))-1))</f>
        <v/>
      </c>
      <c r="BF208" s="19">
        <f>IF(AND(BB208="",BC208="",BD208="",BE208=""),"",IF(IF(AND(ISNUMBER(BB208),BB208&lt;'Item Budget'!$R$11),"W ","")&amp;IF(AND(ISNUMBER(BC208),BC208&lt;'Item Budget'!$R$11),"R ","")&amp;IF(AND(ISNUMBER(BD208),BD208&lt;'Item Budget'!$R$11),"M ","")&amp;IF(AND(ISNUMBER(BE208),BE208&lt;'Item Budget'!$R$11),"P ","")="","OK","Not above lower step: "&amp;IF(AND(ISNUMBER(BB208),BB208&lt;'Item Budget'!$R$11),"W ","")&amp;IF(AND(ISNUMBER(BC208),BC208&lt;'Item Budget'!$R$11),"R ","")&amp;IF(AND(ISNUMBER(BD208),BD208&lt;'Item Budget'!$R$11),"M ","")&amp;IF(AND(ISNUMBER(BE208),BE208&lt;'Item Budget'!$R$11),"P ","")))</f>
        <v/>
      </c>
    </row>
    <row r="209">
      <c r="A209" s="21" t="n">
        <v>57</v>
      </c>
      <c r="B209" s="21" t="inlineStr">
        <is>
          <t>Staff of Frozen Rain</t>
        </is>
      </c>
      <c r="C209" s="21" t="inlineStr">
        <is>
          <t>Caster weapon</t>
        </is>
      </c>
      <c r="D209" s="21" t="inlineStr">
        <is>
          <t>Magus/Priest</t>
        </is>
      </c>
      <c r="E209" s="21" t="inlineStr">
        <is>
          <t>Magus/Priest</t>
        </is>
      </c>
      <c r="F209" s="21" t="inlineStr"/>
      <c r="G209" s="21" t="inlineStr">
        <is>
          <t>drop: Frosty 10%</t>
        </is>
      </c>
      <c r="H209" s="37" t="n">
        <v>0</v>
      </c>
      <c r="I209" s="21" t="n">
        <v>0</v>
      </c>
      <c r="J209" s="3" t="inlineStr">
        <is>
          <t>Pass 2</t>
        </is>
      </c>
      <c r="K209" s="21" t="inlineStr">
        <is>
          <t>Rare boss drop</t>
        </is>
      </c>
      <c r="L209" s="31">
        <f>INDEX('Item Budget'!$F$5:$F$13,MATCH(K209,'Item Budget'!$E$5:$E$13,0))+IF(E209="All",0,'Item Budget'!$F$15)+LOOKUP(H209,'Item Budget'!$E$19:$E$23,'Item Budget'!$F$19:$F$23)</f>
        <v/>
      </c>
      <c r="M209" s="21" t="n">
        <v>40</v>
      </c>
      <c r="N209" s="21" t="n">
        <v>50</v>
      </c>
      <c r="O209" s="21" t="n">
        <v>250</v>
      </c>
      <c r="P209" s="21" t="n">
        <v>10</v>
      </c>
      <c r="Q209" s="21" t="n">
        <v>0</v>
      </c>
      <c r="R209" s="21" t="n">
        <v>5</v>
      </c>
      <c r="S209" s="21" t="n">
        <v>0</v>
      </c>
      <c r="T209" s="21" t="n">
        <v>32</v>
      </c>
      <c r="U209" s="21" t="n">
        <v>35</v>
      </c>
      <c r="V209" s="21" t="inlineStr">
        <is>
          <t>(none)</t>
        </is>
      </c>
      <c r="W209" s="61">
        <f>N209*'Item Budget'!$B$5+R209*'Item Budget'!$B$7+P209*'Item Budget'!$B$11+S209*'Item Budget'!$B$10+Q209*'Item Budget'!$B$9+IFERROR(INDEX('Item Budget'!$M$25:$M$95,MATCH(V209,'Item Budget'!$B$25:$B$95,0)),0)+IF($C209="Weapon",U209*'Item Budget'!$B$9,0)</f>
        <v/>
      </c>
      <c r="X209" s="61">
        <f>N209*'Item Budget'!$B$5+R209*'Item Budget'!$B$7+P209*'Item Budget'!$B$11+S209*'Item Budget'!$B$10+O209*'Item Budget'!$B$6+T209*'Item Budget'!$B$8+IFERROR(INDEX('Item Budget'!$N$25:$N$95,MATCH(V209,'Item Budget'!$B$25:$B$95,0)),0)</f>
        <v/>
      </c>
      <c r="Y209" s="61">
        <f>MAX('Item Budget'!$F$16,INDEX('Gear Budget'!$C$8:$C$14,MATCH($C209,'Gear Budget'!$A$8:$A$14,0))*MIN(M209,50))*$L209</f>
        <v/>
      </c>
      <c r="Z209" s="41">
        <f>IF($C209="Caster weapon",X209,MAX(W209,X209))/Y209</f>
        <v/>
      </c>
      <c r="AA209" s="61">
        <f>IF(OR($C209="Weapon",$C209="Caster weapon"),"",'Gear Budget'!$B$5*MAX(1,MIN(M209,50))*INDEX('Gear Budget'!$B$8:$B$14,MATCH($C209,'Gear Budget'!$A$8:$A$14,0))*IF($C209="Shield",IF(D209="Warrior",1,IF(OR(D209="Rogue",D209="All"),0.38/0.6,0.25/0.6)),IFERROR(INDEX('Gear Budget'!$B$18:$B$21,MATCH($F209,'Gear Budget'!$A$18:$A$21,0)),1)))</f>
        <v/>
      </c>
      <c r="AB209" s="41">
        <f>IF(AA209="","",P209/AA209)</f>
        <v/>
      </c>
      <c r="AC209" s="21" t="n">
        <v>40</v>
      </c>
      <c r="AD209" s="20" t="n">
        <v>45</v>
      </c>
      <c r="AE209" s="20" t="n">
        <v>225</v>
      </c>
      <c r="AF209" s="20" t="n">
        <v>9</v>
      </c>
      <c r="AG209" s="21" t="n">
        <v>0</v>
      </c>
      <c r="AH209" s="21" t="n">
        <v>5</v>
      </c>
      <c r="AI209" s="21" t="n">
        <v>0</v>
      </c>
      <c r="AJ209" s="20" t="n">
        <v>29</v>
      </c>
      <c r="AK209" s="21" t="n">
        <v>35</v>
      </c>
      <c r="AL209" s="21" t="inlineStr">
        <is>
          <t>(none)</t>
        </is>
      </c>
      <c r="AM209" s="61">
        <f>AD209*'Item Budget'!$B$5+AH209*'Item Budget'!$B$7+AF209*'Item Budget'!$B$11+AI209*'Item Budget'!$B$10+AG209*'Item Budget'!$B$9+IFERROR(INDEX('Item Budget'!$M$25:$M$95,MATCH(AL209,'Item Budget'!$B$25:$B$95,0)),0)+IF($C209="Weapon",AK209*'Item Budget'!$B$9,0)</f>
        <v/>
      </c>
      <c r="AN209" s="61">
        <f>AD209*'Item Budget'!$B$5+AH209*'Item Budget'!$B$7+AF209*'Item Budget'!$B$11+AI209*'Item Budget'!$B$10+AE209*'Item Budget'!$B$6+AJ209*'Item Budget'!$B$8+IFERROR(INDEX('Item Budget'!$N$25:$N$95,MATCH(AL209,'Item Budget'!$B$25:$B$95,0)),0)</f>
        <v/>
      </c>
      <c r="AO209" s="61">
        <f>MAX('Item Budget'!$F$16,INDEX('Gear Budget'!$C$8:$C$14,MATCH($C209,'Gear Budget'!$A$8:$A$14,0))*MIN(AC209,50))*$L209</f>
        <v/>
      </c>
      <c r="AP209" s="41">
        <f>IF($C209="Caster weapon",AN209,MAX(AM209,AN209))/AO209</f>
        <v/>
      </c>
      <c r="AQ209" s="61">
        <f>IF(OR($C209="Weapon",$C209="Caster weapon"),"",'Gear Budget'!$B$5*MAX(1,MIN(AC209,50))*INDEX('Gear Budget'!$B$8:$B$14,MATCH($C209,'Gear Budget'!$A$8:$A$14,0))*IF($C209="Shield",IF(E209="Warrior",1,IF(OR(E209="Rogue",E209="All"),0.38/0.6,0.25/0.6)),IFERROR(INDEX('Gear Budget'!$B$18:$B$21,MATCH($F209,'Gear Budget'!$A$18:$A$21,0)),1)))</f>
        <v/>
      </c>
      <c r="AR209" s="41">
        <f>IF(AQ209="","",AF209/AQ209)</f>
        <v/>
      </c>
      <c r="AS209" s="64" t="inlineStr">
        <is>
          <t>Pre-50 caster staff: lowered 8% so the L50 caster weapons can sit above it</t>
        </is>
      </c>
      <c r="AT209" s="44">
        <f>IF(OR($E209="All",ISNUMBER(SEARCH("Warrior",$E209))),IF($C209="Caster weapon",(AN209+AF209*('Item Budget'!$AB$14-'Item Budget'!$B$11)),(AM209+AF209*('Item Budget'!$AB$14-'Item Budget'!$B$11))),0)</f>
        <v/>
      </c>
      <c r="AU209" s="44">
        <f>IF(OR($E209="All",ISNUMBER(SEARCH("Rogue",$E209))),IF($C209="Caster weapon",(AN209+AF209*('Item Budget'!$AB$15-'Item Budget'!$B$11)),(AM209+AF209*('Item Budget'!$AB$15-'Item Budget'!$B$11))),0)</f>
        <v/>
      </c>
      <c r="AV209" s="44">
        <f>IF(OR($E209="All",ISNUMBER(SEARCH("Magus",$E209))),(AN209+AF209*('Item Budget'!$AB$16-'Item Budget'!$B$11)),0)</f>
        <v/>
      </c>
      <c r="AW209" s="44">
        <f>IF(OR($E209="All",ISNUMBER(SEARCH("Priest",$E209))),(AN209+AF209*('Item Budget'!$AB$17-'Item Budget'!$B$11)),0)</f>
        <v/>
      </c>
      <c r="AX209" s="44">
        <f>IF(AND(OR($E209="All",ISNUMBER(SEARCH("Warrior",$E209))),AC209&gt;='Item Budget'!$R$10),'Item Budget'!$R$7*100*('Item Budget'!$R$14*(AD209+25*AH209)+'Item Budget'!$S$14*(AE209+25*AJ209))/'Item Budget'!$Z$14+'Item Budget'!$R$9*AF209+IFERROR(INDEX('Item Budget'!$O$25:$O$95,MATCH(AL209,'Item Budget'!$B$25:$B$95,0)),0),0)</f>
        <v/>
      </c>
      <c r="AY209" s="44">
        <f>IF(AND(OR($E209="All",ISNUMBER(SEARCH("Rogue",$E209))),AC209&gt;='Item Budget'!$R$10),'Item Budget'!$R$7*100*('Item Budget'!$R$15*(AD209+25*AH209)+'Item Budget'!$S$15*(AE209+25*AJ209))/'Item Budget'!$Z$15+'Item Budget'!$R$9*AF209+IFERROR(INDEX('Item Budget'!$O$25:$O$95,MATCH(AL209,'Item Budget'!$B$25:$B$95,0)),0),0)</f>
        <v/>
      </c>
      <c r="AZ209" s="44">
        <f>IF(AND(OR($E209="All",ISNUMBER(SEARCH("Magus",$E209))),AC209&gt;='Item Budget'!$R$10),'Item Budget'!$R$7*100*('Item Budget'!$R$16*(AD209+25*AH209)+'Item Budget'!$S$16*(AE209+25*AJ209))/'Item Budget'!$Z$16+'Item Budget'!$R$9*AF209+IFERROR(INDEX('Item Budget'!$O$25:$O$95,MATCH(AL209,'Item Budget'!$B$25:$B$95,0)),0),0)</f>
        <v/>
      </c>
      <c r="BA209" s="44">
        <f>IF(AND(OR($E209="All",ISNUMBER(SEARCH("Priest",$E209))),AC209&gt;='Item Budget'!$R$10),'Item Budget'!$R$7*100*('Item Budget'!$R$17*(AD209+25*AH209)+'Item Budget'!$S$17*(AE209+25*AJ209))/'Item Budget'!$Z$17+'Item Budget'!$R$9*AF209+IFERROR(INDEX('Item Budget'!$O$25:$O$95,MATCH(AL209,'Item Budget'!$B$25:$B$95,0)),0),0)</f>
        <v/>
      </c>
      <c r="BB209" s="52">
        <f>IF(OR($I209&lt;1,IF($I209&gt;=6,AX209,AT209)&lt;=0),"",IF(SUMPRODUCT(MAX(($C$5:$C$215=$C209)*($I$5:$I$215&gt;=1)*($I$5:$I$215&lt;$I209)*IF($I209&gt;=6,$AX$5:$AX$215,$AT$5:$AT$215)))&lt;=0,"",SUMPRODUCT(MAX(($C$5:$C$215=$C209)*($I$5:$I$215=$I209)*IF($I209&gt;=6,$AX$5:$AX$215,$AT$5:$AT$215)))/SUMPRODUCT(MAX(($C$5:$C$215=$C209)*($I$5:$I$215&gt;=1)*($I$5:$I$215&lt;$I209)*IF($I209&gt;=6,$AX$5:$AX$215,$AT$5:$AT$215)))-1))</f>
        <v/>
      </c>
      <c r="BC209" s="52">
        <f>IF(OR($I209&lt;1,IF($I209&gt;=6,AY209,AU209)&lt;=0),"",IF(SUMPRODUCT(MAX(($C$5:$C$215=$C209)*($I$5:$I$215&gt;=1)*($I$5:$I$215&lt;$I209)*IF($I209&gt;=6,$AY$5:$AY$215,$AU$5:$AU$215)))&lt;=0,"",SUMPRODUCT(MAX(($C$5:$C$215=$C209)*($I$5:$I$215=$I209)*IF($I209&gt;=6,$AY$5:$AY$215,$AU$5:$AU$215)))/SUMPRODUCT(MAX(($C$5:$C$215=$C209)*($I$5:$I$215&gt;=1)*($I$5:$I$215&lt;$I209)*IF($I209&gt;=6,$AY$5:$AY$215,$AU$5:$AU$215)))-1))</f>
        <v/>
      </c>
      <c r="BD209" s="52">
        <f>IF(OR($I209&lt;1,IF($I209&gt;=6,AZ209,AV209)&lt;=0),"",IF(SUMPRODUCT(MAX(($C$5:$C$215=$C209)*($I$5:$I$215&gt;=1)*($I$5:$I$215&lt;$I209)*IF($I209&gt;=6,$AZ$5:$AZ$215,$AV$5:$AV$215)))&lt;=0,"",SUMPRODUCT(MAX(($C$5:$C$215=$C209)*($I$5:$I$215=$I209)*IF($I209&gt;=6,$AZ$5:$AZ$215,$AV$5:$AV$215)))/SUMPRODUCT(MAX(($C$5:$C$215=$C209)*($I$5:$I$215&gt;=1)*($I$5:$I$215&lt;$I209)*IF($I209&gt;=6,$AZ$5:$AZ$215,$AV$5:$AV$215)))-1))</f>
        <v/>
      </c>
      <c r="BE209" s="52">
        <f>IF(OR($I209&lt;1,IF($I209&gt;=6,BA209,AW209)&lt;=0),"",IF(SUMPRODUCT(MAX(($C$5:$C$215=$C209)*($I$5:$I$215&gt;=1)*($I$5:$I$215&lt;$I209)*IF($I209&gt;=6,$BA$5:$BA$215,$AW$5:$AW$215)))&lt;=0,"",SUMPRODUCT(MAX(($C$5:$C$215=$C209)*($I$5:$I$215=$I209)*IF($I209&gt;=6,$BA$5:$BA$215,$AW$5:$AW$215)))/SUMPRODUCT(MAX(($C$5:$C$215=$C209)*($I$5:$I$215&gt;=1)*($I$5:$I$215&lt;$I209)*IF($I209&gt;=6,$BA$5:$BA$215,$AW$5:$AW$215)))-1))</f>
        <v/>
      </c>
      <c r="BF209" s="19">
        <f>IF(AND(BB209="",BC209="",BD209="",BE209=""),"",IF(IF(AND(ISNUMBER(BB209),BB209&lt;'Item Budget'!$R$11),"W ","")&amp;IF(AND(ISNUMBER(BC209),BC209&lt;'Item Budget'!$R$11),"R ","")&amp;IF(AND(ISNUMBER(BD209),BD209&lt;'Item Budget'!$R$11),"M ","")&amp;IF(AND(ISNUMBER(BE209),BE209&lt;'Item Budget'!$R$11),"P ","")="","OK","Not above lower step: "&amp;IF(AND(ISNUMBER(BB209),BB209&lt;'Item Budget'!$R$11),"W ","")&amp;IF(AND(ISNUMBER(BC209),BC209&lt;'Item Budget'!$R$11),"R ","")&amp;IF(AND(ISNUMBER(BD209),BD209&lt;'Item Budget'!$R$11),"M ","")&amp;IF(AND(ISNUMBER(BE209),BE209&lt;'Item Budget'!$R$11),"P ","")))</f>
        <v/>
      </c>
    </row>
    <row r="210">
      <c r="A210" s="21" t="n">
        <v>258</v>
      </c>
      <c r="B210" s="21" t="inlineStr">
        <is>
          <t>Bear Claw</t>
        </is>
      </c>
      <c r="C210" s="21" t="inlineStr">
        <is>
          <t>Caster weapon</t>
        </is>
      </c>
      <c r="D210" s="21" t="inlineStr">
        <is>
          <t>Magus/Priest</t>
        </is>
      </c>
      <c r="E210" s="21" t="inlineStr">
        <is>
          <t>Magus/Priest</t>
        </is>
      </c>
      <c r="F210" s="21" t="inlineStr"/>
      <c r="G210" s="21" t="inlineStr">
        <is>
          <t>drop: Punchy 6%</t>
        </is>
      </c>
      <c r="H210" s="37" t="n">
        <v>0</v>
      </c>
      <c r="I210" s="21" t="n">
        <v>1</v>
      </c>
      <c r="J210" s="3" t="inlineStr">
        <is>
          <t>Pass 2</t>
        </is>
      </c>
      <c r="K210" s="21" t="inlineStr">
        <is>
          <t>Rare boss drop</t>
        </is>
      </c>
      <c r="L210" s="31">
        <f>INDEX('Item Budget'!$F$5:$F$13,MATCH(K210,'Item Budget'!$E$5:$E$13,0))+IF(E210="All",0,'Item Budget'!$F$15)+LOOKUP(H210,'Item Budget'!$E$19:$E$23,'Item Budget'!$F$19:$F$23)</f>
        <v/>
      </c>
      <c r="M210" s="21" t="n">
        <v>50</v>
      </c>
      <c r="N210" s="21" t="n">
        <v>50</v>
      </c>
      <c r="O210" s="21" t="n">
        <v>150</v>
      </c>
      <c r="P210" s="21" t="n">
        <v>0</v>
      </c>
      <c r="Q210" s="21" t="n">
        <v>0</v>
      </c>
      <c r="R210" s="21" t="n">
        <v>5</v>
      </c>
      <c r="S210" s="21" t="n">
        <v>0</v>
      </c>
      <c r="T210" s="21" t="n">
        <v>20</v>
      </c>
      <c r="U210" s="21" t="n">
        <v>65</v>
      </c>
      <c r="V210" s="21" t="inlineStr">
        <is>
          <t>(none)</t>
        </is>
      </c>
      <c r="W210" s="61">
        <f>N210*'Item Budget'!$B$5+R210*'Item Budget'!$B$7+P210*'Item Budget'!$B$11+S210*'Item Budget'!$B$10+Q210*'Item Budget'!$B$9+IFERROR(INDEX('Item Budget'!$M$25:$M$95,MATCH(V210,'Item Budget'!$B$25:$B$95,0)),0)+IF($C210="Weapon",U210*'Item Budget'!$B$9,0)</f>
        <v/>
      </c>
      <c r="X210" s="61">
        <f>N210*'Item Budget'!$B$5+R210*'Item Budget'!$B$7+P210*'Item Budget'!$B$11+S210*'Item Budget'!$B$10+O210*'Item Budget'!$B$6+T210*'Item Budget'!$B$8+IFERROR(INDEX('Item Budget'!$N$25:$N$95,MATCH(V210,'Item Budget'!$B$25:$B$95,0)),0)</f>
        <v/>
      </c>
      <c r="Y210" s="61">
        <f>MAX('Item Budget'!$F$16,INDEX('Gear Budget'!$C$8:$C$14,MATCH($C210,'Gear Budget'!$A$8:$A$14,0))*MIN(M210,50))*$L210</f>
        <v/>
      </c>
      <c r="Z210" s="41">
        <f>IF($C210="Caster weapon",X210,MAX(W210,X210))/Y210</f>
        <v/>
      </c>
      <c r="AA210" s="61">
        <f>IF(OR($C210="Weapon",$C210="Caster weapon"),"",'Gear Budget'!$B$5*MAX(1,MIN(M210,50))*INDEX('Gear Budget'!$B$8:$B$14,MATCH($C210,'Gear Budget'!$A$8:$A$14,0))*IF($C210="Shield",IF(D210="Warrior",1,IF(OR(D210="Rogue",D210="All"),0.38/0.6,0.25/0.6)),IFERROR(INDEX('Gear Budget'!$B$18:$B$21,MATCH($F210,'Gear Budget'!$A$18:$A$21,0)),1)))</f>
        <v/>
      </c>
      <c r="AB210" s="41">
        <f>IF(AA210="","",P210/AA210)</f>
        <v/>
      </c>
      <c r="AC210" s="21" t="n">
        <v>50</v>
      </c>
      <c r="AD210" s="20" t="n">
        <v>90</v>
      </c>
      <c r="AE210" s="20" t="n">
        <v>275</v>
      </c>
      <c r="AF210" s="21" t="n">
        <v>0</v>
      </c>
      <c r="AG210" s="21" t="n">
        <v>0</v>
      </c>
      <c r="AH210" s="20" t="n">
        <v>9</v>
      </c>
      <c r="AI210" s="21" t="n">
        <v>0</v>
      </c>
      <c r="AJ210" s="20" t="n">
        <v>36</v>
      </c>
      <c r="AK210" s="21" t="n">
        <v>65</v>
      </c>
      <c r="AL210" s="21" t="inlineStr">
        <is>
          <t>(none)</t>
        </is>
      </c>
      <c r="AM210" s="61">
        <f>AD210*'Item Budget'!$B$5+AH210*'Item Budget'!$B$7+AF210*'Item Budget'!$B$11+AI210*'Item Budget'!$B$10+AG210*'Item Budget'!$B$9+IFERROR(INDEX('Item Budget'!$M$25:$M$95,MATCH(AL210,'Item Budget'!$B$25:$B$95,0)),0)+IF($C210="Weapon",AK210*'Item Budget'!$B$9,0)</f>
        <v/>
      </c>
      <c r="AN210" s="61">
        <f>AD210*'Item Budget'!$B$5+AH210*'Item Budget'!$B$7+AF210*'Item Budget'!$B$11+AI210*'Item Budget'!$B$10+AE210*'Item Budget'!$B$6+AJ210*'Item Budget'!$B$8+IFERROR(INDEX('Item Budget'!$N$25:$N$95,MATCH(AL210,'Item Budget'!$B$25:$B$95,0)),0)</f>
        <v/>
      </c>
      <c r="AO210" s="61">
        <f>MAX('Item Budget'!$F$16,INDEX('Gear Budget'!$C$8:$C$14,MATCH($C210,'Gear Budget'!$A$8:$A$14,0))*MIN(AC210,50))*$L210</f>
        <v/>
      </c>
      <c r="AP210" s="41">
        <f>IF($C210="Caster weapon",AN210,MAX(AM210,AN210))/AO210</f>
        <v/>
      </c>
      <c r="AQ210" s="61">
        <f>IF(OR($C210="Weapon",$C210="Caster weapon"),"",'Gear Budget'!$B$5*MAX(1,MIN(AC210,50))*INDEX('Gear Budget'!$B$8:$B$14,MATCH($C210,'Gear Budget'!$A$8:$A$14,0))*IF($C210="Shield",IF(E210="Warrior",1,IF(OR(E210="Rogue",E210="All"),0.38/0.6,0.25/0.6)),IFERROR(INDEX('Gear Budget'!$B$18:$B$21,MATCH($F210,'Gear Budget'!$A$18:$A$21,0)),1)))</f>
        <v/>
      </c>
      <c r="AR210" s="41">
        <f>IF(AQ210="","",AF210/AQ210)</f>
        <v/>
      </c>
      <c r="AS210" s="64" t="inlineStr">
        <is>
          <t>Bear Claw (Punchy caster weapon): was below the L30 Nagan Stave; now +25% over the L40 staffs</t>
        </is>
      </c>
      <c r="AT210" s="44">
        <f>IF(OR($E210="All",ISNUMBER(SEARCH("Warrior",$E210))),IF($C210="Caster weapon",(AN210+AF210*('Item Budget'!$AB$14-'Item Budget'!$B$11)),(AM210+AF210*('Item Budget'!$AB$14-'Item Budget'!$B$11))),0)</f>
        <v/>
      </c>
      <c r="AU210" s="44">
        <f>IF(OR($E210="All",ISNUMBER(SEARCH("Rogue",$E210))),IF($C210="Caster weapon",(AN210+AF210*('Item Budget'!$AB$15-'Item Budget'!$B$11)),(AM210+AF210*('Item Budget'!$AB$15-'Item Budget'!$B$11))),0)</f>
        <v/>
      </c>
      <c r="AV210" s="44">
        <f>IF(OR($E210="All",ISNUMBER(SEARCH("Magus",$E210))),(AN210+AF210*('Item Budget'!$AB$16-'Item Budget'!$B$11)),0)</f>
        <v/>
      </c>
      <c r="AW210" s="44">
        <f>IF(OR($E210="All",ISNUMBER(SEARCH("Priest",$E210))),(AN210+AF210*('Item Budget'!$AB$17-'Item Budget'!$B$11)),0)</f>
        <v/>
      </c>
      <c r="AX210" s="44">
        <f>IF(AND(OR($E210="All",ISNUMBER(SEARCH("Warrior",$E210))),AC210&gt;='Item Budget'!$R$10),'Item Budget'!$R$7*100*('Item Budget'!$R$14*(AD210+25*AH210)+'Item Budget'!$S$14*(AE210+25*AJ210))/'Item Budget'!$Z$14+'Item Budget'!$R$9*AF210+IFERROR(INDEX('Item Budget'!$O$25:$O$95,MATCH(AL210,'Item Budget'!$B$25:$B$95,0)),0),0)</f>
        <v/>
      </c>
      <c r="AY210" s="44">
        <f>IF(AND(OR($E210="All",ISNUMBER(SEARCH("Rogue",$E210))),AC210&gt;='Item Budget'!$R$10),'Item Budget'!$R$7*100*('Item Budget'!$R$15*(AD210+25*AH210)+'Item Budget'!$S$15*(AE210+25*AJ210))/'Item Budget'!$Z$15+'Item Budget'!$R$9*AF210+IFERROR(INDEX('Item Budget'!$O$25:$O$95,MATCH(AL210,'Item Budget'!$B$25:$B$95,0)),0),0)</f>
        <v/>
      </c>
      <c r="AZ210" s="44">
        <f>IF(AND(OR($E210="All",ISNUMBER(SEARCH("Magus",$E210))),AC210&gt;='Item Budget'!$R$10),'Item Budget'!$R$7*100*('Item Budget'!$R$16*(AD210+25*AH210)+'Item Budget'!$S$16*(AE210+25*AJ210))/'Item Budget'!$Z$16+'Item Budget'!$R$9*AF210+IFERROR(INDEX('Item Budget'!$O$25:$O$95,MATCH(AL210,'Item Budget'!$B$25:$B$95,0)),0),0)</f>
        <v/>
      </c>
      <c r="BA210" s="44">
        <f>IF(AND(OR($E210="All",ISNUMBER(SEARCH("Priest",$E210))),AC210&gt;='Item Budget'!$R$10),'Item Budget'!$R$7*100*('Item Budget'!$R$17*(AD210+25*AH210)+'Item Budget'!$S$17*(AE210+25*AJ210))/'Item Budget'!$Z$17+'Item Budget'!$R$9*AF210+IFERROR(INDEX('Item Budget'!$O$25:$O$95,MATCH(AL210,'Item Budget'!$B$25:$B$95,0)),0),0)</f>
        <v/>
      </c>
      <c r="BB210" s="52">
        <f>IF(OR($I210&lt;1,IF($I210&gt;=6,AX210,AT210)&lt;=0),"",IF(SUMPRODUCT(MAX(($C$5:$C$215=$C210)*($I$5:$I$215&gt;=1)*($I$5:$I$215&lt;$I210)*IF($I210&gt;=6,$AX$5:$AX$215,$AT$5:$AT$215)))&lt;=0,"",SUMPRODUCT(MAX(($C$5:$C$215=$C210)*($I$5:$I$215=$I210)*IF($I210&gt;=6,$AX$5:$AX$215,$AT$5:$AT$215)))/SUMPRODUCT(MAX(($C$5:$C$215=$C210)*($I$5:$I$215&gt;=1)*($I$5:$I$215&lt;$I210)*IF($I210&gt;=6,$AX$5:$AX$215,$AT$5:$AT$215)))-1))</f>
        <v/>
      </c>
      <c r="BC210" s="52">
        <f>IF(OR($I210&lt;1,IF($I210&gt;=6,AY210,AU210)&lt;=0),"",IF(SUMPRODUCT(MAX(($C$5:$C$215=$C210)*($I$5:$I$215&gt;=1)*($I$5:$I$215&lt;$I210)*IF($I210&gt;=6,$AY$5:$AY$215,$AU$5:$AU$215)))&lt;=0,"",SUMPRODUCT(MAX(($C$5:$C$215=$C210)*($I$5:$I$215=$I210)*IF($I210&gt;=6,$AY$5:$AY$215,$AU$5:$AU$215)))/SUMPRODUCT(MAX(($C$5:$C$215=$C210)*($I$5:$I$215&gt;=1)*($I$5:$I$215&lt;$I210)*IF($I210&gt;=6,$AY$5:$AY$215,$AU$5:$AU$215)))-1))</f>
        <v/>
      </c>
      <c r="BD210" s="52">
        <f>IF(OR($I210&lt;1,IF($I210&gt;=6,AZ210,AV210)&lt;=0),"",IF(SUMPRODUCT(MAX(($C$5:$C$215=$C210)*($I$5:$I$215&gt;=1)*($I$5:$I$215&lt;$I210)*IF($I210&gt;=6,$AZ$5:$AZ$215,$AV$5:$AV$215)))&lt;=0,"",SUMPRODUCT(MAX(($C$5:$C$215=$C210)*($I$5:$I$215=$I210)*IF($I210&gt;=6,$AZ$5:$AZ$215,$AV$5:$AV$215)))/SUMPRODUCT(MAX(($C$5:$C$215=$C210)*($I$5:$I$215&gt;=1)*($I$5:$I$215&lt;$I210)*IF($I210&gt;=6,$AZ$5:$AZ$215,$AV$5:$AV$215)))-1))</f>
        <v/>
      </c>
      <c r="BE210" s="52">
        <f>IF(OR($I210&lt;1,IF($I210&gt;=6,BA210,AW210)&lt;=0),"",IF(SUMPRODUCT(MAX(($C$5:$C$215=$C210)*($I$5:$I$215&gt;=1)*($I$5:$I$215&lt;$I210)*IF($I210&gt;=6,$BA$5:$BA$215,$AW$5:$AW$215)))&lt;=0,"",SUMPRODUCT(MAX(($C$5:$C$215=$C210)*($I$5:$I$215=$I210)*IF($I210&gt;=6,$BA$5:$BA$215,$AW$5:$AW$215)))/SUMPRODUCT(MAX(($C$5:$C$215=$C210)*($I$5:$I$215&gt;=1)*($I$5:$I$215&lt;$I210)*IF($I210&gt;=6,$BA$5:$BA$215,$AW$5:$AW$215)))-1))</f>
        <v/>
      </c>
      <c r="BF210" s="19">
        <f>IF(AND(BB210="",BC210="",BD210="",BE210=""),"",IF(IF(AND(ISNUMBER(BB210),BB210&lt;'Item Budget'!$R$11),"W ","")&amp;IF(AND(ISNUMBER(BC210),BC210&lt;'Item Budget'!$R$11),"R ","")&amp;IF(AND(ISNUMBER(BD210),BD210&lt;'Item Budget'!$R$11),"M ","")&amp;IF(AND(ISNUMBER(BE210),BE210&lt;'Item Budget'!$R$11),"P ","")="","OK","Not above lower step: "&amp;IF(AND(ISNUMBER(BB210),BB210&lt;'Item Budget'!$R$11),"W ","")&amp;IF(AND(ISNUMBER(BC210),BC210&lt;'Item Budget'!$R$11),"R ","")&amp;IF(AND(ISNUMBER(BD210),BD210&lt;'Item Budget'!$R$11),"M ","")&amp;IF(AND(ISNUMBER(BE210),BE210&lt;'Item Budget'!$R$11),"P ","")))</f>
        <v/>
      </c>
    </row>
    <row r="211">
      <c r="A211" s="21" t="n">
        <v>218</v>
      </c>
      <c r="B211" s="21" t="inlineStr">
        <is>
          <t>Frays Cane</t>
        </is>
      </c>
      <c r="C211" s="21" t="inlineStr">
        <is>
          <t>Caster weapon</t>
        </is>
      </c>
      <c r="D211" s="21" t="inlineStr">
        <is>
          <t>Magus/Priest</t>
        </is>
      </c>
      <c r="E211" s="21" t="inlineStr">
        <is>
          <t>Magus/Priest</t>
        </is>
      </c>
      <c r="F211" s="21" t="inlineStr"/>
      <c r="G211" s="21" t="inlineStr">
        <is>
          <t>drop: Fray 5%</t>
        </is>
      </c>
      <c r="H211" s="37" t="n">
        <v>0</v>
      </c>
      <c r="I211" s="21" t="n">
        <v>2</v>
      </c>
      <c r="J211" s="3" t="inlineStr">
        <is>
          <t>Pass 2</t>
        </is>
      </c>
      <c r="K211" s="21" t="inlineStr">
        <is>
          <t>Rare boss drop</t>
        </is>
      </c>
      <c r="L211" s="31">
        <f>INDEX('Item Budget'!$F$5:$F$13,MATCH(K211,'Item Budget'!$E$5:$E$13,0))+IF(E211="All",0,'Item Budget'!$F$15)+LOOKUP(H211,'Item Budget'!$E$19:$E$23,'Item Budget'!$F$19:$F$23)</f>
        <v/>
      </c>
      <c r="M211" s="21" t="n">
        <v>50</v>
      </c>
      <c r="N211" s="21" t="n">
        <v>50</v>
      </c>
      <c r="O211" s="21" t="n">
        <v>250</v>
      </c>
      <c r="P211" s="21" t="n">
        <v>0</v>
      </c>
      <c r="Q211" s="21" t="n">
        <v>0</v>
      </c>
      <c r="R211" s="21" t="n">
        <v>10</v>
      </c>
      <c r="S211" s="21" t="n">
        <v>5</v>
      </c>
      <c r="T211" s="21" t="n">
        <v>28</v>
      </c>
      <c r="U211" s="21" t="n">
        <v>18</v>
      </c>
      <c r="V211" s="21" t="inlineStr">
        <is>
          <t>(none)</t>
        </is>
      </c>
      <c r="W211" s="61">
        <f>N211*'Item Budget'!$B$5+R211*'Item Budget'!$B$7+P211*'Item Budget'!$B$11+S211*'Item Budget'!$B$10+Q211*'Item Budget'!$B$9+IFERROR(INDEX('Item Budget'!$M$25:$M$95,MATCH(V211,'Item Budget'!$B$25:$B$95,0)),0)+IF($C211="Weapon",U211*'Item Budget'!$B$9,0)</f>
        <v/>
      </c>
      <c r="X211" s="61">
        <f>N211*'Item Budget'!$B$5+R211*'Item Budget'!$B$7+P211*'Item Budget'!$B$11+S211*'Item Budget'!$B$10+O211*'Item Budget'!$B$6+T211*'Item Budget'!$B$8+IFERROR(INDEX('Item Budget'!$N$25:$N$95,MATCH(V211,'Item Budget'!$B$25:$B$95,0)),0)</f>
        <v/>
      </c>
      <c r="Y211" s="61">
        <f>MAX('Item Budget'!$F$16,INDEX('Gear Budget'!$C$8:$C$14,MATCH($C211,'Gear Budget'!$A$8:$A$14,0))*MIN(M211,50))*$L211</f>
        <v/>
      </c>
      <c r="Z211" s="41">
        <f>IF($C211="Caster weapon",X211,MAX(W211,X211))/Y211</f>
        <v/>
      </c>
      <c r="AA211" s="61">
        <f>IF(OR($C211="Weapon",$C211="Caster weapon"),"",'Gear Budget'!$B$5*MAX(1,MIN(M211,50))*INDEX('Gear Budget'!$B$8:$B$14,MATCH($C211,'Gear Budget'!$A$8:$A$14,0))*IF($C211="Shield",IF(D211="Warrior",1,IF(OR(D211="Rogue",D211="All"),0.38/0.6,0.25/0.6)),IFERROR(INDEX('Gear Budget'!$B$18:$B$21,MATCH($F211,'Gear Budget'!$A$18:$A$21,0)),1)))</f>
        <v/>
      </c>
      <c r="AB211" s="41">
        <f>IF(AA211="","",P211/AA211)</f>
        <v/>
      </c>
      <c r="AC211" s="21" t="n">
        <v>50</v>
      </c>
      <c r="AD211" s="20" t="n">
        <v>70</v>
      </c>
      <c r="AE211" s="20" t="n">
        <v>350</v>
      </c>
      <c r="AF211" s="21" t="n">
        <v>0</v>
      </c>
      <c r="AG211" s="21" t="n">
        <v>0</v>
      </c>
      <c r="AH211" s="20" t="n">
        <v>14</v>
      </c>
      <c r="AI211" s="20" t="n">
        <v>6</v>
      </c>
      <c r="AJ211" s="20" t="n">
        <v>37</v>
      </c>
      <c r="AK211" s="21" t="n">
        <v>18</v>
      </c>
      <c r="AL211" s="21" t="inlineStr">
        <is>
          <t>(none)</t>
        </is>
      </c>
      <c r="AM211" s="61">
        <f>AD211*'Item Budget'!$B$5+AH211*'Item Budget'!$B$7+AF211*'Item Budget'!$B$11+AI211*'Item Budget'!$B$10+AG211*'Item Budget'!$B$9+IFERROR(INDEX('Item Budget'!$M$25:$M$95,MATCH(AL211,'Item Budget'!$B$25:$B$95,0)),0)+IF($C211="Weapon",AK211*'Item Budget'!$B$9,0)</f>
        <v/>
      </c>
      <c r="AN211" s="61">
        <f>AD211*'Item Budget'!$B$5+AH211*'Item Budget'!$B$7+AF211*'Item Budget'!$B$11+AI211*'Item Budget'!$B$10+AE211*'Item Budget'!$B$6+AJ211*'Item Budget'!$B$8+IFERROR(INDEX('Item Budget'!$N$25:$N$95,MATCH(AL211,'Item Budget'!$B$25:$B$95,0)),0)</f>
        <v/>
      </c>
      <c r="AO211" s="61">
        <f>MAX('Item Budget'!$F$16,INDEX('Gear Budget'!$C$8:$C$14,MATCH($C211,'Gear Budget'!$A$8:$A$14,0))*MIN(AC211,50))*$L211</f>
        <v/>
      </c>
      <c r="AP211" s="41">
        <f>IF($C211="Caster weapon",AN211,MAX(AM211,AN211))/AO211</f>
        <v/>
      </c>
      <c r="AQ211" s="61">
        <f>IF(OR($C211="Weapon",$C211="Caster weapon"),"",'Gear Budget'!$B$5*MAX(1,MIN(AC211,50))*INDEX('Gear Budget'!$B$8:$B$14,MATCH($C211,'Gear Budget'!$A$8:$A$14,0))*IF($C211="Shield",IF(E211="Warrior",1,IF(OR(E211="Rogue",E211="All"),0.38/0.6,0.25/0.6)),IFERROR(INDEX('Gear Budget'!$B$18:$B$21,MATCH($F211,'Gear Budget'!$A$18:$A$21,0)),1)))</f>
        <v/>
      </c>
      <c r="AR211" s="41">
        <f>IF(AQ211="","",AF211/AQ211)</f>
        <v/>
      </c>
      <c r="AS211" s="64" t="inlineStr">
        <is>
          <t>Frays Cane (H&amp;F): 10% above the raised Bear Claw; Raised so it is 10% over Bear Claw for Magus (pass 2 class weights)</t>
        </is>
      </c>
      <c r="AT211" s="44">
        <f>IF(OR($E211="All",ISNUMBER(SEARCH("Warrior",$E211))),IF($C211="Caster weapon",(AN211+AF211*('Item Budget'!$AB$14-'Item Budget'!$B$11)),(AM211+AF211*('Item Budget'!$AB$14-'Item Budget'!$B$11))),0)</f>
        <v/>
      </c>
      <c r="AU211" s="44">
        <f>IF(OR($E211="All",ISNUMBER(SEARCH("Rogue",$E211))),IF($C211="Caster weapon",(AN211+AF211*('Item Budget'!$AB$15-'Item Budget'!$B$11)),(AM211+AF211*('Item Budget'!$AB$15-'Item Budget'!$B$11))),0)</f>
        <v/>
      </c>
      <c r="AV211" s="44">
        <f>IF(OR($E211="All",ISNUMBER(SEARCH("Magus",$E211))),(AN211+AF211*('Item Budget'!$AB$16-'Item Budget'!$B$11)),0)</f>
        <v/>
      </c>
      <c r="AW211" s="44">
        <f>IF(OR($E211="All",ISNUMBER(SEARCH("Priest",$E211))),(AN211+AF211*('Item Budget'!$AB$17-'Item Budget'!$B$11)),0)</f>
        <v/>
      </c>
      <c r="AX211" s="44">
        <f>IF(AND(OR($E211="All",ISNUMBER(SEARCH("Warrior",$E211))),AC211&gt;='Item Budget'!$R$10),'Item Budget'!$R$7*100*('Item Budget'!$R$14*(AD211+25*AH211)+'Item Budget'!$S$14*(AE211+25*AJ211))/'Item Budget'!$Z$14+'Item Budget'!$R$9*AF211+IFERROR(INDEX('Item Budget'!$O$25:$O$95,MATCH(AL211,'Item Budget'!$B$25:$B$95,0)),0),0)</f>
        <v/>
      </c>
      <c r="AY211" s="44">
        <f>IF(AND(OR($E211="All",ISNUMBER(SEARCH("Rogue",$E211))),AC211&gt;='Item Budget'!$R$10),'Item Budget'!$R$7*100*('Item Budget'!$R$15*(AD211+25*AH211)+'Item Budget'!$S$15*(AE211+25*AJ211))/'Item Budget'!$Z$15+'Item Budget'!$R$9*AF211+IFERROR(INDEX('Item Budget'!$O$25:$O$95,MATCH(AL211,'Item Budget'!$B$25:$B$95,0)),0),0)</f>
        <v/>
      </c>
      <c r="AZ211" s="44">
        <f>IF(AND(OR($E211="All",ISNUMBER(SEARCH("Magus",$E211))),AC211&gt;='Item Budget'!$R$10),'Item Budget'!$R$7*100*('Item Budget'!$R$16*(AD211+25*AH211)+'Item Budget'!$S$16*(AE211+25*AJ211))/'Item Budget'!$Z$16+'Item Budget'!$R$9*AF211+IFERROR(INDEX('Item Budget'!$O$25:$O$95,MATCH(AL211,'Item Budget'!$B$25:$B$95,0)),0),0)</f>
        <v/>
      </c>
      <c r="BA211" s="44">
        <f>IF(AND(OR($E211="All",ISNUMBER(SEARCH("Priest",$E211))),AC211&gt;='Item Budget'!$R$10),'Item Budget'!$R$7*100*('Item Budget'!$R$17*(AD211+25*AH211)+'Item Budget'!$S$17*(AE211+25*AJ211))/'Item Budget'!$Z$17+'Item Budget'!$R$9*AF211+IFERROR(INDEX('Item Budget'!$O$25:$O$95,MATCH(AL211,'Item Budget'!$B$25:$B$95,0)),0),0)</f>
        <v/>
      </c>
      <c r="BB211" s="52">
        <f>IF(OR($I211&lt;1,IF($I211&gt;=6,AX211,AT211)&lt;=0),"",IF(SUMPRODUCT(MAX(($C$5:$C$215=$C211)*($I$5:$I$215&gt;=1)*($I$5:$I$215&lt;$I211)*IF($I211&gt;=6,$AX$5:$AX$215,$AT$5:$AT$215)))&lt;=0,"",SUMPRODUCT(MAX(($C$5:$C$215=$C211)*($I$5:$I$215=$I211)*IF($I211&gt;=6,$AX$5:$AX$215,$AT$5:$AT$215)))/SUMPRODUCT(MAX(($C$5:$C$215=$C211)*($I$5:$I$215&gt;=1)*($I$5:$I$215&lt;$I211)*IF($I211&gt;=6,$AX$5:$AX$215,$AT$5:$AT$215)))-1))</f>
        <v/>
      </c>
      <c r="BC211" s="52">
        <f>IF(OR($I211&lt;1,IF($I211&gt;=6,AY211,AU211)&lt;=0),"",IF(SUMPRODUCT(MAX(($C$5:$C$215=$C211)*($I$5:$I$215&gt;=1)*($I$5:$I$215&lt;$I211)*IF($I211&gt;=6,$AY$5:$AY$215,$AU$5:$AU$215)))&lt;=0,"",SUMPRODUCT(MAX(($C$5:$C$215=$C211)*($I$5:$I$215=$I211)*IF($I211&gt;=6,$AY$5:$AY$215,$AU$5:$AU$215)))/SUMPRODUCT(MAX(($C$5:$C$215=$C211)*($I$5:$I$215&gt;=1)*($I$5:$I$215&lt;$I211)*IF($I211&gt;=6,$AY$5:$AY$215,$AU$5:$AU$215)))-1))</f>
        <v/>
      </c>
      <c r="BD211" s="52">
        <f>IF(OR($I211&lt;1,IF($I211&gt;=6,AZ211,AV211)&lt;=0),"",IF(SUMPRODUCT(MAX(($C$5:$C$215=$C211)*($I$5:$I$215&gt;=1)*($I$5:$I$215&lt;$I211)*IF($I211&gt;=6,$AZ$5:$AZ$215,$AV$5:$AV$215)))&lt;=0,"",SUMPRODUCT(MAX(($C$5:$C$215=$C211)*($I$5:$I$215=$I211)*IF($I211&gt;=6,$AZ$5:$AZ$215,$AV$5:$AV$215)))/SUMPRODUCT(MAX(($C$5:$C$215=$C211)*($I$5:$I$215&gt;=1)*($I$5:$I$215&lt;$I211)*IF($I211&gt;=6,$AZ$5:$AZ$215,$AV$5:$AV$215)))-1))</f>
        <v/>
      </c>
      <c r="BE211" s="52">
        <f>IF(OR($I211&lt;1,IF($I211&gt;=6,BA211,AW211)&lt;=0),"",IF(SUMPRODUCT(MAX(($C$5:$C$215=$C211)*($I$5:$I$215&gt;=1)*($I$5:$I$215&lt;$I211)*IF($I211&gt;=6,$BA$5:$BA$215,$AW$5:$AW$215)))&lt;=0,"",SUMPRODUCT(MAX(($C$5:$C$215=$C211)*($I$5:$I$215=$I211)*IF($I211&gt;=6,$BA$5:$BA$215,$AW$5:$AW$215)))/SUMPRODUCT(MAX(($C$5:$C$215=$C211)*($I$5:$I$215&gt;=1)*($I$5:$I$215&lt;$I211)*IF($I211&gt;=6,$BA$5:$BA$215,$AW$5:$AW$215)))-1))</f>
        <v/>
      </c>
      <c r="BF211" s="19">
        <f>IF(AND(BB211="",BC211="",BD211="",BE211=""),"",IF(IF(AND(ISNUMBER(BB211),BB211&lt;'Item Budget'!$R$11),"W ","")&amp;IF(AND(ISNUMBER(BC211),BC211&lt;'Item Budget'!$R$11),"R ","")&amp;IF(AND(ISNUMBER(BD211),BD211&lt;'Item Budget'!$R$11),"M ","")&amp;IF(AND(ISNUMBER(BE211),BE211&lt;'Item Budget'!$R$11),"P ","")="","OK","Not above lower step: "&amp;IF(AND(ISNUMBER(BB211),BB211&lt;'Item Budget'!$R$11),"W ","")&amp;IF(AND(ISNUMBER(BC211),BC211&lt;'Item Budget'!$R$11),"R ","")&amp;IF(AND(ISNUMBER(BD211),BD211&lt;'Item Budget'!$R$11),"M ","")&amp;IF(AND(ISNUMBER(BE211),BE211&lt;'Item Budget'!$R$11),"P ","")))</f>
        <v/>
      </c>
    </row>
    <row r="212">
      <c r="A212" s="21" t="n">
        <v>216</v>
      </c>
      <c r="B212" s="21" t="inlineStr">
        <is>
          <t>Devastating Birch Wood Staff</t>
        </is>
      </c>
      <c r="C212" s="21" t="inlineStr">
        <is>
          <t>Caster weapon</t>
        </is>
      </c>
      <c r="D212" s="21" t="inlineStr">
        <is>
          <t>Magus/Priest</t>
        </is>
      </c>
      <c r="E212" s="21" t="inlineStr">
        <is>
          <t>Magus/Priest</t>
        </is>
      </c>
      <c r="F212" s="21" t="inlineStr"/>
      <c r="G212" s="21" t="inlineStr">
        <is>
          <t>drop: Copycat 10%</t>
        </is>
      </c>
      <c r="H212" s="37" t="n">
        <v>0</v>
      </c>
      <c r="I212" s="21" t="n">
        <v>4</v>
      </c>
      <c r="J212" s="19" t="inlineStr">
        <is>
          <t>Pass 2</t>
        </is>
      </c>
      <c r="K212" s="21" t="inlineStr">
        <is>
          <t>Rare boss drop</t>
        </is>
      </c>
      <c r="L212" s="31">
        <f>INDEX('Item Budget'!$F$5:$F$13,MATCH(K212,'Item Budget'!$E$5:$E$13,0))+IF(E212="All",0,'Item Budget'!$F$15)+LOOKUP(H212,'Item Budget'!$E$19:$E$23,'Item Budget'!$F$19:$F$23)</f>
        <v/>
      </c>
      <c r="M212" s="21" t="n">
        <v>50</v>
      </c>
      <c r="N212" s="21" t="n">
        <v>50</v>
      </c>
      <c r="O212" s="21" t="n">
        <v>500</v>
      </c>
      <c r="P212" s="21" t="n">
        <v>50</v>
      </c>
      <c r="Q212" s="21" t="n">
        <v>0</v>
      </c>
      <c r="R212" s="21" t="n">
        <v>10</v>
      </c>
      <c r="S212" s="21" t="n">
        <v>5</v>
      </c>
      <c r="T212" s="21" t="n">
        <v>20</v>
      </c>
      <c r="U212" s="21" t="n">
        <v>42</v>
      </c>
      <c r="V212" s="21" t="inlineStr">
        <is>
          <t>(none)</t>
        </is>
      </c>
      <c r="W212" s="61">
        <f>N212*'Item Budget'!$B$5+R212*'Item Budget'!$B$7+P212*'Item Budget'!$B$11+S212*'Item Budget'!$B$10+Q212*'Item Budget'!$B$9+IFERROR(INDEX('Item Budget'!$M$25:$M$95,MATCH(V212,'Item Budget'!$B$25:$B$95,0)),0)+IF($C212="Weapon",U212*'Item Budget'!$B$9,0)</f>
        <v/>
      </c>
      <c r="X212" s="61">
        <f>N212*'Item Budget'!$B$5+R212*'Item Budget'!$B$7+P212*'Item Budget'!$B$11+S212*'Item Budget'!$B$10+O212*'Item Budget'!$B$6+T212*'Item Budget'!$B$8+IFERROR(INDEX('Item Budget'!$N$25:$N$95,MATCH(V212,'Item Budget'!$B$25:$B$95,0)),0)</f>
        <v/>
      </c>
      <c r="Y212" s="61">
        <f>MAX('Item Budget'!$F$16,INDEX('Gear Budget'!$C$8:$C$14,MATCH($C212,'Gear Budget'!$A$8:$A$14,0))*MIN(M212,50))*$L212</f>
        <v/>
      </c>
      <c r="Z212" s="41">
        <f>IF($C212="Caster weapon",X212,MAX(W212,X212))/Y212</f>
        <v/>
      </c>
      <c r="AA212" s="61">
        <f>IF(OR($C212="Weapon",$C212="Caster weapon"),"",'Gear Budget'!$B$5*MAX(1,MIN(M212,50))*INDEX('Gear Budget'!$B$8:$B$14,MATCH($C212,'Gear Budget'!$A$8:$A$14,0))*IF($C212="Shield",IF(D212="Warrior",1,IF(OR(D212="Rogue",D212="All"),0.38/0.6,0.25/0.6)),IFERROR(INDEX('Gear Budget'!$B$18:$B$21,MATCH($F212,'Gear Budget'!$A$18:$A$21,0)),1)))</f>
        <v/>
      </c>
      <c r="AB212" s="41">
        <f>IF(AA212="","",P212/AA212)</f>
        <v/>
      </c>
      <c r="AC212" s="21" t="n">
        <v>50</v>
      </c>
      <c r="AD212" s="20" t="n">
        <v>70</v>
      </c>
      <c r="AE212" s="20" t="n">
        <v>725</v>
      </c>
      <c r="AF212" s="21" t="n">
        <v>50</v>
      </c>
      <c r="AG212" s="21" t="n">
        <v>0</v>
      </c>
      <c r="AH212" s="20" t="n">
        <v>14</v>
      </c>
      <c r="AI212" s="21" t="n">
        <v>5</v>
      </c>
      <c r="AJ212" s="20" t="n">
        <v>29</v>
      </c>
      <c r="AK212" s="21" t="n">
        <v>42</v>
      </c>
      <c r="AL212" s="21" t="inlineStr">
        <is>
          <t>(none)</t>
        </is>
      </c>
      <c r="AM212" s="61">
        <f>AD212*'Item Budget'!$B$5+AH212*'Item Budget'!$B$7+AF212*'Item Budget'!$B$11+AI212*'Item Budget'!$B$10+AG212*'Item Budget'!$B$9+IFERROR(INDEX('Item Budget'!$M$25:$M$95,MATCH(AL212,'Item Budget'!$B$25:$B$95,0)),0)+IF($C212="Weapon",AK212*'Item Budget'!$B$9,0)</f>
        <v/>
      </c>
      <c r="AN212" s="61">
        <f>AD212*'Item Budget'!$B$5+AH212*'Item Budget'!$B$7+AF212*'Item Budget'!$B$11+AI212*'Item Budget'!$B$10+AE212*'Item Budget'!$B$6+AJ212*'Item Budget'!$B$8+IFERROR(INDEX('Item Budget'!$N$25:$N$95,MATCH(AL212,'Item Budget'!$B$25:$B$95,0)),0)</f>
        <v/>
      </c>
      <c r="AO212" s="61">
        <f>MAX('Item Budget'!$F$16,INDEX('Gear Budget'!$C$8:$C$14,MATCH($C212,'Gear Budget'!$A$8:$A$14,0))*MIN(AC212,50))*$L212</f>
        <v/>
      </c>
      <c r="AP212" s="41">
        <f>IF($C212="Caster weapon",AN212,MAX(AM212,AN212))/AO212</f>
        <v/>
      </c>
      <c r="AQ212" s="61">
        <f>IF(OR($C212="Weapon",$C212="Caster weapon"),"",'Gear Budget'!$B$5*MAX(1,MIN(AC212,50))*INDEX('Gear Budget'!$B$8:$B$14,MATCH($C212,'Gear Budget'!$A$8:$A$14,0))*IF($C212="Shield",IF(E212="Warrior",1,IF(OR(E212="Rogue",E212="All"),0.38/0.6,0.25/0.6)),IFERROR(INDEX('Gear Budget'!$B$18:$B$21,MATCH($F212,'Gear Budget'!$A$18:$A$21,0)),1)))</f>
        <v/>
      </c>
      <c r="AR212" s="41">
        <f>IF(AQ212="","",AF212/AQ212)</f>
        <v/>
      </c>
      <c r="AS212" s="64" t="inlineStr">
        <is>
          <t>Raised so it is 10% over Frays Cane for Priest (pass 2 class weights)</t>
        </is>
      </c>
      <c r="AT212" s="44">
        <f>IF(OR($E212="All",ISNUMBER(SEARCH("Warrior",$E212))),IF($C212="Caster weapon",(AN212+AF212*('Item Budget'!$AB$14-'Item Budget'!$B$11)),(AM212+AF212*('Item Budget'!$AB$14-'Item Budget'!$B$11))),0)</f>
        <v/>
      </c>
      <c r="AU212" s="44">
        <f>IF(OR($E212="All",ISNUMBER(SEARCH("Rogue",$E212))),IF($C212="Caster weapon",(AN212+AF212*('Item Budget'!$AB$15-'Item Budget'!$B$11)),(AM212+AF212*('Item Budget'!$AB$15-'Item Budget'!$B$11))),0)</f>
        <v/>
      </c>
      <c r="AV212" s="44">
        <f>IF(OR($E212="All",ISNUMBER(SEARCH("Magus",$E212))),(AN212+AF212*('Item Budget'!$AB$16-'Item Budget'!$B$11)),0)</f>
        <v/>
      </c>
      <c r="AW212" s="44">
        <f>IF(OR($E212="All",ISNUMBER(SEARCH("Priest",$E212))),(AN212+AF212*('Item Budget'!$AB$17-'Item Budget'!$B$11)),0)</f>
        <v/>
      </c>
      <c r="AX212" s="44">
        <f>IF(AND(OR($E212="All",ISNUMBER(SEARCH("Warrior",$E212))),AC212&gt;='Item Budget'!$R$10),'Item Budget'!$R$7*100*('Item Budget'!$R$14*(AD212+25*AH212)+'Item Budget'!$S$14*(AE212+25*AJ212))/'Item Budget'!$Z$14+'Item Budget'!$R$9*AF212+IFERROR(INDEX('Item Budget'!$O$25:$O$95,MATCH(AL212,'Item Budget'!$B$25:$B$95,0)),0),0)</f>
        <v/>
      </c>
      <c r="AY212" s="44">
        <f>IF(AND(OR($E212="All",ISNUMBER(SEARCH("Rogue",$E212))),AC212&gt;='Item Budget'!$R$10),'Item Budget'!$R$7*100*('Item Budget'!$R$15*(AD212+25*AH212)+'Item Budget'!$S$15*(AE212+25*AJ212))/'Item Budget'!$Z$15+'Item Budget'!$R$9*AF212+IFERROR(INDEX('Item Budget'!$O$25:$O$95,MATCH(AL212,'Item Budget'!$B$25:$B$95,0)),0),0)</f>
        <v/>
      </c>
      <c r="AZ212" s="44">
        <f>IF(AND(OR($E212="All",ISNUMBER(SEARCH("Magus",$E212))),AC212&gt;='Item Budget'!$R$10),'Item Budget'!$R$7*100*('Item Budget'!$R$16*(AD212+25*AH212)+'Item Budget'!$S$16*(AE212+25*AJ212))/'Item Budget'!$Z$16+'Item Budget'!$R$9*AF212+IFERROR(INDEX('Item Budget'!$O$25:$O$95,MATCH(AL212,'Item Budget'!$B$25:$B$95,0)),0),0)</f>
        <v/>
      </c>
      <c r="BA212" s="44">
        <f>IF(AND(OR($E212="All",ISNUMBER(SEARCH("Priest",$E212))),AC212&gt;='Item Budget'!$R$10),'Item Budget'!$R$7*100*('Item Budget'!$R$17*(AD212+25*AH212)+'Item Budget'!$S$17*(AE212+25*AJ212))/'Item Budget'!$Z$17+'Item Budget'!$R$9*AF212+IFERROR(INDEX('Item Budget'!$O$25:$O$95,MATCH(AL212,'Item Budget'!$B$25:$B$95,0)),0),0)</f>
        <v/>
      </c>
      <c r="BB212" s="52">
        <f>IF(OR($I212&lt;1,IF($I212&gt;=6,AX212,AT212)&lt;=0),"",IF(SUMPRODUCT(MAX(($C$5:$C$215=$C212)*($I$5:$I$215&gt;=1)*($I$5:$I$215&lt;$I212)*IF($I212&gt;=6,$AX$5:$AX$215,$AT$5:$AT$215)))&lt;=0,"",SUMPRODUCT(MAX(($C$5:$C$215=$C212)*($I$5:$I$215=$I212)*IF($I212&gt;=6,$AX$5:$AX$215,$AT$5:$AT$215)))/SUMPRODUCT(MAX(($C$5:$C$215=$C212)*($I$5:$I$215&gt;=1)*($I$5:$I$215&lt;$I212)*IF($I212&gt;=6,$AX$5:$AX$215,$AT$5:$AT$215)))-1))</f>
        <v/>
      </c>
      <c r="BC212" s="52">
        <f>IF(OR($I212&lt;1,IF($I212&gt;=6,AY212,AU212)&lt;=0),"",IF(SUMPRODUCT(MAX(($C$5:$C$215=$C212)*($I$5:$I$215&gt;=1)*($I$5:$I$215&lt;$I212)*IF($I212&gt;=6,$AY$5:$AY$215,$AU$5:$AU$215)))&lt;=0,"",SUMPRODUCT(MAX(($C$5:$C$215=$C212)*($I$5:$I$215=$I212)*IF($I212&gt;=6,$AY$5:$AY$215,$AU$5:$AU$215)))/SUMPRODUCT(MAX(($C$5:$C$215=$C212)*($I$5:$I$215&gt;=1)*($I$5:$I$215&lt;$I212)*IF($I212&gt;=6,$AY$5:$AY$215,$AU$5:$AU$215)))-1))</f>
        <v/>
      </c>
      <c r="BD212" s="52">
        <f>IF(OR($I212&lt;1,IF($I212&gt;=6,AZ212,AV212)&lt;=0),"",IF(SUMPRODUCT(MAX(($C$5:$C$215=$C212)*($I$5:$I$215&gt;=1)*($I$5:$I$215&lt;$I212)*IF($I212&gt;=6,$AZ$5:$AZ$215,$AV$5:$AV$215)))&lt;=0,"",SUMPRODUCT(MAX(($C$5:$C$215=$C212)*($I$5:$I$215=$I212)*IF($I212&gt;=6,$AZ$5:$AZ$215,$AV$5:$AV$215)))/SUMPRODUCT(MAX(($C$5:$C$215=$C212)*($I$5:$I$215&gt;=1)*($I$5:$I$215&lt;$I212)*IF($I212&gt;=6,$AZ$5:$AZ$215,$AV$5:$AV$215)))-1))</f>
        <v/>
      </c>
      <c r="BE212" s="52">
        <f>IF(OR($I212&lt;1,IF($I212&gt;=6,BA212,AW212)&lt;=0),"",IF(SUMPRODUCT(MAX(($C$5:$C$215=$C212)*($I$5:$I$215&gt;=1)*($I$5:$I$215&lt;$I212)*IF($I212&gt;=6,$BA$5:$BA$215,$AW$5:$AW$215)))&lt;=0,"",SUMPRODUCT(MAX(($C$5:$C$215=$C212)*($I$5:$I$215=$I212)*IF($I212&gt;=6,$BA$5:$BA$215,$AW$5:$AW$215)))/SUMPRODUCT(MAX(($C$5:$C$215=$C212)*($I$5:$I$215&gt;=1)*($I$5:$I$215&lt;$I212)*IF($I212&gt;=6,$BA$5:$BA$215,$AW$5:$AW$215)))-1))</f>
        <v/>
      </c>
      <c r="BF212" s="19">
        <f>IF(AND(BB212="",BC212="",BD212="",BE212=""),"",IF(IF(AND(ISNUMBER(BB212),BB212&lt;'Item Budget'!$R$11),"W ","")&amp;IF(AND(ISNUMBER(BC212),BC212&lt;'Item Budget'!$R$11),"R ","")&amp;IF(AND(ISNUMBER(BD212),BD212&lt;'Item Budget'!$R$11),"M ","")&amp;IF(AND(ISNUMBER(BE212),BE212&lt;'Item Budget'!$R$11),"P ","")="","OK","Not above lower step: "&amp;IF(AND(ISNUMBER(BB212),BB212&lt;'Item Budget'!$R$11),"W ","")&amp;IF(AND(ISNUMBER(BC212),BC212&lt;'Item Budget'!$R$11),"R ","")&amp;IF(AND(ISNUMBER(BD212),BD212&lt;'Item Budget'!$R$11),"M ","")&amp;IF(AND(ISNUMBER(BE212),BE212&lt;'Item Budget'!$R$11),"P ","")))</f>
        <v/>
      </c>
    </row>
    <row r="213">
      <c r="A213" s="21" t="n">
        <v>282</v>
      </c>
      <c r="B213" s="21" t="inlineStr">
        <is>
          <t>Ancient Moon Wand</t>
        </is>
      </c>
      <c r="C213" s="21" t="inlineStr">
        <is>
          <t>Caster weapon</t>
        </is>
      </c>
      <c r="D213" s="21" t="inlineStr">
        <is>
          <t>Magus/Priest</t>
        </is>
      </c>
      <c r="E213" s="21" t="inlineStr">
        <is>
          <t>Magus/Priest</t>
        </is>
      </c>
      <c r="F213" s="21" t="inlineStr"/>
      <c r="G213" s="21" t="inlineStr">
        <is>
          <t>drop: Dalph Von'Ownu 20%</t>
        </is>
      </c>
      <c r="H213" s="37" t="n">
        <v>20000000</v>
      </c>
      <c r="I213" s="21" t="n">
        <v>6</v>
      </c>
      <c r="J213" s="3" t="inlineStr">
        <is>
          <t>Applied</t>
        </is>
      </c>
      <c r="K213" s="21" t="inlineStr">
        <is>
          <t>Rare boss drop</t>
        </is>
      </c>
      <c r="L213" s="31">
        <f>INDEX('Item Budget'!$F$5:$F$13,MATCH(K213,'Item Budget'!$E$5:$E$13,0))+IF(E213="All",0,'Item Budget'!$F$15)+LOOKUP(H213,'Item Budget'!$E$19:$E$23,'Item Budget'!$F$19:$F$23)</f>
        <v/>
      </c>
      <c r="M213" s="21" t="n">
        <v>50</v>
      </c>
      <c r="N213" s="21" t="n">
        <v>250</v>
      </c>
      <c r="O213" s="21" t="n">
        <v>2500</v>
      </c>
      <c r="P213" s="21" t="n">
        <v>0</v>
      </c>
      <c r="Q213" s="21" t="n">
        <v>0</v>
      </c>
      <c r="R213" s="21" t="n">
        <v>5</v>
      </c>
      <c r="S213" s="21" t="n">
        <v>0</v>
      </c>
      <c r="T213" s="21" t="n">
        <v>15</v>
      </c>
      <c r="U213" s="21" t="n">
        <v>80</v>
      </c>
      <c r="V213" s="21" t="inlineStr">
        <is>
          <t>(none)</t>
        </is>
      </c>
      <c r="W213" s="61">
        <f>N213*'Item Budget'!$B$5+R213*'Item Budget'!$B$7+P213*'Item Budget'!$B$11+S213*'Item Budget'!$B$10+Q213*'Item Budget'!$B$9+IFERROR(INDEX('Item Budget'!$M$25:$M$95,MATCH(V213,'Item Budget'!$B$25:$B$95,0)),0)+IF($C213="Weapon",U213*'Item Budget'!$B$9,0)</f>
        <v/>
      </c>
      <c r="X213" s="61">
        <f>N213*'Item Budget'!$B$5+R213*'Item Budget'!$B$7+P213*'Item Budget'!$B$11+S213*'Item Budget'!$B$10+O213*'Item Budget'!$B$6+T213*'Item Budget'!$B$8+IFERROR(INDEX('Item Budget'!$N$25:$N$95,MATCH(V213,'Item Budget'!$B$25:$B$95,0)),0)</f>
        <v/>
      </c>
      <c r="Y213" s="61">
        <f>MAX('Item Budget'!$F$16,INDEX('Gear Budget'!$C$8:$C$14,MATCH($C213,'Gear Budget'!$A$8:$A$14,0))*MIN(M213,50))*$L213</f>
        <v/>
      </c>
      <c r="Z213" s="41">
        <f>IF($C213="Caster weapon",X213,MAX(W213,X213))/Y213</f>
        <v/>
      </c>
      <c r="AA213" s="61">
        <f>IF(OR($C213="Weapon",$C213="Caster weapon"),"",'Gear Budget'!$B$5*MAX(1,MIN(M213,50))*INDEX('Gear Budget'!$B$8:$B$14,MATCH($C213,'Gear Budget'!$A$8:$A$14,0))*IF($C213="Shield",IF(D213="Warrior",1,IF(OR(D213="Rogue",D213="All"),0.38/0.6,0.25/0.6)),IFERROR(INDEX('Gear Budget'!$B$18:$B$21,MATCH($F213,'Gear Budget'!$A$18:$A$21,0)),1)))</f>
        <v/>
      </c>
      <c r="AB213" s="41">
        <f>IF(AA213="","",P213/AA213)</f>
        <v/>
      </c>
      <c r="AC213" s="21" t="n">
        <v>50</v>
      </c>
      <c r="AD213" s="21" t="n">
        <v>250</v>
      </c>
      <c r="AE213" s="21" t="n">
        <v>2500</v>
      </c>
      <c r="AF213" s="21" t="n">
        <v>0</v>
      </c>
      <c r="AG213" s="21" t="n">
        <v>0</v>
      </c>
      <c r="AH213" s="21" t="n">
        <v>5</v>
      </c>
      <c r="AI213" s="21" t="n">
        <v>0</v>
      </c>
      <c r="AJ213" s="21" t="n">
        <v>15</v>
      </c>
      <c r="AK213" s="21" t="n">
        <v>80</v>
      </c>
      <c r="AL213" s="21" t="inlineStr">
        <is>
          <t>(none)</t>
        </is>
      </c>
      <c r="AM213" s="61">
        <f>AD213*'Item Budget'!$B$5+AH213*'Item Budget'!$B$7+AF213*'Item Budget'!$B$11+AI213*'Item Budget'!$B$10+AG213*'Item Budget'!$B$9+IFERROR(INDEX('Item Budget'!$M$25:$M$95,MATCH(AL213,'Item Budget'!$B$25:$B$95,0)),0)+IF($C213="Weapon",AK213*'Item Budget'!$B$9,0)</f>
        <v/>
      </c>
      <c r="AN213" s="61">
        <f>AD213*'Item Budget'!$B$5+AH213*'Item Budget'!$B$7+AF213*'Item Budget'!$B$11+AI213*'Item Budget'!$B$10+AE213*'Item Budget'!$B$6+AJ213*'Item Budget'!$B$8+IFERROR(INDEX('Item Budget'!$N$25:$N$95,MATCH(AL213,'Item Budget'!$B$25:$B$95,0)),0)</f>
        <v/>
      </c>
      <c r="AO213" s="61">
        <f>MAX('Item Budget'!$F$16,INDEX('Gear Budget'!$C$8:$C$14,MATCH($C213,'Gear Budget'!$A$8:$A$14,0))*MIN(AC213,50))*$L213</f>
        <v/>
      </c>
      <c r="AP213" s="41">
        <f>IF($C213="Caster weapon",AN213,MAX(AM213,AN213))/AO213</f>
        <v/>
      </c>
      <c r="AQ213" s="61">
        <f>IF(OR($C213="Weapon",$C213="Caster weapon"),"",'Gear Budget'!$B$5*MAX(1,MIN(AC213,50))*INDEX('Gear Budget'!$B$8:$B$14,MATCH($C213,'Gear Budget'!$A$8:$A$14,0))*IF($C213="Shield",IF(E213="Warrior",1,IF(OR(E213="Rogue",E213="All"),0.38/0.6,0.25/0.6)),IFERROR(INDEX('Gear Budget'!$B$18:$B$21,MATCH($F213,'Gear Budget'!$A$18:$A$21,0)),1)))</f>
        <v/>
      </c>
      <c r="AR213" s="41">
        <f>IF(AQ213="","",AF213/AQ213)</f>
        <v/>
      </c>
      <c r="AS213" s="64" t="inlineStr">
        <is>
          <t>Pass 1 (applied): 20M: MP 1000 -&gt; 2500 so it beats Coral Sword for Magus.</t>
        </is>
      </c>
      <c r="AT213" s="44">
        <f>IF(OR($E213="All",ISNUMBER(SEARCH("Warrior",$E213))),IF($C213="Caster weapon",(AN213+AF213*('Item Budget'!$AB$14-'Item Budget'!$B$11)),(AM213+AF213*('Item Budget'!$AB$14-'Item Budget'!$B$11))),0)</f>
        <v/>
      </c>
      <c r="AU213" s="44">
        <f>IF(OR($E213="All",ISNUMBER(SEARCH("Rogue",$E213))),IF($C213="Caster weapon",(AN213+AF213*('Item Budget'!$AB$15-'Item Budget'!$B$11)),(AM213+AF213*('Item Budget'!$AB$15-'Item Budget'!$B$11))),0)</f>
        <v/>
      </c>
      <c r="AV213" s="44">
        <f>IF(OR($E213="All",ISNUMBER(SEARCH("Magus",$E213))),(AN213+AF213*('Item Budget'!$AB$16-'Item Budget'!$B$11)),0)</f>
        <v/>
      </c>
      <c r="AW213" s="44">
        <f>IF(OR($E213="All",ISNUMBER(SEARCH("Priest",$E213))),(AN213+AF213*('Item Budget'!$AB$17-'Item Budget'!$B$11)),0)</f>
        <v/>
      </c>
      <c r="AX213" s="44">
        <f>IF(AND(OR($E213="All",ISNUMBER(SEARCH("Warrior",$E213))),AC213&gt;='Item Budget'!$R$10),'Item Budget'!$R$7*100*('Item Budget'!$R$14*(AD213+25*AH213)+'Item Budget'!$S$14*(AE213+25*AJ213))/'Item Budget'!$Z$14+'Item Budget'!$R$9*AF213+IFERROR(INDEX('Item Budget'!$O$25:$O$95,MATCH(AL213,'Item Budget'!$B$25:$B$95,0)),0),0)</f>
        <v/>
      </c>
      <c r="AY213" s="44">
        <f>IF(AND(OR($E213="All",ISNUMBER(SEARCH("Rogue",$E213))),AC213&gt;='Item Budget'!$R$10),'Item Budget'!$R$7*100*('Item Budget'!$R$15*(AD213+25*AH213)+'Item Budget'!$S$15*(AE213+25*AJ213))/'Item Budget'!$Z$15+'Item Budget'!$R$9*AF213+IFERROR(INDEX('Item Budget'!$O$25:$O$95,MATCH(AL213,'Item Budget'!$B$25:$B$95,0)),0),0)</f>
        <v/>
      </c>
      <c r="AZ213" s="44">
        <f>IF(AND(OR($E213="All",ISNUMBER(SEARCH("Magus",$E213))),AC213&gt;='Item Budget'!$R$10),'Item Budget'!$R$7*100*('Item Budget'!$R$16*(AD213+25*AH213)+'Item Budget'!$S$16*(AE213+25*AJ213))/'Item Budget'!$Z$16+'Item Budget'!$R$9*AF213+IFERROR(INDEX('Item Budget'!$O$25:$O$95,MATCH(AL213,'Item Budget'!$B$25:$B$95,0)),0),0)</f>
        <v/>
      </c>
      <c r="BA213" s="44">
        <f>IF(AND(OR($E213="All",ISNUMBER(SEARCH("Priest",$E213))),AC213&gt;='Item Budget'!$R$10),'Item Budget'!$R$7*100*('Item Budget'!$R$17*(AD213+25*AH213)+'Item Budget'!$S$17*(AE213+25*AJ213))/'Item Budget'!$Z$17+'Item Budget'!$R$9*AF213+IFERROR(INDEX('Item Budget'!$O$25:$O$95,MATCH(AL213,'Item Budget'!$B$25:$B$95,0)),0),0)</f>
        <v/>
      </c>
      <c r="BB213" s="52">
        <f>IF(OR($I213&lt;1,IF($I213&gt;=6,AX213,AT213)&lt;=0),"",IF(SUMPRODUCT(MAX(($C$5:$C$215=$C213)*($I$5:$I$215&gt;=1)*($I$5:$I$215&lt;$I213)*IF($I213&gt;=6,$AX$5:$AX$215,$AT$5:$AT$215)))&lt;=0,"",SUMPRODUCT(MAX(($C$5:$C$215=$C213)*($I$5:$I$215=$I213)*IF($I213&gt;=6,$AX$5:$AX$215,$AT$5:$AT$215)))/SUMPRODUCT(MAX(($C$5:$C$215=$C213)*($I$5:$I$215&gt;=1)*($I$5:$I$215&lt;$I213)*IF($I213&gt;=6,$AX$5:$AX$215,$AT$5:$AT$215)))-1))</f>
        <v/>
      </c>
      <c r="BC213" s="52">
        <f>IF(OR($I213&lt;1,IF($I213&gt;=6,AY213,AU213)&lt;=0),"",IF(SUMPRODUCT(MAX(($C$5:$C$215=$C213)*($I$5:$I$215&gt;=1)*($I$5:$I$215&lt;$I213)*IF($I213&gt;=6,$AY$5:$AY$215,$AU$5:$AU$215)))&lt;=0,"",SUMPRODUCT(MAX(($C$5:$C$215=$C213)*($I$5:$I$215=$I213)*IF($I213&gt;=6,$AY$5:$AY$215,$AU$5:$AU$215)))/SUMPRODUCT(MAX(($C$5:$C$215=$C213)*($I$5:$I$215&gt;=1)*($I$5:$I$215&lt;$I213)*IF($I213&gt;=6,$AY$5:$AY$215,$AU$5:$AU$215)))-1))</f>
        <v/>
      </c>
      <c r="BD213" s="52">
        <f>IF(OR($I213&lt;1,IF($I213&gt;=6,AZ213,AV213)&lt;=0),"",IF(SUMPRODUCT(MAX(($C$5:$C$215=$C213)*($I$5:$I$215&gt;=1)*($I$5:$I$215&lt;$I213)*IF($I213&gt;=6,$AZ$5:$AZ$215,$AV$5:$AV$215)))&lt;=0,"",SUMPRODUCT(MAX(($C$5:$C$215=$C213)*($I$5:$I$215=$I213)*IF($I213&gt;=6,$AZ$5:$AZ$215,$AV$5:$AV$215)))/SUMPRODUCT(MAX(($C$5:$C$215=$C213)*($I$5:$I$215&gt;=1)*($I$5:$I$215&lt;$I213)*IF($I213&gt;=6,$AZ$5:$AZ$215,$AV$5:$AV$215)))-1))</f>
        <v/>
      </c>
      <c r="BE213" s="52">
        <f>IF(OR($I213&lt;1,IF($I213&gt;=6,BA213,AW213)&lt;=0),"",IF(SUMPRODUCT(MAX(($C$5:$C$215=$C213)*($I$5:$I$215&gt;=1)*($I$5:$I$215&lt;$I213)*IF($I213&gt;=6,$BA$5:$BA$215,$AW$5:$AW$215)))&lt;=0,"",SUMPRODUCT(MAX(($C$5:$C$215=$C213)*($I$5:$I$215=$I213)*IF($I213&gt;=6,$BA$5:$BA$215,$AW$5:$AW$215)))/SUMPRODUCT(MAX(($C$5:$C$215=$C213)*($I$5:$I$215&gt;=1)*($I$5:$I$215&lt;$I213)*IF($I213&gt;=6,$BA$5:$BA$215,$AW$5:$AW$215)))-1))</f>
        <v/>
      </c>
      <c r="BF213" s="19">
        <f>IF(AND(BB213="",BC213="",BD213="",BE213=""),"",IF(IF(AND(ISNUMBER(BB213),BB213&lt;'Item Budget'!$R$11),"W ","")&amp;IF(AND(ISNUMBER(BC213),BC213&lt;'Item Budget'!$R$11),"R ","")&amp;IF(AND(ISNUMBER(BD213),BD213&lt;'Item Budget'!$R$11),"M ","")&amp;IF(AND(ISNUMBER(BE213),BE213&lt;'Item Budget'!$R$11),"P ","")="","OK","Not above lower step: "&amp;IF(AND(ISNUMBER(BB213),BB213&lt;'Item Budget'!$R$11),"W ","")&amp;IF(AND(ISNUMBER(BC213),BC213&lt;'Item Budget'!$R$11),"R ","")&amp;IF(AND(ISNUMBER(BD213),BD213&lt;'Item Budget'!$R$11),"M ","")&amp;IF(AND(ISNUMBER(BE213),BE213&lt;'Item Budget'!$R$11),"P ","")))</f>
        <v/>
      </c>
    </row>
    <row r="214">
      <c r="A214" s="21" t="n">
        <v>504</v>
      </c>
      <c r="B214" s="21" t="inlineStr">
        <is>
          <t>Wizards Staff of Enchantment</t>
        </is>
      </c>
      <c r="C214" s="21" t="inlineStr">
        <is>
          <t>Caster weapon</t>
        </is>
      </c>
      <c r="D214" s="21" t="inlineStr">
        <is>
          <t>Magus</t>
        </is>
      </c>
      <c r="E214" s="21" t="inlineStr">
        <is>
          <t>Magus</t>
        </is>
      </c>
      <c r="F214" s="21" t="inlineStr"/>
      <c r="G214" s="21" t="inlineStr">
        <is>
          <t>drop: Queen Butcher 20%</t>
        </is>
      </c>
      <c r="H214" s="37" t="n">
        <v>200000000</v>
      </c>
      <c r="I214" s="21" t="n">
        <v>8</v>
      </c>
      <c r="J214" s="19" t="inlineStr">
        <is>
          <t>Leave</t>
        </is>
      </c>
      <c r="K214" s="21" t="inlineStr">
        <is>
          <t>Rare boss drop</t>
        </is>
      </c>
      <c r="L214" s="31">
        <f>INDEX('Item Budget'!$F$5:$F$13,MATCH(K214,'Item Budget'!$E$5:$E$13,0))+IF(E214="All",0,'Item Budget'!$F$15)+LOOKUP(H214,'Item Budget'!$E$19:$E$23,'Item Budget'!$F$19:$F$23)</f>
        <v/>
      </c>
      <c r="M214" s="21" t="n">
        <v>50</v>
      </c>
      <c r="N214" s="21" t="n">
        <v>0</v>
      </c>
      <c r="O214" s="21" t="n">
        <v>5000</v>
      </c>
      <c r="P214" s="21" t="n">
        <v>0</v>
      </c>
      <c r="Q214" s="21" t="n">
        <v>0</v>
      </c>
      <c r="R214" s="21" t="n">
        <v>0</v>
      </c>
      <c r="S214" s="21" t="n">
        <v>0</v>
      </c>
      <c r="T214" s="21" t="n">
        <v>0</v>
      </c>
      <c r="U214" s="21" t="n">
        <v>150</v>
      </c>
      <c r="V214" s="21" t="inlineStr">
        <is>
          <t>Spell Critical V and Damage XX</t>
        </is>
      </c>
      <c r="W214" s="61">
        <f>N214*'Item Budget'!$B$5+R214*'Item Budget'!$B$7+P214*'Item Budget'!$B$11+S214*'Item Budget'!$B$10+Q214*'Item Budget'!$B$9+IFERROR(INDEX('Item Budget'!$M$25:$M$95,MATCH(V214,'Item Budget'!$B$25:$B$95,0)),0)+IF($C214="Weapon",U214*'Item Budget'!$B$9,0)</f>
        <v/>
      </c>
      <c r="X214" s="61">
        <f>N214*'Item Budget'!$B$5+R214*'Item Budget'!$B$7+P214*'Item Budget'!$B$11+S214*'Item Budget'!$B$10+O214*'Item Budget'!$B$6+T214*'Item Budget'!$B$8+IFERROR(INDEX('Item Budget'!$N$25:$N$95,MATCH(V214,'Item Budget'!$B$25:$B$95,0)),0)</f>
        <v/>
      </c>
      <c r="Y214" s="61">
        <f>MAX('Item Budget'!$F$16,INDEX('Gear Budget'!$C$8:$C$14,MATCH($C214,'Gear Budget'!$A$8:$A$14,0))*MIN(M214,50))*$L214</f>
        <v/>
      </c>
      <c r="Z214" s="41">
        <f>IF($C214="Caster weapon",X214,MAX(W214,X214))/Y214</f>
        <v/>
      </c>
      <c r="AA214" s="61">
        <f>IF(OR($C214="Weapon",$C214="Caster weapon"),"",'Gear Budget'!$B$5*MAX(1,MIN(M214,50))*INDEX('Gear Budget'!$B$8:$B$14,MATCH($C214,'Gear Budget'!$A$8:$A$14,0))*IF($C214="Shield",IF(D214="Warrior",1,IF(OR(D214="Rogue",D214="All"),0.38/0.6,0.25/0.6)),IFERROR(INDEX('Gear Budget'!$B$18:$B$21,MATCH($F214,'Gear Budget'!$A$18:$A$21,0)),1)))</f>
        <v/>
      </c>
      <c r="AB214" s="41">
        <f>IF(AA214="","",P214/AA214)</f>
        <v/>
      </c>
      <c r="AC214" s="21" t="n">
        <v>50</v>
      </c>
      <c r="AD214" s="21" t="n">
        <v>0</v>
      </c>
      <c r="AE214" s="21" t="n">
        <v>5000</v>
      </c>
      <c r="AF214" s="21" t="n">
        <v>0</v>
      </c>
      <c r="AG214" s="21" t="n">
        <v>0</v>
      </c>
      <c r="AH214" s="21" t="n">
        <v>0</v>
      </c>
      <c r="AI214" s="21" t="n">
        <v>0</v>
      </c>
      <c r="AJ214" s="21" t="n">
        <v>0</v>
      </c>
      <c r="AK214" s="21" t="n">
        <v>150</v>
      </c>
      <c r="AL214" s="21" t="inlineStr">
        <is>
          <t>Spell Critical V and Damage XX</t>
        </is>
      </c>
      <c r="AM214" s="61">
        <f>AD214*'Item Budget'!$B$5+AH214*'Item Budget'!$B$7+AF214*'Item Budget'!$B$11+AI214*'Item Budget'!$B$10+AG214*'Item Budget'!$B$9+IFERROR(INDEX('Item Budget'!$M$25:$M$95,MATCH(AL214,'Item Budget'!$B$25:$B$95,0)),0)+IF($C214="Weapon",AK214*'Item Budget'!$B$9,0)</f>
        <v/>
      </c>
      <c r="AN214" s="61">
        <f>AD214*'Item Budget'!$B$5+AH214*'Item Budget'!$B$7+AF214*'Item Budget'!$B$11+AI214*'Item Budget'!$B$10+AE214*'Item Budget'!$B$6+AJ214*'Item Budget'!$B$8+IFERROR(INDEX('Item Budget'!$N$25:$N$95,MATCH(AL214,'Item Budget'!$B$25:$B$95,0)),0)</f>
        <v/>
      </c>
      <c r="AO214" s="61">
        <f>MAX('Item Budget'!$F$16,INDEX('Gear Budget'!$C$8:$C$14,MATCH($C214,'Gear Budget'!$A$8:$A$14,0))*MIN(AC214,50))*$L214</f>
        <v/>
      </c>
      <c r="AP214" s="41">
        <f>IF($C214="Caster weapon",AN214,MAX(AM214,AN214))/AO214</f>
        <v/>
      </c>
      <c r="AQ214" s="61">
        <f>IF(OR($C214="Weapon",$C214="Caster weapon"),"",'Gear Budget'!$B$5*MAX(1,MIN(AC214,50))*INDEX('Gear Budget'!$B$8:$B$14,MATCH($C214,'Gear Budget'!$A$8:$A$14,0))*IF($C214="Shield",IF(E214="Warrior",1,IF(OR(E214="Rogue",E214="All"),0.38/0.6,0.25/0.6)),IFERROR(INDEX('Gear Budget'!$B$18:$B$21,MATCH($F214,'Gear Budget'!$A$18:$A$21,0)),1)))</f>
        <v/>
      </c>
      <c r="AR214" s="41">
        <f>IF(AQ214="","",AF214/AQ214)</f>
        <v/>
      </c>
      <c r="AS214" s="64" t="n"/>
      <c r="AT214" s="44">
        <f>IF(OR($E214="All",ISNUMBER(SEARCH("Warrior",$E214))),IF($C214="Caster weapon",(AN214+AF214*('Item Budget'!$AB$14-'Item Budget'!$B$11)),(AM214+AF214*('Item Budget'!$AB$14-'Item Budget'!$B$11))),0)</f>
        <v/>
      </c>
      <c r="AU214" s="44">
        <f>IF(OR($E214="All",ISNUMBER(SEARCH("Rogue",$E214))),IF($C214="Caster weapon",(AN214+AF214*('Item Budget'!$AB$15-'Item Budget'!$B$11)),(AM214+AF214*('Item Budget'!$AB$15-'Item Budget'!$B$11))),0)</f>
        <v/>
      </c>
      <c r="AV214" s="44">
        <f>IF(OR($E214="All",ISNUMBER(SEARCH("Magus",$E214))),(AN214+AF214*('Item Budget'!$AB$16-'Item Budget'!$B$11)),0)</f>
        <v/>
      </c>
      <c r="AW214" s="44">
        <f>IF(OR($E214="All",ISNUMBER(SEARCH("Priest",$E214))),(AN214+AF214*('Item Budget'!$AB$17-'Item Budget'!$B$11)),0)</f>
        <v/>
      </c>
      <c r="AX214" s="44">
        <f>IF(AND(OR($E214="All",ISNUMBER(SEARCH("Warrior",$E214))),AC214&gt;='Item Budget'!$R$10),'Item Budget'!$R$7*100*('Item Budget'!$R$14*(AD214+25*AH214)+'Item Budget'!$S$14*(AE214+25*AJ214))/'Item Budget'!$Z$14+'Item Budget'!$R$9*AF214+IFERROR(INDEX('Item Budget'!$O$25:$O$95,MATCH(AL214,'Item Budget'!$B$25:$B$95,0)),0),0)</f>
        <v/>
      </c>
      <c r="AY214" s="44">
        <f>IF(AND(OR($E214="All",ISNUMBER(SEARCH("Rogue",$E214))),AC214&gt;='Item Budget'!$R$10),'Item Budget'!$R$7*100*('Item Budget'!$R$15*(AD214+25*AH214)+'Item Budget'!$S$15*(AE214+25*AJ214))/'Item Budget'!$Z$15+'Item Budget'!$R$9*AF214+IFERROR(INDEX('Item Budget'!$O$25:$O$95,MATCH(AL214,'Item Budget'!$B$25:$B$95,0)),0),0)</f>
        <v/>
      </c>
      <c r="AZ214" s="44">
        <f>IF(AND(OR($E214="All",ISNUMBER(SEARCH("Magus",$E214))),AC214&gt;='Item Budget'!$R$10),'Item Budget'!$R$7*100*('Item Budget'!$R$16*(AD214+25*AH214)+'Item Budget'!$S$16*(AE214+25*AJ214))/'Item Budget'!$Z$16+'Item Budget'!$R$9*AF214+IFERROR(INDEX('Item Budget'!$O$25:$O$95,MATCH(AL214,'Item Budget'!$B$25:$B$95,0)),0),0)</f>
        <v/>
      </c>
      <c r="BA214" s="44">
        <f>IF(AND(OR($E214="All",ISNUMBER(SEARCH("Priest",$E214))),AC214&gt;='Item Budget'!$R$10),'Item Budget'!$R$7*100*('Item Budget'!$R$17*(AD214+25*AH214)+'Item Budget'!$S$17*(AE214+25*AJ214))/'Item Budget'!$Z$17+'Item Budget'!$R$9*AF214+IFERROR(INDEX('Item Budget'!$O$25:$O$95,MATCH(AL214,'Item Budget'!$B$25:$B$95,0)),0),0)</f>
        <v/>
      </c>
      <c r="BB214" s="52">
        <f>IF(OR($I214&lt;1,IF($I214&gt;=6,AX214,AT214)&lt;=0),"",IF(SUMPRODUCT(MAX(($C$5:$C$215=$C214)*($I$5:$I$215&gt;=1)*($I$5:$I$215&lt;$I214)*IF($I214&gt;=6,$AX$5:$AX$215,$AT$5:$AT$215)))&lt;=0,"",SUMPRODUCT(MAX(($C$5:$C$215=$C214)*($I$5:$I$215=$I214)*IF($I214&gt;=6,$AX$5:$AX$215,$AT$5:$AT$215)))/SUMPRODUCT(MAX(($C$5:$C$215=$C214)*($I$5:$I$215&gt;=1)*($I$5:$I$215&lt;$I214)*IF($I214&gt;=6,$AX$5:$AX$215,$AT$5:$AT$215)))-1))</f>
        <v/>
      </c>
      <c r="BC214" s="52">
        <f>IF(OR($I214&lt;1,IF($I214&gt;=6,AY214,AU214)&lt;=0),"",IF(SUMPRODUCT(MAX(($C$5:$C$215=$C214)*($I$5:$I$215&gt;=1)*($I$5:$I$215&lt;$I214)*IF($I214&gt;=6,$AY$5:$AY$215,$AU$5:$AU$215)))&lt;=0,"",SUMPRODUCT(MAX(($C$5:$C$215=$C214)*($I$5:$I$215=$I214)*IF($I214&gt;=6,$AY$5:$AY$215,$AU$5:$AU$215)))/SUMPRODUCT(MAX(($C$5:$C$215=$C214)*($I$5:$I$215&gt;=1)*($I$5:$I$215&lt;$I214)*IF($I214&gt;=6,$AY$5:$AY$215,$AU$5:$AU$215)))-1))</f>
        <v/>
      </c>
      <c r="BD214" s="52">
        <f>IF(OR($I214&lt;1,IF($I214&gt;=6,AZ214,AV214)&lt;=0),"",IF(SUMPRODUCT(MAX(($C$5:$C$215=$C214)*($I$5:$I$215&gt;=1)*($I$5:$I$215&lt;$I214)*IF($I214&gt;=6,$AZ$5:$AZ$215,$AV$5:$AV$215)))&lt;=0,"",SUMPRODUCT(MAX(($C$5:$C$215=$C214)*($I$5:$I$215=$I214)*IF($I214&gt;=6,$AZ$5:$AZ$215,$AV$5:$AV$215)))/SUMPRODUCT(MAX(($C$5:$C$215=$C214)*($I$5:$I$215&gt;=1)*($I$5:$I$215&lt;$I214)*IF($I214&gt;=6,$AZ$5:$AZ$215,$AV$5:$AV$215)))-1))</f>
        <v/>
      </c>
      <c r="BE214" s="52">
        <f>IF(OR($I214&lt;1,IF($I214&gt;=6,BA214,AW214)&lt;=0),"",IF(SUMPRODUCT(MAX(($C$5:$C$215=$C214)*($I$5:$I$215&gt;=1)*($I$5:$I$215&lt;$I214)*IF($I214&gt;=6,$BA$5:$BA$215,$AW$5:$AW$215)))&lt;=0,"",SUMPRODUCT(MAX(($C$5:$C$215=$C214)*($I$5:$I$215=$I214)*IF($I214&gt;=6,$BA$5:$BA$215,$AW$5:$AW$215)))/SUMPRODUCT(MAX(($C$5:$C$215=$C214)*($I$5:$I$215&gt;=1)*($I$5:$I$215&lt;$I214)*IF($I214&gt;=6,$BA$5:$BA$215,$AW$5:$AW$215)))-1))</f>
        <v/>
      </c>
      <c r="BF214" s="19">
        <f>IF(AND(BB214="",BC214="",BD214="",BE214=""),"",IF(IF(AND(ISNUMBER(BB214),BB214&lt;'Item Budget'!$R$11),"W ","")&amp;IF(AND(ISNUMBER(BC214),BC214&lt;'Item Budget'!$R$11),"R ","")&amp;IF(AND(ISNUMBER(BD214),BD214&lt;'Item Budget'!$R$11),"M ","")&amp;IF(AND(ISNUMBER(BE214),BE214&lt;'Item Budget'!$R$11),"P ","")="","OK","Not above lower step: "&amp;IF(AND(ISNUMBER(BB214),BB214&lt;'Item Budget'!$R$11),"W ","")&amp;IF(AND(ISNUMBER(BC214),BC214&lt;'Item Budget'!$R$11),"R ","")&amp;IF(AND(ISNUMBER(BD214),BD214&lt;'Item Budget'!$R$11),"M ","")&amp;IF(AND(ISNUMBER(BE214),BE214&lt;'Item Budget'!$R$11),"P ","")))</f>
        <v/>
      </c>
    </row>
    <row r="215">
      <c r="A215" s="21" t="n">
        <v>506</v>
      </c>
      <c r="B215" s="21" t="inlineStr">
        <is>
          <t>Clerics Testament of Nobility</t>
        </is>
      </c>
      <c r="C215" s="21" t="inlineStr">
        <is>
          <t>Caster weapon</t>
        </is>
      </c>
      <c r="D215" s="21" t="inlineStr">
        <is>
          <t>Priest</t>
        </is>
      </c>
      <c r="E215" s="21" t="inlineStr">
        <is>
          <t>Priest</t>
        </is>
      </c>
      <c r="F215" s="21" t="inlineStr"/>
      <c r="G215" s="21" t="inlineStr">
        <is>
          <t>drop: Queen Butcher 20%</t>
        </is>
      </c>
      <c r="H215" s="37" t="n">
        <v>200000000</v>
      </c>
      <c r="I215" s="21" t="n">
        <v>8</v>
      </c>
      <c r="J215" s="19" t="inlineStr">
        <is>
          <t>Leave</t>
        </is>
      </c>
      <c r="K215" s="21" t="inlineStr">
        <is>
          <t>Rare boss drop</t>
        </is>
      </c>
      <c r="L215" s="31">
        <f>INDEX('Item Budget'!$F$5:$F$13,MATCH(K215,'Item Budget'!$E$5:$E$13,0))+IF(E215="All",0,'Item Budget'!$F$15)+LOOKUP(H215,'Item Budget'!$E$19:$E$23,'Item Budget'!$F$19:$F$23)</f>
        <v/>
      </c>
      <c r="M215" s="21" t="n">
        <v>50</v>
      </c>
      <c r="N215" s="21" t="n">
        <v>1000</v>
      </c>
      <c r="O215" s="21" t="n">
        <v>2000</v>
      </c>
      <c r="P215" s="21" t="n">
        <v>0</v>
      </c>
      <c r="Q215" s="21" t="n">
        <v>0</v>
      </c>
      <c r="R215" s="21" t="n">
        <v>0</v>
      </c>
      <c r="S215" s="21" t="n">
        <v>0</v>
      </c>
      <c r="T215" s="21" t="n">
        <v>0</v>
      </c>
      <c r="U215" s="21" t="n">
        <v>150</v>
      </c>
      <c r="V215" s="21" t="inlineStr">
        <is>
          <t>Spell Critical Damage X</t>
        </is>
      </c>
      <c r="W215" s="61">
        <f>N215*'Item Budget'!$B$5+R215*'Item Budget'!$B$7+P215*'Item Budget'!$B$11+S215*'Item Budget'!$B$10+Q215*'Item Budget'!$B$9+IFERROR(INDEX('Item Budget'!$M$25:$M$95,MATCH(V215,'Item Budget'!$B$25:$B$95,0)),0)+IF($C215="Weapon",U215*'Item Budget'!$B$9,0)</f>
        <v/>
      </c>
      <c r="X215" s="61">
        <f>N215*'Item Budget'!$B$5+R215*'Item Budget'!$B$7+P215*'Item Budget'!$B$11+S215*'Item Budget'!$B$10+O215*'Item Budget'!$B$6+T215*'Item Budget'!$B$8+IFERROR(INDEX('Item Budget'!$N$25:$N$95,MATCH(V215,'Item Budget'!$B$25:$B$95,0)),0)</f>
        <v/>
      </c>
      <c r="Y215" s="61">
        <f>MAX('Item Budget'!$F$16,INDEX('Gear Budget'!$C$8:$C$14,MATCH($C215,'Gear Budget'!$A$8:$A$14,0))*MIN(M215,50))*$L215</f>
        <v/>
      </c>
      <c r="Z215" s="41">
        <f>IF($C215="Caster weapon",X215,MAX(W215,X215))/Y215</f>
        <v/>
      </c>
      <c r="AA215" s="61">
        <f>IF(OR($C215="Weapon",$C215="Caster weapon"),"",'Gear Budget'!$B$5*MAX(1,MIN(M215,50))*INDEX('Gear Budget'!$B$8:$B$14,MATCH($C215,'Gear Budget'!$A$8:$A$14,0))*IF($C215="Shield",IF(D215="Warrior",1,IF(OR(D215="Rogue",D215="All"),0.38/0.6,0.25/0.6)),IFERROR(INDEX('Gear Budget'!$B$18:$B$21,MATCH($F215,'Gear Budget'!$A$18:$A$21,0)),1)))</f>
        <v/>
      </c>
      <c r="AB215" s="41">
        <f>IF(AA215="","",P215/AA215)</f>
        <v/>
      </c>
      <c r="AC215" s="21" t="n">
        <v>50</v>
      </c>
      <c r="AD215" s="21" t="n">
        <v>1000</v>
      </c>
      <c r="AE215" s="21" t="n">
        <v>2000</v>
      </c>
      <c r="AF215" s="21" t="n">
        <v>0</v>
      </c>
      <c r="AG215" s="21" t="n">
        <v>0</v>
      </c>
      <c r="AH215" s="21" t="n">
        <v>0</v>
      </c>
      <c r="AI215" s="21" t="n">
        <v>0</v>
      </c>
      <c r="AJ215" s="21" t="n">
        <v>0</v>
      </c>
      <c r="AK215" s="21" t="n">
        <v>150</v>
      </c>
      <c r="AL215" s="21" t="inlineStr">
        <is>
          <t>Spell Critical Damage X</t>
        </is>
      </c>
      <c r="AM215" s="61">
        <f>AD215*'Item Budget'!$B$5+AH215*'Item Budget'!$B$7+AF215*'Item Budget'!$B$11+AI215*'Item Budget'!$B$10+AG215*'Item Budget'!$B$9+IFERROR(INDEX('Item Budget'!$M$25:$M$95,MATCH(AL215,'Item Budget'!$B$25:$B$95,0)),0)+IF($C215="Weapon",AK215*'Item Budget'!$B$9,0)</f>
        <v/>
      </c>
      <c r="AN215" s="61">
        <f>AD215*'Item Budget'!$B$5+AH215*'Item Budget'!$B$7+AF215*'Item Budget'!$B$11+AI215*'Item Budget'!$B$10+AE215*'Item Budget'!$B$6+AJ215*'Item Budget'!$B$8+IFERROR(INDEX('Item Budget'!$N$25:$N$95,MATCH(AL215,'Item Budget'!$B$25:$B$95,0)),0)</f>
        <v/>
      </c>
      <c r="AO215" s="61">
        <f>MAX('Item Budget'!$F$16,INDEX('Gear Budget'!$C$8:$C$14,MATCH($C215,'Gear Budget'!$A$8:$A$14,0))*MIN(AC215,50))*$L215</f>
        <v/>
      </c>
      <c r="AP215" s="41">
        <f>IF($C215="Caster weapon",AN215,MAX(AM215,AN215))/AO215</f>
        <v/>
      </c>
      <c r="AQ215" s="61">
        <f>IF(OR($C215="Weapon",$C215="Caster weapon"),"",'Gear Budget'!$B$5*MAX(1,MIN(AC215,50))*INDEX('Gear Budget'!$B$8:$B$14,MATCH($C215,'Gear Budget'!$A$8:$A$14,0))*IF($C215="Shield",IF(E215="Warrior",1,IF(OR(E215="Rogue",E215="All"),0.38/0.6,0.25/0.6)),IFERROR(INDEX('Gear Budget'!$B$18:$B$21,MATCH($F215,'Gear Budget'!$A$18:$A$21,0)),1)))</f>
        <v/>
      </c>
      <c r="AR215" s="41">
        <f>IF(AQ215="","",AF215/AQ215)</f>
        <v/>
      </c>
      <c r="AS215" s="64" t="n"/>
      <c r="AT215" s="44">
        <f>IF(OR($E215="All",ISNUMBER(SEARCH("Warrior",$E215))),IF($C215="Caster weapon",(AN215+AF215*('Item Budget'!$AB$14-'Item Budget'!$B$11)),(AM215+AF215*('Item Budget'!$AB$14-'Item Budget'!$B$11))),0)</f>
        <v/>
      </c>
      <c r="AU215" s="44">
        <f>IF(OR($E215="All",ISNUMBER(SEARCH("Rogue",$E215))),IF($C215="Caster weapon",(AN215+AF215*('Item Budget'!$AB$15-'Item Budget'!$B$11)),(AM215+AF215*('Item Budget'!$AB$15-'Item Budget'!$B$11))),0)</f>
        <v/>
      </c>
      <c r="AV215" s="44">
        <f>IF(OR($E215="All",ISNUMBER(SEARCH("Magus",$E215))),(AN215+AF215*('Item Budget'!$AB$16-'Item Budget'!$B$11)),0)</f>
        <v/>
      </c>
      <c r="AW215" s="44">
        <f>IF(OR($E215="All",ISNUMBER(SEARCH("Priest",$E215))),(AN215+AF215*('Item Budget'!$AB$17-'Item Budget'!$B$11)),0)</f>
        <v/>
      </c>
      <c r="AX215" s="44">
        <f>IF(AND(OR($E215="All",ISNUMBER(SEARCH("Warrior",$E215))),AC215&gt;='Item Budget'!$R$10),'Item Budget'!$R$7*100*('Item Budget'!$R$14*(AD215+25*AH215)+'Item Budget'!$S$14*(AE215+25*AJ215))/'Item Budget'!$Z$14+'Item Budget'!$R$9*AF215+IFERROR(INDEX('Item Budget'!$O$25:$O$95,MATCH(AL215,'Item Budget'!$B$25:$B$95,0)),0),0)</f>
        <v/>
      </c>
      <c r="AY215" s="44">
        <f>IF(AND(OR($E215="All",ISNUMBER(SEARCH("Rogue",$E215))),AC215&gt;='Item Budget'!$R$10),'Item Budget'!$R$7*100*('Item Budget'!$R$15*(AD215+25*AH215)+'Item Budget'!$S$15*(AE215+25*AJ215))/'Item Budget'!$Z$15+'Item Budget'!$R$9*AF215+IFERROR(INDEX('Item Budget'!$O$25:$O$95,MATCH(AL215,'Item Budget'!$B$25:$B$95,0)),0),0)</f>
        <v/>
      </c>
      <c r="AZ215" s="44">
        <f>IF(AND(OR($E215="All",ISNUMBER(SEARCH("Magus",$E215))),AC215&gt;='Item Budget'!$R$10),'Item Budget'!$R$7*100*('Item Budget'!$R$16*(AD215+25*AH215)+'Item Budget'!$S$16*(AE215+25*AJ215))/'Item Budget'!$Z$16+'Item Budget'!$R$9*AF215+IFERROR(INDEX('Item Budget'!$O$25:$O$95,MATCH(AL215,'Item Budget'!$B$25:$B$95,0)),0),0)</f>
        <v/>
      </c>
      <c r="BA215" s="44">
        <f>IF(AND(OR($E215="All",ISNUMBER(SEARCH("Priest",$E215))),AC215&gt;='Item Budget'!$R$10),'Item Budget'!$R$7*100*('Item Budget'!$R$17*(AD215+25*AH215)+'Item Budget'!$S$17*(AE215+25*AJ215))/'Item Budget'!$Z$17+'Item Budget'!$R$9*AF215+IFERROR(INDEX('Item Budget'!$O$25:$O$95,MATCH(AL215,'Item Budget'!$B$25:$B$95,0)),0),0)</f>
        <v/>
      </c>
      <c r="BB215" s="52">
        <f>IF(OR($I215&lt;1,IF($I215&gt;=6,AX215,AT215)&lt;=0),"",IF(SUMPRODUCT(MAX(($C$5:$C$215=$C215)*($I$5:$I$215&gt;=1)*($I$5:$I$215&lt;$I215)*IF($I215&gt;=6,$AX$5:$AX$215,$AT$5:$AT$215)))&lt;=0,"",SUMPRODUCT(MAX(($C$5:$C$215=$C215)*($I$5:$I$215=$I215)*IF($I215&gt;=6,$AX$5:$AX$215,$AT$5:$AT$215)))/SUMPRODUCT(MAX(($C$5:$C$215=$C215)*($I$5:$I$215&gt;=1)*($I$5:$I$215&lt;$I215)*IF($I215&gt;=6,$AX$5:$AX$215,$AT$5:$AT$215)))-1))</f>
        <v/>
      </c>
      <c r="BC215" s="52">
        <f>IF(OR($I215&lt;1,IF($I215&gt;=6,AY215,AU215)&lt;=0),"",IF(SUMPRODUCT(MAX(($C$5:$C$215=$C215)*($I$5:$I$215&gt;=1)*($I$5:$I$215&lt;$I215)*IF($I215&gt;=6,$AY$5:$AY$215,$AU$5:$AU$215)))&lt;=0,"",SUMPRODUCT(MAX(($C$5:$C$215=$C215)*($I$5:$I$215=$I215)*IF($I215&gt;=6,$AY$5:$AY$215,$AU$5:$AU$215)))/SUMPRODUCT(MAX(($C$5:$C$215=$C215)*($I$5:$I$215&gt;=1)*($I$5:$I$215&lt;$I215)*IF($I215&gt;=6,$AY$5:$AY$215,$AU$5:$AU$215)))-1))</f>
        <v/>
      </c>
      <c r="BD215" s="52">
        <f>IF(OR($I215&lt;1,IF($I215&gt;=6,AZ215,AV215)&lt;=0),"",IF(SUMPRODUCT(MAX(($C$5:$C$215=$C215)*($I$5:$I$215&gt;=1)*($I$5:$I$215&lt;$I215)*IF($I215&gt;=6,$AZ$5:$AZ$215,$AV$5:$AV$215)))&lt;=0,"",SUMPRODUCT(MAX(($C$5:$C$215=$C215)*($I$5:$I$215=$I215)*IF($I215&gt;=6,$AZ$5:$AZ$215,$AV$5:$AV$215)))/SUMPRODUCT(MAX(($C$5:$C$215=$C215)*($I$5:$I$215&gt;=1)*($I$5:$I$215&lt;$I215)*IF($I215&gt;=6,$AZ$5:$AZ$215,$AV$5:$AV$215)))-1))</f>
        <v/>
      </c>
      <c r="BE215" s="52">
        <f>IF(OR($I215&lt;1,IF($I215&gt;=6,BA215,AW215)&lt;=0),"",IF(SUMPRODUCT(MAX(($C$5:$C$215=$C215)*($I$5:$I$215&gt;=1)*($I$5:$I$215&lt;$I215)*IF($I215&gt;=6,$BA$5:$BA$215,$AW$5:$AW$215)))&lt;=0,"",SUMPRODUCT(MAX(($C$5:$C$215=$C215)*($I$5:$I$215=$I215)*IF($I215&gt;=6,$BA$5:$BA$215,$AW$5:$AW$215)))/SUMPRODUCT(MAX(($C$5:$C$215=$C215)*($I$5:$I$215&gt;=1)*($I$5:$I$215&lt;$I215)*IF($I215&gt;=6,$BA$5:$BA$215,$AW$5:$AW$215)))-1))</f>
        <v/>
      </c>
      <c r="BF215" s="19">
        <f>IF(AND(BB215="",BC215="",BD215="",BE215=""),"",IF(IF(AND(ISNUMBER(BB215),BB215&lt;'Item Budget'!$R$11),"W ","")&amp;IF(AND(ISNUMBER(BC215),BC215&lt;'Item Budget'!$R$11),"R ","")&amp;IF(AND(ISNUMBER(BD215),BD215&lt;'Item Budget'!$R$11),"M ","")&amp;IF(AND(ISNUMBER(BE215),BE215&lt;'Item Budget'!$R$11),"P ","")="","OK","Not above lower step: "&amp;IF(AND(ISNUMBER(BB215),BB215&lt;'Item Budget'!$R$11),"W ","")&amp;IF(AND(ISNUMBER(BC215),BC215&lt;'Item Budget'!$R$11),"R ","")&amp;IF(AND(ISNUMBER(BD215),BD215&lt;'Item Budget'!$R$11),"M ","")&amp;IF(AND(ISNUMBER(BE215),BE215&lt;'Item Budget'!$R$11),"P ","")))</f>
        <v/>
      </c>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row>
    <row r="217">
      <c r="A217" s="2" t="n"/>
      <c r="B217" s="42" t="inlineStr">
        <is>
          <t>Not listed: GM / shop / no source items, plus duplicates High Priests Tunic (153, no source; 242 is the real one) and High Quality Walde (208, no source; 361 is the craft).</t>
        </is>
      </c>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2" t="n"/>
      <c r="BA217" s="2" t="n"/>
      <c r="BB217" s="2" t="n"/>
      <c r="BC217" s="2" t="n"/>
      <c r="BD217" s="2" t="n"/>
      <c r="BE217" s="2" t="n"/>
      <c r="BF217" s="2" t="n"/>
    </row>
    <row r="218">
      <c r="A218" s="2" t="n"/>
      <c r="B218" s="42" t="inlineStr">
        <is>
          <t>Two-handed weapons are scored as one slot; they also cost the shield slot, which this sheet does not charge for.</t>
        </is>
      </c>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2" t="n"/>
      <c r="BA218" s="2" t="n"/>
      <c r="BB218" s="2" t="n"/>
      <c r="BC218" s="2" t="n"/>
      <c r="BD218" s="2" t="n"/>
      <c r="BE218" s="2" t="n"/>
      <c r="BF218" s="2" t="n"/>
    </row>
  </sheetData>
  <mergeCells count="6">
    <mergeCell ref="M3:AB3"/>
    <mergeCell ref="AT3:AW3"/>
    <mergeCell ref="AX3:BA3"/>
    <mergeCell ref="BB3:BF3"/>
    <mergeCell ref="AC3:AR3"/>
    <mergeCell ref="A3:L3"/>
  </mergeCells>
  <conditionalFormatting sqref="BF5:BF215">
    <cfRule type="expression" priority="1" dxfId="0">
      <formula>LEFT(BF5,3)="Not"</formula>
    </cfRule>
    <cfRule type="cellIs" priority="2" operator="equal" dxfId="1">
      <formula>"OK"</formula>
    </cfRule>
  </conditionalFormatting>
  <conditionalFormatting sqref="Z5:Z215">
    <cfRule type="expression" priority="3" dxfId="0">
      <formula>AND(ISNUMBER(Z5),Z5&lt;0.85)</formula>
    </cfRule>
    <cfRule type="expression" priority="4" dxfId="1">
      <formula>AND(ISNUMBER(Z5),Z5&gt;=0.85,Z5&lt;=1.15)</formula>
    </cfRule>
    <cfRule type="expression" priority="5" dxfId="2">
      <formula>AND(ISNUMBER(Z5),Z5&gt;1.15)</formula>
    </cfRule>
  </conditionalFormatting>
  <conditionalFormatting sqref="AP5:AP215">
    <cfRule type="expression" priority="6" dxfId="0">
      <formula>AND(ISNUMBER(AP5),AP5&lt;0.85)</formula>
    </cfRule>
    <cfRule type="expression" priority="7" dxfId="1">
      <formula>AND(ISNUMBER(AP5),AP5&gt;=0.85,AP5&lt;=1.15)</formula>
    </cfRule>
    <cfRule type="expression" priority="8" dxfId="2">
      <formula>AND(ISNUMBER(AP5),AP5&gt;1.15)</formula>
    </cfRule>
  </conditionalFormatting>
  <conditionalFormatting sqref="AB5:AB215">
    <cfRule type="expression" priority="9" dxfId="0">
      <formula>AND(ISNUMBER(AB5),AB5&lt;0.85)</formula>
    </cfRule>
    <cfRule type="expression" priority="10" dxfId="1">
      <formula>AND(ISNUMBER(AB5),AB5&gt;=0.85,AB5&lt;=1.15)</formula>
    </cfRule>
    <cfRule type="expression" priority="11" dxfId="2">
      <formula>AND(ISNUMBER(AB5),AB5&gt;1.15)</formula>
    </cfRule>
  </conditionalFormatting>
  <conditionalFormatting sqref="AR5:AR215">
    <cfRule type="expression" priority="12" dxfId="0">
      <formula>AND(ISNUMBER(AR5),AR5&lt;0.85)</formula>
    </cfRule>
    <cfRule type="expression" priority="13" dxfId="1">
      <formula>AND(ISNUMBER(AR5),AR5&gt;=0.85,AR5&lt;=1.15)</formula>
    </cfRule>
    <cfRule type="expression" priority="14" dxfId="2">
      <formula>AND(ISNUMBER(AR5),AR5&gt;1.15)</formula>
    </cfRule>
  </conditionalFormatting>
  <dataValidations count="1">
    <dataValidation sqref="AL5 AL6 AL7 AL8 AL9 AL10 AL11 AL12 AL13 AL14 AL15 AL16 AL17 AL18 AL19 AL20 AL21 AL22 AL23 AL24 AL25 AL26 AL27 AL28 AL29 AL30 AL31 AL32 AL33 AL34 AL35 AL36 AL37 AL38 AL39 AL40 AL41 AL42 AL43 AL44 AL45 AL46 AL47 AL48 AL49 AL50 AL51 AL52 AL53 AL54 AL55 AL56 AL57 AL58 AL59 AL60 AL61 AL62 AL63 AL64 AL65 AL66 AL67 AL68 AL69 AL70 AL71 AL72 AL73 AL74 AL75 AL76 AL77 AL78 AL79 AL80 AL81 AL82 AL83 AL84 AL85 AL86 AL87 AL88 AL89 AL90 AL91 AL92 AL93 AL94 AL95 AL96 AL97 AL98 AL99 AL100 AL101 AL102 AL103 AL104 AL105 AL106 AL107 AL108 AL109 AL110 AL111 AL112 AL113 AL114 AL115 AL116 AL117 AL118 AL119 AL120 AL121 AL122 AL123 AL124 AL125 AL126 AL127 AL128 AL129 AL130 AL131 AL132 AL133 AL134 AL135 AL136 AL137 AL138 AL139 AL140 AL141 AL142 AL143 AL144 AL145 AL146 AL147 AL148 AL149 AL150 AL151 AL152 AL153 AL154 AL155 AL156 AL157 AL158 AL159 AL160 AL161 AL162 AL163 AL164 AL165 AL166 AL167 AL168 AL169 AL170 AL171 AL172 AL173 AL174 AL175 AL176 AL177 AL178 AL179 AL180 AL181 AL182 AL183 AL184 AL185 AL186 AL187 AL188 AL189 AL190 AL191 AL192 AL193 AL194 AL195 AL196 AL197 AL198 AL199 AL200 AL201 AL202 AL203 AL204 AL205 AL206 AL207 AL208 AL209 AL210 AL211 AL212 AL213 AL214 AL215" showDropDown="0" showInputMessage="0" showErrorMessage="0" allowBlank="1" type="list">
      <formula1>='Item Budget'!$B$25:$B$95</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54"/>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6" customWidth="1" min="2" max="2"/>
    <col width="14" customWidth="1" min="3" max="3"/>
    <col width="7" customWidth="1" min="4" max="4"/>
    <col width="8" customWidth="1" min="5" max="5"/>
    <col width="11" customWidth="1" min="6" max="6"/>
    <col width="9" customWidth="1" min="7" max="7"/>
    <col width="13" customWidth="1" min="8" max="8"/>
    <col width="13" customWidth="1" min="9" max="9"/>
    <col width="14" customWidth="1" min="10" max="10"/>
    <col width="16" customWidth="1" min="11" max="11"/>
    <col width="14" customWidth="1" min="12" max="12"/>
    <col width="16" customWidth="1" min="13" max="13"/>
    <col width="10" customWidth="1" min="14" max="14"/>
  </cols>
  <sheetData>
    <row r="1">
      <c r="A1" s="1" t="inlineStr">
        <is>
          <t>NPC changes: 20M+ XP NPCs get more HP and weapon damage to offset the gear and accessory proposals</t>
        </is>
      </c>
      <c r="B1" s="2" t="n"/>
      <c r="C1" s="2" t="n"/>
      <c r="D1" s="2" t="n"/>
      <c r="E1" s="2" t="n"/>
      <c r="F1" s="2" t="n"/>
      <c r="G1" s="2" t="n"/>
      <c r="H1" s="2" t="n"/>
      <c r="I1" s="2" t="n"/>
      <c r="J1" s="2" t="n"/>
      <c r="K1" s="2" t="n"/>
      <c r="L1" s="2" t="n"/>
      <c r="M1" s="2" t="n"/>
      <c r="N1" s="2" t="n"/>
    </row>
    <row r="2">
      <c r="A2" s="42" t="inlineStr">
        <is>
          <t>Applied to the game data on 2026-09-26 (+20% HP, +10% weapon damage on 20M+ NPCs). Pre-20M NPCs unchanged. "Now" columns show the values before the change.</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c r="A4" s="19" t="inlineStr">
        <is>
          <t>XP gate from</t>
        </is>
      </c>
      <c r="B4" s="32" t="n">
        <v>20000000</v>
      </c>
      <c r="C4" s="42" t="inlineStr">
        <is>
          <t>NPCs whose lowest spawn map needs at least this much XP</t>
        </is>
      </c>
      <c r="D4" s="2" t="n"/>
      <c r="E4" s="2" t="n"/>
      <c r="F4" s="2" t="n"/>
      <c r="G4" s="2" t="n"/>
      <c r="H4" s="2" t="n"/>
      <c r="I4" s="2" t="n"/>
      <c r="J4" s="2" t="n"/>
      <c r="K4" s="2" t="n"/>
      <c r="L4" s="2" t="n"/>
      <c r="M4" s="2" t="n"/>
      <c r="N4" s="2" t="n"/>
    </row>
    <row r="5">
      <c r="A5" s="19" t="inlineStr">
        <is>
          <t>HP increase</t>
        </is>
      </c>
      <c r="B5" s="22" t="n">
        <v>0.2</v>
      </c>
      <c r="C5" s="42" t="inlineStr">
        <is>
          <t>Applied to the NPC template HP</t>
        </is>
      </c>
      <c r="D5" s="2" t="n"/>
      <c r="E5" s="2" t="n"/>
      <c r="F5" s="2" t="n"/>
      <c r="G5" s="2" t="n"/>
      <c r="H5" s="2" t="n"/>
      <c r="I5" s="2" t="n"/>
      <c r="J5" s="2" t="n"/>
      <c r="K5" s="2" t="n"/>
      <c r="L5" s="2" t="n"/>
      <c r="M5" s="2" t="n"/>
      <c r="N5" s="2" t="n"/>
    </row>
    <row r="6">
      <c r="A6" s="19" t="inlineStr">
        <is>
          <t>Damage increase</t>
        </is>
      </c>
      <c r="B6" s="22" t="n">
        <v>0.1</v>
      </c>
      <c r="C6" s="42" t="inlineStr">
        <is>
          <t>Applied to weapon damage (NPC STR is 0, so hit = weapon dmg + level x2 - player level)</t>
        </is>
      </c>
      <c r="D6" s="2" t="n"/>
      <c r="E6" s="2" t="n"/>
      <c r="F6" s="2" t="n"/>
      <c r="G6" s="2" t="n"/>
      <c r="H6" s="2" t="n"/>
      <c r="I6" s="2" t="n"/>
      <c r="J6" s="2" t="n"/>
      <c r="K6" s="2" t="n"/>
      <c r="L6" s="2" t="n"/>
      <c r="M6" s="2" t="n"/>
      <c r="N6" s="2" t="n"/>
    </row>
    <row r="7">
      <c r="A7" s="2" t="n"/>
      <c r="B7" s="2" t="n"/>
      <c r="C7" s="2" t="n"/>
      <c r="D7" s="2" t="n"/>
      <c r="E7" s="2" t="n"/>
      <c r="F7" s="2" t="n"/>
      <c r="G7" s="2" t="n"/>
      <c r="H7" s="2" t="n"/>
      <c r="I7" s="2" t="n"/>
      <c r="J7" s="2" t="n"/>
      <c r="K7" s="2" t="n"/>
      <c r="L7" s="2" t="n"/>
      <c r="M7" s="2" t="n"/>
      <c r="N7" s="2" t="n"/>
    </row>
    <row r="8" ht="45" customHeight="1">
      <c r="A8" s="7" t="inlineStr">
        <is>
          <t>ID</t>
        </is>
      </c>
      <c r="B8" s="7" t="inlineStr">
        <is>
          <t>NPC</t>
        </is>
      </c>
      <c r="C8" s="7" t="inlineStr">
        <is>
          <t>XP gate (effective)</t>
        </is>
      </c>
      <c r="D8" s="7" t="inlineStr">
        <is>
          <t>Level</t>
        </is>
      </c>
      <c r="E8" s="7" t="inlineStr">
        <is>
          <t>Spawns</t>
        </is>
      </c>
      <c r="F8" s="7" t="inlineStr">
        <is>
          <t>Respawn (s)</t>
        </is>
      </c>
      <c r="G8" s="7" t="inlineStr">
        <is>
          <t>Changed</t>
        </is>
      </c>
      <c r="H8" s="7" t="inlineStr">
        <is>
          <t>HP now</t>
        </is>
      </c>
      <c r="I8" s="7" t="inlineStr">
        <is>
          <t>HP proposed</t>
        </is>
      </c>
      <c r="J8" s="7" t="inlineStr">
        <is>
          <t>Weapon dmg now</t>
        </is>
      </c>
      <c r="K8" s="7" t="inlineStr">
        <is>
          <t>Weapon dmg proposed</t>
        </is>
      </c>
      <c r="L8" s="7" t="inlineStr">
        <is>
          <t>Hit vs L50 now</t>
        </is>
      </c>
      <c r="M8" s="7" t="inlineStr">
        <is>
          <t>Hit vs L50 proposed</t>
        </is>
      </c>
      <c r="N8" s="7" t="inlineStr">
        <is>
          <t>Hit change</t>
        </is>
      </c>
    </row>
    <row r="9">
      <c r="A9" s="21" t="n">
        <v>75</v>
      </c>
      <c r="B9" s="21" t="inlineStr">
        <is>
          <t>Ancient Warrior</t>
        </is>
      </c>
      <c r="C9" s="37" t="n">
        <v>20000000</v>
      </c>
      <c r="D9" s="21" t="n">
        <v>50</v>
      </c>
      <c r="E9" s="21" t="n">
        <v>134</v>
      </c>
      <c r="F9" s="21" t="n">
        <v>1800</v>
      </c>
      <c r="G9" s="19">
        <f>C9&gt;=$B$4</f>
        <v/>
      </c>
      <c r="H9" s="37" t="n">
        <v>460502</v>
      </c>
      <c r="I9" s="36">
        <f>IF(G9,ROUND(H9*(1+$B$5),0),H9)</f>
        <v/>
      </c>
      <c r="J9" s="37" t="n">
        <v>20000</v>
      </c>
      <c r="K9" s="36">
        <f>IF(G9,ROUND(J9*(1+$B$6),0),J9)</f>
        <v/>
      </c>
      <c r="L9" s="36">
        <f>0+J9+D9+(D9-50)</f>
        <v/>
      </c>
      <c r="M9" s="36">
        <f>0+K9+D9+(D9-50)</f>
        <v/>
      </c>
      <c r="N9" s="57">
        <f>M9/L9-1</f>
        <v/>
      </c>
    </row>
    <row r="10">
      <c r="A10" s="21" t="n">
        <v>76</v>
      </c>
      <c r="B10" s="21" t="inlineStr">
        <is>
          <t>Elite Ancient Warrior</t>
        </is>
      </c>
      <c r="C10" s="37" t="n">
        <v>20000000</v>
      </c>
      <c r="D10" s="21" t="n">
        <v>50</v>
      </c>
      <c r="E10" s="21" t="n">
        <v>19</v>
      </c>
      <c r="F10" s="21" t="n">
        <v>3600</v>
      </c>
      <c r="G10" s="19">
        <f>C10&gt;=$B$4</f>
        <v/>
      </c>
      <c r="H10" s="37" t="n">
        <v>890502</v>
      </c>
      <c r="I10" s="36">
        <f>IF(G10,ROUND(H10*(1+$B$5),0),H10)</f>
        <v/>
      </c>
      <c r="J10" s="37" t="n">
        <v>40000</v>
      </c>
      <c r="K10" s="36">
        <f>IF(G10,ROUND(J10*(1+$B$6),0),J10)</f>
        <v/>
      </c>
      <c r="L10" s="36">
        <f>0+J10+D10+(D10-50)</f>
        <v/>
      </c>
      <c r="M10" s="36">
        <f>0+K10+D10+(D10-50)</f>
        <v/>
      </c>
      <c r="N10" s="57">
        <f>M10/L10-1</f>
        <v/>
      </c>
    </row>
    <row r="11">
      <c r="A11" s="21" t="n">
        <v>77</v>
      </c>
      <c r="B11" s="21" t="inlineStr">
        <is>
          <t>Comissioned Blacksmith</t>
        </is>
      </c>
      <c r="C11" s="37" t="n">
        <v>20000000</v>
      </c>
      <c r="D11" s="21" t="n">
        <v>50</v>
      </c>
      <c r="E11" s="21" t="n">
        <v>6</v>
      </c>
      <c r="F11" s="21" t="n">
        <v>14400</v>
      </c>
      <c r="G11" s="19">
        <f>C11&gt;=$B$4</f>
        <v/>
      </c>
      <c r="H11" s="37" t="n">
        <v>1000502</v>
      </c>
      <c r="I11" s="36">
        <f>IF(G11,ROUND(H11*(1+$B$5),0),H11)</f>
        <v/>
      </c>
      <c r="J11" s="37" t="n">
        <v>12000</v>
      </c>
      <c r="K11" s="36">
        <f>IF(G11,ROUND(J11*(1+$B$6),0),J11)</f>
        <v/>
      </c>
      <c r="L11" s="36">
        <f>0+J11+D11+(D11-50)</f>
        <v/>
      </c>
      <c r="M11" s="36">
        <f>0+K11+D11+(D11-50)</f>
        <v/>
      </c>
      <c r="N11" s="57">
        <f>M11/L11-1</f>
        <v/>
      </c>
    </row>
    <row r="12">
      <c r="A12" s="21" t="n">
        <v>78</v>
      </c>
      <c r="B12" s="21" t="inlineStr">
        <is>
          <t>Comissioned Tailor</t>
        </is>
      </c>
      <c r="C12" s="37" t="n">
        <v>20000000</v>
      </c>
      <c r="D12" s="21" t="n">
        <v>50</v>
      </c>
      <c r="E12" s="21" t="n">
        <v>6</v>
      </c>
      <c r="F12" s="21" t="n">
        <v>14400</v>
      </c>
      <c r="G12" s="19">
        <f>C12&gt;=$B$4</f>
        <v/>
      </c>
      <c r="H12" s="37" t="n">
        <v>1000502</v>
      </c>
      <c r="I12" s="36">
        <f>IF(G12,ROUND(H12*(1+$B$5),0),H12)</f>
        <v/>
      </c>
      <c r="J12" s="37" t="n">
        <v>12000</v>
      </c>
      <c r="K12" s="36">
        <f>IF(G12,ROUND(J12*(1+$B$6),0),J12)</f>
        <v/>
      </c>
      <c r="L12" s="36">
        <f>0+J12+D12+(D12-50)</f>
        <v/>
      </c>
      <c r="M12" s="36">
        <f>0+K12+D12+(D12-50)</f>
        <v/>
      </c>
      <c r="N12" s="57">
        <f>M12/L12-1</f>
        <v/>
      </c>
    </row>
    <row r="13">
      <c r="A13" s="21" t="n">
        <v>79</v>
      </c>
      <c r="B13" s="21" t="inlineStr">
        <is>
          <t>Dalph Von'Ownu</t>
        </is>
      </c>
      <c r="C13" s="37" t="n">
        <v>20000000</v>
      </c>
      <c r="D13" s="21" t="n">
        <v>50</v>
      </c>
      <c r="E13" s="21" t="n">
        <v>1</v>
      </c>
      <c r="F13" s="21" t="n">
        <v>28800</v>
      </c>
      <c r="G13" s="19">
        <f>C13&gt;=$B$4</f>
        <v/>
      </c>
      <c r="H13" s="37" t="n">
        <v>1000502</v>
      </c>
      <c r="I13" s="36">
        <f>IF(G13,ROUND(H13*(1+$B$5),0),H13)</f>
        <v/>
      </c>
      <c r="J13" s="37" t="n">
        <v>90000</v>
      </c>
      <c r="K13" s="36">
        <f>IF(G13,ROUND(J13*(1+$B$6),0),J13)</f>
        <v/>
      </c>
      <c r="L13" s="36">
        <f>0+J13+D13+(D13-50)</f>
        <v/>
      </c>
      <c r="M13" s="36">
        <f>0+K13+D13+(D13-50)</f>
        <v/>
      </c>
      <c r="N13" s="57">
        <f>M13/L13-1</f>
        <v/>
      </c>
    </row>
    <row r="14">
      <c r="A14" s="21" t="n">
        <v>80</v>
      </c>
      <c r="B14" s="21" t="inlineStr">
        <is>
          <t>Hairy Fairy Princess</t>
        </is>
      </c>
      <c r="C14" s="37" t="n">
        <v>20000000</v>
      </c>
      <c r="D14" s="21" t="n">
        <v>50</v>
      </c>
      <c r="E14" s="21" t="n">
        <v>1</v>
      </c>
      <c r="F14" s="21" t="n">
        <v>28800</v>
      </c>
      <c r="G14" s="19">
        <f>C14&gt;=$B$4</f>
        <v/>
      </c>
      <c r="H14" s="37" t="n">
        <v>1000502</v>
      </c>
      <c r="I14" s="36">
        <f>IF(G14,ROUND(H14*(1+$B$5),0),H14)</f>
        <v/>
      </c>
      <c r="J14" s="37" t="n">
        <v>80000</v>
      </c>
      <c r="K14" s="36">
        <f>IF(G14,ROUND(J14*(1+$B$6),0),J14)</f>
        <v/>
      </c>
      <c r="L14" s="36">
        <f>0+J14+D14+(D14-50)</f>
        <v/>
      </c>
      <c r="M14" s="36">
        <f>0+K14+D14+(D14-50)</f>
        <v/>
      </c>
      <c r="N14" s="57">
        <f>M14/L14-1</f>
        <v/>
      </c>
    </row>
    <row r="15">
      <c r="A15" s="21" t="n">
        <v>81</v>
      </c>
      <c r="B15" s="21" t="inlineStr">
        <is>
          <t>Lady Slither</t>
        </is>
      </c>
      <c r="C15" s="37" t="n">
        <v>20000000</v>
      </c>
      <c r="D15" s="21" t="n">
        <v>50</v>
      </c>
      <c r="E15" s="21" t="n">
        <v>1</v>
      </c>
      <c r="F15" s="21" t="n">
        <v>28800</v>
      </c>
      <c r="G15" s="19">
        <f>C15&gt;=$B$4</f>
        <v/>
      </c>
      <c r="H15" s="37" t="n">
        <v>1000502</v>
      </c>
      <c r="I15" s="36">
        <f>IF(G15,ROUND(H15*(1+$B$5),0),H15)</f>
        <v/>
      </c>
      <c r="J15" s="37" t="n">
        <v>70000</v>
      </c>
      <c r="K15" s="36">
        <f>IF(G15,ROUND(J15*(1+$B$6),0),J15)</f>
        <v/>
      </c>
      <c r="L15" s="36">
        <f>0+J15+D15+(D15-50)</f>
        <v/>
      </c>
      <c r="M15" s="36">
        <f>0+K15+D15+(D15-50)</f>
        <v/>
      </c>
      <c r="N15" s="57">
        <f>M15/L15-1</f>
        <v/>
      </c>
    </row>
    <row r="16">
      <c r="A16" s="21" t="n">
        <v>82</v>
      </c>
      <c r="B16" s="21" t="inlineStr">
        <is>
          <t>Sir Insidious</t>
        </is>
      </c>
      <c r="C16" s="37" t="n">
        <v>20000000</v>
      </c>
      <c r="D16" s="21" t="n">
        <v>50</v>
      </c>
      <c r="E16" s="21" t="n">
        <v>1</v>
      </c>
      <c r="F16" s="21" t="n">
        <v>28800</v>
      </c>
      <c r="G16" s="19">
        <f>C16&gt;=$B$4</f>
        <v/>
      </c>
      <c r="H16" s="37" t="n">
        <v>1000502</v>
      </c>
      <c r="I16" s="36">
        <f>IF(G16,ROUND(H16*(1+$B$5),0),H16)</f>
        <v/>
      </c>
      <c r="J16" s="37" t="n">
        <v>70000</v>
      </c>
      <c r="K16" s="36">
        <f>IF(G16,ROUND(J16*(1+$B$6),0),J16)</f>
        <v/>
      </c>
      <c r="L16" s="36">
        <f>0+J16+D16+(D16-50)</f>
        <v/>
      </c>
      <c r="M16" s="36">
        <f>0+K16+D16+(D16-50)</f>
        <v/>
      </c>
      <c r="N16" s="57">
        <f>M16/L16-1</f>
        <v/>
      </c>
    </row>
    <row r="17">
      <c r="A17" s="21" t="n">
        <v>83</v>
      </c>
      <c r="B17" s="21" t="inlineStr">
        <is>
          <t>Ztwel Tahp</t>
        </is>
      </c>
      <c r="C17" s="37" t="n">
        <v>20000000</v>
      </c>
      <c r="D17" s="21" t="n">
        <v>50</v>
      </c>
      <c r="E17" s="21" t="n">
        <v>1</v>
      </c>
      <c r="F17" s="21" t="n">
        <v>28800</v>
      </c>
      <c r="G17" s="19">
        <f>C17&gt;=$B$4</f>
        <v/>
      </c>
      <c r="H17" s="37" t="n">
        <v>1000502</v>
      </c>
      <c r="I17" s="36">
        <f>IF(G17,ROUND(H17*(1+$B$5),0),H17)</f>
        <v/>
      </c>
      <c r="J17" s="37" t="n">
        <v>90000</v>
      </c>
      <c r="K17" s="36">
        <f>IF(G17,ROUND(J17*(1+$B$6),0),J17)</f>
        <v/>
      </c>
      <c r="L17" s="36">
        <f>0+J17+D17+(D17-50)</f>
        <v/>
      </c>
      <c r="M17" s="36">
        <f>0+K17+D17+(D17-50)</f>
        <v/>
      </c>
      <c r="N17" s="57">
        <f>M17/L17-1</f>
        <v/>
      </c>
    </row>
    <row r="18">
      <c r="A18" s="21" t="n">
        <v>161</v>
      </c>
      <c r="B18" s="21" t="inlineStr">
        <is>
          <t>Ancient Royal</t>
        </is>
      </c>
      <c r="C18" s="37" t="n">
        <v>20000000</v>
      </c>
      <c r="D18" s="21" t="n">
        <v>50</v>
      </c>
      <c r="E18" s="21" t="n">
        <v>37</v>
      </c>
      <c r="F18" s="21" t="n">
        <v>7200</v>
      </c>
      <c r="G18" s="19">
        <f>C18&gt;=$B$4</f>
        <v/>
      </c>
      <c r="H18" s="37" t="n">
        <v>10143269</v>
      </c>
      <c r="I18" s="36">
        <f>IF(G18,ROUND(H18*(1+$B$5),0),H18)</f>
        <v/>
      </c>
      <c r="J18" s="37" t="n">
        <v>75000</v>
      </c>
      <c r="K18" s="36">
        <f>IF(G18,ROUND(J18*(1+$B$6),0),J18)</f>
        <v/>
      </c>
      <c r="L18" s="36">
        <f>0+J18+D18+(D18-50)</f>
        <v/>
      </c>
      <c r="M18" s="36">
        <f>0+K18+D18+(D18-50)</f>
        <v/>
      </c>
      <c r="N18" s="57">
        <f>M18/L18-1</f>
        <v/>
      </c>
    </row>
    <row r="19">
      <c r="A19" s="21" t="n">
        <v>162</v>
      </c>
      <c r="B19" s="21" t="inlineStr">
        <is>
          <t>King Terror</t>
        </is>
      </c>
      <c r="C19" s="37" t="n">
        <v>20000000</v>
      </c>
      <c r="D19" s="21" t="n">
        <v>50</v>
      </c>
      <c r="E19" s="21" t="n">
        <v>1</v>
      </c>
      <c r="F19" s="21" t="n">
        <v>28800</v>
      </c>
      <c r="G19" s="19">
        <f>C19&gt;=$B$4</f>
        <v/>
      </c>
      <c r="H19" s="37" t="n">
        <v>30143269</v>
      </c>
      <c r="I19" s="36">
        <f>IF(G19,ROUND(H19*(1+$B$5),0),H19)</f>
        <v/>
      </c>
      <c r="J19" s="37" t="n">
        <v>200000</v>
      </c>
      <c r="K19" s="36">
        <f>IF(G19,ROUND(J19*(1+$B$6),0),J19)</f>
        <v/>
      </c>
      <c r="L19" s="36">
        <f>0+J19+D19+(D19-50)</f>
        <v/>
      </c>
      <c r="M19" s="36">
        <f>0+K19+D19+(D19-50)</f>
        <v/>
      </c>
      <c r="N19" s="57">
        <f>M19/L19-1</f>
        <v/>
      </c>
    </row>
    <row r="20">
      <c r="A20" s="21" t="n">
        <v>144</v>
      </c>
      <c r="B20" s="21" t="inlineStr">
        <is>
          <t>Invisible 2</t>
        </is>
      </c>
      <c r="C20" s="37" t="n">
        <v>60000000</v>
      </c>
      <c r="D20" s="21" t="n">
        <v>50</v>
      </c>
      <c r="E20" s="21" t="n">
        <v>1</v>
      </c>
      <c r="F20" s="21" t="n">
        <v>14400</v>
      </c>
      <c r="G20" s="19">
        <f>C20&gt;=$B$4</f>
        <v/>
      </c>
      <c r="H20" s="37" t="n">
        <v>2109934</v>
      </c>
      <c r="I20" s="36">
        <f>IF(G20,ROUND(H20*(1+$B$5),0),H20)</f>
        <v/>
      </c>
      <c r="J20" s="37" t="n">
        <v>38000</v>
      </c>
      <c r="K20" s="36">
        <f>IF(G20,ROUND(J20*(1+$B$6),0),J20)</f>
        <v/>
      </c>
      <c r="L20" s="36">
        <f>0+J20+D20+(D20-50)</f>
        <v/>
      </c>
      <c r="M20" s="36">
        <f>0+K20+D20+(D20-50)</f>
        <v/>
      </c>
      <c r="N20" s="57">
        <f>M20/L20-1</f>
        <v/>
      </c>
    </row>
    <row r="21">
      <c r="A21" s="21" t="n">
        <v>145</v>
      </c>
      <c r="B21" s="21" t="inlineStr">
        <is>
          <t>Giant Wraith</t>
        </is>
      </c>
      <c r="C21" s="37" t="n">
        <v>60000000</v>
      </c>
      <c r="D21" s="21" t="n">
        <v>50</v>
      </c>
      <c r="E21" s="21" t="n">
        <v>119</v>
      </c>
      <c r="F21" s="21" t="n">
        <v>60</v>
      </c>
      <c r="G21" s="19">
        <f>C21&gt;=$B$4</f>
        <v/>
      </c>
      <c r="H21" s="37" t="n">
        <v>100130</v>
      </c>
      <c r="I21" s="36">
        <f>IF(G21,ROUND(H21*(1+$B$5),0),H21)</f>
        <v/>
      </c>
      <c r="J21" s="37" t="n">
        <v>8000</v>
      </c>
      <c r="K21" s="36">
        <f>IF(G21,ROUND(J21*(1+$B$6),0),J21)</f>
        <v/>
      </c>
      <c r="L21" s="36">
        <f>0+J21+D21+(D21-50)</f>
        <v/>
      </c>
      <c r="M21" s="36">
        <f>0+K21+D21+(D21-50)</f>
        <v/>
      </c>
      <c r="N21" s="57">
        <f>M21/L21-1</f>
        <v/>
      </c>
    </row>
    <row r="22">
      <c r="A22" s="21" t="n">
        <v>146</v>
      </c>
      <c r="B22" s="21" t="inlineStr">
        <is>
          <t>Returned</t>
        </is>
      </c>
      <c r="C22" s="37" t="n">
        <v>60000000</v>
      </c>
      <c r="D22" s="21" t="n">
        <v>50</v>
      </c>
      <c r="E22" s="21" t="n">
        <v>143</v>
      </c>
      <c r="F22" s="21" t="n">
        <v>60</v>
      </c>
      <c r="G22" s="19">
        <f>C22&gt;=$B$4</f>
        <v/>
      </c>
      <c r="H22" s="37" t="n">
        <v>140362</v>
      </c>
      <c r="I22" s="36">
        <f>IF(G22,ROUND(H22*(1+$B$5),0),H22)</f>
        <v/>
      </c>
      <c r="J22" s="37" t="n">
        <v>12000</v>
      </c>
      <c r="K22" s="36">
        <f>IF(G22,ROUND(J22*(1+$B$6),0),J22)</f>
        <v/>
      </c>
      <c r="L22" s="36">
        <f>0+J22+D22+(D22-50)</f>
        <v/>
      </c>
      <c r="M22" s="36">
        <f>0+K22+D22+(D22-50)</f>
        <v/>
      </c>
      <c r="N22" s="57">
        <f>M22/L22-1</f>
        <v/>
      </c>
    </row>
    <row r="23">
      <c r="A23" s="21" t="n">
        <v>147</v>
      </c>
      <c r="B23" s="21" t="inlineStr">
        <is>
          <t>Invisible 1</t>
        </is>
      </c>
      <c r="C23" s="37" t="n">
        <v>60000000</v>
      </c>
      <c r="D23" s="21" t="n">
        <v>50</v>
      </c>
      <c r="E23" s="21" t="n">
        <v>1</v>
      </c>
      <c r="F23" s="21" t="n">
        <v>14400</v>
      </c>
      <c r="G23" s="19">
        <f>C23&gt;=$B$4</f>
        <v/>
      </c>
      <c r="H23" s="37" t="n">
        <v>1409934</v>
      </c>
      <c r="I23" s="36">
        <f>IF(G23,ROUND(H23*(1+$B$5),0),H23)</f>
        <v/>
      </c>
      <c r="J23" s="37" t="n">
        <v>28000</v>
      </c>
      <c r="K23" s="36">
        <f>IF(G23,ROUND(J23*(1+$B$6),0),J23)</f>
        <v/>
      </c>
      <c r="L23" s="36">
        <f>0+J23+D23+(D23-50)</f>
        <v/>
      </c>
      <c r="M23" s="36">
        <f>0+K23+D23+(D23-50)</f>
        <v/>
      </c>
      <c r="N23" s="57">
        <f>M23/L23-1</f>
        <v/>
      </c>
    </row>
    <row r="24">
      <c r="A24" s="21" t="n">
        <v>123</v>
      </c>
      <c r="B24" s="21" t="inlineStr">
        <is>
          <t>Ancient Defender</t>
        </is>
      </c>
      <c r="C24" s="37" t="n">
        <v>100000000</v>
      </c>
      <c r="D24" s="21" t="n">
        <v>50</v>
      </c>
      <c r="E24" s="21" t="n">
        <v>37</v>
      </c>
      <c r="F24" s="21" t="n">
        <v>2700</v>
      </c>
      <c r="G24" s="19">
        <f>C24&gt;=$B$4</f>
        <v/>
      </c>
      <c r="H24" s="37" t="n">
        <v>4135155</v>
      </c>
      <c r="I24" s="36">
        <f>IF(G24,ROUND(H24*(1+$B$5),0),H24)</f>
        <v/>
      </c>
      <c r="J24" s="37" t="n">
        <v>80000</v>
      </c>
      <c r="K24" s="36">
        <f>IF(G24,ROUND(J24*(1+$B$6),0),J24)</f>
        <v/>
      </c>
      <c r="L24" s="36">
        <f>0+J24+D24+(D24-50)</f>
        <v/>
      </c>
      <c r="M24" s="36">
        <f>0+K24+D24+(D24-50)</f>
        <v/>
      </c>
      <c r="N24" s="57">
        <f>M24/L24-1</f>
        <v/>
      </c>
    </row>
    <row r="25">
      <c r="A25" s="21" t="n">
        <v>124</v>
      </c>
      <c r="B25" s="21" t="inlineStr">
        <is>
          <t>Ancient Guard</t>
        </is>
      </c>
      <c r="C25" s="37" t="n">
        <v>100000000</v>
      </c>
      <c r="D25" s="21" t="n">
        <v>50</v>
      </c>
      <c r="E25" s="21" t="n">
        <v>37</v>
      </c>
      <c r="F25" s="21" t="n">
        <v>2700</v>
      </c>
      <c r="G25" s="19">
        <f>C25&gt;=$B$4</f>
        <v/>
      </c>
      <c r="H25" s="37" t="n">
        <v>5021222</v>
      </c>
      <c r="I25" s="36">
        <f>IF(G25,ROUND(H25*(1+$B$5),0),H25)</f>
        <v/>
      </c>
      <c r="J25" s="37" t="n">
        <v>90000</v>
      </c>
      <c r="K25" s="36">
        <f>IF(G25,ROUND(J25*(1+$B$6),0),J25)</f>
        <v/>
      </c>
      <c r="L25" s="36">
        <f>0+J25+D25+(D25-50)</f>
        <v/>
      </c>
      <c r="M25" s="36">
        <f>0+K25+D25+(D25-50)</f>
        <v/>
      </c>
      <c r="N25" s="57">
        <f>M25/L25-1</f>
        <v/>
      </c>
    </row>
    <row r="26">
      <c r="A26" s="21" t="n">
        <v>125</v>
      </c>
      <c r="B26" s="21" t="inlineStr">
        <is>
          <t>Ancient Safeguard</t>
        </is>
      </c>
      <c r="C26" s="37" t="n">
        <v>100000000</v>
      </c>
      <c r="D26" s="21" t="n">
        <v>50</v>
      </c>
      <c r="E26" s="21" t="n">
        <v>4</v>
      </c>
      <c r="F26" s="21" t="n">
        <v>300</v>
      </c>
      <c r="G26" s="19">
        <f>C26&gt;=$B$4</f>
        <v/>
      </c>
      <c r="H26" s="37" t="n">
        <v>40016888</v>
      </c>
      <c r="I26" s="36">
        <f>IF(G26,ROUND(H26*(1+$B$5),0),H26)</f>
        <v/>
      </c>
      <c r="J26" s="37" t="n">
        <v>200000</v>
      </c>
      <c r="K26" s="36">
        <f>IF(G26,ROUND(J26*(1+$B$6),0),J26)</f>
        <v/>
      </c>
      <c r="L26" s="36">
        <f>0+J26+D26+(D26-50)</f>
        <v/>
      </c>
      <c r="M26" s="36">
        <f>0+K26+D26+(D26-50)</f>
        <v/>
      </c>
      <c r="N26" s="57">
        <f>M26/L26-1</f>
        <v/>
      </c>
    </row>
    <row r="27">
      <c r="A27" s="21" t="n">
        <v>126</v>
      </c>
      <c r="B27" s="21" t="inlineStr">
        <is>
          <t>General Mehoff</t>
        </is>
      </c>
      <c r="C27" s="37" t="n">
        <v>100000000</v>
      </c>
      <c r="D27" s="21" t="n">
        <v>50</v>
      </c>
      <c r="E27" s="21" t="n">
        <v>1</v>
      </c>
      <c r="F27" s="21" t="n">
        <v>28800</v>
      </c>
      <c r="G27" s="19">
        <f>C27&gt;=$B$4</f>
        <v/>
      </c>
      <c r="H27" s="37" t="n">
        <v>20143269</v>
      </c>
      <c r="I27" s="36">
        <f>IF(G27,ROUND(H27*(1+$B$5),0),H27)</f>
        <v/>
      </c>
      <c r="J27" s="37" t="n">
        <v>100000</v>
      </c>
      <c r="K27" s="36">
        <f>IF(G27,ROUND(J27*(1+$B$6),0),J27)</f>
        <v/>
      </c>
      <c r="L27" s="36">
        <f>0+J27+D27+(D27-50)</f>
        <v/>
      </c>
      <c r="M27" s="36">
        <f>0+K27+D27+(D27-50)</f>
        <v/>
      </c>
      <c r="N27" s="57">
        <f>M27/L27-1</f>
        <v/>
      </c>
    </row>
    <row r="28">
      <c r="A28" s="21" t="n">
        <v>127</v>
      </c>
      <c r="B28" s="21" t="inlineStr">
        <is>
          <t>Berry Stealer</t>
        </is>
      </c>
      <c r="C28" s="37" t="n">
        <v>100000000</v>
      </c>
      <c r="D28" s="21" t="n">
        <v>50</v>
      </c>
      <c r="E28" s="21" t="n">
        <v>1</v>
      </c>
      <c r="F28" s="21" t="n">
        <v>3600</v>
      </c>
      <c r="G28" s="19">
        <f>C28&gt;=$B$4</f>
        <v/>
      </c>
      <c r="H28" s="37" t="n">
        <v>6678</v>
      </c>
      <c r="I28" s="36">
        <f>IF(G28,ROUND(H28*(1+$B$5),0),H28)</f>
        <v/>
      </c>
      <c r="J28" s="37" t="n">
        <v>3000</v>
      </c>
      <c r="K28" s="36">
        <f>IF(G28,ROUND(J28*(1+$B$6),0),J28)</f>
        <v/>
      </c>
      <c r="L28" s="36">
        <f>0+J28+D28+(D28-50)</f>
        <v/>
      </c>
      <c r="M28" s="36">
        <f>0+K28+D28+(D28-50)</f>
        <v/>
      </c>
      <c r="N28" s="57">
        <f>M28/L28-1</f>
        <v/>
      </c>
    </row>
    <row r="29">
      <c r="A29" s="21" t="n">
        <v>128</v>
      </c>
      <c r="B29" s="21" t="inlineStr">
        <is>
          <t>Guardian Bear</t>
        </is>
      </c>
      <c r="C29" s="37" t="n">
        <v>100000000</v>
      </c>
      <c r="D29" s="21" t="n">
        <v>50</v>
      </c>
      <c r="E29" s="21" t="n">
        <v>3</v>
      </c>
      <c r="F29" s="21" t="n">
        <v>600</v>
      </c>
      <c r="G29" s="19">
        <f>C29&gt;=$B$4</f>
        <v/>
      </c>
      <c r="H29" s="37" t="n">
        <v>505138</v>
      </c>
      <c r="I29" s="36">
        <f>IF(G29,ROUND(H29*(1+$B$5),0),H29)</f>
        <v/>
      </c>
      <c r="J29" s="37" t="n">
        <v>30000</v>
      </c>
      <c r="K29" s="36">
        <f>IF(G29,ROUND(J29*(1+$B$6),0),J29)</f>
        <v/>
      </c>
      <c r="L29" s="36">
        <f>0+J29+D29+(D29-50)</f>
        <v/>
      </c>
      <c r="M29" s="36">
        <f>0+K29+D29+(D29-50)</f>
        <v/>
      </c>
      <c r="N29" s="57">
        <f>M29/L29-1</f>
        <v/>
      </c>
    </row>
    <row r="30">
      <c r="A30" s="21" t="n">
        <v>130</v>
      </c>
      <c r="B30" s="21" t="inlineStr">
        <is>
          <t>Young Bear</t>
        </is>
      </c>
      <c r="C30" s="37" t="n">
        <v>100000000</v>
      </c>
      <c r="D30" s="21" t="n">
        <v>50</v>
      </c>
      <c r="E30" s="21" t="n">
        <v>155</v>
      </c>
      <c r="F30" s="21" t="n">
        <v>40</v>
      </c>
      <c r="G30" s="19">
        <f>C30&gt;=$B$4</f>
        <v/>
      </c>
      <c r="H30" s="37" t="n">
        <v>262366</v>
      </c>
      <c r="I30" s="36">
        <f>IF(G30,ROUND(H30*(1+$B$5),0),H30)</f>
        <v/>
      </c>
      <c r="J30" s="37" t="n">
        <v>5500</v>
      </c>
      <c r="K30" s="36">
        <f>IF(G30,ROUND(J30*(1+$B$6),0),J30)</f>
        <v/>
      </c>
      <c r="L30" s="36">
        <f>0+J30+D30+(D30-50)</f>
        <v/>
      </c>
      <c r="M30" s="36">
        <f>0+K30+D30+(D30-50)</f>
        <v/>
      </c>
      <c r="N30" s="57">
        <f>M30/L30-1</f>
        <v/>
      </c>
    </row>
    <row r="31">
      <c r="A31" s="21" t="n">
        <v>131</v>
      </c>
      <c r="B31" s="21" t="inlineStr">
        <is>
          <t>Betsy the Bear Charmer</t>
        </is>
      </c>
      <c r="C31" s="37" t="n">
        <v>100000000</v>
      </c>
      <c r="D31" s="21" t="n">
        <v>50</v>
      </c>
      <c r="E31" s="21" t="n">
        <v>1</v>
      </c>
      <c r="F31" s="21" t="n">
        <v>3600</v>
      </c>
      <c r="G31" s="19">
        <f>C31&gt;=$B$4</f>
        <v/>
      </c>
      <c r="H31" s="37" t="n">
        <v>316298</v>
      </c>
      <c r="I31" s="36">
        <f>IF(G31,ROUND(H31*(1+$B$5),0),H31)</f>
        <v/>
      </c>
      <c r="J31" s="37" t="n">
        <v>8000</v>
      </c>
      <c r="K31" s="36">
        <f>IF(G31,ROUND(J31*(1+$B$6),0),J31)</f>
        <v/>
      </c>
      <c r="L31" s="36">
        <f>0+J31+D31+(D31-50)</f>
        <v/>
      </c>
      <c r="M31" s="36">
        <f>0+K31+D31+(D31-50)</f>
        <v/>
      </c>
      <c r="N31" s="57">
        <f>M31/L31-1</f>
        <v/>
      </c>
    </row>
    <row r="32">
      <c r="A32" s="21" t="n">
        <v>138</v>
      </c>
      <c r="B32" s="21" t="inlineStr">
        <is>
          <t>Ancient Sentinel</t>
        </is>
      </c>
      <c r="C32" s="37" t="n">
        <v>100000000</v>
      </c>
      <c r="D32" s="21" t="n">
        <v>50</v>
      </c>
      <c r="E32" s="21" t="n">
        <v>2</v>
      </c>
      <c r="F32" s="21" t="n">
        <v>14400</v>
      </c>
      <c r="G32" s="19">
        <f>C32&gt;=$B$4</f>
        <v/>
      </c>
      <c r="H32" s="37" t="n">
        <v>10016888</v>
      </c>
      <c r="I32" s="36">
        <f>IF(G32,ROUND(H32*(1+$B$5),0),H32)</f>
        <v/>
      </c>
      <c r="J32" s="37" t="n">
        <v>95000</v>
      </c>
      <c r="K32" s="36">
        <f>IF(G32,ROUND(J32*(1+$B$6),0),J32)</f>
        <v/>
      </c>
      <c r="L32" s="36">
        <f>0+J32+D32+(D32-50)</f>
        <v/>
      </c>
      <c r="M32" s="36">
        <f>0+K32+D32+(D32-50)</f>
        <v/>
      </c>
      <c r="N32" s="57">
        <f>M32/L32-1</f>
        <v/>
      </c>
    </row>
    <row r="33">
      <c r="A33" s="21" t="n">
        <v>139</v>
      </c>
      <c r="B33" s="21" t="inlineStr">
        <is>
          <t>General Vor Chez</t>
        </is>
      </c>
      <c r="C33" s="37" t="n">
        <v>100000000</v>
      </c>
      <c r="D33" s="21" t="n">
        <v>50</v>
      </c>
      <c r="E33" s="21" t="n">
        <v>1</v>
      </c>
      <c r="F33" s="21" t="n">
        <v>28800</v>
      </c>
      <c r="G33" s="19">
        <f>C33&gt;=$B$4</f>
        <v/>
      </c>
      <c r="H33" s="37" t="n">
        <v>20143269</v>
      </c>
      <c r="I33" s="36">
        <f>IF(G33,ROUND(H33*(1+$B$5),0),H33)</f>
        <v/>
      </c>
      <c r="J33" s="37" t="n">
        <v>100000</v>
      </c>
      <c r="K33" s="36">
        <f>IF(G33,ROUND(J33*(1+$B$6),0),J33)</f>
        <v/>
      </c>
      <c r="L33" s="36">
        <f>0+J33+D33+(D33-50)</f>
        <v/>
      </c>
      <c r="M33" s="36">
        <f>0+K33+D33+(D33-50)</f>
        <v/>
      </c>
      <c r="N33" s="57">
        <f>M33/L33-1</f>
        <v/>
      </c>
    </row>
    <row r="34">
      <c r="A34" s="21" t="n">
        <v>140</v>
      </c>
      <c r="B34" s="21" t="inlineStr">
        <is>
          <t>Doom</t>
        </is>
      </c>
      <c r="C34" s="37" t="n">
        <v>100000000</v>
      </c>
      <c r="D34" s="21" t="n">
        <v>50</v>
      </c>
      <c r="E34" s="21" t="n">
        <v>1</v>
      </c>
      <c r="F34" s="21" t="n">
        <v>43200</v>
      </c>
      <c r="G34" s="19">
        <f>C34&gt;=$B$4</f>
        <v/>
      </c>
      <c r="H34" s="37" t="n">
        <v>30143269</v>
      </c>
      <c r="I34" s="36">
        <f>IF(G34,ROUND(H34*(1+$B$5),0),H34)</f>
        <v/>
      </c>
      <c r="J34" s="37" t="n">
        <v>115000</v>
      </c>
      <c r="K34" s="36">
        <f>IF(G34,ROUND(J34*(1+$B$6),0),J34)</f>
        <v/>
      </c>
      <c r="L34" s="36">
        <f>0+J34+D34+(D34-50)</f>
        <v/>
      </c>
      <c r="M34" s="36">
        <f>0+K34+D34+(D34-50)</f>
        <v/>
      </c>
      <c r="N34" s="57">
        <f>M34/L34-1</f>
        <v/>
      </c>
    </row>
    <row r="35">
      <c r="A35" s="21" t="n">
        <v>141</v>
      </c>
      <c r="B35" s="21" t="inlineStr">
        <is>
          <t>Disciple Von Bangs</t>
        </is>
      </c>
      <c r="C35" s="37" t="n">
        <v>100000000</v>
      </c>
      <c r="D35" s="21" t="n">
        <v>50</v>
      </c>
      <c r="E35" s="21" t="n">
        <v>1</v>
      </c>
      <c r="F35" s="21" t="n">
        <v>14400</v>
      </c>
      <c r="G35" s="19">
        <f>C35&gt;=$B$4</f>
        <v/>
      </c>
      <c r="H35" s="37" t="n">
        <v>8143269</v>
      </c>
      <c r="I35" s="36">
        <f>IF(G35,ROUND(H35*(1+$B$5),0),H35)</f>
        <v/>
      </c>
      <c r="J35" s="37" t="n">
        <v>90000</v>
      </c>
      <c r="K35" s="36">
        <f>IF(G35,ROUND(J35*(1+$B$6),0),J35)</f>
        <v/>
      </c>
      <c r="L35" s="36">
        <f>0+J35+D35+(D35-50)</f>
        <v/>
      </c>
      <c r="M35" s="36">
        <f>0+K35+D35+(D35-50)</f>
        <v/>
      </c>
      <c r="N35" s="57">
        <f>M35/L35-1</f>
        <v/>
      </c>
    </row>
    <row r="36">
      <c r="A36" s="21" t="n">
        <v>142</v>
      </c>
      <c r="B36" s="21" t="inlineStr">
        <is>
          <t>Disciple Von Chief</t>
        </is>
      </c>
      <c r="C36" s="37" t="n">
        <v>100000000</v>
      </c>
      <c r="D36" s="21" t="n">
        <v>50</v>
      </c>
      <c r="E36" s="21" t="n">
        <v>1</v>
      </c>
      <c r="F36" s="21" t="n">
        <v>14400</v>
      </c>
      <c r="G36" s="19">
        <f>C36&gt;=$B$4</f>
        <v/>
      </c>
      <c r="H36" s="37" t="n">
        <v>8143269</v>
      </c>
      <c r="I36" s="36">
        <f>IF(G36,ROUND(H36*(1+$B$5),0),H36)</f>
        <v/>
      </c>
      <c r="J36" s="37" t="n">
        <v>90000</v>
      </c>
      <c r="K36" s="36">
        <f>IF(G36,ROUND(J36*(1+$B$6),0),J36)</f>
        <v/>
      </c>
      <c r="L36" s="36">
        <f>0+J36+D36+(D36-50)</f>
        <v/>
      </c>
      <c r="M36" s="36">
        <f>0+K36+D36+(D36-50)</f>
        <v/>
      </c>
      <c r="N36" s="57">
        <f>M36/L36-1</f>
        <v/>
      </c>
    </row>
    <row r="37">
      <c r="A37" s="21" t="n">
        <v>143</v>
      </c>
      <c r="B37" s="21" t="inlineStr">
        <is>
          <t>Ancient Guard</t>
        </is>
      </c>
      <c r="C37" s="37" t="n">
        <v>100000000</v>
      </c>
      <c r="D37" s="21" t="n">
        <v>50</v>
      </c>
      <c r="E37" s="21" t="n">
        <v>7</v>
      </c>
      <c r="F37" s="21" t="n">
        <v>2700</v>
      </c>
      <c r="G37" s="19">
        <f>C37&gt;=$B$4</f>
        <v/>
      </c>
      <c r="H37" s="37" t="n">
        <v>5021222</v>
      </c>
      <c r="I37" s="36">
        <f>IF(G37,ROUND(H37*(1+$B$5),0),H37)</f>
        <v/>
      </c>
      <c r="J37" s="37" t="n">
        <v>68000</v>
      </c>
      <c r="K37" s="36">
        <f>IF(G37,ROUND(J37*(1+$B$6),0),J37)</f>
        <v/>
      </c>
      <c r="L37" s="36">
        <f>0+J37+D37+(D37-50)</f>
        <v/>
      </c>
      <c r="M37" s="36">
        <f>0+K37+D37+(D37-50)</f>
        <v/>
      </c>
      <c r="N37" s="57">
        <f>M37/L37-1</f>
        <v/>
      </c>
    </row>
    <row r="38">
      <c r="A38" s="21" t="n">
        <v>157</v>
      </c>
      <c r="B38" s="21" t="inlineStr">
        <is>
          <t>Gramps</t>
        </is>
      </c>
      <c r="C38" s="37" t="n">
        <v>100000000</v>
      </c>
      <c r="D38" s="21" t="n">
        <v>50</v>
      </c>
      <c r="E38" s="21" t="n">
        <v>1</v>
      </c>
      <c r="F38" s="21" t="n">
        <v>1800</v>
      </c>
      <c r="G38" s="19">
        <f>C38&gt;=$B$4</f>
        <v/>
      </c>
      <c r="H38" s="37" t="n">
        <v>1505138</v>
      </c>
      <c r="I38" s="36">
        <f>IF(G38,ROUND(H38*(1+$B$5),0),H38)</f>
        <v/>
      </c>
      <c r="J38" s="37" t="n">
        <v>40000</v>
      </c>
      <c r="K38" s="36">
        <f>IF(G38,ROUND(J38*(1+$B$6),0),J38)</f>
        <v/>
      </c>
      <c r="L38" s="36">
        <f>0+J38+D38+(D38-50)</f>
        <v/>
      </c>
      <c r="M38" s="36">
        <f>0+K38+D38+(D38-50)</f>
        <v/>
      </c>
      <c r="N38" s="57">
        <f>M38/L38-1</f>
        <v/>
      </c>
    </row>
    <row r="39">
      <c r="A39" s="21" t="n">
        <v>163</v>
      </c>
      <c r="B39" s="21" t="inlineStr">
        <is>
          <t>Prince Punisher</t>
        </is>
      </c>
      <c r="C39" s="37" t="n">
        <v>100000000</v>
      </c>
      <c r="D39" s="21" t="n">
        <v>50</v>
      </c>
      <c r="E39" s="21" t="n">
        <v>1</v>
      </c>
      <c r="F39" s="21" t="n">
        <v>28800</v>
      </c>
      <c r="G39" s="19">
        <f>C39&gt;=$B$4</f>
        <v/>
      </c>
      <c r="H39" s="37" t="n">
        <v>25143269</v>
      </c>
      <c r="I39" s="36">
        <f>IF(G39,ROUND(H39*(1+$B$5),0),H39)</f>
        <v/>
      </c>
      <c r="J39" s="37" t="n">
        <v>150000</v>
      </c>
      <c r="K39" s="36">
        <f>IF(G39,ROUND(J39*(1+$B$6),0),J39)</f>
        <v/>
      </c>
      <c r="L39" s="36">
        <f>0+J39+D39+(D39-50)</f>
        <v/>
      </c>
      <c r="M39" s="36">
        <f>0+K39+D39+(D39-50)</f>
        <v/>
      </c>
      <c r="N39" s="57">
        <f>M39/L39-1</f>
        <v/>
      </c>
    </row>
    <row r="40">
      <c r="A40" s="21" t="n">
        <v>164</v>
      </c>
      <c r="B40" s="21" t="inlineStr">
        <is>
          <t>Queen Butcher</t>
        </is>
      </c>
      <c r="C40" s="37" t="n">
        <v>100000000</v>
      </c>
      <c r="D40" s="21" t="n">
        <v>50</v>
      </c>
      <c r="E40" s="21" t="n">
        <v>1</v>
      </c>
      <c r="F40" s="21" t="n">
        <v>28800</v>
      </c>
      <c r="G40" s="19">
        <f>C40&gt;=$B$4</f>
        <v/>
      </c>
      <c r="H40" s="37" t="n">
        <v>30143269</v>
      </c>
      <c r="I40" s="36">
        <f>IF(G40,ROUND(H40*(1+$B$5),0),H40)</f>
        <v/>
      </c>
      <c r="J40" s="37" t="n">
        <v>100000</v>
      </c>
      <c r="K40" s="36">
        <f>IF(G40,ROUND(J40*(1+$B$6),0),J40)</f>
        <v/>
      </c>
      <c r="L40" s="36">
        <f>0+J40+D40+(D40-50)</f>
        <v/>
      </c>
      <c r="M40" s="36">
        <f>0+K40+D40+(D40-50)</f>
        <v/>
      </c>
      <c r="N40" s="57">
        <f>M40/L40-1</f>
        <v/>
      </c>
    </row>
    <row r="41">
      <c r="A41" s="21" t="n">
        <v>165</v>
      </c>
      <c r="B41" s="21" t="inlineStr">
        <is>
          <t>Princess Slayer</t>
        </is>
      </c>
      <c r="C41" s="37" t="n">
        <v>100000000</v>
      </c>
      <c r="D41" s="21" t="n">
        <v>50</v>
      </c>
      <c r="E41" s="21" t="n">
        <v>1</v>
      </c>
      <c r="F41" s="21" t="n">
        <v>28800</v>
      </c>
      <c r="G41" s="19">
        <f>C41&gt;=$B$4</f>
        <v/>
      </c>
      <c r="H41" s="37" t="n">
        <v>20143269</v>
      </c>
      <c r="I41" s="36">
        <f>IF(G41,ROUND(H41*(1+$B$5),0),H41)</f>
        <v/>
      </c>
      <c r="J41" s="37" t="n">
        <v>100000</v>
      </c>
      <c r="K41" s="36">
        <f>IF(G41,ROUND(J41*(1+$B$6),0),J41)</f>
        <v/>
      </c>
      <c r="L41" s="36">
        <f>0+J41+D41+(D41-50)</f>
        <v/>
      </c>
      <c r="M41" s="36">
        <f>0+K41+D41+(D41-50)</f>
        <v/>
      </c>
      <c r="N41" s="57">
        <f>M41/L41-1</f>
        <v/>
      </c>
    </row>
    <row r="42">
      <c r="A42" s="21" t="n">
        <v>129</v>
      </c>
      <c r="B42" s="21" t="inlineStr">
        <is>
          <t>Patrol Bear</t>
        </is>
      </c>
      <c r="C42" s="37" t="n">
        <v>200000000</v>
      </c>
      <c r="D42" s="21" t="n">
        <v>50</v>
      </c>
      <c r="E42" s="21" t="n">
        <v>155</v>
      </c>
      <c r="F42" s="21" t="n">
        <v>3600</v>
      </c>
      <c r="G42" s="19">
        <f>C42&gt;=$B$4</f>
        <v/>
      </c>
      <c r="H42" s="37" t="n">
        <v>1362366</v>
      </c>
      <c r="I42" s="36">
        <f>IF(G42,ROUND(H42*(1+$B$5),0),H42)</f>
        <v/>
      </c>
      <c r="J42" s="37" t="n">
        <v>20000</v>
      </c>
      <c r="K42" s="36">
        <f>IF(G42,ROUND(J42*(1+$B$6),0),J42)</f>
        <v/>
      </c>
      <c r="L42" s="36">
        <f>0+J42+D42+(D42-50)</f>
        <v/>
      </c>
      <c r="M42" s="36">
        <f>0+K42+D42+(D42-50)</f>
        <v/>
      </c>
      <c r="N42" s="57">
        <f>M42/L42-1</f>
        <v/>
      </c>
    </row>
    <row r="43">
      <c r="A43" s="21" t="n">
        <v>155</v>
      </c>
      <c r="B43" s="21" t="inlineStr">
        <is>
          <t>The Patriarch</t>
        </is>
      </c>
      <c r="C43" s="37" t="n">
        <v>200000000</v>
      </c>
      <c r="D43" s="21" t="n">
        <v>50</v>
      </c>
      <c r="E43" s="21" t="n">
        <v>1</v>
      </c>
      <c r="F43" s="21" t="n">
        <v>10800</v>
      </c>
      <c r="G43" s="19">
        <f>C43&gt;=$B$4</f>
        <v/>
      </c>
      <c r="H43" s="37" t="n">
        <v>1005138</v>
      </c>
      <c r="I43" s="36">
        <f>IF(G43,ROUND(H43*(1+$B$5),0),H43)</f>
        <v/>
      </c>
      <c r="J43" s="37" t="n">
        <v>30000</v>
      </c>
      <c r="K43" s="36">
        <f>IF(G43,ROUND(J43*(1+$B$6),0),J43)</f>
        <v/>
      </c>
      <c r="L43" s="36">
        <f>0+J43+D43+(D43-50)</f>
        <v/>
      </c>
      <c r="M43" s="36">
        <f>0+K43+D43+(D43-50)</f>
        <v/>
      </c>
      <c r="N43" s="57">
        <f>M43/L43-1</f>
        <v/>
      </c>
    </row>
    <row r="44">
      <c r="A44" s="21" t="n">
        <v>156</v>
      </c>
      <c r="B44" s="21" t="inlineStr">
        <is>
          <t>Mama Bear</t>
        </is>
      </c>
      <c r="C44" s="37" t="n">
        <v>200000000</v>
      </c>
      <c r="D44" s="21" t="n">
        <v>50</v>
      </c>
      <c r="E44" s="21" t="n">
        <v>1</v>
      </c>
      <c r="F44" s="21" t="n">
        <v>14400</v>
      </c>
      <c r="G44" s="19">
        <f>C44&gt;=$B$4</f>
        <v/>
      </c>
      <c r="H44" s="37" t="n">
        <v>4105138</v>
      </c>
      <c r="I44" s="36">
        <f>IF(G44,ROUND(H44*(1+$B$5),0),H44)</f>
        <v/>
      </c>
      <c r="J44" s="37" t="n">
        <v>150000</v>
      </c>
      <c r="K44" s="36">
        <f>IF(G44,ROUND(J44*(1+$B$6),0),J44)</f>
        <v/>
      </c>
      <c r="L44" s="36">
        <f>0+J44+D44+(D44-50)</f>
        <v/>
      </c>
      <c r="M44" s="36">
        <f>0+K44+D44+(D44-50)</f>
        <v/>
      </c>
      <c r="N44" s="57">
        <f>M44/L44-1</f>
        <v/>
      </c>
    </row>
    <row r="45">
      <c r="A45" s="21" t="n">
        <v>158</v>
      </c>
      <c r="B45" s="21" t="inlineStr">
        <is>
          <t>Starved Bear</t>
        </is>
      </c>
      <c r="C45" s="37" t="n">
        <v>200000000</v>
      </c>
      <c r="D45" s="21" t="n">
        <v>50</v>
      </c>
      <c r="E45" s="21" t="n">
        <v>25</v>
      </c>
      <c r="F45" s="21" t="n">
        <v>600</v>
      </c>
      <c r="G45" s="19">
        <f>C45&gt;=$B$4</f>
        <v/>
      </c>
      <c r="H45" s="37" t="n">
        <v>1005138</v>
      </c>
      <c r="I45" s="36">
        <f>IF(G45,ROUND(H45*(1+$B$5),0),H45)</f>
        <v/>
      </c>
      <c r="J45" s="37" t="n">
        <v>20000</v>
      </c>
      <c r="K45" s="36">
        <f>IF(G45,ROUND(J45*(1+$B$6),0),J45)</f>
        <v/>
      </c>
      <c r="L45" s="36">
        <f>0+J45+D45+(D45-50)</f>
        <v/>
      </c>
      <c r="M45" s="36">
        <f>0+K45+D45+(D45-50)</f>
        <v/>
      </c>
      <c r="N45" s="57">
        <f>M45/L45-1</f>
        <v/>
      </c>
    </row>
    <row r="46">
      <c r="A46" s="21" t="n">
        <v>151</v>
      </c>
      <c r="B46" s="21" t="inlineStr">
        <is>
          <t>Richard</t>
        </is>
      </c>
      <c r="C46" s="37" t="n">
        <v>300000000</v>
      </c>
      <c r="D46" s="21" t="n">
        <v>50</v>
      </c>
      <c r="E46" s="21" t="n">
        <v>77</v>
      </c>
      <c r="F46" s="21" t="n">
        <v>40</v>
      </c>
      <c r="G46" s="19">
        <f>C46&gt;=$B$4</f>
        <v/>
      </c>
      <c r="H46" s="37" t="n">
        <v>623138</v>
      </c>
      <c r="I46" s="36">
        <f>IF(G46,ROUND(H46*(1+$B$5),0),H46)</f>
        <v/>
      </c>
      <c r="J46" s="37" t="n">
        <v>12000</v>
      </c>
      <c r="K46" s="36">
        <f>IF(G46,ROUND(J46*(1+$B$6),0),J46)</f>
        <v/>
      </c>
      <c r="L46" s="36">
        <f>0+J46+D46+(D46-50)</f>
        <v/>
      </c>
      <c r="M46" s="36">
        <f>0+K46+D46+(D46-50)</f>
        <v/>
      </c>
      <c r="N46" s="57">
        <f>M46/L46-1</f>
        <v/>
      </c>
    </row>
    <row r="47">
      <c r="A47" s="21" t="n">
        <v>152</v>
      </c>
      <c r="B47" s="21" t="inlineStr">
        <is>
          <t>Abomination</t>
        </is>
      </c>
      <c r="C47" s="37" t="n">
        <v>300000000</v>
      </c>
      <c r="D47" s="21" t="n">
        <v>50</v>
      </c>
      <c r="E47" s="21" t="n">
        <v>1</v>
      </c>
      <c r="F47" s="21" t="n">
        <v>14400</v>
      </c>
      <c r="G47" s="19">
        <f>C47&gt;=$B$4</f>
        <v/>
      </c>
      <c r="H47" s="37" t="n">
        <v>3823138</v>
      </c>
      <c r="I47" s="36">
        <f>IF(G47,ROUND(H47*(1+$B$5),0),H47)</f>
        <v/>
      </c>
      <c r="J47" s="37" t="n">
        <v>60000</v>
      </c>
      <c r="K47" s="36">
        <f>IF(G47,ROUND(J47*(1+$B$6),0),J47)</f>
        <v/>
      </c>
      <c r="L47" s="36">
        <f>0+J47+D47+(D47-50)</f>
        <v/>
      </c>
      <c r="M47" s="36">
        <f>0+K47+D47+(D47-50)</f>
        <v/>
      </c>
      <c r="N47" s="57">
        <f>M47/L47-1</f>
        <v/>
      </c>
    </row>
    <row r="48">
      <c r="A48" s="21" t="n">
        <v>153</v>
      </c>
      <c r="B48" s="21" t="inlineStr">
        <is>
          <t>Simon</t>
        </is>
      </c>
      <c r="C48" s="37" t="n">
        <v>300000000</v>
      </c>
      <c r="D48" s="21" t="n">
        <v>50</v>
      </c>
      <c r="E48" s="21" t="n">
        <v>91</v>
      </c>
      <c r="F48" s="21" t="n">
        <v>40</v>
      </c>
      <c r="G48" s="19">
        <f>C48&gt;=$B$4</f>
        <v/>
      </c>
      <c r="H48" s="37" t="n">
        <v>853138</v>
      </c>
      <c r="I48" s="36">
        <f>IF(G48,ROUND(H48*(1+$B$5),0),H48)</f>
        <v/>
      </c>
      <c r="J48" s="37" t="n">
        <v>15000</v>
      </c>
      <c r="K48" s="36">
        <f>IF(G48,ROUND(J48*(1+$B$6),0),J48)</f>
        <v/>
      </c>
      <c r="L48" s="36">
        <f>0+J48+D48+(D48-50)</f>
        <v/>
      </c>
      <c r="M48" s="36">
        <f>0+K48+D48+(D48-50)</f>
        <v/>
      </c>
      <c r="N48" s="57">
        <f>M48/L48-1</f>
        <v/>
      </c>
    </row>
    <row r="49">
      <c r="A49" s="21" t="n">
        <v>154</v>
      </c>
      <c r="B49" s="21" t="inlineStr">
        <is>
          <t>Charlie</t>
        </is>
      </c>
      <c r="C49" s="37" t="n">
        <v>300000000</v>
      </c>
      <c r="D49" s="21" t="n">
        <v>50</v>
      </c>
      <c r="E49" s="21" t="n">
        <v>1</v>
      </c>
      <c r="F49" s="21" t="n">
        <v>14400</v>
      </c>
      <c r="G49" s="19">
        <f>C49&gt;=$B$4</f>
        <v/>
      </c>
      <c r="H49" s="37" t="n">
        <v>5823138</v>
      </c>
      <c r="I49" s="36">
        <f>IF(G49,ROUND(H49*(1+$B$5),0),H49)</f>
        <v/>
      </c>
      <c r="J49" s="37" t="n">
        <v>80000</v>
      </c>
      <c r="K49" s="36">
        <f>IF(G49,ROUND(J49*(1+$B$6),0),J49)</f>
        <v/>
      </c>
      <c r="L49" s="36">
        <f>0+J49+D49+(D49-50)</f>
        <v/>
      </c>
      <c r="M49" s="36">
        <f>0+K49+D49+(D49-50)</f>
        <v/>
      </c>
      <c r="N49" s="57">
        <f>M49/L49-1</f>
        <v/>
      </c>
    </row>
    <row r="50">
      <c r="A50" s="21" t="n">
        <v>175</v>
      </c>
      <c r="B50" s="21" t="inlineStr">
        <is>
          <t>Ancient Prisoner</t>
        </is>
      </c>
      <c r="C50" s="37" t="n">
        <v>400000000</v>
      </c>
      <c r="D50" s="21" t="n">
        <v>50</v>
      </c>
      <c r="E50" s="21" t="n">
        <v>159</v>
      </c>
      <c r="F50" s="21" t="n">
        <v>7200</v>
      </c>
      <c r="G50" s="19">
        <f>C50&gt;=$B$4</f>
        <v/>
      </c>
      <c r="H50" s="37" t="n">
        <v>30143269</v>
      </c>
      <c r="I50" s="36">
        <f>IF(G50,ROUND(H50*(1+$B$5),0),H50)</f>
        <v/>
      </c>
      <c r="J50" s="37" t="n">
        <v>2000000</v>
      </c>
      <c r="K50" s="36">
        <f>IF(G50,ROUND(J50*(1+$B$6),0),J50)</f>
        <v/>
      </c>
      <c r="L50" s="36">
        <f>0+J50+D50+(D50-50)</f>
        <v/>
      </c>
      <c r="M50" s="36">
        <f>0+K50+D50+(D50-50)</f>
        <v/>
      </c>
      <c r="N50" s="57">
        <f>M50/L50-1</f>
        <v/>
      </c>
    </row>
    <row r="51">
      <c r="A51" s="21" t="n">
        <v>176</v>
      </c>
      <c r="B51" s="21" t="inlineStr">
        <is>
          <t>Ancient Prison Superior</t>
        </is>
      </c>
      <c r="C51" s="37" t="n">
        <v>400000000</v>
      </c>
      <c r="D51" s="21" t="n">
        <v>50</v>
      </c>
      <c r="E51" s="21" t="n">
        <v>10</v>
      </c>
      <c r="F51" s="21" t="n">
        <v>7200</v>
      </c>
      <c r="G51" s="19">
        <f>C51&gt;=$B$4</f>
        <v/>
      </c>
      <c r="H51" s="37" t="n">
        <v>50143269</v>
      </c>
      <c r="I51" s="36">
        <f>IF(G51,ROUND(H51*(1+$B$5),0),H51)</f>
        <v/>
      </c>
      <c r="J51" s="37" t="n">
        <v>3400000</v>
      </c>
      <c r="K51" s="36">
        <f>IF(G51,ROUND(J51*(1+$B$6),0),J51)</f>
        <v/>
      </c>
      <c r="L51" s="36">
        <f>0+J51+D51+(D51-50)</f>
        <v/>
      </c>
      <c r="M51" s="36">
        <f>0+K51+D51+(D51-50)</f>
        <v/>
      </c>
      <c r="N51" s="57">
        <f>M51/L51-1</f>
        <v/>
      </c>
    </row>
    <row r="52">
      <c r="A52" s="21" t="n">
        <v>177</v>
      </c>
      <c r="B52" s="21" t="inlineStr">
        <is>
          <t>Henry</t>
        </is>
      </c>
      <c r="C52" s="37" t="n">
        <v>400000000</v>
      </c>
      <c r="D52" s="21" t="n">
        <v>50</v>
      </c>
      <c r="E52" s="21" t="n">
        <v>1</v>
      </c>
      <c r="F52" s="21" t="n">
        <v>20800</v>
      </c>
      <c r="G52" s="19">
        <f>C52&gt;=$B$4</f>
        <v/>
      </c>
      <c r="H52" s="37" t="n">
        <v>70143269</v>
      </c>
      <c r="I52" s="36">
        <f>IF(G52,ROUND(H52*(1+$B$5),0),H52)</f>
        <v/>
      </c>
      <c r="J52" s="37" t="n">
        <v>3600000</v>
      </c>
      <c r="K52" s="36">
        <f>IF(G52,ROUND(J52*(1+$B$6),0),J52)</f>
        <v/>
      </c>
      <c r="L52" s="36">
        <f>0+J52+D52+(D52-50)</f>
        <v/>
      </c>
      <c r="M52" s="36">
        <f>0+K52+D52+(D52-50)</f>
        <v/>
      </c>
      <c r="N52" s="57">
        <f>M52/L52-1</f>
        <v/>
      </c>
    </row>
    <row r="53">
      <c r="A53" s="21" t="n">
        <v>178</v>
      </c>
      <c r="B53" s="21" t="inlineStr">
        <is>
          <t>Gordon</t>
        </is>
      </c>
      <c r="C53" s="37" t="n">
        <v>400000000</v>
      </c>
      <c r="D53" s="21" t="n">
        <v>50</v>
      </c>
      <c r="E53" s="21" t="n">
        <v>1</v>
      </c>
      <c r="F53" s="21" t="n">
        <v>20800</v>
      </c>
      <c r="G53" s="19">
        <f>C53&gt;=$B$4</f>
        <v/>
      </c>
      <c r="H53" s="37" t="n">
        <v>100143269</v>
      </c>
      <c r="I53" s="36">
        <f>IF(G53,ROUND(H53*(1+$B$5),0),H53)</f>
        <v/>
      </c>
      <c r="J53" s="37" t="n">
        <v>4000000</v>
      </c>
      <c r="K53" s="36">
        <f>IF(G53,ROUND(J53*(1+$B$6),0),J53)</f>
        <v/>
      </c>
      <c r="L53" s="36">
        <f>0+J53+D53+(D53-50)</f>
        <v/>
      </c>
      <c r="M53" s="36">
        <f>0+K53+D53+(D53-50)</f>
        <v/>
      </c>
      <c r="N53" s="57">
        <f>M53/L53-1</f>
        <v/>
      </c>
    </row>
    <row r="54">
      <c r="A54" s="21" t="n">
        <v>179</v>
      </c>
      <c r="B54" s="21" t="inlineStr">
        <is>
          <t>Rueben</t>
        </is>
      </c>
      <c r="C54" s="37" t="n">
        <v>400000000</v>
      </c>
      <c r="D54" s="21" t="n">
        <v>50</v>
      </c>
      <c r="E54" s="21" t="n">
        <v>1</v>
      </c>
      <c r="F54" s="21" t="n">
        <v>20800</v>
      </c>
      <c r="G54" s="19">
        <f>C54&gt;=$B$4</f>
        <v/>
      </c>
      <c r="H54" s="37" t="n">
        <v>80143269</v>
      </c>
      <c r="I54" s="36">
        <f>IF(G54,ROUND(H54*(1+$B$5),0),H54)</f>
        <v/>
      </c>
      <c r="J54" s="37" t="n">
        <v>3800000</v>
      </c>
      <c r="K54" s="36">
        <f>IF(G54,ROUND(J54*(1+$B$6),0),J54)</f>
        <v/>
      </c>
      <c r="L54" s="36">
        <f>0+J54+D54+(D54-50)</f>
        <v/>
      </c>
      <c r="M54" s="36">
        <f>0+K54+D54+(D54-50)</f>
        <v/>
      </c>
      <c r="N54" s="57">
        <f>M54/L54-1</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66"/>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12" customWidth="1" min="3" max="3"/>
    <col width="12" customWidth="1" min="4" max="4"/>
    <col width="12" customWidth="1" min="5" max="5"/>
    <col width="9" customWidth="1" min="6" max="6"/>
    <col width="110" customWidth="1" min="7" max="7"/>
  </cols>
  <sheetData>
    <row r="1">
      <c r="A1" s="66" t="inlineStr">
        <is>
          <t>Balancing pass 2: every item compared with the other items in its slot, per class</t>
        </is>
      </c>
    </row>
    <row r="2" ht="45" customHeight="1">
      <c r="A2" s="67" t="inlineStr">
        <is>
          <t>Rule: an item that is harder to get (same or higher level, same or harder source, same or later L50 step) must be a clear upgrade over the best easier item: +10% for the next L50 step, +15% for a harder source at about the same level, and at least the level-budget ratio across levels. Points use the Item Budget weights (endgame points from 20M up).</t>
        </is>
      </c>
    </row>
    <row r="4">
      <c r="A4" s="40" t="inlineStr">
        <is>
          <t>ID</t>
        </is>
      </c>
      <c r="B4" s="40" t="inlineStr">
        <is>
          <t>Item</t>
        </is>
      </c>
      <c r="C4" s="40" t="inlineStr">
        <is>
          <t>Field</t>
        </is>
      </c>
      <c r="D4" s="40" t="inlineStr">
        <is>
          <t>Now</t>
        </is>
      </c>
      <c r="E4" s="40" t="inlineStr">
        <is>
          <t>Proposed</t>
        </is>
      </c>
      <c r="F4" s="40" t="inlineStr">
        <is>
          <t>Change</t>
        </is>
      </c>
      <c r="G4" s="40" t="inlineStr">
        <is>
          <t>Why</t>
        </is>
      </c>
    </row>
    <row r="5">
      <c r="A5" s="68" t="n">
        <v>49</v>
      </c>
      <c r="B5" s="68" t="inlineStr">
        <is>
          <t>Hair Bow</t>
        </is>
      </c>
      <c r="C5" s="68" t="inlineStr">
        <is>
          <t>HP</t>
        </is>
      </c>
      <c r="D5" s="68" t="n">
        <v>25</v>
      </c>
      <c r="E5" s="68" t="n">
        <v>35</v>
      </c>
      <c r="F5" s="69">
        <f>IF(D5=0,"new",E5/D5-1)</f>
        <v/>
      </c>
      <c r="G5" s="64" t="inlineStr">
        <is>
          <t>Hair Bow (Sliminator boss): was below the L15 Cat Ears craft</t>
        </is>
      </c>
    </row>
    <row r="6">
      <c r="A6" s="68" t="n">
        <v>49</v>
      </c>
      <c r="B6" s="68" t="inlineStr">
        <is>
          <t>Hair Bow</t>
        </is>
      </c>
      <c r="C6" s="68" t="inlineStr">
        <is>
          <t>MP</t>
        </is>
      </c>
      <c r="D6" s="68" t="n">
        <v>25</v>
      </c>
      <c r="E6" s="68" t="n">
        <v>35</v>
      </c>
      <c r="F6" s="69">
        <f>IF(D6=0,"new",E6/D6-1)</f>
        <v/>
      </c>
      <c r="G6" s="64" t="inlineStr">
        <is>
          <t>Hair Bow (Sliminator boss): was below the L15 Cat Ears craft</t>
        </is>
      </c>
    </row>
    <row r="7">
      <c r="A7" s="68" t="n">
        <v>49</v>
      </c>
      <c r="B7" s="68" t="inlineStr">
        <is>
          <t>Hair Bow</t>
        </is>
      </c>
      <c r="C7" s="68" t="inlineStr">
        <is>
          <t>AC</t>
        </is>
      </c>
      <c r="D7" s="68" t="n">
        <v>15</v>
      </c>
      <c r="E7" s="68" t="n">
        <v>21</v>
      </c>
      <c r="F7" s="69">
        <f>IF(D7=0,"new",E7/D7-1)</f>
        <v/>
      </c>
      <c r="G7" s="64" t="inlineStr">
        <is>
          <t>Hair Bow (Sliminator boss): was below the L15 Cat Ears craft</t>
        </is>
      </c>
    </row>
    <row r="8">
      <c r="A8" s="68" t="n">
        <v>49</v>
      </c>
      <c r="B8" s="68" t="inlineStr">
        <is>
          <t>Hair Bow</t>
        </is>
      </c>
      <c r="C8" s="68" t="inlineStr">
        <is>
          <t>STR</t>
        </is>
      </c>
      <c r="D8" s="68" t="n">
        <v>3</v>
      </c>
      <c r="E8" s="68" t="n">
        <v>4</v>
      </c>
      <c r="F8" s="69">
        <f>IF(D8=0,"new",E8/D8-1)</f>
        <v/>
      </c>
      <c r="G8" s="64" t="inlineStr">
        <is>
          <t>Hair Bow (Sliminator boss): was below the L15 Cat Ears craft</t>
        </is>
      </c>
    </row>
    <row r="9">
      <c r="A9" s="68" t="n">
        <v>49</v>
      </c>
      <c r="B9" s="68" t="inlineStr">
        <is>
          <t>Hair Bow</t>
        </is>
      </c>
      <c r="C9" s="68" t="inlineStr">
        <is>
          <t>STA</t>
        </is>
      </c>
      <c r="D9" s="68" t="n">
        <v>3</v>
      </c>
      <c r="E9" s="68" t="n">
        <v>4</v>
      </c>
      <c r="F9" s="69">
        <f>IF(D9=0,"new",E9/D9-1)</f>
        <v/>
      </c>
      <c r="G9" s="64" t="inlineStr">
        <is>
          <t>Hair Bow (Sliminator boss): was below the L15 Cat Ears craft</t>
        </is>
      </c>
    </row>
    <row r="10">
      <c r="A10" s="68" t="n">
        <v>49</v>
      </c>
      <c r="B10" s="68" t="inlineStr">
        <is>
          <t>Hair Bow</t>
        </is>
      </c>
      <c r="C10" s="68" t="inlineStr">
        <is>
          <t>DEX</t>
        </is>
      </c>
      <c r="D10" s="68" t="n">
        <v>3</v>
      </c>
      <c r="E10" s="68" t="n">
        <v>4</v>
      </c>
      <c r="F10" s="69">
        <f>IF(D10=0,"new",E10/D10-1)</f>
        <v/>
      </c>
      <c r="G10" s="64" t="inlineStr">
        <is>
          <t>Hair Bow (Sliminator boss): was below the L15 Cat Ears craft</t>
        </is>
      </c>
    </row>
    <row r="11">
      <c r="A11" s="68" t="n">
        <v>49</v>
      </c>
      <c r="B11" s="68" t="inlineStr">
        <is>
          <t>Hair Bow</t>
        </is>
      </c>
      <c r="C11" s="68" t="inlineStr">
        <is>
          <t>INT</t>
        </is>
      </c>
      <c r="D11" s="68" t="n">
        <v>3</v>
      </c>
      <c r="E11" s="68" t="n">
        <v>4</v>
      </c>
      <c r="F11" s="69">
        <f>IF(D11=0,"new",E11/D11-1)</f>
        <v/>
      </c>
      <c r="G11" s="64" t="inlineStr">
        <is>
          <t>Hair Bow (Sliminator boss): was below the L15 Cat Ears craft</t>
        </is>
      </c>
    </row>
    <row r="12">
      <c r="A12" s="68" t="n">
        <v>50</v>
      </c>
      <c r="B12" s="68" t="inlineStr">
        <is>
          <t>Cow Skull Helmet</t>
        </is>
      </c>
      <c r="C12" s="68" t="inlineStr">
        <is>
          <t>AC</t>
        </is>
      </c>
      <c r="D12" s="68" t="n">
        <v>20</v>
      </c>
      <c r="E12" s="68" t="n">
        <v>22</v>
      </c>
      <c r="F12" s="69">
        <f>IF(D12=0,"new",E12/D12-1)</f>
        <v/>
      </c>
      <c r="G12" s="64" t="inlineStr">
        <is>
          <t>Cow Skull Helmet (King Goo boss): was level with the Cat Ears craft</t>
        </is>
      </c>
    </row>
    <row r="13">
      <c r="A13" s="68" t="n">
        <v>50</v>
      </c>
      <c r="B13" s="68" t="inlineStr">
        <is>
          <t>Cow Skull Helmet</t>
        </is>
      </c>
      <c r="C13" s="68" t="inlineStr">
        <is>
          <t>STR</t>
        </is>
      </c>
      <c r="D13" s="68" t="n">
        <v>5</v>
      </c>
      <c r="E13" s="68" t="n">
        <v>6</v>
      </c>
      <c r="F13" s="69">
        <f>IF(D13=0,"new",E13/D13-1)</f>
        <v/>
      </c>
      <c r="G13" s="64" t="inlineStr">
        <is>
          <t>Cow Skull Helmet (King Goo boss): was level with the Cat Ears craft</t>
        </is>
      </c>
    </row>
    <row r="14">
      <c r="A14" s="68" t="n">
        <v>55</v>
      </c>
      <c r="B14" s="68" t="inlineStr">
        <is>
          <t>Encased Blade of Wet</t>
        </is>
      </c>
      <c r="C14" s="68" t="inlineStr">
        <is>
          <t>STR</t>
        </is>
      </c>
      <c r="D14" s="68" t="n">
        <v>30</v>
      </c>
      <c r="E14" s="68" t="n">
        <v>24</v>
      </c>
      <c r="F14" s="69">
        <f>IF(D14=0,"new",E14/D14-1)</f>
        <v/>
      </c>
      <c r="G14" s="64" t="inlineStr">
        <is>
          <t>Encased Blade of Wet: damage 83, STR 24 (107); just over Rusty Claw, under Champions Blade</t>
        </is>
      </c>
    </row>
    <row r="15">
      <c r="A15" s="68" t="n">
        <v>55</v>
      </c>
      <c r="B15" s="68" t="inlineStr">
        <is>
          <t>Encased Blade of Wet</t>
        </is>
      </c>
      <c r="C15" s="68" t="inlineStr">
        <is>
          <t>Weapon dmg</t>
        </is>
      </c>
      <c r="D15" s="68" t="n">
        <v>90</v>
      </c>
      <c r="E15" s="68" t="n">
        <v>83</v>
      </c>
      <c r="F15" s="69">
        <f>IF(D15=0,"new",E15/D15-1)</f>
        <v/>
      </c>
      <c r="G15" s="64" t="inlineStr">
        <is>
          <t>Encased Blade of Wet: damage 83, STR 24 (107); just over Rusty Claw, under Champions Blade</t>
        </is>
      </c>
    </row>
    <row r="16">
      <c r="A16" s="68" t="n">
        <v>57</v>
      </c>
      <c r="B16" s="68" t="inlineStr">
        <is>
          <t>Staff of Frozen Rain</t>
        </is>
      </c>
      <c r="C16" s="68" t="inlineStr">
        <is>
          <t>HP</t>
        </is>
      </c>
      <c r="D16" s="68" t="n">
        <v>50</v>
      </c>
      <c r="E16" s="68" t="n">
        <v>45</v>
      </c>
      <c r="F16" s="69">
        <f>IF(D16=0,"new",E16/D16-1)</f>
        <v/>
      </c>
      <c r="G16" s="64" t="inlineStr">
        <is>
          <t>Pre-50 caster staff: lowered 8% so the L50 caster weapons can sit above it</t>
        </is>
      </c>
    </row>
    <row r="17">
      <c r="A17" s="68" t="n">
        <v>57</v>
      </c>
      <c r="B17" s="68" t="inlineStr">
        <is>
          <t>Staff of Frozen Rain</t>
        </is>
      </c>
      <c r="C17" s="68" t="inlineStr">
        <is>
          <t>MP</t>
        </is>
      </c>
      <c r="D17" s="68" t="n">
        <v>250</v>
      </c>
      <c r="E17" s="68" t="n">
        <v>225</v>
      </c>
      <c r="F17" s="69">
        <f>IF(D17=0,"new",E17/D17-1)</f>
        <v/>
      </c>
      <c r="G17" s="64" t="inlineStr">
        <is>
          <t>Pre-50 caster staff: lowered 8% so the L50 caster weapons can sit above it</t>
        </is>
      </c>
    </row>
    <row r="18">
      <c r="A18" s="68" t="n">
        <v>57</v>
      </c>
      <c r="B18" s="68" t="inlineStr">
        <is>
          <t>Staff of Frozen Rain</t>
        </is>
      </c>
      <c r="C18" s="68" t="inlineStr">
        <is>
          <t>AC</t>
        </is>
      </c>
      <c r="D18" s="68" t="n">
        <v>10</v>
      </c>
      <c r="E18" s="68" t="n">
        <v>9</v>
      </c>
      <c r="F18" s="69">
        <f>IF(D18=0,"new",E18/D18-1)</f>
        <v/>
      </c>
      <c r="G18" s="64" t="inlineStr">
        <is>
          <t>Pre-50 caster staff: lowered 8% so the L50 caster weapons can sit above it</t>
        </is>
      </c>
    </row>
    <row r="19">
      <c r="A19" s="68" t="n">
        <v>57</v>
      </c>
      <c r="B19" s="68" t="inlineStr">
        <is>
          <t>Staff of Frozen Rain</t>
        </is>
      </c>
      <c r="C19" s="68" t="inlineStr">
        <is>
          <t>INT</t>
        </is>
      </c>
      <c r="D19" s="68" t="n">
        <v>32</v>
      </c>
      <c r="E19" s="68" t="n">
        <v>29</v>
      </c>
      <c r="F19" s="69">
        <f>IF(D19=0,"new",E19/D19-1)</f>
        <v/>
      </c>
      <c r="G19" s="64" t="inlineStr">
        <is>
          <t>Pre-50 caster staff: lowered 8% so the L50 caster weapons can sit above it</t>
        </is>
      </c>
    </row>
    <row r="20">
      <c r="A20" s="68" t="n">
        <v>90</v>
      </c>
      <c r="B20" s="68" t="inlineStr">
        <is>
          <t>Champions Helmet</t>
        </is>
      </c>
      <c r="C20" s="68" t="inlineStr">
        <is>
          <t>HP</t>
        </is>
      </c>
      <c r="D20" s="68" t="n">
        <v>125</v>
      </c>
      <c r="E20" s="68" t="n">
        <v>135</v>
      </c>
      <c r="F20" s="69">
        <f>IF(D20=0,"new",E20/D20-1)</f>
        <v/>
      </c>
      <c r="G20" s="64" t="inlineStr">
        <is>
          <t>Punchy set: raised to +25% over the L40 boss set</t>
        </is>
      </c>
    </row>
    <row r="21">
      <c r="A21" s="68" t="n">
        <v>90</v>
      </c>
      <c r="B21" s="68" t="inlineStr">
        <is>
          <t>Champions Helmet</t>
        </is>
      </c>
      <c r="C21" s="68" t="inlineStr">
        <is>
          <t>AC</t>
        </is>
      </c>
      <c r="D21" s="68" t="n">
        <v>52</v>
      </c>
      <c r="E21" s="68" t="n">
        <v>56</v>
      </c>
      <c r="F21" s="69">
        <f>IF(D21=0,"new",E21/D21-1)</f>
        <v/>
      </c>
      <c r="G21" s="64" t="inlineStr">
        <is>
          <t>Punchy set: raised to +25% over the L40 boss set</t>
        </is>
      </c>
    </row>
    <row r="22">
      <c r="A22" s="68" t="n">
        <v>90</v>
      </c>
      <c r="B22" s="68" t="inlineStr">
        <is>
          <t>Champions Helmet</t>
        </is>
      </c>
      <c r="C22" s="68" t="inlineStr">
        <is>
          <t>STR</t>
        </is>
      </c>
      <c r="D22" s="68" t="n">
        <v>7</v>
      </c>
      <c r="E22" s="68" t="n">
        <v>8</v>
      </c>
      <c r="F22" s="69">
        <f>IF(D22=0,"new",E22/D22-1)</f>
        <v/>
      </c>
      <c r="G22" s="64" t="inlineStr">
        <is>
          <t>Punchy set: raised to +25% over the L40 boss set</t>
        </is>
      </c>
    </row>
    <row r="23">
      <c r="A23" s="68" t="n">
        <v>90</v>
      </c>
      <c r="B23" s="68" t="inlineStr">
        <is>
          <t>Champions Helmet</t>
        </is>
      </c>
      <c r="C23" s="68" t="inlineStr">
        <is>
          <t>STA</t>
        </is>
      </c>
      <c r="D23" s="68" t="n">
        <v>10</v>
      </c>
      <c r="E23" s="68" t="n">
        <v>11</v>
      </c>
      <c r="F23" s="69">
        <f>IF(D23=0,"new",E23/D23-1)</f>
        <v/>
      </c>
      <c r="G23" s="64" t="inlineStr">
        <is>
          <t>Punchy set: raised to +25% over the L40 boss set</t>
        </is>
      </c>
    </row>
    <row r="24">
      <c r="A24" s="68" t="n">
        <v>93</v>
      </c>
      <c r="B24" s="68" t="inlineStr">
        <is>
          <t>Deceivers Helmet</t>
        </is>
      </c>
      <c r="C24" s="68" t="inlineStr">
        <is>
          <t>HP</t>
        </is>
      </c>
      <c r="D24" s="68" t="n">
        <v>125</v>
      </c>
      <c r="E24" s="68" t="n">
        <v>135</v>
      </c>
      <c r="F24" s="69">
        <f>IF(D24=0,"new",E24/D24-1)</f>
        <v/>
      </c>
      <c r="G24" s="64" t="inlineStr">
        <is>
          <t>Punchy set: raised to +25% over the L40 boss set</t>
        </is>
      </c>
    </row>
    <row r="25">
      <c r="A25" s="68" t="n">
        <v>93</v>
      </c>
      <c r="B25" s="68" t="inlineStr">
        <is>
          <t>Deceivers Helmet</t>
        </is>
      </c>
      <c r="C25" s="68" t="inlineStr">
        <is>
          <t>MP</t>
        </is>
      </c>
      <c r="D25" s="68" t="n">
        <v>50</v>
      </c>
      <c r="E25" s="68" t="n">
        <v>55</v>
      </c>
      <c r="F25" s="69">
        <f>IF(D25=0,"new",E25/D25-1)</f>
        <v/>
      </c>
      <c r="G25" s="64" t="inlineStr">
        <is>
          <t>Punchy set: raised to +25% over the L40 boss set</t>
        </is>
      </c>
    </row>
    <row r="26">
      <c r="A26" s="68" t="n">
        <v>93</v>
      </c>
      <c r="B26" s="68" t="inlineStr">
        <is>
          <t>Deceivers Helmet</t>
        </is>
      </c>
      <c r="C26" s="68" t="inlineStr">
        <is>
          <t>AC</t>
        </is>
      </c>
      <c r="D26" s="68" t="n">
        <v>42</v>
      </c>
      <c r="E26" s="68" t="n">
        <v>45</v>
      </c>
      <c r="F26" s="69">
        <f>IF(D26=0,"new",E26/D26-1)</f>
        <v/>
      </c>
      <c r="G26" s="64" t="inlineStr">
        <is>
          <t>Punchy set: raised to +25% over the L40 boss set</t>
        </is>
      </c>
    </row>
    <row r="27">
      <c r="A27" s="68" t="n">
        <v>93</v>
      </c>
      <c r="B27" s="68" t="inlineStr">
        <is>
          <t>Deceivers Helmet</t>
        </is>
      </c>
      <c r="C27" s="68" t="inlineStr">
        <is>
          <t>STR</t>
        </is>
      </c>
      <c r="D27" s="68" t="n">
        <v>7</v>
      </c>
      <c r="E27" s="68" t="n">
        <v>8</v>
      </c>
      <c r="F27" s="69">
        <f>IF(D27=0,"new",E27/D27-1)</f>
        <v/>
      </c>
      <c r="G27" s="64" t="inlineStr">
        <is>
          <t>Punchy set: raised to +25% over the L40 boss set</t>
        </is>
      </c>
    </row>
    <row r="28">
      <c r="A28" s="68" t="n">
        <v>93</v>
      </c>
      <c r="B28" s="68" t="inlineStr">
        <is>
          <t>Deceivers Helmet</t>
        </is>
      </c>
      <c r="C28" s="68" t="inlineStr">
        <is>
          <t>STA</t>
        </is>
      </c>
      <c r="D28" s="68" t="n">
        <v>10</v>
      </c>
      <c r="E28" s="68" t="n">
        <v>11</v>
      </c>
      <c r="F28" s="69">
        <f>IF(D28=0,"new",E28/D28-1)</f>
        <v/>
      </c>
      <c r="G28" s="64" t="inlineStr">
        <is>
          <t>Punchy set: raised to +25% over the L40 boss set</t>
        </is>
      </c>
    </row>
    <row r="29">
      <c r="A29" s="68" t="n">
        <v>93</v>
      </c>
      <c r="B29" s="68" t="inlineStr">
        <is>
          <t>Deceivers Helmet</t>
        </is>
      </c>
      <c r="C29" s="68" t="inlineStr">
        <is>
          <t>DEX</t>
        </is>
      </c>
      <c r="D29" s="68" t="n">
        <v>15</v>
      </c>
      <c r="E29" s="68" t="n">
        <v>16</v>
      </c>
      <c r="F29" s="69">
        <f>IF(D29=0,"new",E29/D29-1)</f>
        <v/>
      </c>
      <c r="G29" s="64" t="inlineStr">
        <is>
          <t>Punchy set: raised to +25% over the L40 boss set</t>
        </is>
      </c>
    </row>
    <row r="30">
      <c r="A30" s="68" t="n">
        <v>97</v>
      </c>
      <c r="B30" s="68" t="inlineStr">
        <is>
          <t>Iron Helmet</t>
        </is>
      </c>
      <c r="C30" s="68" t="inlineStr">
        <is>
          <t>HP</t>
        </is>
      </c>
      <c r="D30" s="68" t="n">
        <v>50</v>
      </c>
      <c r="E30" s="68" t="n">
        <v>65</v>
      </c>
      <c r="F30" s="69">
        <f>IF(D30=0,"new",E30/D30-1)</f>
        <v/>
      </c>
      <c r="G30" s="64" t="inlineStr">
        <is>
          <t>L30 vendor: 1.85x the matching L20 vendor piece (Bronze Helmet) so it is a clear upgrade</t>
        </is>
      </c>
    </row>
    <row r="31">
      <c r="A31" s="68" t="n">
        <v>97</v>
      </c>
      <c r="B31" s="68" t="inlineStr">
        <is>
          <t>Iron Helmet</t>
        </is>
      </c>
      <c r="C31" s="68" t="inlineStr">
        <is>
          <t>AC</t>
        </is>
      </c>
      <c r="D31" s="68" t="n">
        <v>19</v>
      </c>
      <c r="E31" s="68" t="n">
        <v>25</v>
      </c>
      <c r="F31" s="69">
        <f>IF(D31=0,"new",E31/D31-1)</f>
        <v/>
      </c>
      <c r="G31" s="64" t="inlineStr">
        <is>
          <t>L30 vendor: 1.85x the matching L20 vendor piece (Bronze Helmet) so it is a clear upgrade</t>
        </is>
      </c>
    </row>
    <row r="32">
      <c r="A32" s="68" t="n">
        <v>97</v>
      </c>
      <c r="B32" s="68" t="inlineStr">
        <is>
          <t>Iron Helmet</t>
        </is>
      </c>
      <c r="C32" s="68" t="inlineStr">
        <is>
          <t>STR</t>
        </is>
      </c>
      <c r="D32" s="68" t="n">
        <v>3</v>
      </c>
      <c r="E32" s="68" t="n">
        <v>4</v>
      </c>
      <c r="F32" s="69">
        <f>IF(D32=0,"new",E32/D32-1)</f>
        <v/>
      </c>
      <c r="G32" s="64" t="inlineStr">
        <is>
          <t>L30 vendor: 1.85x the matching L20 vendor piece (Bronze Helmet) so it is a clear upgrade</t>
        </is>
      </c>
    </row>
    <row r="33">
      <c r="A33" s="68" t="n">
        <v>97</v>
      </c>
      <c r="B33" s="68" t="inlineStr">
        <is>
          <t>Iron Helmet</t>
        </is>
      </c>
      <c r="C33" s="68" t="inlineStr">
        <is>
          <t>STA</t>
        </is>
      </c>
      <c r="D33" s="68" t="n">
        <v>4</v>
      </c>
      <c r="E33" s="68" t="n">
        <v>5</v>
      </c>
      <c r="F33" s="69">
        <f>IF(D33=0,"new",E33/D33-1)</f>
        <v/>
      </c>
      <c r="G33" s="64" t="inlineStr">
        <is>
          <t>L30 vendor: 1.85x the matching L20 vendor piece (Bronze Helmet) so it is a clear upgrade</t>
        </is>
      </c>
    </row>
    <row r="34">
      <c r="A34" s="68" t="n">
        <v>97</v>
      </c>
      <c r="B34" s="68" t="inlineStr">
        <is>
          <t>Iron Helmet</t>
        </is>
      </c>
      <c r="C34" s="68" t="inlineStr">
        <is>
          <t>DEX</t>
        </is>
      </c>
      <c r="D34" s="68" t="n">
        <v>10</v>
      </c>
      <c r="E34" s="68" t="n">
        <v>13</v>
      </c>
      <c r="F34" s="69">
        <f>IF(D34=0,"new",E34/D34-1)</f>
        <v/>
      </c>
      <c r="G34" s="64" t="inlineStr">
        <is>
          <t>L30 vendor: 1.85x the matching L20 vendor piece (Bronze Helmet) so it is a clear upgrade</t>
        </is>
      </c>
    </row>
    <row r="35">
      <c r="A35" s="68" t="n">
        <v>100</v>
      </c>
      <c r="B35" s="68" t="inlineStr">
        <is>
          <t>Priests Crown</t>
        </is>
      </c>
      <c r="C35" s="68" t="inlineStr">
        <is>
          <t>HP</t>
        </is>
      </c>
      <c r="D35" s="68" t="n">
        <v>100</v>
      </c>
      <c r="E35" s="68" t="n">
        <v>95</v>
      </c>
      <c r="F35" s="69">
        <f>IF(D35=0,"new",E35/D35-1)</f>
        <v/>
      </c>
      <c r="G35" s="64" t="inlineStr">
        <is>
          <t>L40 boss set: lowered so Punchy is a clear (+25%) upgrade</t>
        </is>
      </c>
    </row>
    <row r="36">
      <c r="A36" s="68" t="n">
        <v>100</v>
      </c>
      <c r="B36" s="68" t="inlineStr">
        <is>
          <t>Priests Crown</t>
        </is>
      </c>
      <c r="C36" s="68" t="inlineStr">
        <is>
          <t>MP</t>
        </is>
      </c>
      <c r="D36" s="68" t="n">
        <v>175</v>
      </c>
      <c r="E36" s="68" t="n">
        <v>165</v>
      </c>
      <c r="F36" s="69">
        <f>IF(D36=0,"new",E36/D36-1)</f>
        <v/>
      </c>
      <c r="G36" s="64" t="inlineStr">
        <is>
          <t>L40 boss set: lowered so Punchy is a clear (+25%) upgrade</t>
        </is>
      </c>
    </row>
    <row r="37">
      <c r="A37" s="68" t="n">
        <v>100</v>
      </c>
      <c r="B37" s="68" t="inlineStr">
        <is>
          <t>Priests Crown</t>
        </is>
      </c>
      <c r="C37" s="68" t="inlineStr">
        <is>
          <t>AC</t>
        </is>
      </c>
      <c r="D37" s="68" t="n">
        <v>20</v>
      </c>
      <c r="E37" s="68" t="n">
        <v>19</v>
      </c>
      <c r="F37" s="69">
        <f>IF(D37=0,"new",E37/D37-1)</f>
        <v/>
      </c>
      <c r="G37" s="64" t="inlineStr">
        <is>
          <t>L40 boss set: lowered so Punchy is a clear (+25%) upgrade</t>
        </is>
      </c>
    </row>
    <row r="38">
      <c r="A38" s="68" t="n">
        <v>100</v>
      </c>
      <c r="B38" s="68" t="inlineStr">
        <is>
          <t>Priests Crown</t>
        </is>
      </c>
      <c r="C38" s="68" t="inlineStr">
        <is>
          <t>STA</t>
        </is>
      </c>
      <c r="D38" s="68" t="n">
        <v>8</v>
      </c>
      <c r="E38" s="68" t="n">
        <v>7</v>
      </c>
      <c r="F38" s="69">
        <f>IF(D38=0,"new",E38/D38-1)</f>
        <v/>
      </c>
      <c r="G38" s="64" t="inlineStr">
        <is>
          <t>L40 boss set: lowered so Punchy is a clear (+25%) upgrade</t>
        </is>
      </c>
    </row>
    <row r="39">
      <c r="A39" s="68" t="n">
        <v>100</v>
      </c>
      <c r="B39" s="68" t="inlineStr">
        <is>
          <t>Priests Crown</t>
        </is>
      </c>
      <c r="C39" s="68" t="inlineStr">
        <is>
          <t>INT</t>
        </is>
      </c>
      <c r="D39" s="68" t="n">
        <v>14</v>
      </c>
      <c r="E39" s="68" t="n">
        <v>13</v>
      </c>
      <c r="F39" s="69">
        <f>IF(D39=0,"new",E39/D39-1)</f>
        <v/>
      </c>
      <c r="G39" s="64" t="inlineStr">
        <is>
          <t>L40 boss set: lowered so Punchy is a clear (+25%) upgrade</t>
        </is>
      </c>
    </row>
    <row r="40">
      <c r="A40" s="68" t="n">
        <v>103</v>
      </c>
      <c r="B40" s="68" t="inlineStr">
        <is>
          <t>Steel Helmet</t>
        </is>
      </c>
      <c r="C40" s="68" t="inlineStr">
        <is>
          <t>HP</t>
        </is>
      </c>
      <c r="D40" s="68" t="n">
        <v>50</v>
      </c>
      <c r="E40" s="68" t="n">
        <v>60</v>
      </c>
      <c r="F40" s="69">
        <f>IF(D40=0,"new",E40/D40-1)</f>
        <v/>
      </c>
      <c r="G40" s="64" t="inlineStr">
        <is>
          <t>L30 vendor: 1.85x the matching L20 vendor piece (Bronze Helmet) so it is a clear upgrade</t>
        </is>
      </c>
    </row>
    <row r="41">
      <c r="A41" s="68" t="n">
        <v>103</v>
      </c>
      <c r="B41" s="68" t="inlineStr">
        <is>
          <t>Steel Helmet</t>
        </is>
      </c>
      <c r="C41" s="68" t="inlineStr">
        <is>
          <t>AC</t>
        </is>
      </c>
      <c r="D41" s="68" t="n">
        <v>25</v>
      </c>
      <c r="E41" s="68" t="n">
        <v>30</v>
      </c>
      <c r="F41" s="69">
        <f>IF(D41=0,"new",E41/D41-1)</f>
        <v/>
      </c>
      <c r="G41" s="64" t="inlineStr">
        <is>
          <t>L30 vendor: 1.85x the matching L20 vendor piece (Bronze Helmet) so it is a clear upgrade</t>
        </is>
      </c>
    </row>
    <row r="42">
      <c r="A42" s="68" t="n">
        <v>103</v>
      </c>
      <c r="B42" s="68" t="inlineStr">
        <is>
          <t>Steel Helmet</t>
        </is>
      </c>
      <c r="C42" s="68" t="inlineStr">
        <is>
          <t>STR</t>
        </is>
      </c>
      <c r="D42" s="68" t="n">
        <v>3</v>
      </c>
      <c r="E42" s="68" t="n">
        <v>4</v>
      </c>
      <c r="F42" s="69">
        <f>IF(D42=0,"new",E42/D42-1)</f>
        <v/>
      </c>
      <c r="G42" s="64" t="inlineStr">
        <is>
          <t>L30 vendor: 1.85x the matching L20 vendor piece (Bronze Helmet) so it is a clear upgrade</t>
        </is>
      </c>
    </row>
    <row r="43">
      <c r="A43" s="68" t="n">
        <v>103</v>
      </c>
      <c r="B43" s="68" t="inlineStr">
        <is>
          <t>Steel Helmet</t>
        </is>
      </c>
      <c r="C43" s="68" t="inlineStr">
        <is>
          <t>STA</t>
        </is>
      </c>
      <c r="D43" s="68" t="n">
        <v>6</v>
      </c>
      <c r="E43" s="68" t="n">
        <v>7</v>
      </c>
      <c r="F43" s="69">
        <f>IF(D43=0,"new",E43/D43-1)</f>
        <v/>
      </c>
      <c r="G43" s="64" t="inlineStr">
        <is>
          <t>L30 vendor: 1.85x the matching L20 vendor piece (Bronze Helmet) so it is a clear upgrade</t>
        </is>
      </c>
    </row>
    <row r="44">
      <c r="A44" s="68" t="n">
        <v>107</v>
      </c>
      <c r="B44" s="68" t="inlineStr">
        <is>
          <t>Champions Legplates</t>
        </is>
      </c>
      <c r="C44" s="68" t="inlineStr">
        <is>
          <t>HP</t>
        </is>
      </c>
      <c r="D44" s="68" t="n">
        <v>100</v>
      </c>
      <c r="E44" s="68" t="n">
        <v>110</v>
      </c>
      <c r="F44" s="69">
        <f>IF(D44=0,"new",E44/D44-1)</f>
        <v/>
      </c>
      <c r="G44" s="64" t="inlineStr">
        <is>
          <t>Punchy set: raised to +25% over the L40 boss set</t>
        </is>
      </c>
    </row>
    <row r="45">
      <c r="A45" s="68" t="n">
        <v>107</v>
      </c>
      <c r="B45" s="68" t="inlineStr">
        <is>
          <t>Champions Legplates</t>
        </is>
      </c>
      <c r="C45" s="68" t="inlineStr">
        <is>
          <t>AC</t>
        </is>
      </c>
      <c r="D45" s="68" t="n">
        <v>85</v>
      </c>
      <c r="E45" s="68" t="n">
        <v>92</v>
      </c>
      <c r="F45" s="69">
        <f>IF(D45=0,"new",E45/D45-1)</f>
        <v/>
      </c>
      <c r="G45" s="64" t="inlineStr">
        <is>
          <t>Punchy set: raised to +25% over the L40 boss set</t>
        </is>
      </c>
    </row>
    <row r="46">
      <c r="A46" s="68" t="n">
        <v>107</v>
      </c>
      <c r="B46" s="68" t="inlineStr">
        <is>
          <t>Champions Legplates</t>
        </is>
      </c>
      <c r="C46" s="68" t="inlineStr">
        <is>
          <t>STR</t>
        </is>
      </c>
      <c r="D46" s="68" t="n">
        <v>8</v>
      </c>
      <c r="E46" s="68" t="n">
        <v>9</v>
      </c>
      <c r="F46" s="69">
        <f>IF(D46=0,"new",E46/D46-1)</f>
        <v/>
      </c>
      <c r="G46" s="64" t="inlineStr">
        <is>
          <t>Punchy set: raised to +25% over the L40 boss set</t>
        </is>
      </c>
    </row>
    <row r="47">
      <c r="A47" s="68" t="n">
        <v>107</v>
      </c>
      <c r="B47" s="68" t="inlineStr">
        <is>
          <t>Champions Legplates</t>
        </is>
      </c>
      <c r="C47" s="68" t="inlineStr">
        <is>
          <t>STA</t>
        </is>
      </c>
      <c r="D47" s="68" t="n">
        <v>10</v>
      </c>
      <c r="E47" s="68" t="n">
        <v>11</v>
      </c>
      <c r="F47" s="69">
        <f>IF(D47=0,"new",E47/D47-1)</f>
        <v/>
      </c>
      <c r="G47" s="64" t="inlineStr">
        <is>
          <t>Punchy set: raised to +25% over the L40 boss set</t>
        </is>
      </c>
    </row>
    <row r="48">
      <c r="A48" s="68" t="n">
        <v>110</v>
      </c>
      <c r="B48" s="68" t="inlineStr">
        <is>
          <t>Iron Legplates</t>
        </is>
      </c>
      <c r="C48" s="68" t="inlineStr">
        <is>
          <t>HP</t>
        </is>
      </c>
      <c r="D48" s="68" t="n">
        <v>50</v>
      </c>
      <c r="E48" s="68" t="n">
        <v>60</v>
      </c>
      <c r="F48" s="69">
        <f>IF(D48=0,"new",E48/D48-1)</f>
        <v/>
      </c>
      <c r="G48" s="64" t="inlineStr">
        <is>
          <t>L30 vendor: 1.85x the matching L20 vendor piece (Bronze Legplates) so it is a clear upgrade</t>
        </is>
      </c>
    </row>
    <row r="49">
      <c r="A49" s="68" t="n">
        <v>110</v>
      </c>
      <c r="B49" s="68" t="inlineStr">
        <is>
          <t>Iron Legplates</t>
        </is>
      </c>
      <c r="C49" s="68" t="inlineStr">
        <is>
          <t>AC</t>
        </is>
      </c>
      <c r="D49" s="68" t="n">
        <v>29</v>
      </c>
      <c r="E49" s="68" t="n">
        <v>36</v>
      </c>
      <c r="F49" s="69">
        <f>IF(D49=0,"new",E49/D49-1)</f>
        <v/>
      </c>
      <c r="G49" s="64" t="inlineStr">
        <is>
          <t>L30 vendor: 1.85x the matching L20 vendor piece (Bronze Legplates) so it is a clear upgrade</t>
        </is>
      </c>
    </row>
    <row r="50">
      <c r="A50" s="68" t="n">
        <v>110</v>
      </c>
      <c r="B50" s="68" t="inlineStr">
        <is>
          <t>Iron Legplates</t>
        </is>
      </c>
      <c r="C50" s="68" t="inlineStr">
        <is>
          <t>STR</t>
        </is>
      </c>
      <c r="D50" s="68" t="n">
        <v>4</v>
      </c>
      <c r="E50" s="68" t="n">
        <v>5</v>
      </c>
      <c r="F50" s="69">
        <f>IF(D50=0,"new",E50/D50-1)</f>
        <v/>
      </c>
      <c r="G50" s="64" t="inlineStr">
        <is>
          <t>L30 vendor: 1.85x the matching L20 vendor piece (Bronze Legplates) so it is a clear upgrade</t>
        </is>
      </c>
    </row>
    <row r="51">
      <c r="A51" s="68" t="n">
        <v>110</v>
      </c>
      <c r="B51" s="68" t="inlineStr">
        <is>
          <t>Iron Legplates</t>
        </is>
      </c>
      <c r="C51" s="68" t="inlineStr">
        <is>
          <t>STA</t>
        </is>
      </c>
      <c r="D51" s="68" t="n">
        <v>4</v>
      </c>
      <c r="E51" s="68" t="n">
        <v>5</v>
      </c>
      <c r="F51" s="69">
        <f>IF(D51=0,"new",E51/D51-1)</f>
        <v/>
      </c>
      <c r="G51" s="64" t="inlineStr">
        <is>
          <t>L30 vendor: 1.85x the matching L20 vendor piece (Bronze Legplates) so it is a clear upgrade</t>
        </is>
      </c>
    </row>
    <row r="52">
      <c r="A52" s="68" t="n">
        <v>110</v>
      </c>
      <c r="B52" s="68" t="inlineStr">
        <is>
          <t>Iron Legplates</t>
        </is>
      </c>
      <c r="C52" s="68" t="inlineStr">
        <is>
          <t>DEX</t>
        </is>
      </c>
      <c r="D52" s="68" t="n">
        <v>10</v>
      </c>
      <c r="E52" s="68" t="n">
        <v>12</v>
      </c>
      <c r="F52" s="69">
        <f>IF(D52=0,"new",E52/D52-1)</f>
        <v/>
      </c>
      <c r="G52" s="64" t="inlineStr">
        <is>
          <t>L30 vendor: 1.85x the matching L20 vendor piece (Bronze Legplates) so it is a clear upgrade</t>
        </is>
      </c>
    </row>
    <row r="53">
      <c r="A53" s="68" t="n">
        <v>114</v>
      </c>
      <c r="B53" s="68" t="inlineStr">
        <is>
          <t>Steel Legplates</t>
        </is>
      </c>
      <c r="C53" s="68" t="inlineStr">
        <is>
          <t>HP</t>
        </is>
      </c>
      <c r="D53" s="68" t="n">
        <v>50</v>
      </c>
      <c r="E53" s="68" t="n">
        <v>60</v>
      </c>
      <c r="F53" s="69">
        <f>IF(D53=0,"new",E53/D53-1)</f>
        <v/>
      </c>
      <c r="G53" s="64" t="inlineStr">
        <is>
          <t>L30 vendor: 1.85x the matching L20 vendor piece (Bronze Legplates) so it is a clear upgrade</t>
        </is>
      </c>
    </row>
    <row r="54">
      <c r="A54" s="68" t="n">
        <v>114</v>
      </c>
      <c r="B54" s="68" t="inlineStr">
        <is>
          <t>Steel Legplates</t>
        </is>
      </c>
      <c r="C54" s="68" t="inlineStr">
        <is>
          <t>AC</t>
        </is>
      </c>
      <c r="D54" s="68" t="n">
        <v>40</v>
      </c>
      <c r="E54" s="68" t="n">
        <v>47</v>
      </c>
      <c r="F54" s="69">
        <f>IF(D54=0,"new",E54/D54-1)</f>
        <v/>
      </c>
      <c r="G54" s="64" t="inlineStr">
        <is>
          <t>L30 vendor: 1.85x the matching L20 vendor piece (Bronze Legplates) so it is a clear upgrade</t>
        </is>
      </c>
    </row>
    <row r="55">
      <c r="A55" s="68" t="n">
        <v>114</v>
      </c>
      <c r="B55" s="68" t="inlineStr">
        <is>
          <t>Steel Legplates</t>
        </is>
      </c>
      <c r="C55" s="68" t="inlineStr">
        <is>
          <t>STR</t>
        </is>
      </c>
      <c r="D55" s="68" t="n">
        <v>3</v>
      </c>
      <c r="E55" s="68" t="n">
        <v>4</v>
      </c>
      <c r="F55" s="69">
        <f>IF(D55=0,"new",E55/D55-1)</f>
        <v/>
      </c>
      <c r="G55" s="64" t="inlineStr">
        <is>
          <t>L30 vendor: 1.85x the matching L20 vendor piece (Bronze Legplates) so it is a clear upgrade</t>
        </is>
      </c>
    </row>
    <row r="56">
      <c r="A56" s="68" t="n">
        <v>114</v>
      </c>
      <c r="B56" s="68" t="inlineStr">
        <is>
          <t>Steel Legplates</t>
        </is>
      </c>
      <c r="C56" s="68" t="inlineStr">
        <is>
          <t>STA</t>
        </is>
      </c>
      <c r="D56" s="68" t="n">
        <v>6</v>
      </c>
      <c r="E56" s="68" t="n">
        <v>7</v>
      </c>
      <c r="F56" s="69">
        <f>IF(D56=0,"new",E56/D56-1)</f>
        <v/>
      </c>
      <c r="G56" s="64" t="inlineStr">
        <is>
          <t>L30 vendor: 1.85x the matching L20 vendor piece (Bronze Legplates) so it is a clear upgrade</t>
        </is>
      </c>
    </row>
    <row r="57">
      <c r="A57" s="68" t="n">
        <v>125</v>
      </c>
      <c r="B57" s="68" t="inlineStr">
        <is>
          <t>Deceivers Boots</t>
        </is>
      </c>
      <c r="C57" s="68" t="inlineStr">
        <is>
          <t>HP</t>
        </is>
      </c>
      <c r="D57" s="68" t="n">
        <v>75</v>
      </c>
      <c r="E57" s="68" t="n">
        <v>80</v>
      </c>
      <c r="F57" s="69">
        <f>IF(D57=0,"new",E57/D57-1)</f>
        <v/>
      </c>
      <c r="G57" s="64" t="inlineStr">
        <is>
          <t>Punchy set: raised to +25% over the L40 boss set</t>
        </is>
      </c>
    </row>
    <row r="58">
      <c r="A58" s="68" t="n">
        <v>125</v>
      </c>
      <c r="B58" s="68" t="inlineStr">
        <is>
          <t>Deceivers Boots</t>
        </is>
      </c>
      <c r="C58" s="68" t="inlineStr">
        <is>
          <t>AC</t>
        </is>
      </c>
      <c r="D58" s="68" t="n">
        <v>38</v>
      </c>
      <c r="E58" s="68" t="n">
        <v>42</v>
      </c>
      <c r="F58" s="69">
        <f>IF(D58=0,"new",E58/D58-1)</f>
        <v/>
      </c>
      <c r="G58" s="64" t="inlineStr">
        <is>
          <t>Punchy set: raised to +25% over the L40 boss set</t>
        </is>
      </c>
    </row>
    <row r="59">
      <c r="A59" s="68" t="n">
        <v>125</v>
      </c>
      <c r="B59" s="68" t="inlineStr">
        <is>
          <t>Deceivers Boots</t>
        </is>
      </c>
      <c r="C59" s="68" t="inlineStr">
        <is>
          <t>STR</t>
        </is>
      </c>
      <c r="D59" s="68" t="n">
        <v>6</v>
      </c>
      <c r="E59" s="68" t="n">
        <v>7</v>
      </c>
      <c r="F59" s="69">
        <f>IF(D59=0,"new",E59/D59-1)</f>
        <v/>
      </c>
      <c r="G59" s="64" t="inlineStr">
        <is>
          <t>Punchy set: raised to +25% over the L40 boss set</t>
        </is>
      </c>
    </row>
    <row r="60">
      <c r="A60" s="68" t="n">
        <v>125</v>
      </c>
      <c r="B60" s="68" t="inlineStr">
        <is>
          <t>Deceivers Boots</t>
        </is>
      </c>
      <c r="C60" s="68" t="inlineStr">
        <is>
          <t>STA</t>
        </is>
      </c>
      <c r="D60" s="68" t="n">
        <v>8</v>
      </c>
      <c r="E60" s="68" t="n">
        <v>9</v>
      </c>
      <c r="F60" s="69">
        <f>IF(D60=0,"new",E60/D60-1)</f>
        <v/>
      </c>
      <c r="G60" s="64" t="inlineStr">
        <is>
          <t>Punchy set: raised to +25% over the L40 boss set</t>
        </is>
      </c>
    </row>
    <row r="61">
      <c r="A61" s="68" t="n">
        <v>125</v>
      </c>
      <c r="B61" s="68" t="inlineStr">
        <is>
          <t>Deceivers Boots</t>
        </is>
      </c>
      <c r="C61" s="68" t="inlineStr">
        <is>
          <t>DEX</t>
        </is>
      </c>
      <c r="D61" s="68" t="n">
        <v>15</v>
      </c>
      <c r="E61" s="68" t="n">
        <v>16</v>
      </c>
      <c r="F61" s="69">
        <f>IF(D61=0,"new",E61/D61-1)</f>
        <v/>
      </c>
      <c r="G61" s="64" t="inlineStr">
        <is>
          <t>Punchy set: raised to +25% over the L40 boss set</t>
        </is>
      </c>
    </row>
    <row r="62">
      <c r="A62" s="68" t="n">
        <v>128</v>
      </c>
      <c r="B62" s="68" t="inlineStr">
        <is>
          <t>Iron Boots</t>
        </is>
      </c>
      <c r="C62" s="68" t="inlineStr">
        <is>
          <t>HP</t>
        </is>
      </c>
      <c r="D62" s="68" t="n">
        <v>25</v>
      </c>
      <c r="E62" s="68" t="n">
        <v>30</v>
      </c>
      <c r="F62" s="69">
        <f>IF(D62=0,"new",E62/D62-1)</f>
        <v/>
      </c>
      <c r="G62" s="64" t="inlineStr">
        <is>
          <t>L30 vendor: 1.85x the matching L20 vendor piece (Bronze Boots) so it is a clear upgrade</t>
        </is>
      </c>
    </row>
    <row r="63">
      <c r="A63" s="68" t="n">
        <v>128</v>
      </c>
      <c r="B63" s="68" t="inlineStr">
        <is>
          <t>Iron Boots</t>
        </is>
      </c>
      <c r="C63" s="68" t="inlineStr">
        <is>
          <t>AC</t>
        </is>
      </c>
      <c r="D63" s="68" t="n">
        <v>19</v>
      </c>
      <c r="E63" s="68" t="n">
        <v>23</v>
      </c>
      <c r="F63" s="69">
        <f>IF(D63=0,"new",E63/D63-1)</f>
        <v/>
      </c>
      <c r="G63" s="64" t="inlineStr">
        <is>
          <t>L30 vendor: 1.85x the matching L20 vendor piece (Bronze Boots) so it is a clear upgrade</t>
        </is>
      </c>
    </row>
    <row r="64">
      <c r="A64" s="68" t="n">
        <v>128</v>
      </c>
      <c r="B64" s="68" t="inlineStr">
        <is>
          <t>Iron Boots</t>
        </is>
      </c>
      <c r="C64" s="68" t="inlineStr">
        <is>
          <t>STR</t>
        </is>
      </c>
      <c r="D64" s="68" t="n">
        <v>3</v>
      </c>
      <c r="E64" s="68" t="n">
        <v>4</v>
      </c>
      <c r="F64" s="69">
        <f>IF(D64=0,"new",E64/D64-1)</f>
        <v/>
      </c>
      <c r="G64" s="64" t="inlineStr">
        <is>
          <t>L30 vendor: 1.85x the matching L20 vendor piece (Bronze Boots) so it is a clear upgrade</t>
        </is>
      </c>
    </row>
    <row r="65">
      <c r="A65" s="68" t="n">
        <v>128</v>
      </c>
      <c r="B65" s="68" t="inlineStr">
        <is>
          <t>Iron Boots</t>
        </is>
      </c>
      <c r="C65" s="68" t="inlineStr">
        <is>
          <t>STA</t>
        </is>
      </c>
      <c r="D65" s="68" t="n">
        <v>3</v>
      </c>
      <c r="E65" s="68" t="n">
        <v>4</v>
      </c>
      <c r="F65" s="69">
        <f>IF(D65=0,"new",E65/D65-1)</f>
        <v/>
      </c>
      <c r="G65" s="64" t="inlineStr">
        <is>
          <t>L30 vendor: 1.85x the matching L20 vendor piece (Bronze Boots) so it is a clear upgrade</t>
        </is>
      </c>
    </row>
    <row r="66">
      <c r="A66" s="68" t="n">
        <v>128</v>
      </c>
      <c r="B66" s="68" t="inlineStr">
        <is>
          <t>Iron Boots</t>
        </is>
      </c>
      <c r="C66" s="68" t="inlineStr">
        <is>
          <t>DEX</t>
        </is>
      </c>
      <c r="D66" s="68" t="n">
        <v>10</v>
      </c>
      <c r="E66" s="68" t="n">
        <v>12</v>
      </c>
      <c r="F66" s="69">
        <f>IF(D66=0,"new",E66/D66-1)</f>
        <v/>
      </c>
      <c r="G66" s="64" t="inlineStr">
        <is>
          <t>L30 vendor: 1.85x the matching L20 vendor piece (Bronze Boots) so it is a clear upgrade</t>
        </is>
      </c>
    </row>
    <row r="67">
      <c r="A67" s="68" t="n">
        <v>133</v>
      </c>
      <c r="B67" s="68" t="inlineStr">
        <is>
          <t>Steel Boots</t>
        </is>
      </c>
      <c r="C67" s="68" t="inlineStr">
        <is>
          <t>HP</t>
        </is>
      </c>
      <c r="D67" s="68" t="n">
        <v>25</v>
      </c>
      <c r="E67" s="68" t="n">
        <v>30</v>
      </c>
      <c r="F67" s="69">
        <f>IF(D67=0,"new",E67/D67-1)</f>
        <v/>
      </c>
      <c r="G67" s="64" t="inlineStr">
        <is>
          <t>L30 vendor: 1.85x the matching L20 vendor piece (Bronze Boots) so it is a clear upgrade</t>
        </is>
      </c>
    </row>
    <row r="68">
      <c r="A68" s="68" t="n">
        <v>133</v>
      </c>
      <c r="B68" s="68" t="inlineStr">
        <is>
          <t>Steel Boots</t>
        </is>
      </c>
      <c r="C68" s="68" t="inlineStr">
        <is>
          <t>AC</t>
        </is>
      </c>
      <c r="D68" s="68" t="n">
        <v>25</v>
      </c>
      <c r="E68" s="68" t="n">
        <v>30</v>
      </c>
      <c r="F68" s="69">
        <f>IF(D68=0,"new",E68/D68-1)</f>
        <v/>
      </c>
      <c r="G68" s="64" t="inlineStr">
        <is>
          <t>L30 vendor: 1.85x the matching L20 vendor piece (Bronze Boots) so it is a clear upgrade</t>
        </is>
      </c>
    </row>
    <row r="69">
      <c r="A69" s="68" t="n">
        <v>133</v>
      </c>
      <c r="B69" s="68" t="inlineStr">
        <is>
          <t>Steel Boots</t>
        </is>
      </c>
      <c r="C69" s="68" t="inlineStr">
        <is>
          <t>STR</t>
        </is>
      </c>
      <c r="D69" s="68" t="n">
        <v>3</v>
      </c>
      <c r="E69" s="68" t="n">
        <v>4</v>
      </c>
      <c r="F69" s="69">
        <f>IF(D69=0,"new",E69/D69-1)</f>
        <v/>
      </c>
      <c r="G69" s="64" t="inlineStr">
        <is>
          <t>L30 vendor: 1.85x the matching L20 vendor piece (Bronze Boots) so it is a clear upgrade</t>
        </is>
      </c>
    </row>
    <row r="70">
      <c r="A70" s="68" t="n">
        <v>133</v>
      </c>
      <c r="B70" s="68" t="inlineStr">
        <is>
          <t>Steel Boots</t>
        </is>
      </c>
      <c r="C70" s="68" t="inlineStr">
        <is>
          <t>STA</t>
        </is>
      </c>
      <c r="D70" s="68" t="n">
        <v>4</v>
      </c>
      <c r="E70" s="68" t="n">
        <v>5</v>
      </c>
      <c r="F70" s="69">
        <f>IF(D70=0,"new",E70/D70-1)</f>
        <v/>
      </c>
      <c r="G70" s="64" t="inlineStr">
        <is>
          <t>L30 vendor: 1.85x the matching L20 vendor piece (Bronze Boots) so it is a clear upgrade</t>
        </is>
      </c>
    </row>
    <row r="71">
      <c r="A71" s="68" t="n">
        <v>146</v>
      </c>
      <c r="B71" s="68" t="inlineStr">
        <is>
          <t>Dragon Scale Belt</t>
        </is>
      </c>
      <c r="C71" s="68" t="inlineStr">
        <is>
          <t>HP</t>
        </is>
      </c>
      <c r="D71" s="68" t="n">
        <v>300</v>
      </c>
      <c r="E71" s="68" t="n">
        <v>600</v>
      </c>
      <c r="F71" s="69">
        <f>IF(D71=0,"new",E71/D71-1)</f>
        <v/>
      </c>
      <c r="G71" s="64" t="inlineStr">
        <is>
          <t>Dragon Scale Belt (Copycat): was below the L49 Bulwark Belt for melee; +300 HP, STR 8 -&gt; 18</t>
        </is>
      </c>
    </row>
    <row r="72">
      <c r="A72" s="68" t="n">
        <v>146</v>
      </c>
      <c r="B72" s="68" t="inlineStr">
        <is>
          <t>Dragon Scale Belt</t>
        </is>
      </c>
      <c r="C72" s="68" t="inlineStr">
        <is>
          <t>STR</t>
        </is>
      </c>
      <c r="D72" s="68" t="n">
        <v>8</v>
      </c>
      <c r="E72" s="68" t="n">
        <v>18</v>
      </c>
      <c r="F72" s="69">
        <f>IF(D72=0,"new",E72/D72-1)</f>
        <v/>
      </c>
      <c r="G72" s="64" t="inlineStr">
        <is>
          <t>Dragon Scale Belt (Copycat): was below the L49 Bulwark Belt for melee; +300 HP, STR 8 -&gt; 18</t>
        </is>
      </c>
    </row>
    <row r="73">
      <c r="A73" s="68" t="n">
        <v>149</v>
      </c>
      <c r="B73" s="68" t="inlineStr">
        <is>
          <t>Champions Chestplate</t>
        </is>
      </c>
      <c r="C73" s="68" t="inlineStr">
        <is>
          <t>HP</t>
        </is>
      </c>
      <c r="D73" s="68" t="n">
        <v>200</v>
      </c>
      <c r="E73" s="68" t="n">
        <v>225</v>
      </c>
      <c r="F73" s="69">
        <f>IF(D73=0,"new",E73/D73-1)</f>
        <v/>
      </c>
      <c r="G73" s="64" t="inlineStr">
        <is>
          <t>Punchy set: raised to +25% over the L40 boss set</t>
        </is>
      </c>
    </row>
    <row r="74">
      <c r="A74" s="68" t="n">
        <v>149</v>
      </c>
      <c r="B74" s="68" t="inlineStr">
        <is>
          <t>Champions Chestplate</t>
        </is>
      </c>
      <c r="C74" s="68" t="inlineStr">
        <is>
          <t>AC</t>
        </is>
      </c>
      <c r="D74" s="68" t="n">
        <v>120</v>
      </c>
      <c r="E74" s="68" t="n">
        <v>130</v>
      </c>
      <c r="F74" s="69">
        <f>IF(D74=0,"new",E74/D74-1)</f>
        <v/>
      </c>
      <c r="G74" s="64" t="inlineStr">
        <is>
          <t>Punchy set: raised to +25% over the L40 boss set</t>
        </is>
      </c>
    </row>
    <row r="75">
      <c r="A75" s="68" t="n">
        <v>149</v>
      </c>
      <c r="B75" s="68" t="inlineStr">
        <is>
          <t>Champions Chestplate</t>
        </is>
      </c>
      <c r="C75" s="68" t="inlineStr">
        <is>
          <t>STR</t>
        </is>
      </c>
      <c r="D75" s="68" t="n">
        <v>12</v>
      </c>
      <c r="E75" s="68" t="n">
        <v>13</v>
      </c>
      <c r="F75" s="69">
        <f>IF(D75=0,"new",E75/D75-1)</f>
        <v/>
      </c>
      <c r="G75" s="64" t="inlineStr">
        <is>
          <t>Punchy set: raised to +25% over the L40 boss set</t>
        </is>
      </c>
    </row>
    <row r="76">
      <c r="A76" s="68" t="n">
        <v>149</v>
      </c>
      <c r="B76" s="68" t="inlineStr">
        <is>
          <t>Champions Chestplate</t>
        </is>
      </c>
      <c r="C76" s="68" t="inlineStr">
        <is>
          <t>STA</t>
        </is>
      </c>
      <c r="D76" s="68" t="n">
        <v>14</v>
      </c>
      <c r="E76" s="68" t="n">
        <v>15</v>
      </c>
      <c r="F76" s="69">
        <f>IF(D76=0,"new",E76/D76-1)</f>
        <v/>
      </c>
      <c r="G76" s="64" t="inlineStr">
        <is>
          <t>Punchy set: raised to +25% over the L40 boss set</t>
        </is>
      </c>
    </row>
    <row r="77">
      <c r="A77" s="68" t="n">
        <v>151</v>
      </c>
      <c r="B77" s="68" t="inlineStr">
        <is>
          <t>Devastators Robes</t>
        </is>
      </c>
      <c r="C77" s="68" t="inlineStr">
        <is>
          <t>HP</t>
        </is>
      </c>
      <c r="D77" s="68" t="n">
        <v>50</v>
      </c>
      <c r="E77" s="68" t="n">
        <v>160</v>
      </c>
      <c r="F77" s="69">
        <f>IF(D77=0,"new",E77/D77-1)</f>
        <v/>
      </c>
      <c r="G77" s="64" t="inlineStr">
        <is>
          <t>Raised so it is 10% over Nagan Robes for Priest (pass 2 class weights)</t>
        </is>
      </c>
    </row>
    <row r="78">
      <c r="A78" s="68" t="n">
        <v>151</v>
      </c>
      <c r="B78" s="68" t="inlineStr">
        <is>
          <t>Devastators Robes</t>
        </is>
      </c>
      <c r="C78" s="68" t="inlineStr">
        <is>
          <t>MP</t>
        </is>
      </c>
      <c r="D78" s="68" t="n">
        <v>200</v>
      </c>
      <c r="E78" s="68" t="n">
        <v>650</v>
      </c>
      <c r="F78" s="69">
        <f>IF(D78=0,"new",E78/D78-1)</f>
        <v/>
      </c>
      <c r="G78" s="64" t="inlineStr">
        <is>
          <t>Raised so it is 10% over Nagan Robes for Priest (pass 2 class weights)</t>
        </is>
      </c>
    </row>
    <row r="79">
      <c r="A79" s="68" t="n">
        <v>151</v>
      </c>
      <c r="B79" s="68" t="inlineStr">
        <is>
          <t>Devastators Robes</t>
        </is>
      </c>
      <c r="C79" s="68" t="inlineStr">
        <is>
          <t>INT</t>
        </is>
      </c>
      <c r="D79" s="68" t="n">
        <v>15</v>
      </c>
      <c r="E79" s="68" t="n">
        <v>47</v>
      </c>
      <c r="F79" s="69">
        <f>IF(D79=0,"new",E79/D79-1)</f>
        <v/>
      </c>
      <c r="G79" s="64" t="inlineStr">
        <is>
          <t>Raised so it is 10% over Nagan Robes for Priest (pass 2 class weights)</t>
        </is>
      </c>
    </row>
    <row r="80">
      <c r="A80" s="68" t="n">
        <v>152</v>
      </c>
      <c r="B80" s="68" t="inlineStr">
        <is>
          <t>Gold Chestplate</t>
        </is>
      </c>
      <c r="C80" s="68" t="inlineStr">
        <is>
          <t>HP</t>
        </is>
      </c>
      <c r="D80" s="68" t="n">
        <v>250</v>
      </c>
      <c r="E80" s="68" t="n">
        <v>325</v>
      </c>
      <c r="F80" s="69">
        <f>IF(D80=0,"new",E80/D80-1)</f>
        <v/>
      </c>
      <c r="G80" s="64" t="inlineStr">
        <is>
          <t>Raised so it is 10% over Nagan Armor for Rogue (pass 2 class weights)</t>
        </is>
      </c>
    </row>
    <row r="81">
      <c r="A81" s="68" t="n">
        <v>152</v>
      </c>
      <c r="B81" s="68" t="inlineStr">
        <is>
          <t>Gold Chestplate</t>
        </is>
      </c>
      <c r="C81" s="68" t="inlineStr">
        <is>
          <t>STA</t>
        </is>
      </c>
      <c r="D81" s="68" t="n">
        <v>20</v>
      </c>
      <c r="E81" s="68" t="n">
        <v>26</v>
      </c>
      <c r="F81" s="69">
        <f>IF(D81=0,"new",E81/D81-1)</f>
        <v/>
      </c>
      <c r="G81" s="64" t="inlineStr">
        <is>
          <t>Raised so it is 10% over Nagan Armor for Rogue (pass 2 class weights)</t>
        </is>
      </c>
    </row>
    <row r="82">
      <c r="A82" s="68" t="n">
        <v>154</v>
      </c>
      <c r="B82" s="68" t="inlineStr">
        <is>
          <t>Iron Chestplate</t>
        </is>
      </c>
      <c r="C82" s="68" t="inlineStr">
        <is>
          <t>HP</t>
        </is>
      </c>
      <c r="D82" s="68" t="n">
        <v>100</v>
      </c>
      <c r="E82" s="68" t="n">
        <v>125</v>
      </c>
      <c r="F82" s="69">
        <f>IF(D82=0,"new",E82/D82-1)</f>
        <v/>
      </c>
      <c r="G82" s="64" t="inlineStr">
        <is>
          <t>L30 vendor: 1.85x the matching L20 vendor piece (Bronze Chestplate) so it is a clear upgrade</t>
        </is>
      </c>
    </row>
    <row r="83">
      <c r="A83" s="68" t="n">
        <v>154</v>
      </c>
      <c r="B83" s="68" t="inlineStr">
        <is>
          <t>Iron Chestplate</t>
        </is>
      </c>
      <c r="C83" s="68" t="inlineStr">
        <is>
          <t>AC</t>
        </is>
      </c>
      <c r="D83" s="68" t="n">
        <v>45</v>
      </c>
      <c r="E83" s="68" t="n">
        <v>56</v>
      </c>
      <c r="F83" s="69">
        <f>IF(D83=0,"new",E83/D83-1)</f>
        <v/>
      </c>
      <c r="G83" s="64" t="inlineStr">
        <is>
          <t>L30 vendor: 1.85x the matching L20 vendor piece (Bronze Chestplate) so it is a clear upgrade</t>
        </is>
      </c>
    </row>
    <row r="84">
      <c r="A84" s="68" t="n">
        <v>154</v>
      </c>
      <c r="B84" s="68" t="inlineStr">
        <is>
          <t>Iron Chestplate</t>
        </is>
      </c>
      <c r="C84" s="68" t="inlineStr">
        <is>
          <t>STR</t>
        </is>
      </c>
      <c r="D84" s="68" t="n">
        <v>6</v>
      </c>
      <c r="E84" s="68" t="n">
        <v>7</v>
      </c>
      <c r="F84" s="69">
        <f>IF(D84=0,"new",E84/D84-1)</f>
        <v/>
      </c>
      <c r="G84" s="64" t="inlineStr">
        <is>
          <t>L30 vendor: 1.85x the matching L20 vendor piece (Bronze Chestplate) so it is a clear upgrade</t>
        </is>
      </c>
    </row>
    <row r="85">
      <c r="A85" s="68" t="n">
        <v>154</v>
      </c>
      <c r="B85" s="68" t="inlineStr">
        <is>
          <t>Iron Chestplate</t>
        </is>
      </c>
      <c r="C85" s="68" t="inlineStr">
        <is>
          <t>STA</t>
        </is>
      </c>
      <c r="D85" s="68" t="n">
        <v>6</v>
      </c>
      <c r="E85" s="68" t="n">
        <v>7</v>
      </c>
      <c r="F85" s="69">
        <f>IF(D85=0,"new",E85/D85-1)</f>
        <v/>
      </c>
      <c r="G85" s="64" t="inlineStr">
        <is>
          <t>L30 vendor: 1.85x the matching L20 vendor piece (Bronze Chestplate) so it is a clear upgrade</t>
        </is>
      </c>
    </row>
    <row r="86">
      <c r="A86" s="68" t="n">
        <v>154</v>
      </c>
      <c r="B86" s="68" t="inlineStr">
        <is>
          <t>Iron Chestplate</t>
        </is>
      </c>
      <c r="C86" s="68" t="inlineStr">
        <is>
          <t>DEX</t>
        </is>
      </c>
      <c r="D86" s="68" t="n">
        <v>15</v>
      </c>
      <c r="E86" s="68" t="n">
        <v>19</v>
      </c>
      <c r="F86" s="69">
        <f>IF(D86=0,"new",E86/D86-1)</f>
        <v/>
      </c>
      <c r="G86" s="64" t="inlineStr">
        <is>
          <t>L30 vendor: 1.85x the matching L20 vendor piece (Bronze Chestplate) so it is a clear upgrade</t>
        </is>
      </c>
    </row>
    <row r="87">
      <c r="A87" s="68" t="n">
        <v>159</v>
      </c>
      <c r="B87" s="68" t="inlineStr">
        <is>
          <t>Steel Chestplate</t>
        </is>
      </c>
      <c r="C87" s="68" t="inlineStr">
        <is>
          <t>HP</t>
        </is>
      </c>
      <c r="D87" s="68" t="n">
        <v>100</v>
      </c>
      <c r="E87" s="68" t="n">
        <v>120</v>
      </c>
      <c r="F87" s="69">
        <f>IF(D87=0,"new",E87/D87-1)</f>
        <v/>
      </c>
      <c r="G87" s="64" t="inlineStr">
        <is>
          <t>L30 vendor: 1.85x the matching L20 vendor piece (Bronze Chestplate) so it is a clear upgrade</t>
        </is>
      </c>
    </row>
    <row r="88">
      <c r="A88" s="68" t="n">
        <v>159</v>
      </c>
      <c r="B88" s="68" t="inlineStr">
        <is>
          <t>Steel Chestplate</t>
        </is>
      </c>
      <c r="C88" s="68" t="inlineStr">
        <is>
          <t>AC</t>
        </is>
      </c>
      <c r="D88" s="68" t="n">
        <v>60</v>
      </c>
      <c r="E88" s="68" t="n">
        <v>72</v>
      </c>
      <c r="F88" s="69">
        <f>IF(D88=0,"new",E88/D88-1)</f>
        <v/>
      </c>
      <c r="G88" s="64" t="inlineStr">
        <is>
          <t>L30 vendor: 1.85x the matching L20 vendor piece (Bronze Chestplate) so it is a clear upgrade</t>
        </is>
      </c>
    </row>
    <row r="89">
      <c r="A89" s="68" t="n">
        <v>159</v>
      </c>
      <c r="B89" s="68" t="inlineStr">
        <is>
          <t>Steel Chestplate</t>
        </is>
      </c>
      <c r="C89" s="68" t="inlineStr">
        <is>
          <t>STR</t>
        </is>
      </c>
      <c r="D89" s="68" t="n">
        <v>5</v>
      </c>
      <c r="E89" s="68" t="n">
        <v>6</v>
      </c>
      <c r="F89" s="69">
        <f>IF(D89=0,"new",E89/D89-1)</f>
        <v/>
      </c>
      <c r="G89" s="64" t="inlineStr">
        <is>
          <t>L30 vendor: 1.85x the matching L20 vendor piece (Bronze Chestplate) so it is a clear upgrade</t>
        </is>
      </c>
    </row>
    <row r="90">
      <c r="A90" s="68" t="n">
        <v>159</v>
      </c>
      <c r="B90" s="68" t="inlineStr">
        <is>
          <t>Steel Chestplate</t>
        </is>
      </c>
      <c r="C90" s="68" t="inlineStr">
        <is>
          <t>STA</t>
        </is>
      </c>
      <c r="D90" s="68" t="n">
        <v>8</v>
      </c>
      <c r="E90" s="68" t="n">
        <v>10</v>
      </c>
      <c r="F90" s="69">
        <f>IF(D90=0,"new",E90/D90-1)</f>
        <v/>
      </c>
      <c r="G90" s="64" t="inlineStr">
        <is>
          <t>L30 vendor: 1.85x the matching L20 vendor piece (Bronze Chestplate) so it is a clear upgrade</t>
        </is>
      </c>
    </row>
    <row r="91">
      <c r="A91" s="68" t="n">
        <v>162</v>
      </c>
      <c r="B91" s="68" t="inlineStr">
        <is>
          <t>Whirling Robes</t>
        </is>
      </c>
      <c r="C91" s="68" t="inlineStr">
        <is>
          <t>HP</t>
        </is>
      </c>
      <c r="D91" s="68" t="n">
        <v>80</v>
      </c>
      <c r="E91" s="68" t="n">
        <v>130</v>
      </c>
      <c r="F91" s="69">
        <f>IF(D91=0,"new",E91/D91-1)</f>
        <v/>
      </c>
      <c r="G91" s="64" t="inlineStr">
        <is>
          <t>Raised so it is 10% over Nagan Robes for Priest (pass 2 class weights)</t>
        </is>
      </c>
    </row>
    <row r="92">
      <c r="A92" s="68" t="n">
        <v>162</v>
      </c>
      <c r="B92" s="68" t="inlineStr">
        <is>
          <t>Whirling Robes</t>
        </is>
      </c>
      <c r="C92" s="68" t="inlineStr">
        <is>
          <t>MP</t>
        </is>
      </c>
      <c r="D92" s="68" t="n">
        <v>300</v>
      </c>
      <c r="E92" s="68" t="n">
        <v>500</v>
      </c>
      <c r="F92" s="69">
        <f>IF(D92=0,"new",E92/D92-1)</f>
        <v/>
      </c>
      <c r="G92" s="64" t="inlineStr">
        <is>
          <t>Raised so it is 10% over Nagan Robes for Priest (pass 2 class weights)</t>
        </is>
      </c>
    </row>
    <row r="93">
      <c r="A93" s="68" t="n">
        <v>162</v>
      </c>
      <c r="B93" s="68" t="inlineStr">
        <is>
          <t>Whirling Robes</t>
        </is>
      </c>
      <c r="C93" s="68" t="inlineStr">
        <is>
          <t>STA</t>
        </is>
      </c>
      <c r="D93" s="68" t="n">
        <v>5</v>
      </c>
      <c r="E93" s="68" t="n">
        <v>9</v>
      </c>
      <c r="F93" s="69">
        <f>IF(D93=0,"new",E93/D93-1)</f>
        <v/>
      </c>
      <c r="G93" s="64" t="inlineStr">
        <is>
          <t>Raised so it is 10% over Nagan Robes for Priest (pass 2 class weights)</t>
        </is>
      </c>
    </row>
    <row r="94">
      <c r="A94" s="68" t="n">
        <v>162</v>
      </c>
      <c r="B94" s="68" t="inlineStr">
        <is>
          <t>Whirling Robes</t>
        </is>
      </c>
      <c r="C94" s="68" t="inlineStr">
        <is>
          <t>INT</t>
        </is>
      </c>
      <c r="D94" s="68" t="n">
        <v>30</v>
      </c>
      <c r="E94" s="68" t="n">
        <v>49</v>
      </c>
      <c r="F94" s="69">
        <f>IF(D94=0,"new",E94/D94-1)</f>
        <v/>
      </c>
      <c r="G94" s="64" t="inlineStr">
        <is>
          <t>Raised so it is 10% over Nagan Robes for Priest (pass 2 class weights)</t>
        </is>
      </c>
    </row>
    <row r="95">
      <c r="A95" s="68" t="n">
        <v>164</v>
      </c>
      <c r="B95" s="68" t="inlineStr">
        <is>
          <t>Champions Boots</t>
        </is>
      </c>
      <c r="C95" s="68" t="inlineStr">
        <is>
          <t>HP</t>
        </is>
      </c>
      <c r="D95" s="68" t="n">
        <v>75</v>
      </c>
      <c r="E95" s="68" t="n">
        <v>80</v>
      </c>
      <c r="F95" s="69">
        <f>IF(D95=0,"new",E95/D95-1)</f>
        <v/>
      </c>
      <c r="G95" s="64" t="inlineStr">
        <is>
          <t>Punchy set: raised to +25% over the L40 boss set</t>
        </is>
      </c>
    </row>
    <row r="96">
      <c r="A96" s="68" t="n">
        <v>164</v>
      </c>
      <c r="B96" s="68" t="inlineStr">
        <is>
          <t>Champions Boots</t>
        </is>
      </c>
      <c r="C96" s="68" t="inlineStr">
        <is>
          <t>AC</t>
        </is>
      </c>
      <c r="D96" s="68" t="n">
        <v>50</v>
      </c>
      <c r="E96" s="68" t="n">
        <v>55</v>
      </c>
      <c r="F96" s="69">
        <f>IF(D96=0,"new",E96/D96-1)</f>
        <v/>
      </c>
      <c r="G96" s="64" t="inlineStr">
        <is>
          <t>Punchy set: raised to +25% over the L40 boss set</t>
        </is>
      </c>
    </row>
    <row r="97">
      <c r="A97" s="68" t="n">
        <v>164</v>
      </c>
      <c r="B97" s="68" t="inlineStr">
        <is>
          <t>Champions Boots</t>
        </is>
      </c>
      <c r="C97" s="68" t="inlineStr">
        <is>
          <t>STR</t>
        </is>
      </c>
      <c r="D97" s="68" t="n">
        <v>6</v>
      </c>
      <c r="E97" s="68" t="n">
        <v>7</v>
      </c>
      <c r="F97" s="69">
        <f>IF(D97=0,"new",E97/D97-1)</f>
        <v/>
      </c>
      <c r="G97" s="64" t="inlineStr">
        <is>
          <t>Punchy set: raised to +25% over the L40 boss set</t>
        </is>
      </c>
    </row>
    <row r="98">
      <c r="A98" s="68" t="n">
        <v>164</v>
      </c>
      <c r="B98" s="68" t="inlineStr">
        <is>
          <t>Champions Boots</t>
        </is>
      </c>
      <c r="C98" s="68" t="inlineStr">
        <is>
          <t>STA</t>
        </is>
      </c>
      <c r="D98" s="68" t="n">
        <v>8</v>
      </c>
      <c r="E98" s="68" t="n">
        <v>9</v>
      </c>
      <c r="F98" s="69">
        <f>IF(D98=0,"new",E98/D98-1)</f>
        <v/>
      </c>
      <c r="G98" s="64" t="inlineStr">
        <is>
          <t>Punchy set: raised to +25% over the L40 boss set</t>
        </is>
      </c>
    </row>
    <row r="99">
      <c r="A99" s="68" t="n">
        <v>165</v>
      </c>
      <c r="B99" s="68" t="inlineStr">
        <is>
          <t>Deceivers Legplates</t>
        </is>
      </c>
      <c r="C99" s="68" t="inlineStr">
        <is>
          <t>HP</t>
        </is>
      </c>
      <c r="D99" s="68" t="n">
        <v>150</v>
      </c>
      <c r="E99" s="68" t="n">
        <v>160</v>
      </c>
      <c r="F99" s="69">
        <f>IF(D99=0,"new",E99/D99-1)</f>
        <v/>
      </c>
      <c r="G99" s="64" t="inlineStr">
        <is>
          <t>Punchy set: raised to +25% over the L40 boss set</t>
        </is>
      </c>
    </row>
    <row r="100">
      <c r="A100" s="68" t="n">
        <v>165</v>
      </c>
      <c r="B100" s="68" t="inlineStr">
        <is>
          <t>Deceivers Legplates</t>
        </is>
      </c>
      <c r="C100" s="68" t="inlineStr">
        <is>
          <t>MP</t>
        </is>
      </c>
      <c r="D100" s="68" t="n">
        <v>50</v>
      </c>
      <c r="E100" s="68" t="n">
        <v>55</v>
      </c>
      <c r="F100" s="69">
        <f>IF(D100=0,"new",E100/D100-1)</f>
        <v/>
      </c>
      <c r="G100" s="64" t="inlineStr">
        <is>
          <t>Punchy set: raised to +25% over the L40 boss set</t>
        </is>
      </c>
    </row>
    <row r="101">
      <c r="A101" s="68" t="n">
        <v>165</v>
      </c>
      <c r="B101" s="68" t="inlineStr">
        <is>
          <t>Deceivers Legplates</t>
        </is>
      </c>
      <c r="C101" s="68" t="inlineStr">
        <is>
          <t>AC</t>
        </is>
      </c>
      <c r="D101" s="68" t="n">
        <v>58</v>
      </c>
      <c r="E101" s="68" t="n">
        <v>63</v>
      </c>
      <c r="F101" s="69">
        <f>IF(D101=0,"new",E101/D101-1)</f>
        <v/>
      </c>
      <c r="G101" s="64" t="inlineStr">
        <is>
          <t>Punchy set: raised to +25% over the L40 boss set</t>
        </is>
      </c>
    </row>
    <row r="102">
      <c r="A102" s="68" t="n">
        <v>165</v>
      </c>
      <c r="B102" s="68" t="inlineStr">
        <is>
          <t>Deceivers Legplates</t>
        </is>
      </c>
      <c r="C102" s="68" t="inlineStr">
        <is>
          <t>STR</t>
        </is>
      </c>
      <c r="D102" s="68" t="n">
        <v>8</v>
      </c>
      <c r="E102" s="68" t="n">
        <v>9</v>
      </c>
      <c r="F102" s="69">
        <f>IF(D102=0,"new",E102/D102-1)</f>
        <v/>
      </c>
      <c r="G102" s="64" t="inlineStr">
        <is>
          <t>Punchy set: raised to +25% over the L40 boss set</t>
        </is>
      </c>
    </row>
    <row r="103">
      <c r="A103" s="68" t="n">
        <v>165</v>
      </c>
      <c r="B103" s="68" t="inlineStr">
        <is>
          <t>Deceivers Legplates</t>
        </is>
      </c>
      <c r="C103" s="68" t="inlineStr">
        <is>
          <t>STA</t>
        </is>
      </c>
      <c r="D103" s="68" t="n">
        <v>11</v>
      </c>
      <c r="E103" s="68" t="n">
        <v>12</v>
      </c>
      <c r="F103" s="69">
        <f>IF(D103=0,"new",E103/D103-1)</f>
        <v/>
      </c>
      <c r="G103" s="64" t="inlineStr">
        <is>
          <t>Punchy set: raised to +25% over the L40 boss set</t>
        </is>
      </c>
    </row>
    <row r="104">
      <c r="A104" s="68" t="n">
        <v>165</v>
      </c>
      <c r="B104" s="68" t="inlineStr">
        <is>
          <t>Deceivers Legplates</t>
        </is>
      </c>
      <c r="C104" s="68" t="inlineStr">
        <is>
          <t>DEX</t>
        </is>
      </c>
      <c r="D104" s="68" t="n">
        <v>15</v>
      </c>
      <c r="E104" s="68" t="n">
        <v>16</v>
      </c>
      <c r="F104" s="69">
        <f>IF(D104=0,"new",E104/D104-1)</f>
        <v/>
      </c>
      <c r="G104" s="64" t="inlineStr">
        <is>
          <t>Punchy set: raised to +25% over the L40 boss set</t>
        </is>
      </c>
    </row>
    <row r="105">
      <c r="A105" s="68" t="n">
        <v>167</v>
      </c>
      <c r="B105" s="68" t="inlineStr">
        <is>
          <t>Devastators Chestplate</t>
        </is>
      </c>
      <c r="C105" s="68" t="inlineStr">
        <is>
          <t>HP</t>
        </is>
      </c>
      <c r="D105" s="68" t="n">
        <v>200</v>
      </c>
      <c r="E105" s="68" t="n">
        <v>275</v>
      </c>
      <c r="F105" s="69">
        <f>IF(D105=0,"new",E105/D105-1)</f>
        <v/>
      </c>
      <c r="G105" s="64" t="inlineStr">
        <is>
          <t>Raised so it is 10% over Nagan Armor for Rogue (pass 2 class weights)</t>
        </is>
      </c>
    </row>
    <row r="106">
      <c r="A106" s="68" t="n">
        <v>167</v>
      </c>
      <c r="B106" s="68" t="inlineStr">
        <is>
          <t>Devastators Chestplate</t>
        </is>
      </c>
      <c r="C106" s="68" t="inlineStr">
        <is>
          <t>STA</t>
        </is>
      </c>
      <c r="D106" s="68" t="n">
        <v>12</v>
      </c>
      <c r="E106" s="68" t="n">
        <v>17</v>
      </c>
      <c r="F106" s="69">
        <f>IF(D106=0,"new",E106/D106-1)</f>
        <v/>
      </c>
      <c r="G106" s="64" t="inlineStr">
        <is>
          <t>Raised so it is 10% over Nagan Armor for Rogue (pass 2 class weights)</t>
        </is>
      </c>
    </row>
    <row r="107">
      <c r="A107" s="68" t="n">
        <v>167</v>
      </c>
      <c r="B107" s="68" t="inlineStr">
        <is>
          <t>Devastators Chestplate</t>
        </is>
      </c>
      <c r="C107" s="68" t="inlineStr">
        <is>
          <t>DEX</t>
        </is>
      </c>
      <c r="D107" s="68" t="n">
        <v>30</v>
      </c>
      <c r="E107" s="68" t="n">
        <v>41</v>
      </c>
      <c r="F107" s="69">
        <f>IF(D107=0,"new",E107/D107-1)</f>
        <v/>
      </c>
      <c r="G107" s="64" t="inlineStr">
        <is>
          <t>Raised so it is 10% over Nagan Armor for Rogue (pass 2 class weights)</t>
        </is>
      </c>
    </row>
    <row r="108">
      <c r="A108" s="68" t="n">
        <v>168</v>
      </c>
      <c r="B108" s="68" t="inlineStr">
        <is>
          <t>Deceivers Chestplate</t>
        </is>
      </c>
      <c r="C108" s="68" t="inlineStr">
        <is>
          <t>HP</t>
        </is>
      </c>
      <c r="D108" s="68" t="n">
        <v>200</v>
      </c>
      <c r="E108" s="68" t="n">
        <v>225</v>
      </c>
      <c r="F108" s="69">
        <f>IF(D108=0,"new",E108/D108-1)</f>
        <v/>
      </c>
      <c r="G108" s="64" t="inlineStr">
        <is>
          <t>Punchy set: raised to +25% over the L40 boss set</t>
        </is>
      </c>
    </row>
    <row r="109">
      <c r="A109" s="68" t="n">
        <v>168</v>
      </c>
      <c r="B109" s="68" t="inlineStr">
        <is>
          <t>Deceivers Chestplate</t>
        </is>
      </c>
      <c r="C109" s="68" t="inlineStr">
        <is>
          <t>MP</t>
        </is>
      </c>
      <c r="D109" s="68" t="n">
        <v>100</v>
      </c>
      <c r="E109" s="68" t="n">
        <v>110</v>
      </c>
      <c r="F109" s="69">
        <f>IF(D109=0,"new",E109/D109-1)</f>
        <v/>
      </c>
      <c r="G109" s="64" t="inlineStr">
        <is>
          <t>Punchy set: raised to +25% over the L40 boss set</t>
        </is>
      </c>
    </row>
    <row r="110">
      <c r="A110" s="68" t="n">
        <v>168</v>
      </c>
      <c r="B110" s="68" t="inlineStr">
        <is>
          <t>Deceivers Chestplate</t>
        </is>
      </c>
      <c r="C110" s="68" t="inlineStr">
        <is>
          <t>AC</t>
        </is>
      </c>
      <c r="D110" s="68" t="n">
        <v>95</v>
      </c>
      <c r="E110" s="68" t="n">
        <v>103</v>
      </c>
      <c r="F110" s="69">
        <f>IF(D110=0,"new",E110/D110-1)</f>
        <v/>
      </c>
      <c r="G110" s="64" t="inlineStr">
        <is>
          <t>Punchy set: raised to +25% over the L40 boss set</t>
        </is>
      </c>
    </row>
    <row r="111">
      <c r="A111" s="68" t="n">
        <v>168</v>
      </c>
      <c r="B111" s="68" t="inlineStr">
        <is>
          <t>Deceivers Chestplate</t>
        </is>
      </c>
      <c r="C111" s="68" t="inlineStr">
        <is>
          <t>STR</t>
        </is>
      </c>
      <c r="D111" s="68" t="n">
        <v>12</v>
      </c>
      <c r="E111" s="68" t="n">
        <v>13</v>
      </c>
      <c r="F111" s="69">
        <f>IF(D111=0,"new",E111/D111-1)</f>
        <v/>
      </c>
      <c r="G111" s="64" t="inlineStr">
        <is>
          <t>Punchy set: raised to +25% over the L40 boss set</t>
        </is>
      </c>
    </row>
    <row r="112">
      <c r="A112" s="68" t="n">
        <v>168</v>
      </c>
      <c r="B112" s="68" t="inlineStr">
        <is>
          <t>Deceivers Chestplate</t>
        </is>
      </c>
      <c r="C112" s="68" t="inlineStr">
        <is>
          <t>STA</t>
        </is>
      </c>
      <c r="D112" s="68" t="n">
        <v>14</v>
      </c>
      <c r="E112" s="68" t="n">
        <v>15</v>
      </c>
      <c r="F112" s="69">
        <f>IF(D112=0,"new",E112/D112-1)</f>
        <v/>
      </c>
      <c r="G112" s="64" t="inlineStr">
        <is>
          <t>Punchy set: raised to +25% over the L40 boss set</t>
        </is>
      </c>
    </row>
    <row r="113">
      <c r="A113" s="68" t="n">
        <v>168</v>
      </c>
      <c r="B113" s="68" t="inlineStr">
        <is>
          <t>Deceivers Chestplate</t>
        </is>
      </c>
      <c r="C113" s="68" t="inlineStr">
        <is>
          <t>DEX</t>
        </is>
      </c>
      <c r="D113" s="68" t="n">
        <v>20</v>
      </c>
      <c r="E113" s="68" t="n">
        <v>22</v>
      </c>
      <c r="F113" s="69">
        <f>IF(D113=0,"new",E113/D113-1)</f>
        <v/>
      </c>
      <c r="G113" s="64" t="inlineStr">
        <is>
          <t>Punchy set: raised to +25% over the L40 boss set</t>
        </is>
      </c>
    </row>
    <row r="114">
      <c r="A114" s="68" t="n">
        <v>205</v>
      </c>
      <c r="B114" s="68" t="inlineStr">
        <is>
          <t>Deceivers Dagger</t>
        </is>
      </c>
      <c r="C114" s="68" t="inlineStr">
        <is>
          <t>STR</t>
        </is>
      </c>
      <c r="D114" s="68" t="n">
        <v>12</v>
      </c>
      <c r="E114" s="68" t="n">
        <v>14</v>
      </c>
      <c r="F114" s="69">
        <f>IF(D114=0,"new",E114/D114-1)</f>
        <v/>
      </c>
      <c r="G114" s="64" t="inlineStr">
        <is>
          <t>Deceivers Dagger (Punchy): damage 95 -&gt; 102, STR 12 -&gt; 14</t>
        </is>
      </c>
    </row>
    <row r="115">
      <c r="A115" s="68" t="n">
        <v>205</v>
      </c>
      <c r="B115" s="68" t="inlineStr">
        <is>
          <t>Deceivers Dagger</t>
        </is>
      </c>
      <c r="C115" s="68" t="inlineStr">
        <is>
          <t>Weapon dmg</t>
        </is>
      </c>
      <c r="D115" s="68" t="n">
        <v>95</v>
      </c>
      <c r="E115" s="68" t="n">
        <v>102</v>
      </c>
      <c r="F115" s="69">
        <f>IF(D115=0,"new",E115/D115-1)</f>
        <v/>
      </c>
      <c r="G115" s="64" t="inlineStr">
        <is>
          <t>Deceivers Dagger (Punchy): damage 95 -&gt; 102, STR 12 -&gt; 14</t>
        </is>
      </c>
    </row>
    <row r="116">
      <c r="A116" s="68" t="n">
        <v>206</v>
      </c>
      <c r="B116" s="68" t="inlineStr">
        <is>
          <t>Devastating Dragon Tooth Sword</t>
        </is>
      </c>
      <c r="C116" s="68" t="inlineStr">
        <is>
          <t>Weapon dmg</t>
        </is>
      </c>
      <c r="D116" s="68" t="n">
        <v>130</v>
      </c>
      <c r="E116" s="68" t="n">
        <v>134</v>
      </c>
      <c r="F116" s="69">
        <f>IF(D116=0,"new",E116/D116-1)</f>
        <v/>
      </c>
      <c r="G116" s="64" t="inlineStr">
        <is>
          <t>Dragon Tooth Sword (Savage): damage 130 -&gt; 134</t>
        </is>
      </c>
    </row>
    <row r="117">
      <c r="A117" s="68" t="n">
        <v>212</v>
      </c>
      <c r="B117" s="68" t="inlineStr">
        <is>
          <t>Priests Hammer</t>
        </is>
      </c>
      <c r="C117" s="68" t="inlineStr">
        <is>
          <t>HP</t>
        </is>
      </c>
      <c r="D117" s="68" t="n">
        <v>150</v>
      </c>
      <c r="E117" s="68" t="n">
        <v>140</v>
      </c>
      <c r="F117" s="69">
        <f>IF(D117=0,"new",E117/D117-1)</f>
        <v/>
      </c>
      <c r="G117" s="64" t="inlineStr">
        <is>
          <t>Pre-50 caster staff: lowered 8% so the L50 caster weapons can sit above it</t>
        </is>
      </c>
    </row>
    <row r="118">
      <c r="A118" s="68" t="n">
        <v>212</v>
      </c>
      <c r="B118" s="68" t="inlineStr">
        <is>
          <t>Priests Hammer</t>
        </is>
      </c>
      <c r="C118" s="68" t="inlineStr">
        <is>
          <t>MP</t>
        </is>
      </c>
      <c r="D118" s="68" t="n">
        <v>250</v>
      </c>
      <c r="E118" s="68" t="n">
        <v>225</v>
      </c>
      <c r="F118" s="69">
        <f>IF(D118=0,"new",E118/D118-1)</f>
        <v/>
      </c>
      <c r="G118" s="64" t="inlineStr">
        <is>
          <t>Pre-50 caster staff: lowered 8% so the L50 caster weapons can sit above it</t>
        </is>
      </c>
    </row>
    <row r="119">
      <c r="A119" s="68" t="n">
        <v>212</v>
      </c>
      <c r="B119" s="68" t="inlineStr">
        <is>
          <t>Priests Hammer</t>
        </is>
      </c>
      <c r="C119" s="68" t="inlineStr">
        <is>
          <t>STA</t>
        </is>
      </c>
      <c r="D119" s="68" t="n">
        <v>8</v>
      </c>
      <c r="E119" s="68" t="n">
        <v>7</v>
      </c>
      <c r="F119" s="69">
        <f>IF(D119=0,"new",E119/D119-1)</f>
        <v/>
      </c>
      <c r="G119" s="64" t="inlineStr">
        <is>
          <t>Pre-50 caster staff: lowered 8% so the L50 caster weapons can sit above it</t>
        </is>
      </c>
    </row>
    <row r="120">
      <c r="A120" s="68" t="n">
        <v>212</v>
      </c>
      <c r="B120" s="68" t="inlineStr">
        <is>
          <t>Priests Hammer</t>
        </is>
      </c>
      <c r="C120" s="68" t="inlineStr">
        <is>
          <t>INT</t>
        </is>
      </c>
      <c r="D120" s="68" t="n">
        <v>28</v>
      </c>
      <c r="E120" s="68" t="n">
        <v>26</v>
      </c>
      <c r="F120" s="69">
        <f>IF(D120=0,"new",E120/D120-1)</f>
        <v/>
      </c>
      <c r="G120" s="64" t="inlineStr">
        <is>
          <t>Pre-50 caster staff: lowered 8% so the L50 caster weapons can sit above it</t>
        </is>
      </c>
    </row>
    <row r="121">
      <c r="A121" s="68" t="n">
        <v>213</v>
      </c>
      <c r="B121" s="68" t="inlineStr">
        <is>
          <t>Scythe</t>
        </is>
      </c>
      <c r="C121" s="68" t="inlineStr">
        <is>
          <t>Weapon dmg</t>
        </is>
      </c>
      <c r="D121" s="68" t="n">
        <v>60</v>
      </c>
      <c r="E121" s="68" t="n">
        <v>55</v>
      </c>
      <c r="F121" s="69">
        <f>IF(D121=0,"new",E121/D121-1)</f>
        <v/>
      </c>
      <c r="G121" s="64" t="inlineStr">
        <is>
          <t>Scythe: damage 60 -&gt; 55 (67) so the L33 Nagan weapons (78) stay 10% ahead</t>
        </is>
      </c>
    </row>
    <row r="122">
      <c r="A122" s="68" t="n">
        <v>216</v>
      </c>
      <c r="B122" s="68" t="inlineStr">
        <is>
          <t>Devastating Birch Wood Staff</t>
        </is>
      </c>
      <c r="C122" s="68" t="inlineStr">
        <is>
          <t>HP</t>
        </is>
      </c>
      <c r="D122" s="68" t="n">
        <v>50</v>
      </c>
      <c r="E122" s="68" t="n">
        <v>70</v>
      </c>
      <c r="F122" s="69">
        <f>IF(D122=0,"new",E122/D122-1)</f>
        <v/>
      </c>
      <c r="G122" s="64" t="inlineStr">
        <is>
          <t>Raised so it is 10% over Frays Cane for Priest (pass 2 class weights)</t>
        </is>
      </c>
    </row>
    <row r="123">
      <c r="A123" s="68" t="n">
        <v>216</v>
      </c>
      <c r="B123" s="68" t="inlineStr">
        <is>
          <t>Devastating Birch Wood Staff</t>
        </is>
      </c>
      <c r="C123" s="68" t="inlineStr">
        <is>
          <t>MP</t>
        </is>
      </c>
      <c r="D123" s="68" t="n">
        <v>500</v>
      </c>
      <c r="E123" s="68" t="n">
        <v>725</v>
      </c>
      <c r="F123" s="69">
        <f>IF(D123=0,"new",E123/D123-1)</f>
        <v/>
      </c>
      <c r="G123" s="64" t="inlineStr">
        <is>
          <t>Raised so it is 10% over Frays Cane for Priest (pass 2 class weights)</t>
        </is>
      </c>
    </row>
    <row r="124">
      <c r="A124" s="68" t="n">
        <v>216</v>
      </c>
      <c r="B124" s="68" t="inlineStr">
        <is>
          <t>Devastating Birch Wood Staff</t>
        </is>
      </c>
      <c r="C124" s="68" t="inlineStr">
        <is>
          <t>STA</t>
        </is>
      </c>
      <c r="D124" s="68" t="n">
        <v>10</v>
      </c>
      <c r="E124" s="68" t="n">
        <v>14</v>
      </c>
      <c r="F124" s="69">
        <f>IF(D124=0,"new",E124/D124-1)</f>
        <v/>
      </c>
      <c r="G124" s="64" t="inlineStr">
        <is>
          <t>Raised so it is 10% over Frays Cane for Priest (pass 2 class weights)</t>
        </is>
      </c>
    </row>
    <row r="125">
      <c r="A125" s="68" t="n">
        <v>216</v>
      </c>
      <c r="B125" s="68" t="inlineStr">
        <is>
          <t>Devastating Birch Wood Staff</t>
        </is>
      </c>
      <c r="C125" s="68" t="inlineStr">
        <is>
          <t>INT</t>
        </is>
      </c>
      <c r="D125" s="68" t="n">
        <v>20</v>
      </c>
      <c r="E125" s="68" t="n">
        <v>29</v>
      </c>
      <c r="F125" s="69">
        <f>IF(D125=0,"new",E125/D125-1)</f>
        <v/>
      </c>
      <c r="G125" s="64" t="inlineStr">
        <is>
          <t>Raised so it is 10% over Frays Cane for Priest (pass 2 class weights)</t>
        </is>
      </c>
    </row>
    <row r="126">
      <c r="A126" s="68" t="n">
        <v>217</v>
      </c>
      <c r="B126" s="68" t="inlineStr">
        <is>
          <t>Tiny Club</t>
        </is>
      </c>
      <c r="C126" s="68" t="inlineStr">
        <is>
          <t>STR</t>
        </is>
      </c>
      <c r="D126" s="68" t="n">
        <v>12</v>
      </c>
      <c r="E126" s="68" t="n">
        <v>14</v>
      </c>
      <c r="F126" s="69">
        <f>IF(D126=0,"new",E126/D126-1)</f>
        <v/>
      </c>
      <c r="G126" s="64" t="inlineStr">
        <is>
          <t>Tiny Club (H&amp;F): damage 100 -&gt; 120, STR 12 -&gt; 14</t>
        </is>
      </c>
    </row>
    <row r="127">
      <c r="A127" s="68" t="n">
        <v>217</v>
      </c>
      <c r="B127" s="68" t="inlineStr">
        <is>
          <t>Tiny Club</t>
        </is>
      </c>
      <c r="C127" s="68" t="inlineStr">
        <is>
          <t>Weapon dmg</t>
        </is>
      </c>
      <c r="D127" s="68" t="n">
        <v>100</v>
      </c>
      <c r="E127" s="68" t="n">
        <v>120</v>
      </c>
      <c r="F127" s="69">
        <f>IF(D127=0,"new",E127/D127-1)</f>
        <v/>
      </c>
      <c r="G127" s="64" t="inlineStr">
        <is>
          <t>Tiny Club (H&amp;F): damage 100 -&gt; 120, STR 12 -&gt; 14</t>
        </is>
      </c>
    </row>
    <row r="128">
      <c r="A128" s="68" t="n">
        <v>218</v>
      </c>
      <c r="B128" s="68" t="inlineStr">
        <is>
          <t>Frays Cane</t>
        </is>
      </c>
      <c r="C128" s="68" t="inlineStr">
        <is>
          <t>HP</t>
        </is>
      </c>
      <c r="D128" s="68" t="n">
        <v>50</v>
      </c>
      <c r="E128" s="68" t="n">
        <v>70</v>
      </c>
      <c r="F128" s="69">
        <f>IF(D128=0,"new",E128/D128-1)</f>
        <v/>
      </c>
      <c r="G128" s="64" t="inlineStr">
        <is>
          <t>Frays Cane (H&amp;F): 10% above the raised Bear Claw; Raised so it is 10% over Bear Claw for Magus (pass 2 class weights)</t>
        </is>
      </c>
    </row>
    <row r="129">
      <c r="A129" s="68" t="n">
        <v>218</v>
      </c>
      <c r="B129" s="68" t="inlineStr">
        <is>
          <t>Frays Cane</t>
        </is>
      </c>
      <c r="C129" s="68" t="inlineStr">
        <is>
          <t>MP</t>
        </is>
      </c>
      <c r="D129" s="68" t="n">
        <v>250</v>
      </c>
      <c r="E129" s="68" t="n">
        <v>350</v>
      </c>
      <c r="F129" s="69">
        <f>IF(D129=0,"new",E129/D129-1)</f>
        <v/>
      </c>
      <c r="G129" s="64" t="inlineStr">
        <is>
          <t>Frays Cane (H&amp;F): 10% above the raised Bear Claw; Raised so it is 10% over Bear Claw for Magus (pass 2 class weights)</t>
        </is>
      </c>
    </row>
    <row r="130">
      <c r="A130" s="68" t="n">
        <v>218</v>
      </c>
      <c r="B130" s="68" t="inlineStr">
        <is>
          <t>Frays Cane</t>
        </is>
      </c>
      <c r="C130" s="68" t="inlineStr">
        <is>
          <t>STA</t>
        </is>
      </c>
      <c r="D130" s="68" t="n">
        <v>10</v>
      </c>
      <c r="E130" s="68" t="n">
        <v>14</v>
      </c>
      <c r="F130" s="69">
        <f>IF(D130=0,"new",E130/D130-1)</f>
        <v/>
      </c>
      <c r="G130" s="64" t="inlineStr">
        <is>
          <t>Frays Cane (H&amp;F): 10% above the raised Bear Claw; Raised so it is 10% over Bear Claw for Magus (pass 2 class weights)</t>
        </is>
      </c>
    </row>
    <row r="131">
      <c r="A131" s="68" t="n">
        <v>218</v>
      </c>
      <c r="B131" s="68" t="inlineStr">
        <is>
          <t>Frays Cane</t>
        </is>
      </c>
      <c r="C131" s="68" t="inlineStr">
        <is>
          <t>DEX</t>
        </is>
      </c>
      <c r="D131" s="68" t="n">
        <v>5</v>
      </c>
      <c r="E131" s="68" t="n">
        <v>6</v>
      </c>
      <c r="F131" s="69">
        <f>IF(D131=0,"new",E131/D131-1)</f>
        <v/>
      </c>
      <c r="G131" s="64" t="inlineStr">
        <is>
          <t>Frays Cane (H&amp;F): 10% above the raised Bear Claw; Raised so it is 10% over Bear Claw for Magus (pass 2 class weights)</t>
        </is>
      </c>
    </row>
    <row r="132">
      <c r="A132" s="68" t="n">
        <v>218</v>
      </c>
      <c r="B132" s="68" t="inlineStr">
        <is>
          <t>Frays Cane</t>
        </is>
      </c>
      <c r="C132" s="68" t="inlineStr">
        <is>
          <t>INT</t>
        </is>
      </c>
      <c r="D132" s="68" t="n">
        <v>28</v>
      </c>
      <c r="E132" s="68" t="n">
        <v>37</v>
      </c>
      <c r="F132" s="69">
        <f>IF(D132=0,"new",E132/D132-1)</f>
        <v/>
      </c>
      <c r="G132" s="64" t="inlineStr">
        <is>
          <t>Frays Cane (H&amp;F): 10% above the raised Bear Claw; Raised so it is 10% over Bear Claw for Magus (pass 2 class weights)</t>
        </is>
      </c>
    </row>
    <row r="133">
      <c r="A133" s="68" t="n">
        <v>219</v>
      </c>
      <c r="B133" s="68" t="inlineStr">
        <is>
          <t>Nagan Sword</t>
        </is>
      </c>
      <c r="C133" s="68" t="inlineStr">
        <is>
          <t>Weapon dmg</t>
        </is>
      </c>
      <c r="D133" s="68" t="n">
        <v>70</v>
      </c>
      <c r="E133" s="68" t="n">
        <v>63</v>
      </c>
      <c r="F133" s="69">
        <f>IF(D133=0,"new",E133/D133-1)</f>
        <v/>
      </c>
      <c r="G133" s="64" t="inlineStr">
        <is>
          <t>Nagan Sword: damage 63 (78); Katana is the ~20% better hard craft</t>
        </is>
      </c>
    </row>
    <row r="134">
      <c r="A134" s="68" t="n">
        <v>220</v>
      </c>
      <c r="B134" s="68" t="inlineStr">
        <is>
          <t>Nagan Dagger</t>
        </is>
      </c>
      <c r="C134" s="68" t="inlineStr">
        <is>
          <t>STR</t>
        </is>
      </c>
      <c r="D134" s="68" t="n">
        <v>8</v>
      </c>
      <c r="E134" s="68" t="n">
        <v>10</v>
      </c>
      <c r="F134" s="69">
        <f>IF(D134=0,"new",E134/D134-1)</f>
        <v/>
      </c>
      <c r="G134" s="64" t="inlineStr">
        <is>
          <t>Nagan Dagger: damage 68, STR 10 (78); even with Nagan Sword</t>
        </is>
      </c>
    </row>
    <row r="135">
      <c r="A135" s="68" t="n">
        <v>220</v>
      </c>
      <c r="B135" s="68" t="inlineStr">
        <is>
          <t>Nagan Dagger</t>
        </is>
      </c>
      <c r="C135" s="68" t="inlineStr">
        <is>
          <t>Weapon dmg</t>
        </is>
      </c>
      <c r="D135" s="68" t="n">
        <v>70</v>
      </c>
      <c r="E135" s="68" t="n">
        <v>68</v>
      </c>
      <c r="F135" s="69">
        <f>IF(D135=0,"new",E135/D135-1)</f>
        <v/>
      </c>
      <c r="G135" s="64" t="inlineStr">
        <is>
          <t>Nagan Dagger: damage 68, STR 10 (78); even with Nagan Sword</t>
        </is>
      </c>
    </row>
    <row r="136">
      <c r="A136" s="68" t="n">
        <v>221</v>
      </c>
      <c r="B136" s="68" t="inlineStr">
        <is>
          <t>Nagan Stave</t>
        </is>
      </c>
      <c r="C136" s="68" t="inlineStr">
        <is>
          <t>HP</t>
        </is>
      </c>
      <c r="D136" s="68" t="n">
        <v>75</v>
      </c>
      <c r="E136" s="68" t="n">
        <v>70</v>
      </c>
      <c r="F136" s="69">
        <f>IF(D136=0,"new",E136/D136-1)</f>
        <v/>
      </c>
      <c r="G136" s="64" t="inlineStr">
        <is>
          <t>Pre-50 caster staff: lowered 8% so the L50 caster weapons can sit above it</t>
        </is>
      </c>
    </row>
    <row r="137">
      <c r="A137" s="68" t="n">
        <v>221</v>
      </c>
      <c r="B137" s="68" t="inlineStr">
        <is>
          <t>Nagan Stave</t>
        </is>
      </c>
      <c r="C137" s="68" t="inlineStr">
        <is>
          <t>MP</t>
        </is>
      </c>
      <c r="D137" s="68" t="n">
        <v>250</v>
      </c>
      <c r="E137" s="68" t="n">
        <v>225</v>
      </c>
      <c r="F137" s="69">
        <f>IF(D137=0,"new",E137/D137-1)</f>
        <v/>
      </c>
      <c r="G137" s="64" t="inlineStr">
        <is>
          <t>Pre-50 caster staff: lowered 8% so the L50 caster weapons can sit above it</t>
        </is>
      </c>
    </row>
    <row r="138">
      <c r="A138" s="68" t="n">
        <v>221</v>
      </c>
      <c r="B138" s="68" t="inlineStr">
        <is>
          <t>Nagan Stave</t>
        </is>
      </c>
      <c r="C138" s="68" t="inlineStr">
        <is>
          <t>INT</t>
        </is>
      </c>
      <c r="D138" s="68" t="n">
        <v>20</v>
      </c>
      <c r="E138" s="68" t="n">
        <v>18</v>
      </c>
      <c r="F138" s="69">
        <f>IF(D138=0,"new",E138/D138-1)</f>
        <v/>
      </c>
      <c r="G138" s="64" t="inlineStr">
        <is>
          <t>Pre-50 caster staff: lowered 8% so the L50 caster weapons can sit above it</t>
        </is>
      </c>
    </row>
    <row r="139">
      <c r="A139" s="68" t="n">
        <v>224</v>
      </c>
      <c r="B139" s="68" t="inlineStr">
        <is>
          <t>Priests Leggings</t>
        </is>
      </c>
      <c r="C139" s="68" t="inlineStr">
        <is>
          <t>HP</t>
        </is>
      </c>
      <c r="D139" s="68" t="n">
        <v>150</v>
      </c>
      <c r="E139" s="68" t="n">
        <v>140</v>
      </c>
      <c r="F139" s="69">
        <f>IF(D139=0,"new",E139/D139-1)</f>
        <v/>
      </c>
      <c r="G139" s="64" t="inlineStr">
        <is>
          <t>L40 boss set: lowered so Punchy is a clear (+25%) upgrade</t>
        </is>
      </c>
    </row>
    <row r="140">
      <c r="A140" s="68" t="n">
        <v>224</v>
      </c>
      <c r="B140" s="68" t="inlineStr">
        <is>
          <t>Priests Leggings</t>
        </is>
      </c>
      <c r="C140" s="68" t="inlineStr">
        <is>
          <t>MP</t>
        </is>
      </c>
      <c r="D140" s="68" t="n">
        <v>250</v>
      </c>
      <c r="E140" s="68" t="n">
        <v>225</v>
      </c>
      <c r="F140" s="69">
        <f>IF(D140=0,"new",E140/D140-1)</f>
        <v/>
      </c>
      <c r="G140" s="64" t="inlineStr">
        <is>
          <t>L40 boss set: lowered so Punchy is a clear (+25%) upgrade</t>
        </is>
      </c>
    </row>
    <row r="141">
      <c r="A141" s="68" t="n">
        <v>224</v>
      </c>
      <c r="B141" s="68" t="inlineStr">
        <is>
          <t>Priests Leggings</t>
        </is>
      </c>
      <c r="C141" s="68" t="inlineStr">
        <is>
          <t>AC</t>
        </is>
      </c>
      <c r="D141" s="68" t="n">
        <v>28</v>
      </c>
      <c r="E141" s="68" t="n">
        <v>26</v>
      </c>
      <c r="F141" s="69">
        <f>IF(D141=0,"new",E141/D141-1)</f>
        <v/>
      </c>
      <c r="G141" s="64" t="inlineStr">
        <is>
          <t>L40 boss set: lowered so Punchy is a clear (+25%) upgrade</t>
        </is>
      </c>
    </row>
    <row r="142">
      <c r="A142" s="68" t="n">
        <v>224</v>
      </c>
      <c r="B142" s="68" t="inlineStr">
        <is>
          <t>Priests Leggings</t>
        </is>
      </c>
      <c r="C142" s="68" t="inlineStr">
        <is>
          <t>STA</t>
        </is>
      </c>
      <c r="D142" s="68" t="n">
        <v>10</v>
      </c>
      <c r="E142" s="68" t="n">
        <v>9</v>
      </c>
      <c r="F142" s="69">
        <f>IF(D142=0,"new",E142/D142-1)</f>
        <v/>
      </c>
      <c r="G142" s="64" t="inlineStr">
        <is>
          <t>L40 boss set: lowered so Punchy is a clear (+25%) upgrade</t>
        </is>
      </c>
    </row>
    <row r="143">
      <c r="A143" s="68" t="n">
        <v>224</v>
      </c>
      <c r="B143" s="68" t="inlineStr">
        <is>
          <t>Priests Leggings</t>
        </is>
      </c>
      <c r="C143" s="68" t="inlineStr">
        <is>
          <t>INT</t>
        </is>
      </c>
      <c r="D143" s="68" t="n">
        <v>17</v>
      </c>
      <c r="E143" s="68" t="n">
        <v>16</v>
      </c>
      <c r="F143" s="69">
        <f>IF(D143=0,"new",E143/D143-1)</f>
        <v/>
      </c>
      <c r="G143" s="64" t="inlineStr">
        <is>
          <t>L40 boss set: lowered so Punchy is a clear (+25%) upgrade</t>
        </is>
      </c>
    </row>
    <row r="144">
      <c r="A144" s="68" t="n">
        <v>225</v>
      </c>
      <c r="B144" s="68" t="inlineStr">
        <is>
          <t>Priests Shoes</t>
        </is>
      </c>
      <c r="C144" s="68" t="inlineStr">
        <is>
          <t>HP</t>
        </is>
      </c>
      <c r="D144" s="68" t="n">
        <v>75</v>
      </c>
      <c r="E144" s="68" t="n">
        <v>70</v>
      </c>
      <c r="F144" s="69">
        <f>IF(D144=0,"new",E144/D144-1)</f>
        <v/>
      </c>
      <c r="G144" s="64" t="inlineStr">
        <is>
          <t>L40 boss set: lowered so Punchy is a clear (+25%) upgrade</t>
        </is>
      </c>
    </row>
    <row r="145">
      <c r="A145" s="68" t="n">
        <v>225</v>
      </c>
      <c r="B145" s="68" t="inlineStr">
        <is>
          <t>Priests Shoes</t>
        </is>
      </c>
      <c r="C145" s="68" t="inlineStr">
        <is>
          <t>MP</t>
        </is>
      </c>
      <c r="D145" s="68" t="n">
        <v>150</v>
      </c>
      <c r="E145" s="68" t="n">
        <v>140</v>
      </c>
      <c r="F145" s="69">
        <f>IF(D145=0,"new",E145/D145-1)</f>
        <v/>
      </c>
      <c r="G145" s="64" t="inlineStr">
        <is>
          <t>L40 boss set: lowered so Punchy is a clear (+25%) upgrade</t>
        </is>
      </c>
    </row>
    <row r="146">
      <c r="A146" s="68" t="n">
        <v>225</v>
      </c>
      <c r="B146" s="68" t="inlineStr">
        <is>
          <t>Priests Shoes</t>
        </is>
      </c>
      <c r="C146" s="68" t="inlineStr">
        <is>
          <t>AC</t>
        </is>
      </c>
      <c r="D146" s="68" t="n">
        <v>20</v>
      </c>
      <c r="E146" s="68" t="n">
        <v>18</v>
      </c>
      <c r="F146" s="69">
        <f>IF(D146=0,"new",E146/D146-1)</f>
        <v/>
      </c>
      <c r="G146" s="64" t="inlineStr">
        <is>
          <t>L40 boss set: lowered so Punchy is a clear (+25%) upgrade</t>
        </is>
      </c>
    </row>
    <row r="147">
      <c r="A147" s="68" t="n">
        <v>225</v>
      </c>
      <c r="B147" s="68" t="inlineStr">
        <is>
          <t>Priests Shoes</t>
        </is>
      </c>
      <c r="C147" s="68" t="inlineStr">
        <is>
          <t>STA</t>
        </is>
      </c>
      <c r="D147" s="68" t="n">
        <v>7</v>
      </c>
      <c r="E147" s="68" t="n">
        <v>6</v>
      </c>
      <c r="F147" s="69">
        <f>IF(D147=0,"new",E147/D147-1)</f>
        <v/>
      </c>
      <c r="G147" s="64" t="inlineStr">
        <is>
          <t>L40 boss set: lowered so Punchy is a clear (+25%) upgrade</t>
        </is>
      </c>
    </row>
    <row r="148">
      <c r="A148" s="68" t="n">
        <v>225</v>
      </c>
      <c r="B148" s="68" t="inlineStr">
        <is>
          <t>Priests Shoes</t>
        </is>
      </c>
      <c r="C148" s="68" t="inlineStr">
        <is>
          <t>INT</t>
        </is>
      </c>
      <c r="D148" s="68" t="n">
        <v>12</v>
      </c>
      <c r="E148" s="68" t="n">
        <v>11</v>
      </c>
      <c r="F148" s="69">
        <f>IF(D148=0,"new",E148/D148-1)</f>
        <v/>
      </c>
      <c r="G148" s="64" t="inlineStr">
        <is>
          <t>L40 boss set: lowered so Punchy is a clear (+25%) upgrade</t>
        </is>
      </c>
    </row>
    <row r="149">
      <c r="A149" s="68" t="n">
        <v>226</v>
      </c>
      <c r="B149" s="68" t="inlineStr">
        <is>
          <t>Priests Tunic</t>
        </is>
      </c>
      <c r="C149" s="68" t="inlineStr">
        <is>
          <t>HP</t>
        </is>
      </c>
      <c r="D149" s="68" t="n">
        <v>250</v>
      </c>
      <c r="E149" s="68" t="n">
        <v>225</v>
      </c>
      <c r="F149" s="69">
        <f>IF(D149=0,"new",E149/D149-1)</f>
        <v/>
      </c>
      <c r="G149" s="64" t="inlineStr">
        <is>
          <t>L40 boss set: lowered so Punchy is a clear (+25%) upgrade</t>
        </is>
      </c>
    </row>
    <row r="150">
      <c r="A150" s="68" t="n">
        <v>226</v>
      </c>
      <c r="B150" s="68" t="inlineStr">
        <is>
          <t>Priests Tunic</t>
        </is>
      </c>
      <c r="C150" s="68" t="inlineStr">
        <is>
          <t>MP</t>
        </is>
      </c>
      <c r="D150" s="68" t="n">
        <v>350</v>
      </c>
      <c r="E150" s="68" t="n">
        <v>325</v>
      </c>
      <c r="F150" s="69">
        <f>IF(D150=0,"new",E150/D150-1)</f>
        <v/>
      </c>
      <c r="G150" s="64" t="inlineStr">
        <is>
          <t>L40 boss set: lowered so Punchy is a clear (+25%) upgrade</t>
        </is>
      </c>
    </row>
    <row r="151">
      <c r="A151" s="68" t="n">
        <v>226</v>
      </c>
      <c r="B151" s="68" t="inlineStr">
        <is>
          <t>Priests Tunic</t>
        </is>
      </c>
      <c r="C151" s="68" t="inlineStr">
        <is>
          <t>AC</t>
        </is>
      </c>
      <c r="D151" s="68" t="n">
        <v>45</v>
      </c>
      <c r="E151" s="68" t="n">
        <v>42</v>
      </c>
      <c r="F151" s="69">
        <f>IF(D151=0,"new",E151/D151-1)</f>
        <v/>
      </c>
      <c r="G151" s="64" t="inlineStr">
        <is>
          <t>L40 boss set: lowered so Punchy is a clear (+25%) upgrade</t>
        </is>
      </c>
    </row>
    <row r="152">
      <c r="A152" s="68" t="n">
        <v>226</v>
      </c>
      <c r="B152" s="68" t="inlineStr">
        <is>
          <t>Priests Tunic</t>
        </is>
      </c>
      <c r="C152" s="68" t="inlineStr">
        <is>
          <t>STA</t>
        </is>
      </c>
      <c r="D152" s="68" t="n">
        <v>14</v>
      </c>
      <c r="E152" s="68" t="n">
        <v>13</v>
      </c>
      <c r="F152" s="69">
        <f>IF(D152=0,"new",E152/D152-1)</f>
        <v/>
      </c>
      <c r="G152" s="64" t="inlineStr">
        <is>
          <t>L40 boss set: lowered so Punchy is a clear (+25%) upgrade</t>
        </is>
      </c>
    </row>
    <row r="153">
      <c r="A153" s="68" t="n">
        <v>226</v>
      </c>
      <c r="B153" s="68" t="inlineStr">
        <is>
          <t>Priests Tunic</t>
        </is>
      </c>
      <c r="C153" s="68" t="inlineStr">
        <is>
          <t>INT</t>
        </is>
      </c>
      <c r="D153" s="68" t="n">
        <v>22</v>
      </c>
      <c r="E153" s="68" t="n">
        <v>20</v>
      </c>
      <c r="F153" s="69">
        <f>IF(D153=0,"new",E153/D153-1)</f>
        <v/>
      </c>
      <c r="G153" s="64" t="inlineStr">
        <is>
          <t>L40 boss set: lowered so Punchy is a clear (+25%) upgrade</t>
        </is>
      </c>
    </row>
    <row r="154">
      <c r="A154" s="68" t="n">
        <v>227</v>
      </c>
      <c r="B154" s="68" t="inlineStr">
        <is>
          <t>Magus Leggings</t>
        </is>
      </c>
      <c r="C154" s="68" t="inlineStr">
        <is>
          <t>HP</t>
        </is>
      </c>
      <c r="D154" s="68" t="n">
        <v>50</v>
      </c>
      <c r="E154" s="68" t="n">
        <v>45</v>
      </c>
      <c r="F154" s="69">
        <f>IF(D154=0,"new",E154/D154-1)</f>
        <v/>
      </c>
      <c r="G154" s="64" t="inlineStr">
        <is>
          <t>L40 boss set: lowered so Punchy is a clear (+25%) upgrade</t>
        </is>
      </c>
    </row>
    <row r="155">
      <c r="A155" s="68" t="n">
        <v>227</v>
      </c>
      <c r="B155" s="68" t="inlineStr">
        <is>
          <t>Magus Leggings</t>
        </is>
      </c>
      <c r="C155" s="68" t="inlineStr">
        <is>
          <t>MP</t>
        </is>
      </c>
      <c r="D155" s="68" t="n">
        <v>350</v>
      </c>
      <c r="E155" s="68" t="n">
        <v>325</v>
      </c>
      <c r="F155" s="69">
        <f>IF(D155=0,"new",E155/D155-1)</f>
        <v/>
      </c>
      <c r="G155" s="64" t="inlineStr">
        <is>
          <t>L40 boss set: lowered so Punchy is a clear (+25%) upgrade</t>
        </is>
      </c>
    </row>
    <row r="156">
      <c r="A156" s="68" t="n">
        <v>227</v>
      </c>
      <c r="B156" s="68" t="inlineStr">
        <is>
          <t>Magus Leggings</t>
        </is>
      </c>
      <c r="C156" s="68" t="inlineStr">
        <is>
          <t>AC</t>
        </is>
      </c>
      <c r="D156" s="68" t="n">
        <v>28</v>
      </c>
      <c r="E156" s="68" t="n">
        <v>26</v>
      </c>
      <c r="F156" s="69">
        <f>IF(D156=0,"new",E156/D156-1)</f>
        <v/>
      </c>
      <c r="G156" s="64" t="inlineStr">
        <is>
          <t>L40 boss set: lowered so Punchy is a clear (+25%) upgrade</t>
        </is>
      </c>
    </row>
    <row r="157">
      <c r="A157" s="68" t="n">
        <v>227</v>
      </c>
      <c r="B157" s="68" t="inlineStr">
        <is>
          <t>Magus Leggings</t>
        </is>
      </c>
      <c r="C157" s="68" t="inlineStr">
        <is>
          <t>INT</t>
        </is>
      </c>
      <c r="D157" s="68" t="n">
        <v>20</v>
      </c>
      <c r="E157" s="68" t="n">
        <v>19</v>
      </c>
      <c r="F157" s="69">
        <f>IF(D157=0,"new",E157/D157-1)</f>
        <v/>
      </c>
      <c r="G157" s="64" t="inlineStr">
        <is>
          <t>L40 boss set: lowered so Punchy is a clear (+25%) upgrade</t>
        </is>
      </c>
    </row>
    <row r="158">
      <c r="A158" s="68" t="n">
        <v>228</v>
      </c>
      <c r="B158" s="68" t="inlineStr">
        <is>
          <t>Magus Shoes</t>
        </is>
      </c>
      <c r="C158" s="68" t="inlineStr">
        <is>
          <t>MP</t>
        </is>
      </c>
      <c r="D158" s="68" t="n">
        <v>200</v>
      </c>
      <c r="E158" s="68" t="n">
        <v>185</v>
      </c>
      <c r="F158" s="69">
        <f>IF(D158=0,"new",E158/D158-1)</f>
        <v/>
      </c>
      <c r="G158" s="64" t="inlineStr">
        <is>
          <t>L40 boss set: lowered so Punchy is a clear (+25%) upgrade</t>
        </is>
      </c>
    </row>
    <row r="159">
      <c r="A159" s="68" t="n">
        <v>228</v>
      </c>
      <c r="B159" s="68" t="inlineStr">
        <is>
          <t>Magus Shoes</t>
        </is>
      </c>
      <c r="C159" s="68" t="inlineStr">
        <is>
          <t>AC</t>
        </is>
      </c>
      <c r="D159" s="68" t="n">
        <v>20</v>
      </c>
      <c r="E159" s="68" t="n">
        <v>18</v>
      </c>
      <c r="F159" s="69">
        <f>IF(D159=0,"new",E159/D159-1)</f>
        <v/>
      </c>
      <c r="G159" s="64" t="inlineStr">
        <is>
          <t>L40 boss set: lowered so Punchy is a clear (+25%) upgrade</t>
        </is>
      </c>
    </row>
    <row r="160">
      <c r="A160" s="68" t="n">
        <v>228</v>
      </c>
      <c r="B160" s="68" t="inlineStr">
        <is>
          <t>Magus Shoes</t>
        </is>
      </c>
      <c r="C160" s="68" t="inlineStr">
        <is>
          <t>INT</t>
        </is>
      </c>
      <c r="D160" s="68" t="n">
        <v>14</v>
      </c>
      <c r="E160" s="68" t="n">
        <v>13</v>
      </c>
      <c r="F160" s="69">
        <f>IF(D160=0,"new",E160/D160-1)</f>
        <v/>
      </c>
      <c r="G160" s="64" t="inlineStr">
        <is>
          <t>L40 boss set: lowered so Punchy is a clear (+25%) upgrade</t>
        </is>
      </c>
    </row>
    <row r="161">
      <c r="A161" s="68" t="n">
        <v>229</v>
      </c>
      <c r="B161" s="68" t="inlineStr">
        <is>
          <t>Magus Tunic</t>
        </is>
      </c>
      <c r="C161" s="68" t="inlineStr">
        <is>
          <t>HP</t>
        </is>
      </c>
      <c r="D161" s="68" t="n">
        <v>75</v>
      </c>
      <c r="E161" s="68" t="n">
        <v>70</v>
      </c>
      <c r="F161" s="69">
        <f>IF(D161=0,"new",E161/D161-1)</f>
        <v/>
      </c>
      <c r="G161" s="64" t="inlineStr">
        <is>
          <t>L40 boss set: lowered so Punchy is a clear (+25%) upgrade</t>
        </is>
      </c>
    </row>
    <row r="162">
      <c r="A162" s="68" t="n">
        <v>229</v>
      </c>
      <c r="B162" s="68" t="inlineStr">
        <is>
          <t>Magus Tunic</t>
        </is>
      </c>
      <c r="C162" s="68" t="inlineStr">
        <is>
          <t>MP</t>
        </is>
      </c>
      <c r="D162" s="68" t="n">
        <v>500</v>
      </c>
      <c r="E162" s="68" t="n">
        <v>475</v>
      </c>
      <c r="F162" s="69">
        <f>IF(D162=0,"new",E162/D162-1)</f>
        <v/>
      </c>
      <c r="G162" s="64" t="inlineStr">
        <is>
          <t>L40 boss set: lowered so Punchy is a clear (+25%) upgrade</t>
        </is>
      </c>
    </row>
    <row r="163">
      <c r="A163" s="68" t="n">
        <v>229</v>
      </c>
      <c r="B163" s="68" t="inlineStr">
        <is>
          <t>Magus Tunic</t>
        </is>
      </c>
      <c r="C163" s="68" t="inlineStr">
        <is>
          <t>AC</t>
        </is>
      </c>
      <c r="D163" s="68" t="n">
        <v>45</v>
      </c>
      <c r="E163" s="68" t="n">
        <v>42</v>
      </c>
      <c r="F163" s="69">
        <f>IF(D163=0,"new",E163/D163-1)</f>
        <v/>
      </c>
      <c r="G163" s="64" t="inlineStr">
        <is>
          <t>L40 boss set: lowered so Punchy is a clear (+25%) upgrade</t>
        </is>
      </c>
    </row>
    <row r="164">
      <c r="A164" s="68" t="n">
        <v>229</v>
      </c>
      <c r="B164" s="68" t="inlineStr">
        <is>
          <t>Magus Tunic</t>
        </is>
      </c>
      <c r="C164" s="68" t="inlineStr">
        <is>
          <t>STA</t>
        </is>
      </c>
      <c r="D164" s="68" t="n">
        <v>8</v>
      </c>
      <c r="E164" s="68" t="n">
        <v>7</v>
      </c>
      <c r="F164" s="69">
        <f>IF(D164=0,"new",E164/D164-1)</f>
        <v/>
      </c>
      <c r="G164" s="64" t="inlineStr">
        <is>
          <t>L40 boss set: lowered so Punchy is a clear (+25%) upgrade</t>
        </is>
      </c>
    </row>
    <row r="165">
      <c r="A165" s="68" t="n">
        <v>229</v>
      </c>
      <c r="B165" s="68" t="inlineStr">
        <is>
          <t>Magus Tunic</t>
        </is>
      </c>
      <c r="C165" s="68" t="inlineStr">
        <is>
          <t>INT</t>
        </is>
      </c>
      <c r="D165" s="68" t="n">
        <v>29</v>
      </c>
      <c r="E165" s="68" t="n">
        <v>27</v>
      </c>
      <c r="F165" s="69">
        <f>IF(D165=0,"new",E165/D165-1)</f>
        <v/>
      </c>
      <c r="G165" s="64" t="inlineStr">
        <is>
          <t>L40 boss set: lowered so Punchy is a clear (+25%) upgrade</t>
        </is>
      </c>
    </row>
    <row r="166">
      <c r="A166" s="68" t="n">
        <v>230</v>
      </c>
      <c r="B166" s="68" t="inlineStr">
        <is>
          <t>Magus Crown</t>
        </is>
      </c>
      <c r="C166" s="68" t="inlineStr">
        <is>
          <t>MP</t>
        </is>
      </c>
      <c r="D166" s="68" t="n">
        <v>250</v>
      </c>
      <c r="E166" s="68" t="n">
        <v>225</v>
      </c>
      <c r="F166" s="69">
        <f>IF(D166=0,"new",E166/D166-1)</f>
        <v/>
      </c>
      <c r="G166" s="64" t="inlineStr">
        <is>
          <t>L40 boss set: lowered so Punchy is a clear (+25%) upgrade</t>
        </is>
      </c>
    </row>
    <row r="167">
      <c r="A167" s="68" t="n">
        <v>230</v>
      </c>
      <c r="B167" s="68" t="inlineStr">
        <is>
          <t>Magus Crown</t>
        </is>
      </c>
      <c r="C167" s="68" t="inlineStr">
        <is>
          <t>AC</t>
        </is>
      </c>
      <c r="D167" s="68" t="n">
        <v>20</v>
      </c>
      <c r="E167" s="68" t="n">
        <v>19</v>
      </c>
      <c r="F167" s="69">
        <f>IF(D167=0,"new",E167/D167-1)</f>
        <v/>
      </c>
      <c r="G167" s="64" t="inlineStr">
        <is>
          <t>L40 boss set: lowered so Punchy is a clear (+25%) upgrade</t>
        </is>
      </c>
    </row>
    <row r="168">
      <c r="A168" s="68" t="n">
        <v>230</v>
      </c>
      <c r="B168" s="68" t="inlineStr">
        <is>
          <t>Magus Crown</t>
        </is>
      </c>
      <c r="C168" s="68" t="inlineStr">
        <is>
          <t>INT</t>
        </is>
      </c>
      <c r="D168" s="68" t="n">
        <v>16</v>
      </c>
      <c r="E168" s="68" t="n">
        <v>15</v>
      </c>
      <c r="F168" s="69">
        <f>IF(D168=0,"new",E168/D168-1)</f>
        <v/>
      </c>
      <c r="G168" s="64" t="inlineStr">
        <is>
          <t>L40 boss set: lowered so Punchy is a clear (+25%) upgrade</t>
        </is>
      </c>
    </row>
    <row r="169">
      <c r="A169" s="68" t="n">
        <v>231</v>
      </c>
      <c r="B169" s="68" t="inlineStr">
        <is>
          <t>Warriors Helmet</t>
        </is>
      </c>
      <c r="C169" s="68" t="inlineStr">
        <is>
          <t>HP</t>
        </is>
      </c>
      <c r="D169" s="68" t="n">
        <v>125</v>
      </c>
      <c r="E169" s="68" t="n">
        <v>115</v>
      </c>
      <c r="F169" s="69">
        <f>IF(D169=0,"new",E169/D169-1)</f>
        <v/>
      </c>
      <c r="G169" s="64" t="inlineStr">
        <is>
          <t>L40 boss set: lowered so Punchy is a clear (+25%) upgrade</t>
        </is>
      </c>
    </row>
    <row r="170">
      <c r="A170" s="68" t="n">
        <v>231</v>
      </c>
      <c r="B170" s="68" t="inlineStr">
        <is>
          <t>Warriors Helmet</t>
        </is>
      </c>
      <c r="C170" s="68" t="inlineStr">
        <is>
          <t>AC</t>
        </is>
      </c>
      <c r="D170" s="68" t="n">
        <v>34</v>
      </c>
      <c r="E170" s="68" t="n">
        <v>32</v>
      </c>
      <c r="F170" s="69">
        <f>IF(D170=0,"new",E170/D170-1)</f>
        <v/>
      </c>
      <c r="G170" s="64" t="inlineStr">
        <is>
          <t>L40 boss set: lowered so Punchy is a clear (+25%) upgrade</t>
        </is>
      </c>
    </row>
    <row r="171">
      <c r="A171" s="68" t="n">
        <v>231</v>
      </c>
      <c r="B171" s="68" t="inlineStr">
        <is>
          <t>Warriors Helmet</t>
        </is>
      </c>
      <c r="C171" s="68" t="inlineStr">
        <is>
          <t>STA</t>
        </is>
      </c>
      <c r="D171" s="68" t="n">
        <v>12</v>
      </c>
      <c r="E171" s="68" t="n">
        <v>11</v>
      </c>
      <c r="F171" s="69">
        <f>IF(D171=0,"new",E171/D171-1)</f>
        <v/>
      </c>
      <c r="G171" s="64" t="inlineStr">
        <is>
          <t>L40 boss set: lowered so Punchy is a clear (+25%) upgrade</t>
        </is>
      </c>
    </row>
    <row r="172">
      <c r="A172" s="68" t="n">
        <v>232</v>
      </c>
      <c r="B172" s="68" t="inlineStr">
        <is>
          <t>Warriors Legplates</t>
        </is>
      </c>
      <c r="C172" s="68" t="inlineStr">
        <is>
          <t>HP</t>
        </is>
      </c>
      <c r="D172" s="68" t="n">
        <v>150</v>
      </c>
      <c r="E172" s="68" t="n">
        <v>140</v>
      </c>
      <c r="F172" s="69">
        <f>IF(D172=0,"new",E172/D172-1)</f>
        <v/>
      </c>
      <c r="G172" s="64" t="inlineStr">
        <is>
          <t>L40 boss set: lowered so Punchy is a clear (+25%) upgrade</t>
        </is>
      </c>
    </row>
    <row r="173">
      <c r="A173" s="68" t="n">
        <v>232</v>
      </c>
      <c r="B173" s="68" t="inlineStr">
        <is>
          <t>Warriors Legplates</t>
        </is>
      </c>
      <c r="C173" s="68" t="inlineStr">
        <is>
          <t>AC</t>
        </is>
      </c>
      <c r="D173" s="68" t="n">
        <v>55</v>
      </c>
      <c r="E173" s="68" t="n">
        <v>51</v>
      </c>
      <c r="F173" s="69">
        <f>IF(D173=0,"new",E173/D173-1)</f>
        <v/>
      </c>
      <c r="G173" s="64" t="inlineStr">
        <is>
          <t>L40 boss set: lowered so Punchy is a clear (+25%) upgrade</t>
        </is>
      </c>
    </row>
    <row r="174">
      <c r="A174" s="68" t="n">
        <v>232</v>
      </c>
      <c r="B174" s="68" t="inlineStr">
        <is>
          <t>Warriors Legplates</t>
        </is>
      </c>
      <c r="C174" s="68" t="inlineStr">
        <is>
          <t>STR</t>
        </is>
      </c>
      <c r="D174" s="68" t="n">
        <v>8</v>
      </c>
      <c r="E174" s="68" t="n">
        <v>7</v>
      </c>
      <c r="F174" s="69">
        <f>IF(D174=0,"new",E174/D174-1)</f>
        <v/>
      </c>
      <c r="G174" s="64" t="inlineStr">
        <is>
          <t>L40 boss set: lowered so Punchy is a clear (+25%) upgrade</t>
        </is>
      </c>
    </row>
    <row r="175">
      <c r="A175" s="68" t="n">
        <v>232</v>
      </c>
      <c r="B175" s="68" t="inlineStr">
        <is>
          <t>Warriors Legplates</t>
        </is>
      </c>
      <c r="C175" s="68" t="inlineStr">
        <is>
          <t>STA</t>
        </is>
      </c>
      <c r="D175" s="68" t="n">
        <v>12</v>
      </c>
      <c r="E175" s="68" t="n">
        <v>11</v>
      </c>
      <c r="F175" s="69">
        <f>IF(D175=0,"new",E175/D175-1)</f>
        <v/>
      </c>
      <c r="G175" s="64" t="inlineStr">
        <is>
          <t>L40 boss set: lowered so Punchy is a clear (+25%) upgrade</t>
        </is>
      </c>
    </row>
    <row r="176">
      <c r="A176" s="68" t="n">
        <v>233</v>
      </c>
      <c r="B176" s="68" t="inlineStr">
        <is>
          <t>Warriors Boots</t>
        </is>
      </c>
      <c r="C176" s="68" t="inlineStr">
        <is>
          <t>HP</t>
        </is>
      </c>
      <c r="D176" s="68" t="n">
        <v>100</v>
      </c>
      <c r="E176" s="68" t="n">
        <v>90</v>
      </c>
      <c r="F176" s="69">
        <f>IF(D176=0,"new",E176/D176-1)</f>
        <v/>
      </c>
      <c r="G176" s="64" t="inlineStr">
        <is>
          <t>L40 boss set: lowered so Punchy is a clear (+25%) upgrade</t>
        </is>
      </c>
    </row>
    <row r="177">
      <c r="A177" s="68" t="n">
        <v>233</v>
      </c>
      <c r="B177" s="68" t="inlineStr">
        <is>
          <t>Warriors Boots</t>
        </is>
      </c>
      <c r="C177" s="68" t="inlineStr">
        <is>
          <t>AC</t>
        </is>
      </c>
      <c r="D177" s="68" t="n">
        <v>34</v>
      </c>
      <c r="E177" s="68" t="n">
        <v>31</v>
      </c>
      <c r="F177" s="69">
        <f>IF(D177=0,"new",E177/D177-1)</f>
        <v/>
      </c>
      <c r="G177" s="64" t="inlineStr">
        <is>
          <t>L40 boss set: lowered so Punchy is a clear (+25%) upgrade</t>
        </is>
      </c>
    </row>
    <row r="178">
      <c r="A178" s="68" t="n">
        <v>233</v>
      </c>
      <c r="B178" s="68" t="inlineStr">
        <is>
          <t>Warriors Boots</t>
        </is>
      </c>
      <c r="C178" s="68" t="inlineStr">
        <is>
          <t>STA</t>
        </is>
      </c>
      <c r="D178" s="68" t="n">
        <v>10</v>
      </c>
      <c r="E178" s="68" t="n">
        <v>9</v>
      </c>
      <c r="F178" s="69">
        <f>IF(D178=0,"new",E178/D178-1)</f>
        <v/>
      </c>
      <c r="G178" s="64" t="inlineStr">
        <is>
          <t>L40 boss set: lowered so Punchy is a clear (+25%) upgrade</t>
        </is>
      </c>
    </row>
    <row r="179">
      <c r="A179" s="68" t="n">
        <v>234</v>
      </c>
      <c r="B179" s="68" t="inlineStr">
        <is>
          <t>Warriors Chestplate</t>
        </is>
      </c>
      <c r="C179" s="68" t="inlineStr">
        <is>
          <t>HP</t>
        </is>
      </c>
      <c r="D179" s="68" t="n">
        <v>250</v>
      </c>
      <c r="E179" s="68" t="n">
        <v>225</v>
      </c>
      <c r="F179" s="69">
        <f>IF(D179=0,"new",E179/D179-1)</f>
        <v/>
      </c>
      <c r="G179" s="64" t="inlineStr">
        <is>
          <t>L40 boss set: lowered so Punchy is a clear (+25%) upgrade</t>
        </is>
      </c>
    </row>
    <row r="180">
      <c r="A180" s="68" t="n">
        <v>234</v>
      </c>
      <c r="B180" s="68" t="inlineStr">
        <is>
          <t>Warriors Chestplate</t>
        </is>
      </c>
      <c r="C180" s="68" t="inlineStr">
        <is>
          <t>AC</t>
        </is>
      </c>
      <c r="D180" s="68" t="n">
        <v>85</v>
      </c>
      <c r="E180" s="68" t="n">
        <v>79</v>
      </c>
      <c r="F180" s="69">
        <f>IF(D180=0,"new",E180/D180-1)</f>
        <v/>
      </c>
      <c r="G180" s="64" t="inlineStr">
        <is>
          <t>L40 boss set: lowered so Punchy is a clear (+25%) upgrade</t>
        </is>
      </c>
    </row>
    <row r="181">
      <c r="A181" s="68" t="n">
        <v>234</v>
      </c>
      <c r="B181" s="68" t="inlineStr">
        <is>
          <t>Warriors Chestplate</t>
        </is>
      </c>
      <c r="C181" s="68" t="inlineStr">
        <is>
          <t>STR</t>
        </is>
      </c>
      <c r="D181" s="68" t="n">
        <v>12</v>
      </c>
      <c r="E181" s="68" t="n">
        <v>11</v>
      </c>
      <c r="F181" s="69">
        <f>IF(D181=0,"new",E181/D181-1)</f>
        <v/>
      </c>
      <c r="G181" s="64" t="inlineStr">
        <is>
          <t>L40 boss set: lowered so Punchy is a clear (+25%) upgrade</t>
        </is>
      </c>
    </row>
    <row r="182">
      <c r="A182" s="68" t="n">
        <v>234</v>
      </c>
      <c r="B182" s="68" t="inlineStr">
        <is>
          <t>Warriors Chestplate</t>
        </is>
      </c>
      <c r="C182" s="68" t="inlineStr">
        <is>
          <t>STA</t>
        </is>
      </c>
      <c r="D182" s="68" t="n">
        <v>14</v>
      </c>
      <c r="E182" s="68" t="n">
        <v>13</v>
      </c>
      <c r="F182" s="69">
        <f>IF(D182=0,"new",E182/D182-1)</f>
        <v/>
      </c>
      <c r="G182" s="64" t="inlineStr">
        <is>
          <t>L40 boss set: lowered so Punchy is a clear (+25%) upgrade</t>
        </is>
      </c>
    </row>
    <row r="183">
      <c r="A183" s="68" t="n">
        <v>235</v>
      </c>
      <c r="B183" s="68" t="inlineStr">
        <is>
          <t>Rogues Helmet</t>
        </is>
      </c>
      <c r="C183" s="68" t="inlineStr">
        <is>
          <t>HP</t>
        </is>
      </c>
      <c r="D183" s="68" t="n">
        <v>100</v>
      </c>
      <c r="E183" s="68" t="n">
        <v>95</v>
      </c>
      <c r="F183" s="69">
        <f>IF(D183=0,"new",E183/D183-1)</f>
        <v/>
      </c>
      <c r="G183" s="64" t="inlineStr">
        <is>
          <t>L40 boss set: lowered so Punchy is a clear (+25%) upgrade</t>
        </is>
      </c>
    </row>
    <row r="184">
      <c r="A184" s="68" t="n">
        <v>235</v>
      </c>
      <c r="B184" s="68" t="inlineStr">
        <is>
          <t>Rogues Helmet</t>
        </is>
      </c>
      <c r="C184" s="68" t="inlineStr">
        <is>
          <t>MP</t>
        </is>
      </c>
      <c r="D184" s="68" t="n">
        <v>50</v>
      </c>
      <c r="E184" s="68" t="n">
        <v>45</v>
      </c>
      <c r="F184" s="69">
        <f>IF(D184=0,"new",E184/D184-1)</f>
        <v/>
      </c>
      <c r="G184" s="64" t="inlineStr">
        <is>
          <t>L40 boss set: lowered so Punchy is a clear (+25%) upgrade</t>
        </is>
      </c>
    </row>
    <row r="185">
      <c r="A185" s="68" t="n">
        <v>235</v>
      </c>
      <c r="B185" s="68" t="inlineStr">
        <is>
          <t>Rogues Helmet</t>
        </is>
      </c>
      <c r="C185" s="68" t="inlineStr">
        <is>
          <t>AC</t>
        </is>
      </c>
      <c r="D185" s="68" t="n">
        <v>28</v>
      </c>
      <c r="E185" s="68" t="n">
        <v>26</v>
      </c>
      <c r="F185" s="69">
        <f>IF(D185=0,"new",E185/D185-1)</f>
        <v/>
      </c>
      <c r="G185" s="64" t="inlineStr">
        <is>
          <t>L40 boss set: lowered so Punchy is a clear (+25%) upgrade</t>
        </is>
      </c>
    </row>
    <row r="186">
      <c r="A186" s="68" t="n">
        <v>235</v>
      </c>
      <c r="B186" s="68" t="inlineStr">
        <is>
          <t>Rogues Helmet</t>
        </is>
      </c>
      <c r="C186" s="68" t="inlineStr">
        <is>
          <t>STA</t>
        </is>
      </c>
      <c r="D186" s="68" t="n">
        <v>9</v>
      </c>
      <c r="E186" s="68" t="n">
        <v>8</v>
      </c>
      <c r="F186" s="69">
        <f>IF(D186=0,"new",E186/D186-1)</f>
        <v/>
      </c>
      <c r="G186" s="64" t="inlineStr">
        <is>
          <t>L40 boss set: lowered so Punchy is a clear (+25%) upgrade</t>
        </is>
      </c>
    </row>
    <row r="187">
      <c r="A187" s="68" t="n">
        <v>235</v>
      </c>
      <c r="B187" s="68" t="inlineStr">
        <is>
          <t>Rogues Helmet</t>
        </is>
      </c>
      <c r="C187" s="68" t="inlineStr">
        <is>
          <t>DEX</t>
        </is>
      </c>
      <c r="D187" s="68" t="n">
        <v>15</v>
      </c>
      <c r="E187" s="68" t="n">
        <v>14</v>
      </c>
      <c r="F187" s="69">
        <f>IF(D187=0,"new",E187/D187-1)</f>
        <v/>
      </c>
      <c r="G187" s="64" t="inlineStr">
        <is>
          <t>L40 boss set: lowered so Punchy is a clear (+25%) upgrade</t>
        </is>
      </c>
    </row>
    <row r="188">
      <c r="A188" s="68" t="n">
        <v>236</v>
      </c>
      <c r="B188" s="68" t="inlineStr">
        <is>
          <t>Rogues Legplates</t>
        </is>
      </c>
      <c r="C188" s="68" t="inlineStr">
        <is>
          <t>HP</t>
        </is>
      </c>
      <c r="D188" s="68" t="n">
        <v>150</v>
      </c>
      <c r="E188" s="68" t="n">
        <v>140</v>
      </c>
      <c r="F188" s="69">
        <f>IF(D188=0,"new",E188/D188-1)</f>
        <v/>
      </c>
      <c r="G188" s="64" t="inlineStr">
        <is>
          <t>L40 boss set: lowered so Punchy is a clear (+25%) upgrade</t>
        </is>
      </c>
    </row>
    <row r="189">
      <c r="A189" s="68" t="n">
        <v>236</v>
      </c>
      <c r="B189" s="68" t="inlineStr">
        <is>
          <t>Rogues Legplates</t>
        </is>
      </c>
      <c r="C189" s="68" t="inlineStr">
        <is>
          <t>MP</t>
        </is>
      </c>
      <c r="D189" s="68" t="n">
        <v>50</v>
      </c>
      <c r="E189" s="68" t="n">
        <v>45</v>
      </c>
      <c r="F189" s="69">
        <f>IF(D189=0,"new",E189/D189-1)</f>
        <v/>
      </c>
      <c r="G189" s="64" t="inlineStr">
        <is>
          <t>L40 boss set: lowered so Punchy is a clear (+25%) upgrade</t>
        </is>
      </c>
    </row>
    <row r="190">
      <c r="A190" s="68" t="n">
        <v>236</v>
      </c>
      <c r="B190" s="68" t="inlineStr">
        <is>
          <t>Rogues Legplates</t>
        </is>
      </c>
      <c r="C190" s="68" t="inlineStr">
        <is>
          <t>AC</t>
        </is>
      </c>
      <c r="D190" s="68" t="n">
        <v>38</v>
      </c>
      <c r="E190" s="68" t="n">
        <v>35</v>
      </c>
      <c r="F190" s="69">
        <f>IF(D190=0,"new",E190/D190-1)</f>
        <v/>
      </c>
      <c r="G190" s="64" t="inlineStr">
        <is>
          <t>L40 boss set: lowered so Punchy is a clear (+25%) upgrade</t>
        </is>
      </c>
    </row>
    <row r="191">
      <c r="A191" s="68" t="n">
        <v>236</v>
      </c>
      <c r="B191" s="68" t="inlineStr">
        <is>
          <t>Rogues Legplates</t>
        </is>
      </c>
      <c r="C191" s="68" t="inlineStr">
        <is>
          <t>STR</t>
        </is>
      </c>
      <c r="D191" s="68" t="n">
        <v>9</v>
      </c>
      <c r="E191" s="68" t="n">
        <v>8</v>
      </c>
      <c r="F191" s="69">
        <f>IF(D191=0,"new",E191/D191-1)</f>
        <v/>
      </c>
      <c r="G191" s="64" t="inlineStr">
        <is>
          <t>L40 boss set: lowered so Punchy is a clear (+25%) upgrade</t>
        </is>
      </c>
    </row>
    <row r="192">
      <c r="A192" s="68" t="n">
        <v>236</v>
      </c>
      <c r="B192" s="68" t="inlineStr">
        <is>
          <t>Rogues Legplates</t>
        </is>
      </c>
      <c r="C192" s="68" t="inlineStr">
        <is>
          <t>STA</t>
        </is>
      </c>
      <c r="D192" s="68" t="n">
        <v>11</v>
      </c>
      <c r="E192" s="68" t="n">
        <v>10</v>
      </c>
      <c r="F192" s="69">
        <f>IF(D192=0,"new",E192/D192-1)</f>
        <v/>
      </c>
      <c r="G192" s="64" t="inlineStr">
        <is>
          <t>L40 boss set: lowered so Punchy is a clear (+25%) upgrade</t>
        </is>
      </c>
    </row>
    <row r="193">
      <c r="A193" s="68" t="n">
        <v>236</v>
      </c>
      <c r="B193" s="68" t="inlineStr">
        <is>
          <t>Rogues Legplates</t>
        </is>
      </c>
      <c r="C193" s="68" t="inlineStr">
        <is>
          <t>DEX</t>
        </is>
      </c>
      <c r="D193" s="68" t="n">
        <v>15</v>
      </c>
      <c r="E193" s="68" t="n">
        <v>14</v>
      </c>
      <c r="F193" s="69">
        <f>IF(D193=0,"new",E193/D193-1)</f>
        <v/>
      </c>
      <c r="G193" s="64" t="inlineStr">
        <is>
          <t>L40 boss set: lowered so Punchy is a clear (+25%) upgrade</t>
        </is>
      </c>
    </row>
    <row r="194">
      <c r="A194" s="68" t="n">
        <v>237</v>
      </c>
      <c r="B194" s="68" t="inlineStr">
        <is>
          <t>Rogues Boots</t>
        </is>
      </c>
      <c r="C194" s="68" t="inlineStr">
        <is>
          <t>HP</t>
        </is>
      </c>
      <c r="D194" s="68" t="n">
        <v>75</v>
      </c>
      <c r="E194" s="68" t="n">
        <v>70</v>
      </c>
      <c r="F194" s="69">
        <f>IF(D194=0,"new",E194/D194-1)</f>
        <v/>
      </c>
      <c r="G194" s="64" t="inlineStr">
        <is>
          <t>L40 boss set: lowered so Punchy is a clear (+25%) upgrade</t>
        </is>
      </c>
    </row>
    <row r="195">
      <c r="A195" s="68" t="n">
        <v>237</v>
      </c>
      <c r="B195" s="68" t="inlineStr">
        <is>
          <t>Rogues Boots</t>
        </is>
      </c>
      <c r="C195" s="68" t="inlineStr">
        <is>
          <t>AC</t>
        </is>
      </c>
      <c r="D195" s="68" t="n">
        <v>26</v>
      </c>
      <c r="E195" s="68" t="n">
        <v>24</v>
      </c>
      <c r="F195" s="69">
        <f>IF(D195=0,"new",E195/D195-1)</f>
        <v/>
      </c>
      <c r="G195" s="64" t="inlineStr">
        <is>
          <t>L40 boss set: lowered so Punchy is a clear (+25%) upgrade</t>
        </is>
      </c>
    </row>
    <row r="196">
      <c r="A196" s="68" t="n">
        <v>237</v>
      </c>
      <c r="B196" s="68" t="inlineStr">
        <is>
          <t>Rogues Boots</t>
        </is>
      </c>
      <c r="C196" s="68" t="inlineStr">
        <is>
          <t>STA</t>
        </is>
      </c>
      <c r="D196" s="68" t="n">
        <v>9</v>
      </c>
      <c r="E196" s="68" t="n">
        <v>8</v>
      </c>
      <c r="F196" s="69">
        <f>IF(D196=0,"new",E196/D196-1)</f>
        <v/>
      </c>
      <c r="G196" s="64" t="inlineStr">
        <is>
          <t>L40 boss set: lowered so Punchy is a clear (+25%) upgrade</t>
        </is>
      </c>
    </row>
    <row r="197">
      <c r="A197" s="68" t="n">
        <v>237</v>
      </c>
      <c r="B197" s="68" t="inlineStr">
        <is>
          <t>Rogues Boots</t>
        </is>
      </c>
      <c r="C197" s="68" t="inlineStr">
        <is>
          <t>DEX</t>
        </is>
      </c>
      <c r="D197" s="68" t="n">
        <v>15</v>
      </c>
      <c r="E197" s="68" t="n">
        <v>14</v>
      </c>
      <c r="F197" s="69">
        <f>IF(D197=0,"new",E197/D197-1)</f>
        <v/>
      </c>
      <c r="G197" s="64" t="inlineStr">
        <is>
          <t>L40 boss set: lowered so Punchy is a clear (+25%) upgrade</t>
        </is>
      </c>
    </row>
    <row r="198">
      <c r="A198" s="68" t="n">
        <v>238</v>
      </c>
      <c r="B198" s="68" t="inlineStr">
        <is>
          <t>Rogues Chestplate</t>
        </is>
      </c>
      <c r="C198" s="68" t="inlineStr">
        <is>
          <t>HP</t>
        </is>
      </c>
      <c r="D198" s="68" t="n">
        <v>200</v>
      </c>
      <c r="E198" s="68" t="n">
        <v>185</v>
      </c>
      <c r="F198" s="69">
        <f>IF(D198=0,"new",E198/D198-1)</f>
        <v/>
      </c>
      <c r="G198" s="64" t="inlineStr">
        <is>
          <t>L40 boss set: lowered so Punchy is a clear (+25%) upgrade</t>
        </is>
      </c>
    </row>
    <row r="199">
      <c r="A199" s="68" t="n">
        <v>238</v>
      </c>
      <c r="B199" s="68" t="inlineStr">
        <is>
          <t>Rogues Chestplate</t>
        </is>
      </c>
      <c r="C199" s="68" t="inlineStr">
        <is>
          <t>MP</t>
        </is>
      </c>
      <c r="D199" s="68" t="n">
        <v>100</v>
      </c>
      <c r="E199" s="68" t="n">
        <v>95</v>
      </c>
      <c r="F199" s="69">
        <f>IF(D199=0,"new",E199/D199-1)</f>
        <v/>
      </c>
      <c r="G199" s="64" t="inlineStr">
        <is>
          <t>L40 boss set: lowered so Punchy is a clear (+25%) upgrade</t>
        </is>
      </c>
    </row>
    <row r="200">
      <c r="A200" s="68" t="n">
        <v>238</v>
      </c>
      <c r="B200" s="68" t="inlineStr">
        <is>
          <t>Rogues Chestplate</t>
        </is>
      </c>
      <c r="C200" s="68" t="inlineStr">
        <is>
          <t>AC</t>
        </is>
      </c>
      <c r="D200" s="68" t="n">
        <v>60</v>
      </c>
      <c r="E200" s="68" t="n">
        <v>56</v>
      </c>
      <c r="F200" s="69">
        <f>IF(D200=0,"new",E200/D200-1)</f>
        <v/>
      </c>
      <c r="G200" s="64" t="inlineStr">
        <is>
          <t>L40 boss set: lowered so Punchy is a clear (+25%) upgrade</t>
        </is>
      </c>
    </row>
    <row r="201">
      <c r="A201" s="68" t="n">
        <v>238</v>
      </c>
      <c r="B201" s="68" t="inlineStr">
        <is>
          <t>Rogues Chestplate</t>
        </is>
      </c>
      <c r="C201" s="68" t="inlineStr">
        <is>
          <t>STR</t>
        </is>
      </c>
      <c r="D201" s="68" t="n">
        <v>14</v>
      </c>
      <c r="E201" s="68" t="n">
        <v>13</v>
      </c>
      <c r="F201" s="69">
        <f>IF(D201=0,"new",E201/D201-1)</f>
        <v/>
      </c>
      <c r="G201" s="64" t="inlineStr">
        <is>
          <t>L40 boss set: lowered so Punchy is a clear (+25%) upgrade</t>
        </is>
      </c>
    </row>
    <row r="202">
      <c r="A202" s="68" t="n">
        <v>238</v>
      </c>
      <c r="B202" s="68" t="inlineStr">
        <is>
          <t>Rogues Chestplate</t>
        </is>
      </c>
      <c r="C202" s="68" t="inlineStr">
        <is>
          <t>STA</t>
        </is>
      </c>
      <c r="D202" s="68" t="n">
        <v>16</v>
      </c>
      <c r="E202" s="68" t="n">
        <v>15</v>
      </c>
      <c r="F202" s="69">
        <f>IF(D202=0,"new",E202/D202-1)</f>
        <v/>
      </c>
      <c r="G202" s="64" t="inlineStr">
        <is>
          <t>L40 boss set: lowered so Punchy is a clear (+25%) upgrade</t>
        </is>
      </c>
    </row>
    <row r="203">
      <c r="A203" s="68" t="n">
        <v>238</v>
      </c>
      <c r="B203" s="68" t="inlineStr">
        <is>
          <t>Rogues Chestplate</t>
        </is>
      </c>
      <c r="C203" s="68" t="inlineStr">
        <is>
          <t>DEX</t>
        </is>
      </c>
      <c r="D203" s="68" t="n">
        <v>20</v>
      </c>
      <c r="E203" s="68" t="n">
        <v>19</v>
      </c>
      <c r="F203" s="69">
        <f>IF(D203=0,"new",E203/D203-1)</f>
        <v/>
      </c>
      <c r="G203" s="64" t="inlineStr">
        <is>
          <t>L40 boss set: lowered so Punchy is a clear (+25%) upgrade</t>
        </is>
      </c>
    </row>
    <row r="204">
      <c r="A204" s="68" t="n">
        <v>239</v>
      </c>
      <c r="B204" s="68" t="inlineStr">
        <is>
          <t>High Priests Leggings</t>
        </is>
      </c>
      <c r="C204" s="68" t="inlineStr">
        <is>
          <t>HP</t>
        </is>
      </c>
      <c r="D204" s="68" t="n">
        <v>125</v>
      </c>
      <c r="E204" s="68" t="n">
        <v>135</v>
      </c>
      <c r="F204" s="69">
        <f>IF(D204=0,"new",E204/D204-1)</f>
        <v/>
      </c>
      <c r="G204" s="64" t="inlineStr">
        <is>
          <t>Punchy set: raised to +25% over the L40 boss set</t>
        </is>
      </c>
    </row>
    <row r="205">
      <c r="A205" s="68" t="n">
        <v>239</v>
      </c>
      <c r="B205" s="68" t="inlineStr">
        <is>
          <t>High Priests Leggings</t>
        </is>
      </c>
      <c r="C205" s="68" t="inlineStr">
        <is>
          <t>MP</t>
        </is>
      </c>
      <c r="D205" s="68" t="n">
        <v>250</v>
      </c>
      <c r="E205" s="68" t="n">
        <v>275</v>
      </c>
      <c r="F205" s="69">
        <f>IF(D205=0,"new",E205/D205-1)</f>
        <v/>
      </c>
      <c r="G205" s="64" t="inlineStr">
        <is>
          <t>Punchy set: raised to +25% over the L40 boss set</t>
        </is>
      </c>
    </row>
    <row r="206">
      <c r="A206" s="68" t="n">
        <v>239</v>
      </c>
      <c r="B206" s="68" t="inlineStr">
        <is>
          <t>High Priests Leggings</t>
        </is>
      </c>
      <c r="C206" s="68" t="inlineStr">
        <is>
          <t>AC</t>
        </is>
      </c>
      <c r="D206" s="68" t="n">
        <v>40</v>
      </c>
      <c r="E206" s="68" t="n">
        <v>43</v>
      </c>
      <c r="F206" s="69">
        <f>IF(D206=0,"new",E206/D206-1)</f>
        <v/>
      </c>
      <c r="G206" s="64" t="inlineStr">
        <is>
          <t>Punchy set: raised to +25% over the L40 boss set</t>
        </is>
      </c>
    </row>
    <row r="207">
      <c r="A207" s="68" t="n">
        <v>239</v>
      </c>
      <c r="B207" s="68" t="inlineStr">
        <is>
          <t>High Priests Leggings</t>
        </is>
      </c>
      <c r="C207" s="68" t="inlineStr">
        <is>
          <t>STA</t>
        </is>
      </c>
      <c r="D207" s="68" t="n">
        <v>10</v>
      </c>
      <c r="E207" s="68" t="n">
        <v>11</v>
      </c>
      <c r="F207" s="69">
        <f>IF(D207=0,"new",E207/D207-1)</f>
        <v/>
      </c>
      <c r="G207" s="64" t="inlineStr">
        <is>
          <t>Punchy set: raised to +25% over the L40 boss set</t>
        </is>
      </c>
    </row>
    <row r="208">
      <c r="A208" s="68" t="n">
        <v>239</v>
      </c>
      <c r="B208" s="68" t="inlineStr">
        <is>
          <t>High Priests Leggings</t>
        </is>
      </c>
      <c r="C208" s="68" t="inlineStr">
        <is>
          <t>INT</t>
        </is>
      </c>
      <c r="D208" s="68" t="n">
        <v>17</v>
      </c>
      <c r="E208" s="68" t="n">
        <v>18</v>
      </c>
      <c r="F208" s="69">
        <f>IF(D208=0,"new",E208/D208-1)</f>
        <v/>
      </c>
      <c r="G208" s="64" t="inlineStr">
        <is>
          <t>Punchy set: raised to +25% over the L40 boss set</t>
        </is>
      </c>
    </row>
    <row r="209">
      <c r="A209" s="68" t="n">
        <v>240</v>
      </c>
      <c r="B209" s="68" t="inlineStr">
        <is>
          <t>High Priests Shoes</t>
        </is>
      </c>
      <c r="C209" s="68" t="inlineStr">
        <is>
          <t>HP</t>
        </is>
      </c>
      <c r="D209" s="68" t="n">
        <v>75</v>
      </c>
      <c r="E209" s="68" t="n">
        <v>80</v>
      </c>
      <c r="F209" s="69">
        <f>IF(D209=0,"new",E209/D209-1)</f>
        <v/>
      </c>
      <c r="G209" s="64" t="inlineStr">
        <is>
          <t>Punchy set: raised to +25% over the L40 boss set</t>
        </is>
      </c>
    </row>
    <row r="210">
      <c r="A210" s="68" t="n">
        <v>240</v>
      </c>
      <c r="B210" s="68" t="inlineStr">
        <is>
          <t>High Priests Shoes</t>
        </is>
      </c>
      <c r="C210" s="68" t="inlineStr">
        <is>
          <t>MP</t>
        </is>
      </c>
      <c r="D210" s="68" t="n">
        <v>150</v>
      </c>
      <c r="E210" s="68" t="n">
        <v>165</v>
      </c>
      <c r="F210" s="69">
        <f>IF(D210=0,"new",E210/D210-1)</f>
        <v/>
      </c>
      <c r="G210" s="64" t="inlineStr">
        <is>
          <t>Punchy set: raised to +25% over the L40 boss set</t>
        </is>
      </c>
    </row>
    <row r="211">
      <c r="A211" s="68" t="n">
        <v>240</v>
      </c>
      <c r="B211" s="68" t="inlineStr">
        <is>
          <t>High Priests Shoes</t>
        </is>
      </c>
      <c r="C211" s="68" t="inlineStr">
        <is>
          <t>AC</t>
        </is>
      </c>
      <c r="D211" s="68" t="n">
        <v>26</v>
      </c>
      <c r="E211" s="68" t="n">
        <v>29</v>
      </c>
      <c r="F211" s="69">
        <f>IF(D211=0,"new",E211/D211-1)</f>
        <v/>
      </c>
      <c r="G211" s="64" t="inlineStr">
        <is>
          <t>Punchy set: raised to +25% over the L40 boss set</t>
        </is>
      </c>
    </row>
    <row r="212">
      <c r="A212" s="68" t="n">
        <v>240</v>
      </c>
      <c r="B212" s="68" t="inlineStr">
        <is>
          <t>High Priests Shoes</t>
        </is>
      </c>
      <c r="C212" s="68" t="inlineStr">
        <is>
          <t>STA</t>
        </is>
      </c>
      <c r="D212" s="68" t="n">
        <v>8</v>
      </c>
      <c r="E212" s="68" t="n">
        <v>9</v>
      </c>
      <c r="F212" s="69">
        <f>IF(D212=0,"new",E212/D212-1)</f>
        <v/>
      </c>
      <c r="G212" s="64" t="inlineStr">
        <is>
          <t>Punchy set: raised to +25% over the L40 boss set</t>
        </is>
      </c>
    </row>
    <row r="213">
      <c r="A213" s="68" t="n">
        <v>240</v>
      </c>
      <c r="B213" s="68" t="inlineStr">
        <is>
          <t>High Priests Shoes</t>
        </is>
      </c>
      <c r="C213" s="68" t="inlineStr">
        <is>
          <t>INT</t>
        </is>
      </c>
      <c r="D213" s="68" t="n">
        <v>13</v>
      </c>
      <c r="E213" s="68" t="n">
        <v>14</v>
      </c>
      <c r="F213" s="69">
        <f>IF(D213=0,"new",E213/D213-1)</f>
        <v/>
      </c>
      <c r="G213" s="64" t="inlineStr">
        <is>
          <t>Punchy set: raised to +25% over the L40 boss set</t>
        </is>
      </c>
    </row>
    <row r="214">
      <c r="A214" s="68" t="n">
        <v>241</v>
      </c>
      <c r="B214" s="68" t="inlineStr">
        <is>
          <t>High Priests Crown</t>
        </is>
      </c>
      <c r="C214" s="68" t="inlineStr">
        <is>
          <t>HP</t>
        </is>
      </c>
      <c r="D214" s="68" t="n">
        <v>100</v>
      </c>
      <c r="E214" s="68" t="n">
        <v>110</v>
      </c>
      <c r="F214" s="69">
        <f>IF(D214=0,"new",E214/D214-1)</f>
        <v/>
      </c>
      <c r="G214" s="64" t="inlineStr">
        <is>
          <t>Punchy set: raised to +25% over the L40 boss set</t>
        </is>
      </c>
    </row>
    <row r="215">
      <c r="A215" s="68" t="n">
        <v>241</v>
      </c>
      <c r="B215" s="68" t="inlineStr">
        <is>
          <t>High Priests Crown</t>
        </is>
      </c>
      <c r="C215" s="68" t="inlineStr">
        <is>
          <t>MP</t>
        </is>
      </c>
      <c r="D215" s="68" t="n">
        <v>200</v>
      </c>
      <c r="E215" s="68" t="n">
        <v>225</v>
      </c>
      <c r="F215" s="69">
        <f>IF(D215=0,"new",E215/D215-1)</f>
        <v/>
      </c>
      <c r="G215" s="64" t="inlineStr">
        <is>
          <t>Punchy set: raised to +25% over the L40 boss set</t>
        </is>
      </c>
    </row>
    <row r="216">
      <c r="A216" s="68" t="n">
        <v>241</v>
      </c>
      <c r="B216" s="68" t="inlineStr">
        <is>
          <t>High Priests Crown</t>
        </is>
      </c>
      <c r="C216" s="68" t="inlineStr">
        <is>
          <t>AC</t>
        </is>
      </c>
      <c r="D216" s="68" t="n">
        <v>30</v>
      </c>
      <c r="E216" s="68" t="n">
        <v>32</v>
      </c>
      <c r="F216" s="69">
        <f>IF(D216=0,"new",E216/D216-1)</f>
        <v/>
      </c>
      <c r="G216" s="64" t="inlineStr">
        <is>
          <t>Punchy set: raised to +25% over the L40 boss set</t>
        </is>
      </c>
    </row>
    <row r="217">
      <c r="A217" s="68" t="n">
        <v>241</v>
      </c>
      <c r="B217" s="68" t="inlineStr">
        <is>
          <t>High Priests Crown</t>
        </is>
      </c>
      <c r="C217" s="68" t="inlineStr">
        <is>
          <t>STA</t>
        </is>
      </c>
      <c r="D217" s="68" t="n">
        <v>9</v>
      </c>
      <c r="E217" s="68" t="n">
        <v>10</v>
      </c>
      <c r="F217" s="69">
        <f>IF(D217=0,"new",E217/D217-1)</f>
        <v/>
      </c>
      <c r="G217" s="64" t="inlineStr">
        <is>
          <t>Punchy set: raised to +25% over the L40 boss set</t>
        </is>
      </c>
    </row>
    <row r="218">
      <c r="A218" s="68" t="n">
        <v>241</v>
      </c>
      <c r="B218" s="68" t="inlineStr">
        <is>
          <t>High Priests Crown</t>
        </is>
      </c>
      <c r="C218" s="68" t="inlineStr">
        <is>
          <t>INT</t>
        </is>
      </c>
      <c r="D218" s="68" t="n">
        <v>15</v>
      </c>
      <c r="E218" s="68" t="n">
        <v>16</v>
      </c>
      <c r="F218" s="69">
        <f>IF(D218=0,"new",E218/D218-1)</f>
        <v/>
      </c>
      <c r="G218" s="64" t="inlineStr">
        <is>
          <t>Punchy set: raised to +25% over the L40 boss set</t>
        </is>
      </c>
    </row>
    <row r="219">
      <c r="A219" s="68" t="n">
        <v>242</v>
      </c>
      <c r="B219" s="68" t="inlineStr">
        <is>
          <t>High Priests Tunic</t>
        </is>
      </c>
      <c r="C219" s="68" t="inlineStr">
        <is>
          <t>HP</t>
        </is>
      </c>
      <c r="D219" s="68" t="n">
        <v>250</v>
      </c>
      <c r="E219" s="68" t="n">
        <v>275</v>
      </c>
      <c r="F219" s="69">
        <f>IF(D219=0,"new",E219/D219-1)</f>
        <v/>
      </c>
      <c r="G219" s="64" t="inlineStr">
        <is>
          <t>Punchy set: raised to +25% over the L40 boss set</t>
        </is>
      </c>
    </row>
    <row r="220">
      <c r="A220" s="68" t="n">
        <v>242</v>
      </c>
      <c r="B220" s="68" t="inlineStr">
        <is>
          <t>High Priests Tunic</t>
        </is>
      </c>
      <c r="C220" s="68" t="inlineStr">
        <is>
          <t>MP</t>
        </is>
      </c>
      <c r="D220" s="68" t="n">
        <v>400</v>
      </c>
      <c r="E220" s="68" t="n">
        <v>425</v>
      </c>
      <c r="F220" s="69">
        <f>IF(D220=0,"new",E220/D220-1)</f>
        <v/>
      </c>
      <c r="G220" s="64" t="inlineStr">
        <is>
          <t>Punchy set: raised to +25% over the L40 boss set</t>
        </is>
      </c>
    </row>
    <row r="221">
      <c r="A221" s="68" t="n">
        <v>242</v>
      </c>
      <c r="B221" s="68" t="inlineStr">
        <is>
          <t>High Priests Tunic</t>
        </is>
      </c>
      <c r="C221" s="68" t="inlineStr">
        <is>
          <t>AC</t>
        </is>
      </c>
      <c r="D221" s="68" t="n">
        <v>60</v>
      </c>
      <c r="E221" s="68" t="n">
        <v>65</v>
      </c>
      <c r="F221" s="69">
        <f>IF(D221=0,"new",E221/D221-1)</f>
        <v/>
      </c>
      <c r="G221" s="64" t="inlineStr">
        <is>
          <t>Punchy set: raised to +25% over the L40 boss set</t>
        </is>
      </c>
    </row>
    <row r="222">
      <c r="A222" s="68" t="n">
        <v>242</v>
      </c>
      <c r="B222" s="68" t="inlineStr">
        <is>
          <t>High Priests Tunic</t>
        </is>
      </c>
      <c r="C222" s="68" t="inlineStr">
        <is>
          <t>STA</t>
        </is>
      </c>
      <c r="D222" s="68" t="n">
        <v>14</v>
      </c>
      <c r="E222" s="68" t="n">
        <v>15</v>
      </c>
      <c r="F222" s="69">
        <f>IF(D222=0,"new",E222/D222-1)</f>
        <v/>
      </c>
      <c r="G222" s="64" t="inlineStr">
        <is>
          <t>Punchy set: raised to +25% over the L40 boss set</t>
        </is>
      </c>
    </row>
    <row r="223">
      <c r="A223" s="68" t="n">
        <v>242</v>
      </c>
      <c r="B223" s="68" t="inlineStr">
        <is>
          <t>High Priests Tunic</t>
        </is>
      </c>
      <c r="C223" s="68" t="inlineStr">
        <is>
          <t>INT</t>
        </is>
      </c>
      <c r="D223" s="68" t="n">
        <v>24</v>
      </c>
      <c r="E223" s="68" t="n">
        <v>26</v>
      </c>
      <c r="F223" s="69">
        <f>IF(D223=0,"new",E223/D223-1)</f>
        <v/>
      </c>
      <c r="G223" s="64" t="inlineStr">
        <is>
          <t>Punchy set: raised to +25% over the L40 boss set</t>
        </is>
      </c>
    </row>
    <row r="224">
      <c r="A224" s="68" t="n">
        <v>243</v>
      </c>
      <c r="B224" s="68" t="inlineStr">
        <is>
          <t>Elemental Leggings</t>
        </is>
      </c>
      <c r="C224" s="68" t="inlineStr">
        <is>
          <t>HP</t>
        </is>
      </c>
      <c r="D224" s="68" t="n">
        <v>50</v>
      </c>
      <c r="E224" s="68" t="n">
        <v>55</v>
      </c>
      <c r="F224" s="69">
        <f>IF(D224=0,"new",E224/D224-1)</f>
        <v/>
      </c>
      <c r="G224" s="64" t="inlineStr">
        <is>
          <t>Punchy set: raised to +25% over the L40 boss set</t>
        </is>
      </c>
    </row>
    <row r="225">
      <c r="A225" s="68" t="n">
        <v>243</v>
      </c>
      <c r="B225" s="68" t="inlineStr">
        <is>
          <t>Elemental Leggings</t>
        </is>
      </c>
      <c r="C225" s="68" t="inlineStr">
        <is>
          <t>MP</t>
        </is>
      </c>
      <c r="D225" s="68" t="n">
        <v>375</v>
      </c>
      <c r="E225" s="68" t="n">
        <v>400</v>
      </c>
      <c r="F225" s="69">
        <f>IF(D225=0,"new",E225/D225-1)</f>
        <v/>
      </c>
      <c r="G225" s="64" t="inlineStr">
        <is>
          <t>Punchy set: raised to +25% over the L40 boss set</t>
        </is>
      </c>
    </row>
    <row r="226">
      <c r="A226" s="68" t="n">
        <v>243</v>
      </c>
      <c r="B226" s="68" t="inlineStr">
        <is>
          <t>Elemental Leggings</t>
        </is>
      </c>
      <c r="C226" s="68" t="inlineStr">
        <is>
          <t>AC</t>
        </is>
      </c>
      <c r="D226" s="68" t="n">
        <v>38</v>
      </c>
      <c r="E226" s="68" t="n">
        <v>41</v>
      </c>
      <c r="F226" s="69">
        <f>IF(D226=0,"new",E226/D226-1)</f>
        <v/>
      </c>
      <c r="G226" s="64" t="inlineStr">
        <is>
          <t>Punchy set: raised to +25% over the L40 boss set</t>
        </is>
      </c>
    </row>
    <row r="227">
      <c r="A227" s="68" t="n">
        <v>243</v>
      </c>
      <c r="B227" s="68" t="inlineStr">
        <is>
          <t>Elemental Leggings</t>
        </is>
      </c>
      <c r="C227" s="68" t="inlineStr">
        <is>
          <t>STA</t>
        </is>
      </c>
      <c r="D227" s="68" t="n">
        <v>7</v>
      </c>
      <c r="E227" s="68" t="n">
        <v>8</v>
      </c>
      <c r="F227" s="69">
        <f>IF(D227=0,"new",E227/D227-1)</f>
        <v/>
      </c>
      <c r="G227" s="64" t="inlineStr">
        <is>
          <t>Punchy set: raised to +25% over the L40 boss set</t>
        </is>
      </c>
    </row>
    <row r="228">
      <c r="A228" s="68" t="n">
        <v>243</v>
      </c>
      <c r="B228" s="68" t="inlineStr">
        <is>
          <t>Elemental Leggings</t>
        </is>
      </c>
      <c r="C228" s="68" t="inlineStr">
        <is>
          <t>INT</t>
        </is>
      </c>
      <c r="D228" s="68" t="n">
        <v>19</v>
      </c>
      <c r="E228" s="68" t="n">
        <v>21</v>
      </c>
      <c r="F228" s="69">
        <f>IF(D228=0,"new",E228/D228-1)</f>
        <v/>
      </c>
      <c r="G228" s="64" t="inlineStr">
        <is>
          <t>Punchy set: raised to +25% over the L40 boss set</t>
        </is>
      </c>
    </row>
    <row r="229">
      <c r="A229" s="68" t="n">
        <v>244</v>
      </c>
      <c r="B229" s="68" t="inlineStr">
        <is>
          <t>Elemental Shoes</t>
        </is>
      </c>
      <c r="C229" s="68" t="inlineStr">
        <is>
          <t>HP</t>
        </is>
      </c>
      <c r="D229" s="68" t="n">
        <v>25</v>
      </c>
      <c r="E229" s="68" t="n">
        <v>30</v>
      </c>
      <c r="F229" s="69">
        <f>IF(D229=0,"new",E229/D229-1)</f>
        <v/>
      </c>
      <c r="G229" s="64" t="inlineStr">
        <is>
          <t>Punchy set: raised to +25% over the L40 boss set</t>
        </is>
      </c>
    </row>
    <row r="230">
      <c r="A230" s="68" t="n">
        <v>244</v>
      </c>
      <c r="B230" s="68" t="inlineStr">
        <is>
          <t>Elemental Shoes</t>
        </is>
      </c>
      <c r="C230" s="68" t="inlineStr">
        <is>
          <t>MP</t>
        </is>
      </c>
      <c r="D230" s="68" t="n">
        <v>225</v>
      </c>
      <c r="E230" s="68" t="n">
        <v>250</v>
      </c>
      <c r="F230" s="69">
        <f>IF(D230=0,"new",E230/D230-1)</f>
        <v/>
      </c>
      <c r="G230" s="64" t="inlineStr">
        <is>
          <t>Punchy set: raised to +25% over the L40 boss set</t>
        </is>
      </c>
    </row>
    <row r="231">
      <c r="A231" s="68" t="n">
        <v>244</v>
      </c>
      <c r="B231" s="68" t="inlineStr">
        <is>
          <t>Elemental Shoes</t>
        </is>
      </c>
      <c r="C231" s="68" t="inlineStr">
        <is>
          <t>AC</t>
        </is>
      </c>
      <c r="D231" s="68" t="n">
        <v>25</v>
      </c>
      <c r="E231" s="68" t="n">
        <v>28</v>
      </c>
      <c r="F231" s="69">
        <f>IF(D231=0,"new",E231/D231-1)</f>
        <v/>
      </c>
      <c r="G231" s="64" t="inlineStr">
        <is>
          <t>Punchy set: raised to +25% over the L40 boss set</t>
        </is>
      </c>
    </row>
    <row r="232">
      <c r="A232" s="68" t="n">
        <v>244</v>
      </c>
      <c r="B232" s="68" t="inlineStr">
        <is>
          <t>Elemental Shoes</t>
        </is>
      </c>
      <c r="C232" s="68" t="inlineStr">
        <is>
          <t>STA</t>
        </is>
      </c>
      <c r="D232" s="68" t="n">
        <v>5</v>
      </c>
      <c r="E232" s="68" t="n">
        <v>6</v>
      </c>
      <c r="F232" s="69">
        <f>IF(D232=0,"new",E232/D232-1)</f>
        <v/>
      </c>
      <c r="G232" s="64" t="inlineStr">
        <is>
          <t>Punchy set: raised to +25% over the L40 boss set</t>
        </is>
      </c>
    </row>
    <row r="233">
      <c r="A233" s="68" t="n">
        <v>244</v>
      </c>
      <c r="B233" s="68" t="inlineStr">
        <is>
          <t>Elemental Shoes</t>
        </is>
      </c>
      <c r="C233" s="68" t="inlineStr">
        <is>
          <t>INT</t>
        </is>
      </c>
      <c r="D233" s="68" t="n">
        <v>14</v>
      </c>
      <c r="E233" s="68" t="n">
        <v>15</v>
      </c>
      <c r="F233" s="69">
        <f>IF(D233=0,"new",E233/D233-1)</f>
        <v/>
      </c>
      <c r="G233" s="64" t="inlineStr">
        <is>
          <t>Punchy set: raised to +25% over the L40 boss set</t>
        </is>
      </c>
    </row>
    <row r="234">
      <c r="A234" s="68" t="n">
        <v>245</v>
      </c>
      <c r="B234" s="68" t="inlineStr">
        <is>
          <t>Elemental Tunic</t>
        </is>
      </c>
      <c r="C234" s="68" t="inlineStr">
        <is>
          <t>HP</t>
        </is>
      </c>
      <c r="D234" s="68" t="n">
        <v>75</v>
      </c>
      <c r="E234" s="68" t="n">
        <v>80</v>
      </c>
      <c r="F234" s="69">
        <f>IF(D234=0,"new",E234/D234-1)</f>
        <v/>
      </c>
      <c r="G234" s="64" t="inlineStr">
        <is>
          <t>Punchy set: raised to +25% over the L40 boss set</t>
        </is>
      </c>
    </row>
    <row r="235">
      <c r="A235" s="68" t="n">
        <v>245</v>
      </c>
      <c r="B235" s="68" t="inlineStr">
        <is>
          <t>Elemental Tunic</t>
        </is>
      </c>
      <c r="C235" s="68" t="inlineStr">
        <is>
          <t>MP</t>
        </is>
      </c>
      <c r="D235" s="68" t="n">
        <v>550</v>
      </c>
      <c r="E235" s="68" t="n">
        <v>600</v>
      </c>
      <c r="F235" s="69">
        <f>IF(D235=0,"new",E235/D235-1)</f>
        <v/>
      </c>
      <c r="G235" s="64" t="inlineStr">
        <is>
          <t>Punchy set: raised to +25% over the L40 boss set</t>
        </is>
      </c>
    </row>
    <row r="236">
      <c r="A236" s="68" t="n">
        <v>245</v>
      </c>
      <c r="B236" s="68" t="inlineStr">
        <is>
          <t>Elemental Tunic</t>
        </is>
      </c>
      <c r="C236" s="68" t="inlineStr">
        <is>
          <t>AC</t>
        </is>
      </c>
      <c r="D236" s="68" t="n">
        <v>55</v>
      </c>
      <c r="E236" s="68" t="n">
        <v>59</v>
      </c>
      <c r="F236" s="69">
        <f>IF(D236=0,"new",E236/D236-1)</f>
        <v/>
      </c>
      <c r="G236" s="64" t="inlineStr">
        <is>
          <t>Punchy set: raised to +25% over the L40 boss set</t>
        </is>
      </c>
    </row>
    <row r="237">
      <c r="A237" s="68" t="n">
        <v>245</v>
      </c>
      <c r="B237" s="68" t="inlineStr">
        <is>
          <t>Elemental Tunic</t>
        </is>
      </c>
      <c r="C237" s="68" t="inlineStr">
        <is>
          <t>STA</t>
        </is>
      </c>
      <c r="D237" s="68" t="n">
        <v>8</v>
      </c>
      <c r="E237" s="68" t="n">
        <v>9</v>
      </c>
      <c r="F237" s="69">
        <f>IF(D237=0,"new",E237/D237-1)</f>
        <v/>
      </c>
      <c r="G237" s="64" t="inlineStr">
        <is>
          <t>Punchy set: raised to +25% over the L40 boss set</t>
        </is>
      </c>
    </row>
    <row r="238">
      <c r="A238" s="68" t="n">
        <v>245</v>
      </c>
      <c r="B238" s="68" t="inlineStr">
        <is>
          <t>Elemental Tunic</t>
        </is>
      </c>
      <c r="C238" s="68" t="inlineStr">
        <is>
          <t>INT</t>
        </is>
      </c>
      <c r="D238" s="68" t="n">
        <v>30</v>
      </c>
      <c r="E238" s="68" t="n">
        <v>32</v>
      </c>
      <c r="F238" s="69">
        <f>IF(D238=0,"new",E238/D238-1)</f>
        <v/>
      </c>
      <c r="G238" s="64" t="inlineStr">
        <is>
          <t>Punchy set: raised to +25% over the L40 boss set</t>
        </is>
      </c>
    </row>
    <row r="239">
      <c r="A239" s="68" t="n">
        <v>246</v>
      </c>
      <c r="B239" s="68" t="inlineStr">
        <is>
          <t>Elemental Crown</t>
        </is>
      </c>
      <c r="C239" s="68" t="inlineStr">
        <is>
          <t>MP</t>
        </is>
      </c>
      <c r="D239" s="68" t="n">
        <v>275</v>
      </c>
      <c r="E239" s="68" t="n">
        <v>300</v>
      </c>
      <c r="F239" s="69">
        <f>IF(D239=0,"new",E239/D239-1)</f>
        <v/>
      </c>
      <c r="G239" s="64" t="inlineStr">
        <is>
          <t>Punchy set: raised to +25% over the L40 boss set</t>
        </is>
      </c>
    </row>
    <row r="240">
      <c r="A240" s="68" t="n">
        <v>246</v>
      </c>
      <c r="B240" s="68" t="inlineStr">
        <is>
          <t>Elemental Crown</t>
        </is>
      </c>
      <c r="C240" s="68" t="inlineStr">
        <is>
          <t>AC</t>
        </is>
      </c>
      <c r="D240" s="68" t="n">
        <v>28</v>
      </c>
      <c r="E240" s="68" t="n">
        <v>30</v>
      </c>
      <c r="F240" s="69">
        <f>IF(D240=0,"new",E240/D240-1)</f>
        <v/>
      </c>
      <c r="G240" s="64" t="inlineStr">
        <is>
          <t>Punchy set: raised to +25% over the L40 boss set</t>
        </is>
      </c>
    </row>
    <row r="241">
      <c r="A241" s="68" t="n">
        <v>246</v>
      </c>
      <c r="B241" s="68" t="inlineStr">
        <is>
          <t>Elemental Crown</t>
        </is>
      </c>
      <c r="C241" s="68" t="inlineStr">
        <is>
          <t>INT</t>
        </is>
      </c>
      <c r="D241" s="68" t="n">
        <v>17</v>
      </c>
      <c r="E241" s="68" t="n">
        <v>18</v>
      </c>
      <c r="F241" s="69">
        <f>IF(D241=0,"new",E241/D241-1)</f>
        <v/>
      </c>
      <c r="G241" s="64" t="inlineStr">
        <is>
          <t>Punchy set: raised to +25% over the L40 boss set</t>
        </is>
      </c>
    </row>
    <row r="242">
      <c r="A242" s="68" t="n">
        <v>247</v>
      </c>
      <c r="B242" s="68" t="inlineStr">
        <is>
          <t>Whirling Leggings</t>
        </is>
      </c>
      <c r="C242" s="68" t="inlineStr">
        <is>
          <t>HP</t>
        </is>
      </c>
      <c r="D242" s="68" t="n">
        <v>50</v>
      </c>
      <c r="E242" s="68" t="n">
        <v>70</v>
      </c>
      <c r="F242" s="69">
        <f>IF(D242=0,"new",E242/D242-1)</f>
        <v/>
      </c>
      <c r="G242" s="64" t="inlineStr">
        <is>
          <t>Raised so it is 10% over Elemental Leggings for Magus (pass 2 class weights)</t>
        </is>
      </c>
    </row>
    <row r="243">
      <c r="A243" s="68" t="n">
        <v>247</v>
      </c>
      <c r="B243" s="68" t="inlineStr">
        <is>
          <t>Whirling Leggings</t>
        </is>
      </c>
      <c r="C243" s="68" t="inlineStr">
        <is>
          <t>MP</t>
        </is>
      </c>
      <c r="D243" s="68" t="n">
        <v>200</v>
      </c>
      <c r="E243" s="68" t="n">
        <v>275</v>
      </c>
      <c r="F243" s="69">
        <f>IF(D243=0,"new",E243/D243-1)</f>
        <v/>
      </c>
      <c r="G243" s="64" t="inlineStr">
        <is>
          <t>Raised so it is 10% over Elemental Leggings for Magus (pass 2 class weights)</t>
        </is>
      </c>
    </row>
    <row r="244">
      <c r="A244" s="68" t="n">
        <v>247</v>
      </c>
      <c r="B244" s="68" t="inlineStr">
        <is>
          <t>Whirling Leggings</t>
        </is>
      </c>
      <c r="C244" s="68" t="inlineStr">
        <is>
          <t>STA</t>
        </is>
      </c>
      <c r="D244" s="68" t="n">
        <v>6</v>
      </c>
      <c r="E244" s="68" t="n">
        <v>8</v>
      </c>
      <c r="F244" s="69">
        <f>IF(D244=0,"new",E244/D244-1)</f>
        <v/>
      </c>
      <c r="G244" s="64" t="inlineStr">
        <is>
          <t>Raised so it is 10% over Elemental Leggings for Magus (pass 2 class weights)</t>
        </is>
      </c>
    </row>
    <row r="245">
      <c r="A245" s="68" t="n">
        <v>247</v>
      </c>
      <c r="B245" s="68" t="inlineStr">
        <is>
          <t>Whirling Leggings</t>
        </is>
      </c>
      <c r="C245" s="68" t="inlineStr">
        <is>
          <t>INT</t>
        </is>
      </c>
      <c r="D245" s="68" t="n">
        <v>22</v>
      </c>
      <c r="E245" s="68" t="n">
        <v>30</v>
      </c>
      <c r="F245" s="69">
        <f>IF(D245=0,"new",E245/D245-1)</f>
        <v/>
      </c>
      <c r="G245" s="64" t="inlineStr">
        <is>
          <t>Raised so it is 10% over Elemental Leggings for Magus (pass 2 class weights)</t>
        </is>
      </c>
    </row>
    <row r="246">
      <c r="A246" s="68" t="n">
        <v>248</v>
      </c>
      <c r="B246" s="68" t="inlineStr">
        <is>
          <t>Whirling Slippers</t>
        </is>
      </c>
      <c r="C246" s="68" t="inlineStr">
        <is>
          <t>MP</t>
        </is>
      </c>
      <c r="D246" s="68" t="n">
        <v>75</v>
      </c>
      <c r="E246" s="68" t="n">
        <v>165</v>
      </c>
      <c r="F246" s="69">
        <f>IF(D246=0,"new",E246/D246-1)</f>
        <v/>
      </c>
      <c r="G246" s="64" t="inlineStr">
        <is>
          <t>Raised so it is 10% over Elemental Shoes for Magus (pass 2 class weights)</t>
        </is>
      </c>
    </row>
    <row r="247">
      <c r="A247" s="68" t="n">
        <v>248</v>
      </c>
      <c r="B247" s="68" t="inlineStr">
        <is>
          <t>Whirling Slippers</t>
        </is>
      </c>
      <c r="C247" s="68" t="inlineStr">
        <is>
          <t>STA</t>
        </is>
      </c>
      <c r="D247" s="68" t="n">
        <v>5</v>
      </c>
      <c r="E247" s="68" t="n">
        <v>11</v>
      </c>
      <c r="F247" s="69">
        <f>IF(D247=0,"new",E247/D247-1)</f>
        <v/>
      </c>
      <c r="G247" s="64" t="inlineStr">
        <is>
          <t>Raised so it is 10% over Elemental Shoes for Magus (pass 2 class weights)</t>
        </is>
      </c>
    </row>
    <row r="248">
      <c r="A248" s="68" t="n">
        <v>248</v>
      </c>
      <c r="B248" s="68" t="inlineStr">
        <is>
          <t>Whirling Slippers</t>
        </is>
      </c>
      <c r="C248" s="68" t="inlineStr">
        <is>
          <t>INT</t>
        </is>
      </c>
      <c r="D248" s="68" t="n">
        <v>9</v>
      </c>
      <c r="E248" s="68" t="n">
        <v>21</v>
      </c>
      <c r="F248" s="69">
        <f>IF(D248=0,"new",E248/D248-1)</f>
        <v/>
      </c>
      <c r="G248" s="64" t="inlineStr">
        <is>
          <t>Raised so it is 10% over Elemental Shoes for Magus (pass 2 class weights)</t>
        </is>
      </c>
    </row>
    <row r="249">
      <c r="A249" s="68" t="n">
        <v>249</v>
      </c>
      <c r="B249" s="68" t="inlineStr">
        <is>
          <t>Whirling Hat</t>
        </is>
      </c>
      <c r="C249" s="68" t="inlineStr">
        <is>
          <t>HP</t>
        </is>
      </c>
      <c r="D249" s="68" t="n">
        <v>50</v>
      </c>
      <c r="E249" s="68" t="n">
        <v>65</v>
      </c>
      <c r="F249" s="69">
        <f>IF(D249=0,"new",E249/D249-1)</f>
        <v/>
      </c>
      <c r="G249" s="64" t="inlineStr">
        <is>
          <t>Raised so it is 10% over Elemental Crown for Magus (pass 2 class weights)</t>
        </is>
      </c>
    </row>
    <row r="250">
      <c r="A250" s="68" t="n">
        <v>249</v>
      </c>
      <c r="B250" s="68" t="inlineStr">
        <is>
          <t>Whirling Hat</t>
        </is>
      </c>
      <c r="C250" s="68" t="inlineStr">
        <is>
          <t>MP</t>
        </is>
      </c>
      <c r="D250" s="68" t="n">
        <v>175</v>
      </c>
      <c r="E250" s="68" t="n">
        <v>225</v>
      </c>
      <c r="F250" s="69">
        <f>IF(D250=0,"new",E250/D250-1)</f>
        <v/>
      </c>
      <c r="G250" s="64" t="inlineStr">
        <is>
          <t>Raised so it is 10% over Elemental Crown for Magus (pass 2 class weights)</t>
        </is>
      </c>
    </row>
    <row r="251">
      <c r="A251" s="68" t="n">
        <v>249</v>
      </c>
      <c r="B251" s="68" t="inlineStr">
        <is>
          <t>Whirling Hat</t>
        </is>
      </c>
      <c r="C251" s="68" t="inlineStr">
        <is>
          <t>STA</t>
        </is>
      </c>
      <c r="D251" s="68" t="n">
        <v>6</v>
      </c>
      <c r="E251" s="68" t="n">
        <v>8</v>
      </c>
      <c r="F251" s="69">
        <f>IF(D251=0,"new",E251/D251-1)</f>
        <v/>
      </c>
      <c r="G251" s="64" t="inlineStr">
        <is>
          <t>Raised so it is 10% over Elemental Crown for Magus (pass 2 class weights)</t>
        </is>
      </c>
    </row>
    <row r="252">
      <c r="A252" s="68" t="n">
        <v>249</v>
      </c>
      <c r="B252" s="68" t="inlineStr">
        <is>
          <t>Whirling Hat</t>
        </is>
      </c>
      <c r="C252" s="68" t="inlineStr">
        <is>
          <t>INT</t>
        </is>
      </c>
      <c r="D252" s="68" t="n">
        <v>18</v>
      </c>
      <c r="E252" s="68" t="n">
        <v>24</v>
      </c>
      <c r="F252" s="69">
        <f>IF(D252=0,"new",E252/D252-1)</f>
        <v/>
      </c>
      <c r="G252" s="64" t="inlineStr">
        <is>
          <t>Raised so it is 10% over Elemental Crown for Magus (pass 2 class weights)</t>
        </is>
      </c>
    </row>
    <row r="253">
      <c r="A253" s="68" t="n">
        <v>250</v>
      </c>
      <c r="B253" s="68" t="inlineStr">
        <is>
          <t>Nagan Robes</t>
        </is>
      </c>
      <c r="C253" s="68" t="inlineStr">
        <is>
          <t>HP</t>
        </is>
      </c>
      <c r="D253" s="68" t="n">
        <v>150</v>
      </c>
      <c r="E253" s="68" t="n">
        <v>175</v>
      </c>
      <c r="F253" s="69">
        <f>IF(D253=0,"new",E253/D253-1)</f>
        <v/>
      </c>
      <c r="G253" s="64" t="inlineStr">
        <is>
          <t>Raised so it is 10% over Elemental Tunic for Magus (pass 2 class weights)</t>
        </is>
      </c>
    </row>
    <row r="254">
      <c r="A254" s="68" t="n">
        <v>250</v>
      </c>
      <c r="B254" s="68" t="inlineStr">
        <is>
          <t>Nagan Robes</t>
        </is>
      </c>
      <c r="C254" s="68" t="inlineStr">
        <is>
          <t>MP</t>
        </is>
      </c>
      <c r="D254" s="68" t="n">
        <v>500</v>
      </c>
      <c r="E254" s="68" t="n">
        <v>600</v>
      </c>
      <c r="F254" s="69">
        <f>IF(D254=0,"new",E254/D254-1)</f>
        <v/>
      </c>
      <c r="G254" s="64" t="inlineStr">
        <is>
          <t>Raised so it is 10% over Elemental Tunic for Magus (pass 2 class weights)</t>
        </is>
      </c>
    </row>
    <row r="255">
      <c r="A255" s="68" t="n">
        <v>250</v>
      </c>
      <c r="B255" s="68" t="inlineStr">
        <is>
          <t>Nagan Robes</t>
        </is>
      </c>
      <c r="C255" s="68" t="inlineStr">
        <is>
          <t>STA</t>
        </is>
      </c>
      <c r="D255" s="68" t="n">
        <v>8</v>
      </c>
      <c r="E255" s="68" t="n">
        <v>10</v>
      </c>
      <c r="F255" s="69">
        <f>IF(D255=0,"new",E255/D255-1)</f>
        <v/>
      </c>
      <c r="G255" s="64" t="inlineStr">
        <is>
          <t>Raised so it is 10% over Elemental Tunic for Magus (pass 2 class weights)</t>
        </is>
      </c>
    </row>
    <row r="256">
      <c r="A256" s="68" t="n">
        <v>250</v>
      </c>
      <c r="B256" s="68" t="inlineStr">
        <is>
          <t>Nagan Robes</t>
        </is>
      </c>
      <c r="C256" s="68" t="inlineStr">
        <is>
          <t>INT</t>
        </is>
      </c>
      <c r="D256" s="68" t="n">
        <v>32</v>
      </c>
      <c r="E256" s="68" t="n">
        <v>37</v>
      </c>
      <c r="F256" s="69">
        <f>IF(D256=0,"new",E256/D256-1)</f>
        <v/>
      </c>
      <c r="G256" s="64" t="inlineStr">
        <is>
          <t>Raised so it is 10% over Elemental Tunic for Magus (pass 2 class weights)</t>
        </is>
      </c>
    </row>
    <row r="257">
      <c r="A257" s="68" t="n">
        <v>252</v>
      </c>
      <c r="B257" s="68" t="inlineStr">
        <is>
          <t>Devastating Dagger of the Fox</t>
        </is>
      </c>
      <c r="C257" s="68" t="inlineStr">
        <is>
          <t>Weapon dmg</t>
        </is>
      </c>
      <c r="D257" s="68" t="n">
        <v>120</v>
      </c>
      <c r="E257" s="68" t="n">
        <v>134</v>
      </c>
      <c r="F257" s="69">
        <f>IF(D257=0,"new",E257/D257-1)</f>
        <v/>
      </c>
      <c r="G257" s="64" t="inlineStr">
        <is>
          <t>Dagger of the Fox (Savage): damage 120 -&gt; 134</t>
        </is>
      </c>
    </row>
    <row r="258">
      <c r="A258" s="68" t="n">
        <v>253</v>
      </c>
      <c r="B258" s="68" t="inlineStr">
        <is>
          <t>Champions Blade</t>
        </is>
      </c>
      <c r="C258" s="68" t="inlineStr">
        <is>
          <t>STR</t>
        </is>
      </c>
      <c r="D258" s="68" t="n">
        <v>18</v>
      </c>
      <c r="E258" s="68" t="n">
        <v>20</v>
      </c>
      <c r="F258" s="69">
        <f>IF(D258=0,"new",E258/D258-1)</f>
        <v/>
      </c>
      <c r="G258" s="64" t="inlineStr">
        <is>
          <t>Champions Blade (Punchy): damage 95 -&gt; 102, STR 18 -&gt; 20 (clear over Encased Blade)</t>
        </is>
      </c>
    </row>
    <row r="259">
      <c r="A259" s="68" t="n">
        <v>253</v>
      </c>
      <c r="B259" s="68" t="inlineStr">
        <is>
          <t>Champions Blade</t>
        </is>
      </c>
      <c r="C259" s="68" t="inlineStr">
        <is>
          <t>Weapon dmg</t>
        </is>
      </c>
      <c r="D259" s="68" t="n">
        <v>95</v>
      </c>
      <c r="E259" s="68" t="n">
        <v>102</v>
      </c>
      <c r="F259" s="69">
        <f>IF(D259=0,"new",E259/D259-1)</f>
        <v/>
      </c>
      <c r="G259" s="64" t="inlineStr">
        <is>
          <t>Champions Blade (Punchy): damage 95 -&gt; 102, STR 18 -&gt; 20 (clear over Encased Blade)</t>
        </is>
      </c>
    </row>
    <row r="260">
      <c r="A260" s="68" t="n">
        <v>255</v>
      </c>
      <c r="B260" s="68" t="inlineStr">
        <is>
          <t>Spiked Belt of the Bunny</t>
        </is>
      </c>
      <c r="C260" s="68" t="inlineStr">
        <is>
          <t>HP</t>
        </is>
      </c>
      <c r="D260" s="68" t="n">
        <v>150</v>
      </c>
      <c r="E260" s="68" t="n">
        <v>160</v>
      </c>
      <c r="F260" s="69">
        <f>IF(D260=0,"new",E260/D260-1)</f>
        <v/>
      </c>
      <c r="G260" s="64" t="inlineStr">
        <is>
          <t>Spiked Belt of the Bunny: 15% over the Sturdy Belt (same level, rarer)</t>
        </is>
      </c>
    </row>
    <row r="261">
      <c r="A261" s="68" t="n">
        <v>255</v>
      </c>
      <c r="B261" s="68" t="inlineStr">
        <is>
          <t>Spiked Belt of the Bunny</t>
        </is>
      </c>
      <c r="C261" s="68" t="inlineStr">
        <is>
          <t>MP</t>
        </is>
      </c>
      <c r="D261" s="68" t="n">
        <v>100</v>
      </c>
      <c r="E261" s="68" t="n">
        <v>110</v>
      </c>
      <c r="F261" s="69">
        <f>IF(D261=0,"new",E261/D261-1)</f>
        <v/>
      </c>
      <c r="G261" s="64" t="inlineStr">
        <is>
          <t>Spiked Belt of the Bunny: 15% over the Sturdy Belt (same level, rarer)</t>
        </is>
      </c>
    </row>
    <row r="262">
      <c r="A262" s="68" t="n">
        <v>255</v>
      </c>
      <c r="B262" s="68" t="inlineStr">
        <is>
          <t>Spiked Belt of the Bunny</t>
        </is>
      </c>
      <c r="C262" s="68" t="inlineStr">
        <is>
          <t>AC</t>
        </is>
      </c>
      <c r="D262" s="68" t="n">
        <v>18</v>
      </c>
      <c r="E262" s="68" t="n">
        <v>19</v>
      </c>
      <c r="F262" s="69">
        <f>IF(D262=0,"new",E262/D262-1)</f>
        <v/>
      </c>
      <c r="G262" s="64" t="inlineStr">
        <is>
          <t>Spiked Belt of the Bunny: 15% over the Sturdy Belt (same level, rarer)</t>
        </is>
      </c>
    </row>
    <row r="263">
      <c r="A263" s="68" t="n">
        <v>255</v>
      </c>
      <c r="B263" s="68" t="inlineStr">
        <is>
          <t>Spiked Belt of the Bunny</t>
        </is>
      </c>
      <c r="C263" s="68" t="inlineStr">
        <is>
          <t>STR</t>
        </is>
      </c>
      <c r="D263" s="68" t="n">
        <v>7</v>
      </c>
      <c r="E263" s="68" t="n">
        <v>8</v>
      </c>
      <c r="F263" s="69">
        <f>IF(D263=0,"new",E263/D263-1)</f>
        <v/>
      </c>
      <c r="G263" s="64" t="inlineStr">
        <is>
          <t>Spiked Belt of the Bunny: 15% over the Sturdy Belt (same level, rarer)</t>
        </is>
      </c>
    </row>
    <row r="264">
      <c r="A264" s="68" t="n">
        <v>257</v>
      </c>
      <c r="B264" s="68" t="inlineStr">
        <is>
          <t>Hays Claw</t>
        </is>
      </c>
      <c r="C264" s="68" t="inlineStr">
        <is>
          <t>Weapon dmg</t>
        </is>
      </c>
      <c r="D264" s="68" t="n">
        <v>110</v>
      </c>
      <c r="E264" s="68" t="n">
        <v>122</v>
      </c>
      <c r="F264" s="69">
        <f>IF(D264=0,"new",E264/D264-1)</f>
        <v/>
      </c>
      <c r="G264" s="64" t="inlineStr">
        <is>
          <t>Hays Claw (H&amp;F): damage 110 -&gt; 122</t>
        </is>
      </c>
    </row>
    <row r="265">
      <c r="A265" s="68" t="n">
        <v>258</v>
      </c>
      <c r="B265" s="68" t="inlineStr">
        <is>
          <t>Bear Claw</t>
        </is>
      </c>
      <c r="C265" s="68" t="inlineStr">
        <is>
          <t>HP</t>
        </is>
      </c>
      <c r="D265" s="68" t="n">
        <v>50</v>
      </c>
      <c r="E265" s="68" t="n">
        <v>90</v>
      </c>
      <c r="F265" s="69">
        <f>IF(D265=0,"new",E265/D265-1)</f>
        <v/>
      </c>
      <c r="G265" s="64" t="inlineStr">
        <is>
          <t>Bear Claw (Punchy caster weapon): was below the L30 Nagan Stave; now +25% over the L40 staffs</t>
        </is>
      </c>
    </row>
    <row r="266">
      <c r="A266" s="68" t="n">
        <v>258</v>
      </c>
      <c r="B266" s="68" t="inlineStr">
        <is>
          <t>Bear Claw</t>
        </is>
      </c>
      <c r="C266" s="68" t="inlineStr">
        <is>
          <t>MP</t>
        </is>
      </c>
      <c r="D266" s="68" t="n">
        <v>150</v>
      </c>
      <c r="E266" s="68" t="n">
        <v>275</v>
      </c>
      <c r="F266" s="69">
        <f>IF(D266=0,"new",E266/D266-1)</f>
        <v/>
      </c>
      <c r="G266" s="64" t="inlineStr">
        <is>
          <t>Bear Claw (Punchy caster weapon): was below the L30 Nagan Stave; now +25% over the L40 staffs</t>
        </is>
      </c>
    </row>
    <row r="267">
      <c r="A267" s="68" t="n">
        <v>258</v>
      </c>
      <c r="B267" s="68" t="inlineStr">
        <is>
          <t>Bear Claw</t>
        </is>
      </c>
      <c r="C267" s="68" t="inlineStr">
        <is>
          <t>STA</t>
        </is>
      </c>
      <c r="D267" s="68" t="n">
        <v>5</v>
      </c>
      <c r="E267" s="68" t="n">
        <v>9</v>
      </c>
      <c r="F267" s="69">
        <f>IF(D267=0,"new",E267/D267-1)</f>
        <v/>
      </c>
      <c r="G267" s="64" t="inlineStr">
        <is>
          <t>Bear Claw (Punchy caster weapon): was below the L30 Nagan Stave; now +25% over the L40 staffs</t>
        </is>
      </c>
    </row>
    <row r="268">
      <c r="A268" s="68" t="n">
        <v>258</v>
      </c>
      <c r="B268" s="68" t="inlineStr">
        <is>
          <t>Bear Claw</t>
        </is>
      </c>
      <c r="C268" s="68" t="inlineStr">
        <is>
          <t>INT</t>
        </is>
      </c>
      <c r="D268" s="68" t="n">
        <v>20</v>
      </c>
      <c r="E268" s="68" t="n">
        <v>36</v>
      </c>
      <c r="F268" s="69">
        <f>IF(D268=0,"new",E268/D268-1)</f>
        <v/>
      </c>
      <c r="G268" s="64" t="inlineStr">
        <is>
          <t>Bear Claw (Punchy caster weapon): was below the L30 Nagan Stave; now +25% over the L40 staffs</t>
        </is>
      </c>
    </row>
    <row r="269">
      <c r="A269" s="68" t="n">
        <v>259</v>
      </c>
      <c r="B269" s="68" t="inlineStr">
        <is>
          <t>Rusty Claw</t>
        </is>
      </c>
      <c r="C269" s="68" t="inlineStr">
        <is>
          <t>Weapon dmg</t>
        </is>
      </c>
      <c r="D269" s="68" t="n">
        <v>90</v>
      </c>
      <c r="E269" s="68" t="n">
        <v>95</v>
      </c>
      <c r="F269" s="69">
        <f>IF(D269=0,"new",E269/D269-1)</f>
        <v/>
      </c>
      <c r="G269" s="64" t="inlineStr">
        <is>
          <t>Rusty Claw: damage 95 (105); 10% over the raised Katana</t>
        </is>
      </c>
    </row>
    <row r="270">
      <c r="A270" s="68" t="n">
        <v>261</v>
      </c>
      <c r="B270" s="68" t="inlineStr">
        <is>
          <t>Beefs Fist</t>
        </is>
      </c>
      <c r="C270" s="68" t="inlineStr">
        <is>
          <t>STR</t>
        </is>
      </c>
      <c r="D270" s="68" t="n">
        <v>20</v>
      </c>
      <c r="E270" s="68" t="n">
        <v>22</v>
      </c>
      <c r="F270" s="69">
        <f>IF(D270=0,"new",E270/D270-1)</f>
        <v/>
      </c>
      <c r="G270" s="64" t="inlineStr">
        <is>
          <t>Beefs Fist (Savage): damage 100 -&gt; 128, STR 20 -&gt; 22</t>
        </is>
      </c>
    </row>
    <row r="271">
      <c r="A271" s="68" t="n">
        <v>261</v>
      </c>
      <c r="B271" s="68" t="inlineStr">
        <is>
          <t>Beefs Fist</t>
        </is>
      </c>
      <c r="C271" s="68" t="inlineStr">
        <is>
          <t>Weapon dmg</t>
        </is>
      </c>
      <c r="D271" s="68" t="n">
        <v>100</v>
      </c>
      <c r="E271" s="68" t="n">
        <v>128</v>
      </c>
      <c r="F271" s="69">
        <f>IF(D271=0,"new",E271/D271-1)</f>
        <v/>
      </c>
      <c r="G271" s="64" t="inlineStr">
        <is>
          <t>Beefs Fist (Savage): damage 100 -&gt; 128, STR 20 -&gt; 22</t>
        </is>
      </c>
    </row>
    <row r="272">
      <c r="A272" s="68" t="n">
        <v>283</v>
      </c>
      <c r="B272" s="68" t="inlineStr">
        <is>
          <t>Ancient Garb</t>
        </is>
      </c>
      <c r="C272" s="68" t="inlineStr">
        <is>
          <t>HP</t>
        </is>
      </c>
      <c r="D272" s="68" t="n">
        <v>250</v>
      </c>
      <c r="E272" s="68" t="n">
        <v>300</v>
      </c>
      <c r="F272" s="69">
        <f>IF(D272=0,"new",E272/D272-1)</f>
        <v/>
      </c>
      <c r="G272" s="64" t="inlineStr">
        <is>
          <t>Raised so it is 10% over Valiant Robes for Magus (pass 2 class weights)</t>
        </is>
      </c>
    </row>
    <row r="273">
      <c r="A273" s="68" t="n">
        <v>283</v>
      </c>
      <c r="B273" s="68" t="inlineStr">
        <is>
          <t>Ancient Garb</t>
        </is>
      </c>
      <c r="C273" s="68" t="inlineStr">
        <is>
          <t>MP</t>
        </is>
      </c>
      <c r="D273" s="68" t="n">
        <v>1750</v>
      </c>
      <c r="E273" s="68" t="n">
        <v>1975</v>
      </c>
      <c r="F273" s="69">
        <f>IF(D273=0,"new",E273/D273-1)</f>
        <v/>
      </c>
      <c r="G273" s="64" t="inlineStr">
        <is>
          <t>Raised so it is 10% over Valiant Robes for Magus (pass 2 class weights)</t>
        </is>
      </c>
    </row>
    <row r="274">
      <c r="A274" s="68" t="n">
        <v>283</v>
      </c>
      <c r="B274" s="68" t="inlineStr">
        <is>
          <t>Ancient Garb</t>
        </is>
      </c>
      <c r="C274" s="68" t="inlineStr">
        <is>
          <t>INT</t>
        </is>
      </c>
      <c r="D274" s="68" t="n">
        <v>10</v>
      </c>
      <c r="E274" s="68" t="n">
        <v>12</v>
      </c>
      <c r="F274" s="69">
        <f>IF(D274=0,"new",E274/D274-1)</f>
        <v/>
      </c>
      <c r="G274" s="64" t="inlineStr">
        <is>
          <t>Raised so it is 10% over Valiant Robes for Magus (pass 2 class weights)</t>
        </is>
      </c>
    </row>
    <row r="275">
      <c r="A275" s="68" t="n">
        <v>284</v>
      </c>
      <c r="B275" s="68" t="inlineStr">
        <is>
          <t>Ancient Robe</t>
        </is>
      </c>
      <c r="C275" s="68" t="inlineStr">
        <is>
          <t>HP</t>
        </is>
      </c>
      <c r="D275" s="68" t="n">
        <v>650</v>
      </c>
      <c r="E275" s="68" t="n">
        <v>975</v>
      </c>
      <c r="F275" s="69">
        <f>IF(D275=0,"new",E275/D275-1)</f>
        <v/>
      </c>
      <c r="G275" s="64" t="inlineStr">
        <is>
          <t>Raised so it is 10% over Valiant Robes for Priest (pass 2 class weights)</t>
        </is>
      </c>
    </row>
    <row r="276">
      <c r="A276" s="68" t="n">
        <v>284</v>
      </c>
      <c r="B276" s="68" t="inlineStr">
        <is>
          <t>Ancient Robe</t>
        </is>
      </c>
      <c r="C276" s="68" t="inlineStr">
        <is>
          <t>MP</t>
        </is>
      </c>
      <c r="D276" s="68" t="n">
        <v>1000</v>
      </c>
      <c r="E276" s="68" t="n">
        <v>1475</v>
      </c>
      <c r="F276" s="69">
        <f>IF(D276=0,"new",E276/D276-1)</f>
        <v/>
      </c>
      <c r="G276" s="64" t="inlineStr">
        <is>
          <t>Raised so it is 10% over Valiant Robes for Priest (pass 2 class weights)</t>
        </is>
      </c>
    </row>
    <row r="277">
      <c r="A277" s="68" t="n">
        <v>284</v>
      </c>
      <c r="B277" s="68" t="inlineStr">
        <is>
          <t>Ancient Robe</t>
        </is>
      </c>
      <c r="C277" s="68" t="inlineStr">
        <is>
          <t>STA</t>
        </is>
      </c>
      <c r="D277" s="68" t="n">
        <v>20</v>
      </c>
      <c r="E277" s="68" t="n">
        <v>30</v>
      </c>
      <c r="F277" s="69">
        <f>IF(D277=0,"new",E277/D277-1)</f>
        <v/>
      </c>
      <c r="G277" s="64" t="inlineStr">
        <is>
          <t>Raised so it is 10% over Valiant Robes for Priest (pass 2 class weights)</t>
        </is>
      </c>
    </row>
    <row r="278">
      <c r="A278" s="68" t="n">
        <v>286</v>
      </c>
      <c r="B278" s="68" t="inlineStr">
        <is>
          <t>Snake Helm</t>
        </is>
      </c>
      <c r="C278" s="68" t="inlineStr">
        <is>
          <t>HP</t>
        </is>
      </c>
      <c r="D278" s="68" t="n">
        <v>1000</v>
      </c>
      <c r="E278" s="68" t="n">
        <v>1075</v>
      </c>
      <c r="F278" s="69">
        <f>IF(D278=0,"new",E278/D278-1)</f>
        <v/>
      </c>
      <c r="G278" s="64" t="inlineStr">
        <is>
          <t>Raised so it is 10% over Valiant Cap for Magus (pass 2 class weights)</t>
        </is>
      </c>
    </row>
    <row r="279">
      <c r="A279" s="68" t="n">
        <v>286</v>
      </c>
      <c r="B279" s="68" t="inlineStr">
        <is>
          <t>Snake Helm</t>
        </is>
      </c>
      <c r="C279" s="68" t="inlineStr">
        <is>
          <t>MP</t>
        </is>
      </c>
      <c r="D279" s="68" t="n">
        <v>375</v>
      </c>
      <c r="E279" s="68" t="n">
        <v>425</v>
      </c>
      <c r="F279" s="69">
        <f>IF(D279=0,"new",E279/D279-1)</f>
        <v/>
      </c>
      <c r="G279" s="64" t="inlineStr">
        <is>
          <t>Raised so it is 10% over Valiant Cap for Magus (pass 2 class weights)</t>
        </is>
      </c>
    </row>
    <row r="280">
      <c r="A280" s="68" t="n">
        <v>286</v>
      </c>
      <c r="B280" s="68" t="inlineStr">
        <is>
          <t>Snake Helm</t>
        </is>
      </c>
      <c r="C280" s="68" t="inlineStr">
        <is>
          <t>STA</t>
        </is>
      </c>
      <c r="D280" s="68" t="n">
        <v>8</v>
      </c>
      <c r="E280" s="68" t="n">
        <v>9</v>
      </c>
      <c r="F280" s="69">
        <f>IF(D280=0,"new",E280/D280-1)</f>
        <v/>
      </c>
      <c r="G280" s="64" t="inlineStr">
        <is>
          <t>Raised so it is 10% over Valiant Cap for Magus (pass 2 class weights)</t>
        </is>
      </c>
    </row>
    <row r="281">
      <c r="A281" s="68" t="n">
        <v>286</v>
      </c>
      <c r="B281" s="68" t="inlineStr">
        <is>
          <t>Snake Helm</t>
        </is>
      </c>
      <c r="C281" s="68" t="inlineStr">
        <is>
          <t>INT</t>
        </is>
      </c>
      <c r="D281" s="68" t="n">
        <v>10</v>
      </c>
      <c r="E281" s="68" t="n">
        <v>11</v>
      </c>
      <c r="F281" s="69">
        <f>IF(D281=0,"new",E281/D281-1)</f>
        <v/>
      </c>
      <c r="G281" s="64" t="inlineStr">
        <is>
          <t>Raised so it is 10% over Valiant Cap for Magus (pass 2 class weights)</t>
        </is>
      </c>
    </row>
    <row r="282">
      <c r="A282" s="68" t="n">
        <v>292</v>
      </c>
      <c r="B282" s="68" t="inlineStr">
        <is>
          <t>Ancient Dagger</t>
        </is>
      </c>
      <c r="C282" s="68" t="inlineStr">
        <is>
          <t>STR</t>
        </is>
      </c>
      <c r="D282" s="68" t="n">
        <v>0</v>
      </c>
      <c r="E282" s="68" t="n">
        <v>15</v>
      </c>
      <c r="F282" s="69">
        <f>IF(D282=0,"new",E282/D282-1)</f>
        <v/>
      </c>
      <c r="G282" s="64" t="inlineStr">
        <is>
          <t>Ancient Dagger (20M): damage 150, STR 15 (165); matched the Ancient Axe, beats the Fox</t>
        </is>
      </c>
    </row>
    <row r="283">
      <c r="A283" s="68" t="n">
        <v>292</v>
      </c>
      <c r="B283" s="68" t="inlineStr">
        <is>
          <t>Ancient Dagger</t>
        </is>
      </c>
      <c r="C283" s="68" t="inlineStr">
        <is>
          <t>Weapon dmg</t>
        </is>
      </c>
      <c r="D283" s="68" t="n">
        <v>120</v>
      </c>
      <c r="E283" s="68" t="n">
        <v>150</v>
      </c>
      <c r="F283" s="69">
        <f>IF(D283=0,"new",E283/D283-1)</f>
        <v/>
      </c>
      <c r="G283" s="64" t="inlineStr">
        <is>
          <t>Ancient Dagger (20M): damage 150, STR 15 (165); matched the Ancient Axe, beats the Fox</t>
        </is>
      </c>
    </row>
    <row r="284">
      <c r="A284" s="68" t="n">
        <v>307</v>
      </c>
      <c r="B284" s="68" t="inlineStr">
        <is>
          <t>Bracelet of Water</t>
        </is>
      </c>
      <c r="C284" s="68" t="inlineStr">
        <is>
          <t>Effect</t>
        </is>
      </c>
      <c r="D284" s="68" t="inlineStr">
        <is>
          <t>Increased Spell Critical V</t>
        </is>
      </c>
      <c r="E284" s="68" t="inlineStr">
        <is>
          <t>Spell Critical Damage VIII</t>
        </is>
      </c>
      <c r="G284" s="64" t="inlineStr">
        <is>
          <t>Bracelet of Water (20M): 5% spell crit matched the L43 Bracelet of the Inferno; -&gt; 8% (Spell Critical Damage VIII)</t>
        </is>
      </c>
    </row>
    <row r="285">
      <c r="A285" s="68" t="n">
        <v>310</v>
      </c>
      <c r="B285" s="68" t="inlineStr">
        <is>
          <t>Earthbrand Buckler</t>
        </is>
      </c>
      <c r="C285" s="68" t="inlineStr">
        <is>
          <t>HP</t>
        </is>
      </c>
      <c r="D285" s="68" t="n">
        <v>120</v>
      </c>
      <c r="E285" s="68" t="n">
        <v>150</v>
      </c>
      <c r="F285" s="69">
        <f>IF(D285=0,"new",E285/D285-1)</f>
        <v/>
      </c>
      <c r="G285" s="64" t="inlineStr">
        <is>
          <t>Earthbrand Buckler/Guard (L50 vendor): only +13% over the L35 Firebrand versions</t>
        </is>
      </c>
    </row>
    <row r="286">
      <c r="A286" s="68" t="n">
        <v>310</v>
      </c>
      <c r="B286" s="68" t="inlineStr">
        <is>
          <t>Earthbrand Buckler</t>
        </is>
      </c>
      <c r="C286" s="68" t="inlineStr">
        <is>
          <t>MP</t>
        </is>
      </c>
      <c r="D286" s="68" t="n">
        <v>120</v>
      </c>
      <c r="E286" s="68" t="n">
        <v>150</v>
      </c>
      <c r="F286" s="69">
        <f>IF(D286=0,"new",E286/D286-1)</f>
        <v/>
      </c>
      <c r="G286" s="64" t="inlineStr">
        <is>
          <t>Earthbrand Buckler/Guard (L50 vendor): only +13% over the L35 Firebrand versions</t>
        </is>
      </c>
    </row>
    <row r="287">
      <c r="A287" s="68" t="n">
        <v>310</v>
      </c>
      <c r="B287" s="68" t="inlineStr">
        <is>
          <t>Earthbrand Buckler</t>
        </is>
      </c>
      <c r="C287" s="68" t="inlineStr">
        <is>
          <t>AC</t>
        </is>
      </c>
      <c r="D287" s="68" t="n">
        <v>90</v>
      </c>
      <c r="E287" s="68" t="n">
        <v>113</v>
      </c>
      <c r="F287" s="69">
        <f>IF(D287=0,"new",E287/D287-1)</f>
        <v/>
      </c>
      <c r="G287" s="64" t="inlineStr">
        <is>
          <t>Earthbrand Buckler/Guard (L50 vendor): only +13% over the L35 Firebrand versions</t>
        </is>
      </c>
    </row>
    <row r="288">
      <c r="A288" s="68" t="n">
        <v>311</v>
      </c>
      <c r="B288" s="68" t="inlineStr">
        <is>
          <t>Earthbrand Guard</t>
        </is>
      </c>
      <c r="C288" s="68" t="inlineStr">
        <is>
          <t>HP</t>
        </is>
      </c>
      <c r="D288" s="68" t="n">
        <v>60</v>
      </c>
      <c r="E288" s="68" t="n">
        <v>95</v>
      </c>
      <c r="F288" s="69">
        <f>IF(D288=0,"new",E288/D288-1)</f>
        <v/>
      </c>
      <c r="G288" s="64" t="inlineStr">
        <is>
          <t>Earthbrand Buckler/Guard (L50 vendor): only +13% over the L35 Firebrand versions; Raised so it is 10% over Firebrand Guard for Magus (pass 2 class weights)</t>
        </is>
      </c>
    </row>
    <row r="289">
      <c r="A289" s="68" t="n">
        <v>311</v>
      </c>
      <c r="B289" s="68" t="inlineStr">
        <is>
          <t>Earthbrand Guard</t>
        </is>
      </c>
      <c r="C289" s="68" t="inlineStr">
        <is>
          <t>MP</t>
        </is>
      </c>
      <c r="D289" s="68" t="n">
        <v>180</v>
      </c>
      <c r="E289" s="68" t="n">
        <v>300</v>
      </c>
      <c r="F289" s="69">
        <f>IF(D289=0,"new",E289/D289-1)</f>
        <v/>
      </c>
      <c r="G289" s="64" t="inlineStr">
        <is>
          <t>Earthbrand Buckler/Guard (L50 vendor): only +13% over the L35 Firebrand versions; Raised so it is 10% over Firebrand Guard for Magus (pass 2 class weights)</t>
        </is>
      </c>
    </row>
    <row r="290">
      <c r="A290" s="68" t="n">
        <v>311</v>
      </c>
      <c r="B290" s="68" t="inlineStr">
        <is>
          <t>Earthbrand Guard</t>
        </is>
      </c>
      <c r="C290" s="68" t="inlineStr">
        <is>
          <t>AC</t>
        </is>
      </c>
      <c r="D290" s="68" t="n">
        <v>70</v>
      </c>
      <c r="E290" s="68" t="n">
        <v>88</v>
      </c>
      <c r="F290" s="69">
        <f>IF(D290=0,"new",E290/D290-1)</f>
        <v/>
      </c>
      <c r="G290" s="64" t="inlineStr">
        <is>
          <t>Earthbrand Buckler/Guard (L50 vendor): only +13% over the L35 Firebrand versions; Raised so it is 10% over Firebrand Guard for Magus (pass 2 class weights)</t>
        </is>
      </c>
    </row>
    <row r="291">
      <c r="A291" s="68" t="n">
        <v>361</v>
      </c>
      <c r="B291" s="68" t="inlineStr">
        <is>
          <t>High Quality Walde</t>
        </is>
      </c>
      <c r="C291" s="68" t="inlineStr">
        <is>
          <t>STR</t>
        </is>
      </c>
      <c r="D291" s="68" t="n">
        <v>12</v>
      </c>
      <c r="E291" s="68" t="n">
        <v>14</v>
      </c>
      <c r="F291" s="69">
        <f>IF(D291=0,"new",E291/D291-1)</f>
        <v/>
      </c>
      <c r="G291" s="64" t="inlineStr">
        <is>
          <t>High Quality Walde: damage 72, STR 14 (86); over Nagan, under the Katana</t>
        </is>
      </c>
    </row>
    <row r="292">
      <c r="A292" s="68" t="n">
        <v>361</v>
      </c>
      <c r="B292" s="68" t="inlineStr">
        <is>
          <t>High Quality Walde</t>
        </is>
      </c>
      <c r="C292" s="68" t="inlineStr">
        <is>
          <t>Weapon dmg</t>
        </is>
      </c>
      <c r="D292" s="68" t="n">
        <v>65</v>
      </c>
      <c r="E292" s="68" t="n">
        <v>72</v>
      </c>
      <c r="F292" s="69">
        <f>IF(D292=0,"new",E292/D292-1)</f>
        <v/>
      </c>
      <c r="G292" s="64" t="inlineStr">
        <is>
          <t>High Quality Walde: damage 72, STR 14 (86); over Nagan, under the Katana</t>
        </is>
      </c>
    </row>
    <row r="293">
      <c r="A293" s="68" t="n">
        <v>362</v>
      </c>
      <c r="B293" s="68" t="inlineStr">
        <is>
          <t>Medium Quality Walde</t>
        </is>
      </c>
      <c r="C293" s="68" t="inlineStr">
        <is>
          <t>STR</t>
        </is>
      </c>
      <c r="D293" s="68" t="n">
        <v>5</v>
      </c>
      <c r="E293" s="68" t="n">
        <v>7</v>
      </c>
      <c r="F293" s="69">
        <f>IF(D293=0,"new",E293/D293-1)</f>
        <v/>
      </c>
      <c r="G293" s="64" t="inlineStr">
        <is>
          <t>Medium Quality Walde: damage 33, STR 7 (40); clearly above Winter Blade, just under Chicken Leg</t>
        </is>
      </c>
    </row>
    <row r="294">
      <c r="A294" s="68" t="n">
        <v>362</v>
      </c>
      <c r="B294" s="68" t="inlineStr">
        <is>
          <t>Medium Quality Walde</t>
        </is>
      </c>
      <c r="C294" s="68" t="inlineStr">
        <is>
          <t>Weapon dmg</t>
        </is>
      </c>
      <c r="D294" s="68" t="n">
        <v>30</v>
      </c>
      <c r="E294" s="68" t="n">
        <v>33</v>
      </c>
      <c r="F294" s="69">
        <f>IF(D294=0,"new",E294/D294-1)</f>
        <v/>
      </c>
      <c r="G294" s="64" t="inlineStr">
        <is>
          <t>Medium Quality Walde: damage 33, STR 7 (40); clearly above Winter Blade, just under Chicken Leg</t>
        </is>
      </c>
    </row>
    <row r="295">
      <c r="A295" s="68" t="n">
        <v>363</v>
      </c>
      <c r="B295" s="68" t="inlineStr">
        <is>
          <t>Low Quality Walde</t>
        </is>
      </c>
      <c r="C295" s="68" t="inlineStr">
        <is>
          <t>STR</t>
        </is>
      </c>
      <c r="D295" s="68" t="n">
        <v>2</v>
      </c>
      <c r="E295" s="68" t="n">
        <v>3</v>
      </c>
      <c r="F295" s="69">
        <f>IF(D295=0,"new",E295/D295-1)</f>
        <v/>
      </c>
      <c r="G295" s="64" t="inlineStr">
        <is>
          <t>Low Quality Walde: damage 27, STR 3 (30) so Winter Blade (33) stays ~10% ahead</t>
        </is>
      </c>
    </row>
    <row r="296">
      <c r="A296" s="68" t="n">
        <v>363</v>
      </c>
      <c r="B296" s="68" t="inlineStr">
        <is>
          <t>Low Quality Walde</t>
        </is>
      </c>
      <c r="C296" s="68" t="inlineStr">
        <is>
          <t>Weapon dmg</t>
        </is>
      </c>
      <c r="D296" s="68" t="n">
        <v>26</v>
      </c>
      <c r="E296" s="68" t="n">
        <v>27</v>
      </c>
      <c r="F296" s="69">
        <f>IF(D296=0,"new",E296/D296-1)</f>
        <v/>
      </c>
      <c r="G296" s="64" t="inlineStr">
        <is>
          <t>Low Quality Walde: damage 27, STR 3 (30) so Winter Blade (33) stays ~10% ahead</t>
        </is>
      </c>
    </row>
    <row r="297">
      <c r="A297" s="68" t="n">
        <v>374</v>
      </c>
      <c r="B297" s="68" t="inlineStr">
        <is>
          <t>Valiant Chestplate</t>
        </is>
      </c>
      <c r="C297" s="68" t="inlineStr">
        <is>
          <t>HP</t>
        </is>
      </c>
      <c r="D297" s="68" t="n">
        <v>300</v>
      </c>
      <c r="E297" s="68" t="n">
        <v>375</v>
      </c>
      <c r="F297" s="69">
        <f>IF(D297=0,"new",E297/D297-1)</f>
        <v/>
      </c>
      <c r="G297" s="64" t="inlineStr">
        <is>
          <t>Raised so it is 10% over Gold Chestplate for Warrior (pass 2 class weights)</t>
        </is>
      </c>
    </row>
    <row r="298">
      <c r="A298" s="68" t="n">
        <v>374</v>
      </c>
      <c r="B298" s="68" t="inlineStr">
        <is>
          <t>Valiant Chestplate</t>
        </is>
      </c>
      <c r="C298" s="68" t="inlineStr">
        <is>
          <t>AC</t>
        </is>
      </c>
      <c r="D298" s="68" t="n">
        <v>275</v>
      </c>
      <c r="E298" s="68" t="n">
        <v>280</v>
      </c>
      <c r="F298" s="69">
        <f>IF(D298=0,"new",E298/D298-1)</f>
        <v/>
      </c>
      <c r="G298" s="64" t="inlineStr">
        <is>
          <t>Raised so it is 10% over Gold Chestplate for Warrior (pass 2 class weights)</t>
        </is>
      </c>
    </row>
    <row r="299">
      <c r="A299" s="68" t="n">
        <v>374</v>
      </c>
      <c r="B299" s="68" t="inlineStr">
        <is>
          <t>Valiant Chestplate</t>
        </is>
      </c>
      <c r="C299" s="68" t="inlineStr">
        <is>
          <t>STA</t>
        </is>
      </c>
      <c r="D299" s="68" t="n">
        <v>20</v>
      </c>
      <c r="E299" s="68" t="n">
        <v>24</v>
      </c>
      <c r="F299" s="69">
        <f>IF(D299=0,"new",E299/D299-1)</f>
        <v/>
      </c>
      <c r="G299" s="64" t="inlineStr">
        <is>
          <t>Raised so it is 10% over Gold Chestplate for Warrior (pass 2 class weights)</t>
        </is>
      </c>
    </row>
    <row r="300">
      <c r="A300" s="68" t="n">
        <v>374</v>
      </c>
      <c r="B300" s="68" t="inlineStr">
        <is>
          <t>Valiant Chestplate</t>
        </is>
      </c>
      <c r="C300" s="68" t="inlineStr">
        <is>
          <t>DEX</t>
        </is>
      </c>
      <c r="D300" s="68" t="n">
        <v>20</v>
      </c>
      <c r="E300" s="68" t="n">
        <v>23</v>
      </c>
      <c r="F300" s="69">
        <f>IF(D300=0,"new",E300/D300-1)</f>
        <v/>
      </c>
      <c r="G300" s="64" t="inlineStr">
        <is>
          <t>Raised so it is 10% over Gold Chestplate for Warrior (pass 2 class weights)</t>
        </is>
      </c>
    </row>
    <row r="301">
      <c r="A301" s="68" t="n">
        <v>376</v>
      </c>
      <c r="B301" s="68" t="inlineStr">
        <is>
          <t>Valiant Boots</t>
        </is>
      </c>
      <c r="C301" s="68" t="inlineStr">
        <is>
          <t>HP</t>
        </is>
      </c>
      <c r="D301" s="68" t="n">
        <v>150</v>
      </c>
      <c r="E301" s="68" t="n">
        <v>160</v>
      </c>
      <c r="F301" s="69">
        <f>IF(D301=0,"new",E301/D301-1)</f>
        <v/>
      </c>
      <c r="G301" s="64" t="inlineStr">
        <is>
          <t>Raised so it is 10% over Devastators Boots for Rogue (pass 2 class weights)</t>
        </is>
      </c>
    </row>
    <row r="302">
      <c r="A302" s="68" t="n">
        <v>376</v>
      </c>
      <c r="B302" s="68" t="inlineStr">
        <is>
          <t>Valiant Boots</t>
        </is>
      </c>
      <c r="C302" s="68" t="inlineStr">
        <is>
          <t>MP</t>
        </is>
      </c>
      <c r="D302" s="68" t="n">
        <v>300</v>
      </c>
      <c r="E302" s="68" t="n">
        <v>325</v>
      </c>
      <c r="F302" s="69">
        <f>IF(D302=0,"new",E302/D302-1)</f>
        <v/>
      </c>
      <c r="G302" s="64" t="inlineStr">
        <is>
          <t>Raised so it is 10% over Devastators Boots for Rogue (pass 2 class weights)</t>
        </is>
      </c>
    </row>
    <row r="303">
      <c r="A303" s="68" t="n">
        <v>376</v>
      </c>
      <c r="B303" s="68" t="inlineStr">
        <is>
          <t>Valiant Boots</t>
        </is>
      </c>
      <c r="C303" s="68" t="inlineStr">
        <is>
          <t>STA</t>
        </is>
      </c>
      <c r="D303" s="68" t="n">
        <v>10</v>
      </c>
      <c r="E303" s="68" t="n">
        <v>11</v>
      </c>
      <c r="F303" s="69">
        <f>IF(D303=0,"new",E303/D303-1)</f>
        <v/>
      </c>
      <c r="G303" s="64" t="inlineStr">
        <is>
          <t>Raised so it is 10% over Devastators Boots for Rogue (pass 2 class weights)</t>
        </is>
      </c>
    </row>
    <row r="304">
      <c r="A304" s="68" t="n">
        <v>377</v>
      </c>
      <c r="B304" s="68" t="inlineStr">
        <is>
          <t>Valiant Cap</t>
        </is>
      </c>
      <c r="C304" s="68" t="inlineStr">
        <is>
          <t>HP</t>
        </is>
      </c>
      <c r="D304" s="68" t="n">
        <v>200</v>
      </c>
      <c r="E304" s="68" t="n">
        <v>300</v>
      </c>
      <c r="F304" s="69">
        <f>IF(D304=0,"new",E304/D304-1)</f>
        <v/>
      </c>
      <c r="G304" s="64" t="inlineStr">
        <is>
          <t>Raised so it is 10% over Whirling Hat for Magus (pass 2 class weights)</t>
        </is>
      </c>
    </row>
    <row r="305">
      <c r="A305" s="68" t="n">
        <v>377</v>
      </c>
      <c r="B305" s="68" t="inlineStr">
        <is>
          <t>Valiant Cap</t>
        </is>
      </c>
      <c r="C305" s="68" t="inlineStr">
        <is>
          <t>MP</t>
        </is>
      </c>
      <c r="D305" s="68" t="n">
        <v>100</v>
      </c>
      <c r="E305" s="68" t="n">
        <v>145</v>
      </c>
      <c r="F305" s="69">
        <f>IF(D305=0,"new",E305/D305-1)</f>
        <v/>
      </c>
      <c r="G305" s="64" t="inlineStr">
        <is>
          <t>Raised so it is 10% over Whirling Hat for Magus (pass 2 class weights)</t>
        </is>
      </c>
    </row>
    <row r="306">
      <c r="A306" s="68" t="n">
        <v>377</v>
      </c>
      <c r="B306" s="68" t="inlineStr">
        <is>
          <t>Valiant Cap</t>
        </is>
      </c>
      <c r="C306" s="68" t="inlineStr">
        <is>
          <t>STA</t>
        </is>
      </c>
      <c r="D306" s="68" t="n">
        <v>8</v>
      </c>
      <c r="E306" s="68" t="n">
        <v>12</v>
      </c>
      <c r="F306" s="69">
        <f>IF(D306=0,"new",E306/D306-1)</f>
        <v/>
      </c>
      <c r="G306" s="64" t="inlineStr">
        <is>
          <t>Raised so it is 10% over Whirling Hat for Magus (pass 2 class weights)</t>
        </is>
      </c>
    </row>
    <row r="307">
      <c r="A307" s="68" t="n">
        <v>377</v>
      </c>
      <c r="B307" s="68" t="inlineStr">
        <is>
          <t>Valiant Cap</t>
        </is>
      </c>
      <c r="C307" s="68" t="inlineStr">
        <is>
          <t>INT</t>
        </is>
      </c>
      <c r="D307" s="68" t="n">
        <v>18</v>
      </c>
      <c r="E307" s="68" t="n">
        <v>27</v>
      </c>
      <c r="F307" s="69">
        <f>IF(D307=0,"new",E307/D307-1)</f>
        <v/>
      </c>
      <c r="G307" s="64" t="inlineStr">
        <is>
          <t>Raised so it is 10% over Whirling Hat for Magus (pass 2 class weights)</t>
        </is>
      </c>
    </row>
    <row r="308">
      <c r="A308" s="68" t="n">
        <v>378</v>
      </c>
      <c r="B308" s="68" t="inlineStr">
        <is>
          <t>Valiant Robes</t>
        </is>
      </c>
      <c r="C308" s="68" t="inlineStr">
        <is>
          <t>HP</t>
        </is>
      </c>
      <c r="D308" s="68" t="n">
        <v>125</v>
      </c>
      <c r="E308" s="68" t="n">
        <v>175</v>
      </c>
      <c r="F308" s="69">
        <f>IF(D308=0,"new",E308/D308-1)</f>
        <v/>
      </c>
      <c r="G308" s="64" t="inlineStr">
        <is>
          <t>Raised so it is 10% over Whirling Robes for Priest (pass 2 class weights)</t>
        </is>
      </c>
    </row>
    <row r="309">
      <c r="A309" s="68" t="n">
        <v>378</v>
      </c>
      <c r="B309" s="68" t="inlineStr">
        <is>
          <t>Valiant Robes</t>
        </is>
      </c>
      <c r="C309" s="68" t="inlineStr">
        <is>
          <t>MP</t>
        </is>
      </c>
      <c r="D309" s="68" t="n">
        <v>600</v>
      </c>
      <c r="E309" s="68" t="n">
        <v>825</v>
      </c>
      <c r="F309" s="69">
        <f>IF(D309=0,"new",E309/D309-1)</f>
        <v/>
      </c>
      <c r="G309" s="64" t="inlineStr">
        <is>
          <t>Raised so it is 10% over Whirling Robes for Priest (pass 2 class weights)</t>
        </is>
      </c>
    </row>
    <row r="310">
      <c r="A310" s="68" t="n">
        <v>378</v>
      </c>
      <c r="B310" s="68" t="inlineStr">
        <is>
          <t>Valiant Robes</t>
        </is>
      </c>
      <c r="C310" s="68" t="inlineStr">
        <is>
          <t>INT</t>
        </is>
      </c>
      <c r="D310" s="68" t="n">
        <v>35</v>
      </c>
      <c r="E310" s="68" t="n">
        <v>49</v>
      </c>
      <c r="F310" s="69">
        <f>IF(D310=0,"new",E310/D310-1)</f>
        <v/>
      </c>
      <c r="G310" s="64" t="inlineStr">
        <is>
          <t>Raised so it is 10% over Whirling Robes for Priest (pass 2 class weights)</t>
        </is>
      </c>
    </row>
    <row r="311">
      <c r="A311" s="68" t="n">
        <v>379</v>
      </c>
      <c r="B311" s="68" t="inlineStr">
        <is>
          <t>Valiant Mesh</t>
        </is>
      </c>
      <c r="C311" s="68" t="inlineStr">
        <is>
          <t>HP</t>
        </is>
      </c>
      <c r="D311" s="68" t="n">
        <v>250</v>
      </c>
      <c r="E311" s="68" t="n">
        <v>275</v>
      </c>
      <c r="F311" s="69">
        <f>IF(D311=0,"new",E311/D311-1)</f>
        <v/>
      </c>
      <c r="G311" s="64" t="inlineStr">
        <is>
          <t>Raised so it is 10% over Devastators Chestplate for Rogue (pass 2 class weights)</t>
        </is>
      </c>
    </row>
    <row r="312">
      <c r="A312" s="68" t="n">
        <v>379</v>
      </c>
      <c r="B312" s="68" t="inlineStr">
        <is>
          <t>Valiant Mesh</t>
        </is>
      </c>
      <c r="C312" s="68" t="inlineStr">
        <is>
          <t>MP</t>
        </is>
      </c>
      <c r="D312" s="68" t="n">
        <v>150</v>
      </c>
      <c r="E312" s="68" t="n">
        <v>160</v>
      </c>
      <c r="F312" s="69">
        <f>IF(D312=0,"new",E312/D312-1)</f>
        <v/>
      </c>
      <c r="G312" s="64" t="inlineStr">
        <is>
          <t>Raised so it is 10% over Devastators Chestplate for Rogue (pass 2 class weights)</t>
        </is>
      </c>
    </row>
    <row r="313">
      <c r="A313" s="68" t="n">
        <v>379</v>
      </c>
      <c r="B313" s="68" t="inlineStr">
        <is>
          <t>Valiant Mesh</t>
        </is>
      </c>
      <c r="C313" s="68" t="inlineStr">
        <is>
          <t>STA</t>
        </is>
      </c>
      <c r="D313" s="68" t="n">
        <v>20</v>
      </c>
      <c r="E313" s="68" t="n">
        <v>22</v>
      </c>
      <c r="F313" s="69">
        <f>IF(D313=0,"new",E313/D313-1)</f>
        <v/>
      </c>
      <c r="G313" s="64" t="inlineStr">
        <is>
          <t>Raised so it is 10% over Devastators Chestplate for Rogue (pass 2 class weights)</t>
        </is>
      </c>
    </row>
    <row r="314">
      <c r="A314" s="68" t="n">
        <v>379</v>
      </c>
      <c r="B314" s="68" t="inlineStr">
        <is>
          <t>Valiant Mesh</t>
        </is>
      </c>
      <c r="C314" s="68" t="inlineStr">
        <is>
          <t>DEX</t>
        </is>
      </c>
      <c r="D314" s="68" t="n">
        <v>20</v>
      </c>
      <c r="E314" s="68" t="n">
        <v>22</v>
      </c>
      <c r="F314" s="69">
        <f>IF(D314=0,"new",E314/D314-1)</f>
        <v/>
      </c>
      <c r="G314" s="64" t="inlineStr">
        <is>
          <t>Raised so it is 10% over Devastators Chestplate for Rogue (pass 2 class weights)</t>
        </is>
      </c>
    </row>
    <row r="315">
      <c r="A315" s="68" t="n">
        <v>399</v>
      </c>
      <c r="B315" s="68" t="inlineStr">
        <is>
          <t>Dagger of Contemption</t>
        </is>
      </c>
      <c r="C315" s="68" t="inlineStr">
        <is>
          <t>STR</t>
        </is>
      </c>
      <c r="D315" s="68" t="n">
        <v>0</v>
      </c>
      <c r="E315" s="68" t="n">
        <v>15</v>
      </c>
      <c r="F315" s="69">
        <f>IF(D315=0,"new",E315/D315-1)</f>
        <v/>
      </c>
      <c r="G315" s="64" t="inlineStr">
        <is>
          <t>Dagger of Contemption (100M): damage 165, STR 15 (180); was below the 20M melee weapons</t>
        </is>
      </c>
    </row>
    <row r="316">
      <c r="A316" s="68" t="n">
        <v>399</v>
      </c>
      <c r="B316" s="68" t="inlineStr">
        <is>
          <t>Dagger of Contemption</t>
        </is>
      </c>
      <c r="C316" s="68" t="inlineStr">
        <is>
          <t>Weapon dmg</t>
        </is>
      </c>
      <c r="D316" s="68" t="n">
        <v>120</v>
      </c>
      <c r="E316" s="68" t="n">
        <v>165</v>
      </c>
      <c r="F316" s="69">
        <f>IF(D316=0,"new",E316/D316-1)</f>
        <v/>
      </c>
      <c r="G316" s="64" t="inlineStr">
        <is>
          <t>Dagger of Contemption (100M): damage 165, STR 15 (180); was below the 20M melee weapons</t>
        </is>
      </c>
    </row>
    <row r="317">
      <c r="A317" s="68" t="n">
        <v>426</v>
      </c>
      <c r="B317" s="68" t="inlineStr">
        <is>
          <t>Gero Robes</t>
        </is>
      </c>
      <c r="C317" s="68" t="inlineStr">
        <is>
          <t>HP</t>
        </is>
      </c>
      <c r="D317" s="68" t="n">
        <v>1000</v>
      </c>
      <c r="E317" s="68" t="n">
        <v>2175</v>
      </c>
      <c r="F317" s="69">
        <f>IF(D317=0,"new",E317/D317-1)</f>
        <v/>
      </c>
      <c r="G317" s="64" t="inlineStr">
        <is>
          <t>Raised so it is 10% over Doom Robe for Magus (pass 2 class weights)</t>
        </is>
      </c>
    </row>
    <row r="318">
      <c r="A318" s="68" t="n">
        <v>426</v>
      </c>
      <c r="B318" s="68" t="inlineStr">
        <is>
          <t>Gero Robes</t>
        </is>
      </c>
      <c r="C318" s="68" t="inlineStr">
        <is>
          <t>MP</t>
        </is>
      </c>
      <c r="D318" s="68" t="n">
        <v>3000</v>
      </c>
      <c r="E318" s="68" t="n">
        <v>6500</v>
      </c>
      <c r="F318" s="69">
        <f>IF(D318=0,"new",E318/D318-1)</f>
        <v/>
      </c>
      <c r="G318" s="64" t="inlineStr">
        <is>
          <t>Raised so it is 10% over Doom Robe for Magus (pass 2 class weights)</t>
        </is>
      </c>
    </row>
    <row r="319">
      <c r="A319" s="68" t="n">
        <v>456</v>
      </c>
      <c r="B319" s="68" t="inlineStr">
        <is>
          <t>Fighting Katana</t>
        </is>
      </c>
      <c r="C319" s="68" t="inlineStr">
        <is>
          <t>STR</t>
        </is>
      </c>
      <c r="D319" s="68" t="n">
        <v>14</v>
      </c>
      <c r="E319" s="68" t="n">
        <v>16</v>
      </c>
      <c r="F319" s="69">
        <f>IF(D319=0,"new",E319/D319-1)</f>
        <v/>
      </c>
      <c r="G319" s="64" t="inlineStr">
        <is>
          <t>Fighting Katana: damage 78, STR 16 (94); ~20% over the Nagan weapons</t>
        </is>
      </c>
    </row>
    <row r="320">
      <c r="A320" s="68" t="n">
        <v>456</v>
      </c>
      <c r="B320" s="68" t="inlineStr">
        <is>
          <t>Fighting Katana</t>
        </is>
      </c>
      <c r="C320" s="68" t="inlineStr">
        <is>
          <t>Weapon dmg</t>
        </is>
      </c>
      <c r="D320" s="68" t="n">
        <v>70</v>
      </c>
      <c r="E320" s="68" t="n">
        <v>78</v>
      </c>
      <c r="F320" s="69">
        <f>IF(D320=0,"new",E320/D320-1)</f>
        <v/>
      </c>
      <c r="G320" s="64" t="inlineStr">
        <is>
          <t>Fighting Katana: damage 78, STR 16 (94); ~20% over the Nagan weapons</t>
        </is>
      </c>
    </row>
    <row r="321">
      <c r="A321" s="68" t="n">
        <v>507</v>
      </c>
      <c r="B321" s="68" t="inlineStr">
        <is>
          <t>Clerics Ward of Nobility</t>
        </is>
      </c>
      <c r="C321" s="68" t="inlineStr">
        <is>
          <t>HP</t>
        </is>
      </c>
      <c r="D321" s="68" t="n">
        <v>1000</v>
      </c>
      <c r="E321" s="68" t="n">
        <v>1525</v>
      </c>
      <c r="F321" s="69">
        <f>IF(D321=0,"new",E321/D321-1)</f>
        <v/>
      </c>
      <c r="G321" s="64" t="inlineStr">
        <is>
          <t>Raised so it is 10% over Ward of Destruction for Priest (pass 2 class weights)</t>
        </is>
      </c>
    </row>
    <row r="322">
      <c r="A322" s="68" t="n">
        <v>507</v>
      </c>
      <c r="B322" s="68" t="inlineStr">
        <is>
          <t>Clerics Ward of Nobility</t>
        </is>
      </c>
      <c r="C322" s="68" t="inlineStr">
        <is>
          <t>MP</t>
        </is>
      </c>
      <c r="D322" s="68" t="n">
        <v>1000</v>
      </c>
      <c r="E322" s="68" t="n">
        <v>1525</v>
      </c>
      <c r="F322" s="69">
        <f>IF(D322=0,"new",E322/D322-1)</f>
        <v/>
      </c>
      <c r="G322" s="64" t="inlineStr">
        <is>
          <t>Raised so it is 10% over Ward of Destruction for Priest (pass 2 class weights)</t>
        </is>
      </c>
    </row>
    <row r="323">
      <c r="A323" s="68" t="n">
        <v>661</v>
      </c>
      <c r="B323" s="68" t="inlineStr">
        <is>
          <t>Cat's Eye Ring</t>
        </is>
      </c>
      <c r="C323" s="68" t="inlineStr">
        <is>
          <t>HP</t>
        </is>
      </c>
      <c r="D323" s="68" t="n">
        <v>75</v>
      </c>
      <c r="E323" s="68" t="n">
        <v>115</v>
      </c>
      <c r="F323" s="69">
        <f>IF(D323=0,"new",E323/D323-1)</f>
        <v/>
      </c>
      <c r="G323" s="64" t="inlineStr">
        <is>
          <t>Cats Eye Ring (L20 quest): was below the L13 Ring of the Trail</t>
        </is>
      </c>
    </row>
    <row r="324">
      <c r="A324" s="68" t="n">
        <v>661</v>
      </c>
      <c r="B324" s="68" t="inlineStr">
        <is>
          <t>Cat's Eye Ring</t>
        </is>
      </c>
      <c r="C324" s="68" t="inlineStr">
        <is>
          <t>MP</t>
        </is>
      </c>
      <c r="D324" s="68" t="n">
        <v>75</v>
      </c>
      <c r="E324" s="68" t="n">
        <v>115</v>
      </c>
      <c r="F324" s="69">
        <f>IF(D324=0,"new",E324/D324-1)</f>
        <v/>
      </c>
      <c r="G324" s="64" t="inlineStr">
        <is>
          <t>Cats Eye Ring (L20 quest): was below the L13 Ring of the Trail</t>
        </is>
      </c>
    </row>
    <row r="325">
      <c r="A325" s="68" t="n">
        <v>661</v>
      </c>
      <c r="B325" s="68" t="inlineStr">
        <is>
          <t>Cat's Eye Ring</t>
        </is>
      </c>
      <c r="C325" s="68" t="inlineStr">
        <is>
          <t>AC</t>
        </is>
      </c>
      <c r="D325" s="68" t="n">
        <v>15</v>
      </c>
      <c r="E325" s="68" t="n">
        <v>23</v>
      </c>
      <c r="F325" s="69">
        <f>IF(D325=0,"new",E325/D325-1)</f>
        <v/>
      </c>
      <c r="G325" s="64" t="inlineStr">
        <is>
          <t>Cats Eye Ring (L20 quest): was below the L13 Ring of the Trail</t>
        </is>
      </c>
    </row>
    <row r="326">
      <c r="A326" s="68" t="n">
        <v>661</v>
      </c>
      <c r="B326" s="68" t="inlineStr">
        <is>
          <t>Cat's Eye Ring</t>
        </is>
      </c>
      <c r="C326" s="68" t="inlineStr">
        <is>
          <t>STR</t>
        </is>
      </c>
      <c r="D326" s="68" t="n">
        <v>5</v>
      </c>
      <c r="E326" s="68" t="n">
        <v>8</v>
      </c>
      <c r="F326" s="69">
        <f>IF(D326=0,"new",E326/D326-1)</f>
        <v/>
      </c>
      <c r="G326" s="64" t="inlineStr">
        <is>
          <t>Cats Eye Ring (L20 quest): was below the L13 Ring of the Trail</t>
        </is>
      </c>
    </row>
    <row r="327">
      <c r="A327" s="68" t="n">
        <v>661</v>
      </c>
      <c r="B327" s="68" t="inlineStr">
        <is>
          <t>Cat's Eye Ring</t>
        </is>
      </c>
      <c r="C327" s="68" t="inlineStr">
        <is>
          <t>DEX</t>
        </is>
      </c>
      <c r="D327" s="68" t="n">
        <v>5</v>
      </c>
      <c r="E327" s="68" t="n">
        <v>8</v>
      </c>
      <c r="F327" s="69">
        <f>IF(D327=0,"new",E327/D327-1)</f>
        <v/>
      </c>
      <c r="G327" s="64" t="inlineStr">
        <is>
          <t>Cats Eye Ring (L20 quest): was below the L13 Ring of the Trail</t>
        </is>
      </c>
    </row>
    <row r="328">
      <c r="A328" s="68" t="n">
        <v>700</v>
      </c>
      <c r="B328" s="68" t="inlineStr">
        <is>
          <t>Woven Silk Tunic</t>
        </is>
      </c>
      <c r="C328" s="68" t="inlineStr">
        <is>
          <t>HP</t>
        </is>
      </c>
      <c r="D328" s="68" t="n">
        <v>75</v>
      </c>
      <c r="E328" s="68" t="n">
        <v>95</v>
      </c>
      <c r="F328" s="69">
        <f>IF(D328=0,"new",E328/D328-1)</f>
        <v/>
      </c>
      <c r="G328" s="64" t="inlineStr">
        <is>
          <t>L30 vendor: 1.85x the matching L20 vendor piece (Silk Tunic) so it is a clear upgrade</t>
        </is>
      </c>
    </row>
    <row r="329">
      <c r="A329" s="68" t="n">
        <v>700</v>
      </c>
      <c r="B329" s="68" t="inlineStr">
        <is>
          <t>Woven Silk Tunic</t>
        </is>
      </c>
      <c r="C329" s="68" t="inlineStr">
        <is>
          <t>MP</t>
        </is>
      </c>
      <c r="D329" s="68" t="n">
        <v>150</v>
      </c>
      <c r="E329" s="68" t="n">
        <v>190</v>
      </c>
      <c r="F329" s="69">
        <f>IF(D329=0,"new",E329/D329-1)</f>
        <v/>
      </c>
      <c r="G329" s="64" t="inlineStr">
        <is>
          <t>L30 vendor: 1.85x the matching L20 vendor piece (Silk Tunic) so it is a clear upgrade</t>
        </is>
      </c>
    </row>
    <row r="330">
      <c r="A330" s="68" t="n">
        <v>700</v>
      </c>
      <c r="B330" s="68" t="inlineStr">
        <is>
          <t>Woven Silk Tunic</t>
        </is>
      </c>
      <c r="C330" s="68" t="inlineStr">
        <is>
          <t>AC</t>
        </is>
      </c>
      <c r="D330" s="68" t="n">
        <v>30</v>
      </c>
      <c r="E330" s="68" t="n">
        <v>38</v>
      </c>
      <c r="F330" s="69">
        <f>IF(D330=0,"new",E330/D330-1)</f>
        <v/>
      </c>
      <c r="G330" s="64" t="inlineStr">
        <is>
          <t>L30 vendor: 1.85x the matching L20 vendor piece (Silk Tunic) so it is a clear upgrade</t>
        </is>
      </c>
    </row>
    <row r="331">
      <c r="A331" s="68" t="n">
        <v>700</v>
      </c>
      <c r="B331" s="68" t="inlineStr">
        <is>
          <t>Woven Silk Tunic</t>
        </is>
      </c>
      <c r="C331" s="68" t="inlineStr">
        <is>
          <t>STA</t>
        </is>
      </c>
      <c r="D331" s="68" t="n">
        <v>6</v>
      </c>
      <c r="E331" s="68" t="n">
        <v>8</v>
      </c>
      <c r="F331" s="69">
        <f>IF(D331=0,"new",E331/D331-1)</f>
        <v/>
      </c>
      <c r="G331" s="64" t="inlineStr">
        <is>
          <t>L30 vendor: 1.85x the matching L20 vendor piece (Silk Tunic) so it is a clear upgrade</t>
        </is>
      </c>
    </row>
    <row r="332">
      <c r="A332" s="68" t="n">
        <v>700</v>
      </c>
      <c r="B332" s="68" t="inlineStr">
        <is>
          <t>Woven Silk Tunic</t>
        </is>
      </c>
      <c r="C332" s="68" t="inlineStr">
        <is>
          <t>INT</t>
        </is>
      </c>
      <c r="D332" s="68" t="n">
        <v>14</v>
      </c>
      <c r="E332" s="68" t="n">
        <v>18</v>
      </c>
      <c r="F332" s="69">
        <f>IF(D332=0,"new",E332/D332-1)</f>
        <v/>
      </c>
      <c r="G332" s="64" t="inlineStr">
        <is>
          <t>L30 vendor: 1.85x the matching L20 vendor piece (Silk Tunic) so it is a clear upgrade</t>
        </is>
      </c>
    </row>
    <row r="333">
      <c r="A333" s="68" t="n">
        <v>701</v>
      </c>
      <c r="B333" s="68" t="inlineStr">
        <is>
          <t>Woven Silk Cap</t>
        </is>
      </c>
      <c r="C333" s="68" t="inlineStr">
        <is>
          <t>HP</t>
        </is>
      </c>
      <c r="D333" s="68" t="n">
        <v>25</v>
      </c>
      <c r="E333" s="68" t="n">
        <v>30</v>
      </c>
      <c r="F333" s="69">
        <f>IF(D333=0,"new",E333/D333-1)</f>
        <v/>
      </c>
      <c r="G333" s="64" t="inlineStr">
        <is>
          <t>L30 vendor: 1.85x the matching L20 vendor piece (Silk Cap) so it is a clear upgrade</t>
        </is>
      </c>
    </row>
    <row r="334">
      <c r="A334" s="68" t="n">
        <v>701</v>
      </c>
      <c r="B334" s="68" t="inlineStr">
        <is>
          <t>Woven Silk Cap</t>
        </is>
      </c>
      <c r="C334" s="68" t="inlineStr">
        <is>
          <t>MP</t>
        </is>
      </c>
      <c r="D334" s="68" t="n">
        <v>75</v>
      </c>
      <c r="E334" s="68" t="n">
        <v>95</v>
      </c>
      <c r="F334" s="69">
        <f>IF(D334=0,"new",E334/D334-1)</f>
        <v/>
      </c>
      <c r="G334" s="64" t="inlineStr">
        <is>
          <t>L30 vendor: 1.85x the matching L20 vendor piece (Silk Cap) so it is a clear upgrade</t>
        </is>
      </c>
    </row>
    <row r="335">
      <c r="A335" s="68" t="n">
        <v>701</v>
      </c>
      <c r="B335" s="68" t="inlineStr">
        <is>
          <t>Woven Silk Cap</t>
        </is>
      </c>
      <c r="C335" s="68" t="inlineStr">
        <is>
          <t>AC</t>
        </is>
      </c>
      <c r="D335" s="68" t="n">
        <v>13</v>
      </c>
      <c r="E335" s="68" t="n">
        <v>16</v>
      </c>
      <c r="F335" s="69">
        <f>IF(D335=0,"new",E335/D335-1)</f>
        <v/>
      </c>
      <c r="G335" s="64" t="inlineStr">
        <is>
          <t>L30 vendor: 1.85x the matching L20 vendor piece (Silk Cap) so it is a clear upgrade</t>
        </is>
      </c>
    </row>
    <row r="336">
      <c r="A336" s="68" t="n">
        <v>701</v>
      </c>
      <c r="B336" s="68" t="inlineStr">
        <is>
          <t>Woven Silk Cap</t>
        </is>
      </c>
      <c r="C336" s="68" t="inlineStr">
        <is>
          <t>STA</t>
        </is>
      </c>
      <c r="D336" s="68" t="n">
        <v>4</v>
      </c>
      <c r="E336" s="68" t="n">
        <v>5</v>
      </c>
      <c r="F336" s="69">
        <f>IF(D336=0,"new",E336/D336-1)</f>
        <v/>
      </c>
      <c r="G336" s="64" t="inlineStr">
        <is>
          <t>L30 vendor: 1.85x the matching L20 vendor piece (Silk Cap) so it is a clear upgrade</t>
        </is>
      </c>
    </row>
    <row r="337">
      <c r="A337" s="68" t="n">
        <v>701</v>
      </c>
      <c r="B337" s="68" t="inlineStr">
        <is>
          <t>Woven Silk Cap</t>
        </is>
      </c>
      <c r="C337" s="68" t="inlineStr">
        <is>
          <t>INT</t>
        </is>
      </c>
      <c r="D337" s="68" t="n">
        <v>8</v>
      </c>
      <c r="E337" s="68" t="n">
        <v>10</v>
      </c>
      <c r="F337" s="69">
        <f>IF(D337=0,"new",E337/D337-1)</f>
        <v/>
      </c>
      <c r="G337" s="64" t="inlineStr">
        <is>
          <t>L30 vendor: 1.85x the matching L20 vendor piece (Silk Cap) so it is a clear upgrade</t>
        </is>
      </c>
    </row>
    <row r="338">
      <c r="A338" s="68" t="n">
        <v>702</v>
      </c>
      <c r="B338" s="68" t="inlineStr">
        <is>
          <t>Woven Silk Leggings</t>
        </is>
      </c>
      <c r="C338" s="68" t="inlineStr">
        <is>
          <t>HP</t>
        </is>
      </c>
      <c r="D338" s="68" t="n">
        <v>50</v>
      </c>
      <c r="E338" s="68" t="n">
        <v>65</v>
      </c>
      <c r="F338" s="69">
        <f>IF(D338=0,"new",E338/D338-1)</f>
        <v/>
      </c>
      <c r="G338" s="64" t="inlineStr">
        <is>
          <t>L30 vendor: 1.85x the matching L20 vendor piece (Silk Leggings) so it is a clear upgrade</t>
        </is>
      </c>
    </row>
    <row r="339">
      <c r="A339" s="68" t="n">
        <v>702</v>
      </c>
      <c r="B339" s="68" t="inlineStr">
        <is>
          <t>Woven Silk Leggings</t>
        </is>
      </c>
      <c r="C339" s="68" t="inlineStr">
        <is>
          <t>MP</t>
        </is>
      </c>
      <c r="D339" s="68" t="n">
        <v>100</v>
      </c>
      <c r="E339" s="68" t="n">
        <v>130</v>
      </c>
      <c r="F339" s="69">
        <f>IF(D339=0,"new",E339/D339-1)</f>
        <v/>
      </c>
      <c r="G339" s="64" t="inlineStr">
        <is>
          <t>L30 vendor: 1.85x the matching L20 vendor piece (Silk Leggings) so it is a clear upgrade</t>
        </is>
      </c>
    </row>
    <row r="340">
      <c r="A340" s="68" t="n">
        <v>702</v>
      </c>
      <c r="B340" s="68" t="inlineStr">
        <is>
          <t>Woven Silk Leggings</t>
        </is>
      </c>
      <c r="C340" s="68" t="inlineStr">
        <is>
          <t>AC</t>
        </is>
      </c>
      <c r="D340" s="68" t="n">
        <v>19</v>
      </c>
      <c r="E340" s="68" t="n">
        <v>24</v>
      </c>
      <c r="F340" s="69">
        <f>IF(D340=0,"new",E340/D340-1)</f>
        <v/>
      </c>
      <c r="G340" s="64" t="inlineStr">
        <is>
          <t>L30 vendor: 1.85x the matching L20 vendor piece (Silk Leggings) so it is a clear upgrade</t>
        </is>
      </c>
    </row>
    <row r="341">
      <c r="A341" s="68" t="n">
        <v>702</v>
      </c>
      <c r="B341" s="68" t="inlineStr">
        <is>
          <t>Woven Silk Leggings</t>
        </is>
      </c>
      <c r="C341" s="68" t="inlineStr">
        <is>
          <t>STA</t>
        </is>
      </c>
      <c r="D341" s="68" t="n">
        <v>5</v>
      </c>
      <c r="E341" s="68" t="n">
        <v>6</v>
      </c>
      <c r="F341" s="69">
        <f>IF(D341=0,"new",E341/D341-1)</f>
        <v/>
      </c>
      <c r="G341" s="64" t="inlineStr">
        <is>
          <t>L30 vendor: 1.85x the matching L20 vendor piece (Silk Leggings) so it is a clear upgrade</t>
        </is>
      </c>
    </row>
    <row r="342">
      <c r="A342" s="68" t="n">
        <v>702</v>
      </c>
      <c r="B342" s="68" t="inlineStr">
        <is>
          <t>Woven Silk Leggings</t>
        </is>
      </c>
      <c r="C342" s="68" t="inlineStr">
        <is>
          <t>INT</t>
        </is>
      </c>
      <c r="D342" s="68" t="n">
        <v>10</v>
      </c>
      <c r="E342" s="68" t="n">
        <v>13</v>
      </c>
      <c r="F342" s="69">
        <f>IF(D342=0,"new",E342/D342-1)</f>
        <v/>
      </c>
      <c r="G342" s="64" t="inlineStr">
        <is>
          <t>L30 vendor: 1.85x the matching L20 vendor piece (Silk Leggings) so it is a clear upgrade</t>
        </is>
      </c>
    </row>
    <row r="343">
      <c r="A343" s="68" t="n">
        <v>703</v>
      </c>
      <c r="B343" s="68" t="inlineStr">
        <is>
          <t>Woven Silk Slippers</t>
        </is>
      </c>
      <c r="C343" s="68" t="inlineStr">
        <is>
          <t>MP</t>
        </is>
      </c>
      <c r="D343" s="68" t="n">
        <v>75</v>
      </c>
      <c r="E343" s="68" t="n">
        <v>90</v>
      </c>
      <c r="F343" s="69">
        <f>IF(D343=0,"new",E343/D343-1)</f>
        <v/>
      </c>
      <c r="G343" s="64" t="inlineStr">
        <is>
          <t>L30 vendor: 1.85x the matching L20 vendor piece (Silk Slippers) so it is a clear upgrade</t>
        </is>
      </c>
    </row>
    <row r="344">
      <c r="A344" s="68" t="n">
        <v>703</v>
      </c>
      <c r="B344" s="68" t="inlineStr">
        <is>
          <t>Woven Silk Slippers</t>
        </is>
      </c>
      <c r="C344" s="68" t="inlineStr">
        <is>
          <t>AC</t>
        </is>
      </c>
      <c r="D344" s="68" t="n">
        <v>13</v>
      </c>
      <c r="E344" s="68" t="n">
        <v>15</v>
      </c>
      <c r="F344" s="69">
        <f>IF(D344=0,"new",E344/D344-1)</f>
        <v/>
      </c>
      <c r="G344" s="64" t="inlineStr">
        <is>
          <t>L30 vendor: 1.85x the matching L20 vendor piece (Silk Slippers) so it is a clear upgrade</t>
        </is>
      </c>
    </row>
    <row r="345">
      <c r="A345" s="68" t="n">
        <v>703</v>
      </c>
      <c r="B345" s="68" t="inlineStr">
        <is>
          <t>Woven Silk Slippers</t>
        </is>
      </c>
      <c r="C345" s="68" t="inlineStr">
        <is>
          <t>STA</t>
        </is>
      </c>
      <c r="D345" s="68" t="n">
        <v>4</v>
      </c>
      <c r="E345" s="68" t="n">
        <v>5</v>
      </c>
      <c r="F345" s="69">
        <f>IF(D345=0,"new",E345/D345-1)</f>
        <v/>
      </c>
      <c r="G345" s="64" t="inlineStr">
        <is>
          <t>L30 vendor: 1.85x the matching L20 vendor piece (Silk Slippers) so it is a clear upgrade</t>
        </is>
      </c>
    </row>
    <row r="346">
      <c r="A346" s="68" t="n">
        <v>703</v>
      </c>
      <c r="B346" s="68" t="inlineStr">
        <is>
          <t>Woven Silk Slippers</t>
        </is>
      </c>
      <c r="C346" s="68" t="inlineStr">
        <is>
          <t>INT</t>
        </is>
      </c>
      <c r="D346" s="68" t="n">
        <v>7</v>
      </c>
      <c r="E346" s="68" t="n">
        <v>8</v>
      </c>
      <c r="F346" s="69">
        <f>IF(D346=0,"new",E346/D346-1)</f>
        <v/>
      </c>
      <c r="G346" s="64" t="inlineStr">
        <is>
          <t>L30 vendor: 1.85x the matching L20 vendor piece (Silk Slippers) so it is a clear upgrade</t>
        </is>
      </c>
    </row>
    <row r="347">
      <c r="A347" s="68" t="inlineStr">
        <is>
          <t>eff 287</t>
        </is>
      </c>
      <c r="B347" s="68" t="inlineStr">
        <is>
          <t>Spell effect</t>
        </is>
      </c>
      <c r="C347" s="68" t="inlineStr">
        <is>
          <t>damage_reduce</t>
        </is>
      </c>
      <c r="D347" s="68" t="n">
        <v>0.04</v>
      </c>
      <c r="E347" s="68" t="n">
        <v>0.06</v>
      </c>
      <c r="G347" s="68" t="inlineStr">
        <is>
          <t>Savage Pauldrons of the Cow: 6% DR (Bulwark has 5%) so it is a clear upgrade</t>
        </is>
      </c>
    </row>
    <row r="348">
      <c r="A348" s="68" t="inlineStr">
        <is>
          <t>eff 287</t>
        </is>
      </c>
      <c r="B348" s="68" t="inlineStr">
        <is>
          <t>Spell effect</t>
        </is>
      </c>
      <c r="C348" s="68" t="inlineStr">
        <is>
          <t>spell_effect_name</t>
        </is>
      </c>
      <c r="D348" s="68" t="inlineStr">
        <is>
          <t>Damage Reduction IV and Spell Damage II</t>
        </is>
      </c>
      <c r="E348" s="68" t="inlineStr">
        <is>
          <t>Damage Reduction VI and Spell Damage II</t>
        </is>
      </c>
      <c r="G348" s="68" t="inlineStr">
        <is>
          <t>Savage Pauldrons of the Cow: 6% DR (Bulwark has 5%) so it is a clear upgrade</t>
        </is>
      </c>
    </row>
    <row r="351">
      <c r="A351" s="3" t="inlineStr">
        <is>
          <t>Kept as they are on purpose</t>
        </is>
      </c>
    </row>
    <row r="352">
      <c r="B352" s="68" t="inlineStr">
        <is>
          <t>Thick Skin of the Boar</t>
        </is>
      </c>
      <c r="G352" s="64" t="inlineStr">
        <is>
          <t>Rare boss drop; being nearly as good as the L40 chests is fine (your call).</t>
        </is>
      </c>
    </row>
    <row r="353">
      <c r="B353" s="68" t="inlineStr">
        <is>
          <t>Rusty Claw vs Encased Claw of Wet</t>
        </is>
      </c>
      <c r="G353" s="64" t="inlineStr">
        <is>
          <t>Rusty Claw drops from ImaBitStale in Punchy's Playhouse, so a side-grade with the L45 Frosty claw is fine (your call).</t>
        </is>
      </c>
    </row>
    <row r="354">
      <c r="B354" s="68" t="inlineStr">
        <is>
          <t>Bracelet of the Inferno</t>
        </is>
      </c>
      <c r="G354" s="64" t="inlineStr">
        <is>
          <t>Keeps Spell Critical Damage V: the Embers/Cinders/Flames/Inferno line goes 2/3/4/5% crit. Bracelet of Water (20M) goes to 8% crit instead so it is not a side-grade.</t>
        </is>
      </c>
    </row>
    <row r="355">
      <c r="B355" s="68" t="inlineStr">
        <is>
          <t>Coral Sword</t>
        </is>
      </c>
      <c r="G355" s="64" t="inlineStr">
        <is>
          <t>The crit option; melee weapons are not scored at 20M+.</t>
        </is>
      </c>
    </row>
    <row r="356">
      <c r="B356" s="68" t="inlineStr">
        <is>
          <t>Fighting Katana vs Nagan Sword/Dagger</t>
        </is>
      </c>
      <c r="G356" s="64" t="inlineStr">
        <is>
          <t>Hard craft, kept about 20% above the L33 Nagan weapons (94 vs 78 weapon damage + STR) and swings faster (delay 9).</t>
        </is>
      </c>
    </row>
    <row r="357">
      <c r="B357" s="68" t="inlineStr">
        <is>
          <t>Nagan weapons vs Scythe</t>
        </is>
      </c>
      <c r="G357" s="64" t="inlineStr">
        <is>
          <t>78 vs 67 weapon damage + STR (+16%); the Scythe only scores close because of its HP/STA.</t>
        </is>
      </c>
    </row>
    <row r="358">
      <c r="B358" s="68" t="inlineStr">
        <is>
          <t>Dagger of the Fox vs Tiny Club</t>
        </is>
      </c>
      <c r="G358" s="64" t="inlineStr">
        <is>
          <t>The Fox proc (7% for 2500 area damage, ~175 per swing) is not in the score.</t>
        </is>
      </c>
    </row>
    <row r="359">
      <c r="B359" s="68" t="inlineStr">
        <is>
          <t>Winter Blade vs Low Quality Walde</t>
        </is>
      </c>
      <c r="G359" s="64" t="inlineStr">
        <is>
          <t>Winter Blade (L12 boss drop) stays about 10% above the L13 craft.</t>
        </is>
      </c>
    </row>
    <row r="360">
      <c r="B360" s="68" t="inlineStr">
        <is>
          <t>Enchanted Bracelets vs Bracelet of Earth</t>
        </is>
      </c>
      <c r="G360" s="64" t="inlineStr">
        <is>
          <t>Each Enchanted bracelet upgrades its own element; cross-element comparisons are not upgrades.</t>
        </is>
      </c>
    </row>
    <row r="361">
      <c r="B361" s="68" t="inlineStr">
        <is>
          <t>Beefs Immortality vs the 20M bracelets</t>
        </is>
      </c>
      <c r="G361" s="64" t="inlineStr">
        <is>
          <t>Rare boss drop (Beefcake 5%); a side-grade is fine (your call). This is why the Accessory Proposals XP tier check shows Not above lower tier for the 20M bracelets.</t>
        </is>
      </c>
    </row>
    <row r="362">
      <c r="B362" s="68" t="inlineStr">
        <is>
          <t>Caster legs/boots at Nibbles II</t>
        </is>
      </c>
      <c r="G362" s="64" t="inlineStr">
        <is>
          <t>Valiant Legplates/Boots are melee pieces; casters keep Whirling Leggings/Slippers (all-class items only count for a class when they are competitive for it).</t>
        </is>
      </c>
    </row>
    <row r="363">
      <c r="B363" s="68" t="inlineStr">
        <is>
          <t>Savage Belt</t>
        </is>
      </c>
      <c r="G363" s="64" t="inlineStr">
        <is>
          <t>No source today.</t>
        </is>
      </c>
    </row>
    <row r="364">
      <c r="B364" s="68" t="inlineStr">
        <is>
          <t>L5 starter drops vs Small Sword</t>
        </is>
      </c>
      <c r="G364" s="64" t="inlineStr">
        <is>
          <t>Starter weapons.</t>
        </is>
      </c>
    </row>
    <row r="365">
      <c r="B365" s="68" t="inlineStr">
        <is>
          <t>Scoring rules</t>
        </is>
      </c>
      <c r="G365" s="64" t="inlineStr">
        <is>
          <t>See Item Budget "Class weights": HP/MP split W 90/10, R 55/45, M 25/75, P 35/65 (STA = 25 HP, INT = 25 MP); AC per point W 10 HP (5 on the damage line), R 1, M/P 0.5; DEX (20 DEX = 1% dodge) W 4, R 6, M/P 2; STR and weapon damage 50 HP below L50 (Magus 20, Priest 35), 15 HP for W/R at L50 up to Nibbles II, 0 at 20M+; % effects scaled by the class pool at 20M/100M/200M/400M. Items are compared from the viewpoint of the harder item (its level and step).</t>
        </is>
      </c>
    </row>
    <row r="366">
      <c r="B366" s="68" t="inlineStr">
        <is>
          <t>Level budget</t>
        </is>
      </c>
      <c r="G366" s="64" t="inlineStr">
        <is>
          <t>Linear: each 10 levels is worth less in relative terms (L20-&gt;30 +50%, L40-&gt;50 +25%). The common-drop accessory lines sit on that curve.</t>
        </is>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2026-09-26T11:32:45Z</dcterms:created>
  <dcterms:modified xmlns:dcterms="http://purl.org/dc/terms/" xmlns:xsi="http://www.w3.org/2001/XMLSchema-instance" xsi:type="dcterms:W3CDTF">2026-09-28T23:26:45Z</dcterms:modified>
</cp:coreProperties>
</file>